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arlast-my.sharepoint.com/personal/sergio_arlast_com/Documents/Desktop/AVA_Dashboard/dashboard/public/"/>
    </mc:Choice>
  </mc:AlternateContent>
  <xr:revisionPtr revIDLastSave="0" documentId="8_{F965E3CE-487B-4CA0-BD29-EA42655E1F1A}" xr6:coauthVersionLast="47" xr6:coauthVersionMax="47" xr10:uidLastSave="{00000000-0000-0000-0000-000000000000}"/>
  <workbookProtection workbookAlgorithmName="SHA-512" workbookHashValue="TIQndxgdQbmWUCaxo9nDfj1Y/Y9HqsDX1DckQz+LlLKTgLDzPsLPc//feAFspGk+1OPBcVY029bISHXyj34gMQ==" workbookSaltValue="K4TKs2QdlM0Nj9mYqX5t1A==" workbookSpinCount="100000" lockStructure="1"/>
  <bookViews>
    <workbookView xWindow="-105" yWindow="0" windowWidth="29010" windowHeight="15585" tabRatio="799" firstSheet="1" activeTab="2" xr2:uid="{00000000-000D-0000-FFFF-FFFF00000000}"/>
  </bookViews>
  <sheets>
    <sheet name="Claude Log" sheetId="10" state="hidden" r:id="rId1"/>
    <sheet name="Instructions" sheetId="1" r:id="rId2"/>
    <sheet name="Dashboard" sheetId="11" r:id="rId3"/>
    <sheet name="Reconciliation" sheetId="9" r:id="rId4"/>
    <sheet name="New_Draw" sheetId="3" r:id="rId5"/>
    <sheet name="Draw_Register" sheetId="4" r:id="rId6"/>
    <sheet name="Inflow_Register" sheetId="8" r:id="rId7"/>
    <sheet name="Budget_Tracker" sheetId="5" r:id="rId8"/>
    <sheet name="Print_View" sheetId="7" r:id="rId9"/>
    <sheet name="Expense_Projection_Models" sheetId="12" r:id="rId10"/>
    <sheet name="Funding_Summary_Models" sheetId="14" r:id="rId11"/>
    <sheet name="AP_Aging" sheetId="19" r:id="rId12"/>
    <sheet name="CAF_BS_APRvsMAR" sheetId="15" r:id="rId13"/>
    <sheet name="BS_GL_CAF" sheetId="16" r:id="rId14"/>
    <sheet name="IPS_BS_121425" sheetId="17" r:id="rId15"/>
    <sheet name="BS_GL_IPS" sheetId="18" r:id="rId16"/>
    <sheet name="Config" sheetId="6" state="hidden" r:id="rId17"/>
  </sheets>
  <definedNames>
    <definedName name="_xlnm._FilterDatabase" localSheetId="11" hidden="1">AP_Aging!$A$6:$K$592</definedName>
    <definedName name="_xlnm._FilterDatabase" localSheetId="5" hidden="1">Draw_Register!$A$4:$L$204</definedName>
    <definedName name="_xlnm.Print_Area" localSheetId="8">Print_View!$A$1:$I$40</definedName>
    <definedName name="_xlnm.Print_Titles" localSheetId="11">AP_Aging!$5:$5</definedName>
    <definedName name="_xlnm.Print_Titles" localSheetId="13">BS_GL_CAF!$6:$6</definedName>
    <definedName name="_xlnm.Print_Titles" localSheetId="12">CAF_BS_APRvsMAR!$6:$7</definedName>
    <definedName name="_xlnm.Print_Titles" localSheetId="14">IPS_BS_121425!$1:$6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93" i="9" l="1"/>
  <c r="D63" i="9"/>
  <c r="D49" i="9"/>
  <c r="F44" i="9"/>
  <c r="E44" i="9"/>
  <c r="D61" i="9"/>
  <c r="D52" i="9"/>
  <c r="E43" i="9"/>
  <c r="J42" i="9"/>
  <c r="I42" i="9"/>
  <c r="H42" i="9"/>
  <c r="D41" i="9"/>
  <c r="J38" i="9"/>
  <c r="I38" i="9"/>
  <c r="H38" i="9"/>
  <c r="P12" i="11"/>
  <c r="D48" i="9"/>
  <c r="D6" i="9"/>
  <c r="I40" i="9"/>
  <c r="H40" i="9"/>
  <c r="I39" i="9"/>
  <c r="H39" i="9"/>
  <c r="F35" i="9"/>
  <c r="F36" i="9" s="1"/>
  <c r="I37" i="9"/>
  <c r="H37" i="9"/>
  <c r="I36" i="9"/>
  <c r="H36" i="9"/>
  <c r="E19" i="14"/>
  <c r="D19" i="14"/>
  <c r="C19" i="14"/>
  <c r="E18" i="14"/>
  <c r="D18" i="14"/>
  <c r="C18" i="14"/>
  <c r="E17" i="14"/>
  <c r="D17" i="14"/>
  <c r="C17" i="14"/>
  <c r="A4" i="12"/>
  <c r="E102" i="15"/>
  <c r="C102" i="15"/>
  <c r="B102" i="15"/>
  <c r="E100" i="15"/>
  <c r="C100" i="15"/>
  <c r="B100" i="15"/>
  <c r="E98" i="15"/>
  <c r="C98" i="15"/>
  <c r="B98" i="15"/>
  <c r="E94" i="15"/>
  <c r="C94" i="15"/>
  <c r="B94" i="15"/>
  <c r="E88" i="15"/>
  <c r="C88" i="15"/>
  <c r="B88" i="15"/>
  <c r="E86" i="15"/>
  <c r="C86" i="15"/>
  <c r="B86" i="15"/>
  <c r="E82" i="15"/>
  <c r="C82" i="15"/>
  <c r="B82" i="15"/>
  <c r="E70" i="15"/>
  <c r="C70" i="15"/>
  <c r="B70" i="15"/>
  <c r="E68" i="15"/>
  <c r="C68" i="15"/>
  <c r="B68" i="15"/>
  <c r="E64" i="15"/>
  <c r="C64" i="15"/>
  <c r="B64" i="15"/>
  <c r="E62" i="15"/>
  <c r="C62" i="15"/>
  <c r="B62" i="15"/>
  <c r="E58" i="15"/>
  <c r="C58" i="15"/>
  <c r="B58" i="15"/>
  <c r="E34" i="15"/>
  <c r="C34" i="15"/>
  <c r="B34" i="15"/>
  <c r="E32" i="15"/>
  <c r="C32" i="15"/>
  <c r="B32" i="15"/>
  <c r="E27" i="15"/>
  <c r="C27" i="15"/>
  <c r="B27" i="15"/>
  <c r="E21" i="15"/>
  <c r="C21" i="15"/>
  <c r="B21" i="15"/>
  <c r="E15" i="15"/>
  <c r="C15" i="15"/>
  <c r="B15" i="15"/>
  <c r="O6214" i="16"/>
  <c r="L6214" i="16"/>
  <c r="K6214" i="16"/>
  <c r="O6212" i="16"/>
  <c r="L6212" i="16"/>
  <c r="K6212" i="16"/>
  <c r="O6083" i="16"/>
  <c r="L6083" i="16"/>
  <c r="K6083" i="16"/>
  <c r="G44" i="19"/>
  <c r="F44" i="19"/>
  <c r="E44" i="19"/>
  <c r="D44" i="19"/>
  <c r="C44" i="19"/>
  <c r="B44" i="19"/>
  <c r="M15" i="11"/>
  <c r="P15" i="11" s="1"/>
  <c r="M14" i="11"/>
  <c r="P14" i="11" s="1"/>
  <c r="M13" i="11"/>
  <c r="P13" i="11" s="1"/>
  <c r="E83" i="9"/>
  <c r="E86" i="9" s="1"/>
  <c r="I34" i="9"/>
  <c r="H34" i="9"/>
  <c r="I32" i="9"/>
  <c r="H32" i="9"/>
  <c r="I31" i="9"/>
  <c r="H31" i="9"/>
  <c r="B44" i="14"/>
  <c r="D93" i="9"/>
  <c r="D78" i="9"/>
  <c r="E78" i="9" s="1"/>
  <c r="D50" i="9"/>
  <c r="I29" i="9"/>
  <c r="I28" i="9"/>
  <c r="K27" i="9"/>
  <c r="J27" i="9"/>
  <c r="I27" i="9"/>
  <c r="H27" i="9"/>
  <c r="F27" i="9"/>
  <c r="F28" i="9" s="1"/>
  <c r="F29" i="9" s="1"/>
  <c r="G26" i="9" a="1"/>
  <c r="B93" i="5"/>
  <c r="K7" i="5"/>
  <c r="N46" i="12"/>
  <c r="N47" i="12"/>
  <c r="N48" i="12"/>
  <c r="N49" i="12"/>
  <c r="N50" i="12"/>
  <c r="N51" i="12"/>
  <c r="N52" i="12"/>
  <c r="N53" i="12"/>
  <c r="N33" i="12"/>
  <c r="N34" i="12"/>
  <c r="N35" i="12"/>
  <c r="N36" i="12"/>
  <c r="N37" i="12"/>
  <c r="N38" i="12"/>
  <c r="N39" i="12"/>
  <c r="N40" i="12"/>
  <c r="N41" i="12"/>
  <c r="N42" i="12"/>
  <c r="N43" i="12"/>
  <c r="N32" i="12"/>
  <c r="C94" i="12"/>
  <c r="B94" i="12"/>
  <c r="B47" i="14"/>
  <c r="K56" i="14"/>
  <c r="J56" i="14"/>
  <c r="I56" i="14"/>
  <c r="B49" i="14"/>
  <c r="B48" i="14"/>
  <c r="E46" i="14"/>
  <c r="D46" i="14"/>
  <c r="C46" i="14"/>
  <c r="B46" i="14"/>
  <c r="B45" i="14"/>
  <c r="B43" i="14"/>
  <c r="L53" i="12"/>
  <c r="K53" i="12"/>
  <c r="J53" i="12"/>
  <c r="L52" i="12"/>
  <c r="K52" i="12"/>
  <c r="J52" i="12"/>
  <c r="L51" i="12"/>
  <c r="K51" i="12"/>
  <c r="J51" i="12"/>
  <c r="L50" i="12"/>
  <c r="K50" i="12"/>
  <c r="J50" i="12"/>
  <c r="L49" i="12"/>
  <c r="K49" i="12"/>
  <c r="J49" i="12"/>
  <c r="L48" i="12"/>
  <c r="K48" i="12"/>
  <c r="J48" i="12"/>
  <c r="L47" i="12"/>
  <c r="K47" i="12"/>
  <c r="J47" i="12"/>
  <c r="L46" i="12"/>
  <c r="K46" i="12"/>
  <c r="J46" i="12"/>
  <c r="L43" i="12"/>
  <c r="K43" i="12"/>
  <c r="J43" i="12"/>
  <c r="L42" i="12"/>
  <c r="K42" i="12"/>
  <c r="J42" i="12"/>
  <c r="L41" i="12"/>
  <c r="K41" i="12"/>
  <c r="J41" i="12"/>
  <c r="L40" i="12"/>
  <c r="K40" i="12"/>
  <c r="J40" i="12"/>
  <c r="L39" i="12"/>
  <c r="K39" i="12"/>
  <c r="J39" i="12"/>
  <c r="L38" i="12"/>
  <c r="K38" i="12"/>
  <c r="J38" i="12"/>
  <c r="L37" i="12"/>
  <c r="K37" i="12"/>
  <c r="J37" i="12"/>
  <c r="L36" i="12"/>
  <c r="K36" i="12"/>
  <c r="J36" i="12"/>
  <c r="L35" i="12"/>
  <c r="K35" i="12"/>
  <c r="J35" i="12"/>
  <c r="L34" i="12"/>
  <c r="K34" i="12"/>
  <c r="J34" i="12"/>
  <c r="L33" i="12"/>
  <c r="K33" i="12"/>
  <c r="J33" i="12"/>
  <c r="L32" i="12"/>
  <c r="K32" i="12"/>
  <c r="J32" i="12"/>
  <c r="E94" i="12"/>
  <c r="D94" i="12"/>
  <c r="F92" i="12"/>
  <c r="F89" i="12"/>
  <c r="F88" i="12"/>
  <c r="F87" i="12"/>
  <c r="F86" i="12"/>
  <c r="F85" i="12"/>
  <c r="F84" i="12"/>
  <c r="F81" i="12"/>
  <c r="F80" i="12"/>
  <c r="F79" i="12"/>
  <c r="F78" i="12"/>
  <c r="F77" i="12"/>
  <c r="F76" i="12"/>
  <c r="F73" i="12"/>
  <c r="F72" i="12"/>
  <c r="F71" i="12"/>
  <c r="F70" i="12"/>
  <c r="F69" i="12"/>
  <c r="F68" i="12"/>
  <c r="F65" i="12"/>
  <c r="F64" i="12"/>
  <c r="F63" i="12"/>
  <c r="F62" i="12"/>
  <c r="F61" i="12"/>
  <c r="F60" i="12"/>
  <c r="F59" i="12"/>
  <c r="F58" i="12"/>
  <c r="F57" i="12"/>
  <c r="F56" i="12"/>
  <c r="F53" i="12"/>
  <c r="F52" i="12"/>
  <c r="F51" i="12"/>
  <c r="F50" i="12"/>
  <c r="F49" i="12"/>
  <c r="F48" i="12"/>
  <c r="F47" i="12"/>
  <c r="F46" i="12"/>
  <c r="F43" i="12"/>
  <c r="F42" i="12"/>
  <c r="F41" i="12"/>
  <c r="F40" i="12"/>
  <c r="F39" i="12"/>
  <c r="F38" i="12"/>
  <c r="F37" i="12"/>
  <c r="F36" i="12"/>
  <c r="F35" i="12"/>
  <c r="F34" i="12"/>
  <c r="F33" i="12"/>
  <c r="F32" i="12"/>
  <c r="F29" i="12"/>
  <c r="F28" i="12"/>
  <c r="F27" i="12"/>
  <c r="F26" i="12"/>
  <c r="F23" i="12"/>
  <c r="F22" i="12"/>
  <c r="F21" i="12"/>
  <c r="F18" i="12"/>
  <c r="F17" i="12"/>
  <c r="F16" i="12"/>
  <c r="F15" i="12"/>
  <c r="F12" i="12"/>
  <c r="F11" i="12"/>
  <c r="F10" i="12"/>
  <c r="F9" i="12"/>
  <c r="F8" i="12"/>
  <c r="F7" i="12"/>
  <c r="C11" i="7"/>
  <c r="I89" i="5"/>
  <c r="J89" i="5" s="1"/>
  <c r="I87" i="5"/>
  <c r="J87" i="5" s="1"/>
  <c r="I86" i="5"/>
  <c r="J86" i="5" s="1"/>
  <c r="I85" i="5"/>
  <c r="J85" i="5" s="1"/>
  <c r="I82" i="5"/>
  <c r="J82" i="5" s="1"/>
  <c r="I81" i="5"/>
  <c r="J81" i="5" s="1"/>
  <c r="I79" i="5"/>
  <c r="J79" i="5" s="1"/>
  <c r="I78" i="5"/>
  <c r="J78" i="5" s="1"/>
  <c r="I77" i="5"/>
  <c r="J77" i="5" s="1"/>
  <c r="I74" i="5"/>
  <c r="J74" i="5" s="1"/>
  <c r="I73" i="5"/>
  <c r="J73" i="5" s="1"/>
  <c r="I72" i="5"/>
  <c r="J72" i="5" s="1"/>
  <c r="I71" i="5"/>
  <c r="J71" i="5" s="1"/>
  <c r="I70" i="5"/>
  <c r="J70" i="5" s="1"/>
  <c r="I69" i="5"/>
  <c r="J69" i="5" s="1"/>
  <c r="I66" i="5"/>
  <c r="J66" i="5" s="1"/>
  <c r="I65" i="5"/>
  <c r="J65" i="5" s="1"/>
  <c r="I64" i="5"/>
  <c r="J64" i="5" s="1"/>
  <c r="I63" i="5"/>
  <c r="J63" i="5" s="1"/>
  <c r="I62" i="5"/>
  <c r="J62" i="5" s="1"/>
  <c r="I61" i="5"/>
  <c r="J61" i="5" s="1"/>
  <c r="I60" i="5"/>
  <c r="J60" i="5" s="1"/>
  <c r="I59" i="5"/>
  <c r="J59" i="5" s="1"/>
  <c r="I58" i="5"/>
  <c r="J58" i="5" s="1"/>
  <c r="I57" i="5"/>
  <c r="J57" i="5" s="1"/>
  <c r="I42" i="5"/>
  <c r="J42" i="5" s="1"/>
  <c r="I35" i="5"/>
  <c r="J35" i="5" s="1"/>
  <c r="I34" i="5"/>
  <c r="J34" i="5" s="1"/>
  <c r="I32" i="5"/>
  <c r="J32" i="5" s="1"/>
  <c r="I29" i="5"/>
  <c r="J29" i="5" s="1"/>
  <c r="I28" i="5"/>
  <c r="J28" i="5" s="1"/>
  <c r="I27" i="5"/>
  <c r="J27" i="5" s="1"/>
  <c r="I26" i="5"/>
  <c r="J26" i="5" s="1"/>
  <c r="I23" i="5"/>
  <c r="J23" i="5" s="1"/>
  <c r="I22" i="5"/>
  <c r="J22" i="5" s="1"/>
  <c r="I21" i="5"/>
  <c r="J21" i="5" s="1"/>
  <c r="I18" i="5"/>
  <c r="J18" i="5" s="1"/>
  <c r="I17" i="5"/>
  <c r="J17" i="5" s="1"/>
  <c r="I16" i="5"/>
  <c r="J16" i="5" s="1"/>
  <c r="I15" i="5"/>
  <c r="J15" i="5" s="1"/>
  <c r="I11" i="5"/>
  <c r="J11" i="5" s="1"/>
  <c r="I9" i="5"/>
  <c r="J9" i="5" s="1"/>
  <c r="I8" i="5"/>
  <c r="J8" i="5" s="1"/>
  <c r="C21" i="11"/>
  <c r="C20" i="11"/>
  <c r="C19" i="11"/>
  <c r="C18" i="11"/>
  <c r="C17" i="11"/>
  <c r="C16" i="11"/>
  <c r="C15" i="11"/>
  <c r="C14" i="11"/>
  <c r="H14" i="11" s="1"/>
  <c r="C13" i="11"/>
  <c r="C12" i="11"/>
  <c r="N12" i="11"/>
  <c r="L7" i="11"/>
  <c r="J7" i="11"/>
  <c r="F7" i="11"/>
  <c r="D7" i="11" a="1"/>
  <c r="M2" i="11"/>
  <c r="N15" i="11"/>
  <c r="N14" i="11"/>
  <c r="N13" i="11"/>
  <c r="L22" i="11"/>
  <c r="B7" i="11"/>
  <c r="G16" i="9" a="1"/>
  <c r="D70" i="9"/>
  <c r="G10" i="5"/>
  <c r="F10" i="5"/>
  <c r="K28" i="3"/>
  <c r="K87" i="5"/>
  <c r="K85" i="5"/>
  <c r="K89" i="5"/>
  <c r="K88" i="5"/>
  <c r="K90" i="5"/>
  <c r="K93" i="5"/>
  <c r="K86" i="5"/>
  <c r="K73" i="5"/>
  <c r="K71" i="5"/>
  <c r="K77" i="5"/>
  <c r="K82" i="5"/>
  <c r="K80" i="5"/>
  <c r="K78" i="5"/>
  <c r="K79" i="5"/>
  <c r="K81" i="5"/>
  <c r="K72" i="5"/>
  <c r="K74" i="5"/>
  <c r="K69" i="5"/>
  <c r="K70" i="5"/>
  <c r="K66" i="5"/>
  <c r="K62" i="5"/>
  <c r="K60" i="5"/>
  <c r="K59" i="5"/>
  <c r="K64" i="5"/>
  <c r="K63" i="5"/>
  <c r="K61" i="5"/>
  <c r="K65" i="5"/>
  <c r="K51" i="5"/>
  <c r="K49" i="5"/>
  <c r="K47" i="5"/>
  <c r="K58" i="5"/>
  <c r="K50" i="5"/>
  <c r="K54" i="5"/>
  <c r="K53" i="5"/>
  <c r="K48" i="5"/>
  <c r="K52" i="5"/>
  <c r="K57" i="5"/>
  <c r="K40" i="5"/>
  <c r="K41" i="5"/>
  <c r="K43" i="5"/>
  <c r="K39" i="5"/>
  <c r="K38" i="5"/>
  <c r="K36" i="5"/>
  <c r="K44" i="5"/>
  <c r="K42" i="5"/>
  <c r="K35" i="5"/>
  <c r="K37" i="5"/>
  <c r="K32" i="5"/>
  <c r="K34" i="5"/>
  <c r="K21" i="5"/>
  <c r="K28" i="5"/>
  <c r="K26" i="5"/>
  <c r="K27" i="5"/>
  <c r="K22" i="5"/>
  <c r="K23" i="5"/>
  <c r="K29" i="5"/>
  <c r="K33" i="5"/>
  <c r="K15" i="5"/>
  <c r="K11" i="5"/>
  <c r="K17" i="5"/>
  <c r="K16" i="5"/>
  <c r="K9" i="5"/>
  <c r="K8" i="5"/>
  <c r="K10" i="5"/>
  <c r="K12" i="5"/>
  <c r="K18" i="5"/>
  <c r="C6" i="3" a="1"/>
  <c r="C6" i="7" s="1"/>
  <c r="F7" i="7"/>
  <c r="H29" i="7"/>
  <c r="G29" i="7"/>
  <c r="E29" i="7"/>
  <c r="C29" i="7"/>
  <c r="H28" i="7"/>
  <c r="G28" i="7"/>
  <c r="E28" i="7"/>
  <c r="C28" i="7"/>
  <c r="H27" i="7"/>
  <c r="G27" i="7"/>
  <c r="E27" i="7"/>
  <c r="C27" i="7"/>
  <c r="H26" i="7"/>
  <c r="G26" i="7"/>
  <c r="E26" i="7"/>
  <c r="C26" i="7"/>
  <c r="H25" i="7"/>
  <c r="G25" i="7"/>
  <c r="E25" i="7"/>
  <c r="C25" i="7"/>
  <c r="H24" i="7"/>
  <c r="G24" i="7"/>
  <c r="E24" i="7"/>
  <c r="C24" i="7"/>
  <c r="H23" i="7"/>
  <c r="G23" i="7"/>
  <c r="E23" i="7"/>
  <c r="C23" i="7"/>
  <c r="H22" i="7"/>
  <c r="G22" i="7"/>
  <c r="E22" i="7"/>
  <c r="C22" i="7"/>
  <c r="H21" i="7"/>
  <c r="G21" i="7"/>
  <c r="E21" i="7"/>
  <c r="C21" i="7"/>
  <c r="H20" i="7"/>
  <c r="G20" i="7"/>
  <c r="E20" i="7"/>
  <c r="C20" i="7"/>
  <c r="H19" i="7"/>
  <c r="G19" i="7"/>
  <c r="E19" i="7"/>
  <c r="C19" i="7"/>
  <c r="H18" i="7"/>
  <c r="G18" i="7"/>
  <c r="E18" i="7"/>
  <c r="C18" i="7"/>
  <c r="H17" i="7"/>
  <c r="G17" i="7"/>
  <c r="E17" i="7"/>
  <c r="C17" i="7"/>
  <c r="H16" i="7"/>
  <c r="G16" i="7"/>
  <c r="E16" i="7"/>
  <c r="C16" i="7"/>
  <c r="H15" i="7"/>
  <c r="G15" i="7"/>
  <c r="E15" i="7"/>
  <c r="C15" i="7"/>
  <c r="C9" i="7"/>
  <c r="F8" i="7"/>
  <c r="C8" i="7"/>
  <c r="C7" i="7"/>
  <c r="F6" i="7"/>
  <c r="B3" i="6"/>
  <c r="B2" i="6"/>
  <c r="E95" i="5"/>
  <c r="L15" i="11" s="1"/>
  <c r="D95" i="5"/>
  <c r="L14" i="11" s="1"/>
  <c r="C95" i="5"/>
  <c r="L13" i="11" s="1"/>
  <c r="B95" i="5"/>
  <c r="G93" i="5"/>
  <c r="F93" i="5"/>
  <c r="G90" i="5"/>
  <c r="H90" i="5" s="1"/>
  <c r="F90" i="5"/>
  <c r="G89" i="5"/>
  <c r="H89" i="5" s="1"/>
  <c r="F89" i="5"/>
  <c r="G88" i="5"/>
  <c r="H88" i="5" s="1"/>
  <c r="F88" i="5"/>
  <c r="G87" i="5"/>
  <c r="H87" i="5" s="1"/>
  <c r="F87" i="5"/>
  <c r="G86" i="5"/>
  <c r="H86" i="5" s="1"/>
  <c r="F86" i="5"/>
  <c r="G85" i="5"/>
  <c r="F85" i="5"/>
  <c r="G82" i="5"/>
  <c r="H82" i="5" s="1"/>
  <c r="F82" i="5"/>
  <c r="G81" i="5"/>
  <c r="H81" i="5" s="1"/>
  <c r="F81" i="5"/>
  <c r="G80" i="5"/>
  <c r="H80" i="5" s="1"/>
  <c r="F80" i="5"/>
  <c r="G79" i="5"/>
  <c r="H79" i="5" s="1"/>
  <c r="F79" i="5"/>
  <c r="G78" i="5"/>
  <c r="H78" i="5" s="1"/>
  <c r="F78" i="5"/>
  <c r="G77" i="5"/>
  <c r="F77" i="5"/>
  <c r="G74" i="5"/>
  <c r="H74" i="5" s="1"/>
  <c r="F74" i="5"/>
  <c r="G73" i="5"/>
  <c r="H73" i="5" s="1"/>
  <c r="F73" i="5"/>
  <c r="G72" i="5"/>
  <c r="H72" i="5" s="1"/>
  <c r="F72" i="5"/>
  <c r="G71" i="5"/>
  <c r="H71" i="5" s="1"/>
  <c r="F71" i="5"/>
  <c r="G70" i="5"/>
  <c r="H70" i="5" s="1"/>
  <c r="F70" i="5"/>
  <c r="G69" i="5"/>
  <c r="F69" i="5"/>
  <c r="G66" i="5"/>
  <c r="H66" i="5" s="1"/>
  <c r="F66" i="5"/>
  <c r="G65" i="5"/>
  <c r="H65" i="5" s="1"/>
  <c r="F65" i="5"/>
  <c r="G64" i="5"/>
  <c r="H64" i="5" s="1"/>
  <c r="F64" i="5"/>
  <c r="G63" i="5"/>
  <c r="H63" i="5" s="1"/>
  <c r="F63" i="5"/>
  <c r="G62" i="5"/>
  <c r="H62" i="5" s="1"/>
  <c r="F62" i="5"/>
  <c r="G61" i="5"/>
  <c r="H61" i="5" s="1"/>
  <c r="F61" i="5"/>
  <c r="G60" i="5"/>
  <c r="H60" i="5" s="1"/>
  <c r="F60" i="5"/>
  <c r="G59" i="5"/>
  <c r="H59" i="5" s="1"/>
  <c r="F59" i="5"/>
  <c r="G58" i="5"/>
  <c r="H58" i="5" s="1"/>
  <c r="F58" i="5"/>
  <c r="G57" i="5"/>
  <c r="F57" i="5"/>
  <c r="G54" i="5"/>
  <c r="H54" i="5" s="1"/>
  <c r="F54" i="5"/>
  <c r="G53" i="5"/>
  <c r="H53" i="5" s="1"/>
  <c r="F53" i="5"/>
  <c r="G52" i="5"/>
  <c r="H52" i="5" s="1"/>
  <c r="F52" i="5"/>
  <c r="G51" i="5"/>
  <c r="H51" i="5" s="1"/>
  <c r="F51" i="5"/>
  <c r="G50" i="5"/>
  <c r="H50" i="5" s="1"/>
  <c r="F50" i="5"/>
  <c r="G49" i="5"/>
  <c r="H49" i="5" s="1"/>
  <c r="F49" i="5"/>
  <c r="G48" i="5"/>
  <c r="H48" i="5" s="1"/>
  <c r="F48" i="5"/>
  <c r="G47" i="5"/>
  <c r="F47" i="5"/>
  <c r="G44" i="5"/>
  <c r="H44" i="5" s="1"/>
  <c r="F44" i="5"/>
  <c r="G43" i="5"/>
  <c r="H43" i="5" s="1"/>
  <c r="F43" i="5"/>
  <c r="G42" i="5"/>
  <c r="H42" i="5" s="1"/>
  <c r="F42" i="5"/>
  <c r="G41" i="5"/>
  <c r="H41" i="5" s="1"/>
  <c r="F41" i="5"/>
  <c r="G40" i="5"/>
  <c r="H40" i="5" s="1"/>
  <c r="F40" i="5"/>
  <c r="G39" i="5"/>
  <c r="H39" i="5" s="1"/>
  <c r="F39" i="5"/>
  <c r="G38" i="5"/>
  <c r="H38" i="5" s="1"/>
  <c r="F38" i="5"/>
  <c r="G37" i="5"/>
  <c r="H37" i="5" s="1"/>
  <c r="F37" i="5"/>
  <c r="G36" i="5"/>
  <c r="H36" i="5" s="1"/>
  <c r="F36" i="5"/>
  <c r="G35" i="5"/>
  <c r="H35" i="5" s="1"/>
  <c r="F35" i="5"/>
  <c r="G34" i="5"/>
  <c r="H34" i="5" s="1"/>
  <c r="F34" i="5"/>
  <c r="G33" i="5"/>
  <c r="H33" i="5" s="1"/>
  <c r="F33" i="5"/>
  <c r="G32" i="5"/>
  <c r="F32" i="5"/>
  <c r="G29" i="5"/>
  <c r="H29" i="5" s="1"/>
  <c r="F29" i="5"/>
  <c r="G28" i="5"/>
  <c r="H28" i="5" s="1"/>
  <c r="F28" i="5"/>
  <c r="G27" i="5"/>
  <c r="H27" i="5" s="1"/>
  <c r="F27" i="5"/>
  <c r="G26" i="5"/>
  <c r="F26" i="5"/>
  <c r="G23" i="5"/>
  <c r="H23" i="5" s="1"/>
  <c r="F23" i="5"/>
  <c r="G22" i="5"/>
  <c r="H22" i="5" s="1"/>
  <c r="F22" i="5"/>
  <c r="G21" i="5"/>
  <c r="F21" i="5"/>
  <c r="G18" i="5"/>
  <c r="H18" i="5" s="1"/>
  <c r="F18" i="5"/>
  <c r="G17" i="5"/>
  <c r="H17" i="5" s="1"/>
  <c r="F17" i="5"/>
  <c r="G16" i="5"/>
  <c r="H16" i="5" s="1"/>
  <c r="F16" i="5"/>
  <c r="G15" i="5"/>
  <c r="F15" i="5"/>
  <c r="G12" i="5"/>
  <c r="H12" i="5" s="1"/>
  <c r="F12" i="5"/>
  <c r="G11" i="5"/>
  <c r="H11" i="5" s="1"/>
  <c r="F11" i="5"/>
  <c r="G9" i="5"/>
  <c r="H9" i="5" s="1"/>
  <c r="F9" i="5"/>
  <c r="G8" i="5"/>
  <c r="H8" i="5" s="1"/>
  <c r="F8" i="5"/>
  <c r="G7" i="5"/>
  <c r="F7" i="5"/>
  <c r="I34" i="3"/>
  <c r="L33" i="3"/>
  <c r="K33" i="3"/>
  <c r="J33" i="3"/>
  <c r="L32" i="3"/>
  <c r="K32" i="3"/>
  <c r="J32" i="3"/>
  <c r="L31" i="3"/>
  <c r="K31" i="3"/>
  <c r="J31" i="3"/>
  <c r="L30" i="3"/>
  <c r="K30" i="3"/>
  <c r="J30" i="3"/>
  <c r="L29" i="3"/>
  <c r="K29" i="3"/>
  <c r="J29" i="3"/>
  <c r="J28" i="3"/>
  <c r="L28" i="3" s="1"/>
  <c r="I44" i="9" l="1"/>
  <c r="H44" i="9"/>
  <c r="D60" i="9"/>
  <c r="H41" i="9"/>
  <c r="I41" i="9"/>
  <c r="D62" i="9"/>
  <c r="I43" i="9"/>
  <c r="H43" i="9"/>
  <c r="J43" i="9" s="1"/>
  <c r="D51" i="9"/>
  <c r="B10" i="14" s="1"/>
  <c r="D75" i="9"/>
  <c r="E75" i="9" s="1"/>
  <c r="B8" i="14"/>
  <c r="B5" i="11"/>
  <c r="L18" i="11"/>
  <c r="D80" i="9"/>
  <c r="F37" i="9"/>
  <c r="F38" i="9" s="1"/>
  <c r="F39" i="9" s="1"/>
  <c r="F40" i="9" s="1"/>
  <c r="K59" i="14"/>
  <c r="K58" i="14"/>
  <c r="F19" i="14"/>
  <c r="B31" i="14"/>
  <c r="J59" i="14"/>
  <c r="J58" i="14"/>
  <c r="B30" i="14"/>
  <c r="F18" i="14"/>
  <c r="I59" i="14"/>
  <c r="I58" i="14"/>
  <c r="B29" i="14"/>
  <c r="F17" i="14"/>
  <c r="B12" i="14"/>
  <c r="B23" i="14" s="1"/>
  <c r="C23" i="14" s="1"/>
  <c r="D23" i="14" s="1"/>
  <c r="K57" i="14"/>
  <c r="J57" i="14"/>
  <c r="I57" i="14"/>
  <c r="B50" i="14"/>
  <c r="M6212" i="16"/>
  <c r="M6083" i="16"/>
  <c r="M6214" i="16"/>
  <c r="O15" i="11"/>
  <c r="O14" i="11"/>
  <c r="O13" i="11"/>
  <c r="A92" i="9"/>
  <c r="E47" i="14"/>
  <c r="D47" i="14"/>
  <c r="C47" i="14"/>
  <c r="B51" i="14"/>
  <c r="B42" i="14"/>
  <c r="C22" i="11"/>
  <c r="O12" i="11"/>
  <c r="F30" i="9"/>
  <c r="F31" i="9" s="1"/>
  <c r="F32" i="9" s="1"/>
  <c r="B9" i="14"/>
  <c r="K32" i="9"/>
  <c r="J32" i="9"/>
  <c r="K31" i="9"/>
  <c r="J31" i="9"/>
  <c r="M87" i="5"/>
  <c r="M85" i="5"/>
  <c r="M89" i="5"/>
  <c r="M88" i="5"/>
  <c r="M90" i="5"/>
  <c r="M86" i="5"/>
  <c r="M73" i="5"/>
  <c r="M71" i="5"/>
  <c r="M77" i="5"/>
  <c r="M82" i="5"/>
  <c r="M80" i="5"/>
  <c r="M78" i="5"/>
  <c r="M79" i="5"/>
  <c r="M81" i="5"/>
  <c r="M72" i="5"/>
  <c r="M74" i="5"/>
  <c r="M69" i="5"/>
  <c r="M70" i="5"/>
  <c r="M66" i="5"/>
  <c r="M59" i="5"/>
  <c r="M61" i="5"/>
  <c r="M65" i="5"/>
  <c r="M51" i="5"/>
  <c r="M58" i="5"/>
  <c r="M40" i="5"/>
  <c r="M36" i="5"/>
  <c r="M35" i="5"/>
  <c r="M28" i="5"/>
  <c r="M29" i="5"/>
  <c r="M16" i="5"/>
  <c r="M60" i="5"/>
  <c r="M47" i="5"/>
  <c r="M48" i="5"/>
  <c r="M39" i="5"/>
  <c r="M42" i="5"/>
  <c r="M37" i="5"/>
  <c r="M26" i="5"/>
  <c r="M33" i="5"/>
  <c r="M9" i="5"/>
  <c r="M62" i="5"/>
  <c r="M50" i="5"/>
  <c r="M41" i="5"/>
  <c r="M44" i="5"/>
  <c r="M21" i="5"/>
  <c r="M23" i="5"/>
  <c r="M17" i="5"/>
  <c r="M18" i="5"/>
  <c r="M63" i="5"/>
  <c r="M54" i="5"/>
  <c r="M43" i="5"/>
  <c r="M34" i="5"/>
  <c r="M27" i="5"/>
  <c r="M15" i="5"/>
  <c r="M12" i="5"/>
  <c r="M64" i="5"/>
  <c r="M49" i="5"/>
  <c r="M53" i="5"/>
  <c r="M52" i="5"/>
  <c r="M38" i="5"/>
  <c r="M32" i="5"/>
  <c r="M22" i="5"/>
  <c r="M11" i="5"/>
  <c r="K28" i="9"/>
  <c r="J28" i="9"/>
  <c r="L21" i="11"/>
  <c r="B11" i="14"/>
  <c r="E80" i="9"/>
  <c r="E21" i="11"/>
  <c r="E20" i="11"/>
  <c r="E15" i="11"/>
  <c r="E14" i="11"/>
  <c r="E13" i="11"/>
  <c r="E16" i="11"/>
  <c r="H10" i="5"/>
  <c r="E19" i="11"/>
  <c r="E17" i="11"/>
  <c r="L7" i="5"/>
  <c r="I7" i="5" s="1"/>
  <c r="J7" i="5" s="1"/>
  <c r="M7" i="5"/>
  <c r="E22" i="11"/>
  <c r="M93" i="5"/>
  <c r="E18" i="11"/>
  <c r="M57" i="5"/>
  <c r="M8" i="5"/>
  <c r="E12" i="11"/>
  <c r="E23" i="11" s="1"/>
  <c r="L10" i="5"/>
  <c r="I10" i="5" s="1"/>
  <c r="J10" i="5" s="1"/>
  <c r="M10" i="5"/>
  <c r="G92" i="12"/>
  <c r="K92" i="12"/>
  <c r="J92" i="12"/>
  <c r="L92" i="12"/>
  <c r="H92" i="12"/>
  <c r="I92" i="12"/>
  <c r="I89" i="12"/>
  <c r="H89" i="12"/>
  <c r="G89" i="12"/>
  <c r="L89" i="12"/>
  <c r="K89" i="12"/>
  <c r="J89" i="12"/>
  <c r="I88" i="12"/>
  <c r="H88" i="12"/>
  <c r="G88" i="12"/>
  <c r="L88" i="12"/>
  <c r="K88" i="12"/>
  <c r="J88" i="12"/>
  <c r="H87" i="12"/>
  <c r="G87" i="12"/>
  <c r="I87" i="12"/>
  <c r="L87" i="12"/>
  <c r="K87" i="12"/>
  <c r="J87" i="12"/>
  <c r="L86" i="12"/>
  <c r="K86" i="12"/>
  <c r="I86" i="12"/>
  <c r="G86" i="12"/>
  <c r="H86" i="12"/>
  <c r="J86" i="12"/>
  <c r="L85" i="12"/>
  <c r="G85" i="12"/>
  <c r="H85" i="12"/>
  <c r="K85" i="12"/>
  <c r="J85" i="12"/>
  <c r="I85" i="12"/>
  <c r="J84" i="12"/>
  <c r="G84" i="12"/>
  <c r="H84" i="12"/>
  <c r="I84" i="12"/>
  <c r="L84" i="12"/>
  <c r="K84" i="12"/>
  <c r="L81" i="12"/>
  <c r="K81" i="12"/>
  <c r="J81" i="12"/>
  <c r="G81" i="12"/>
  <c r="H81" i="12"/>
  <c r="I81" i="12"/>
  <c r="L80" i="12"/>
  <c r="G80" i="12"/>
  <c r="H80" i="12"/>
  <c r="J80" i="12"/>
  <c r="K80" i="12"/>
  <c r="I80" i="12"/>
  <c r="K79" i="12"/>
  <c r="I79" i="12"/>
  <c r="H79" i="12"/>
  <c r="G79" i="12"/>
  <c r="J79" i="12"/>
  <c r="L79" i="12"/>
  <c r="J78" i="12"/>
  <c r="K78" i="12"/>
  <c r="I78" i="12"/>
  <c r="H78" i="12"/>
  <c r="G78" i="12"/>
  <c r="L78" i="12"/>
  <c r="I77" i="12"/>
  <c r="J77" i="12"/>
  <c r="K77" i="12"/>
  <c r="G77" i="12"/>
  <c r="H77" i="12"/>
  <c r="L77" i="12"/>
  <c r="H76" i="12"/>
  <c r="I76" i="12"/>
  <c r="G76" i="12"/>
  <c r="L76" i="12"/>
  <c r="E50" i="14" s="1"/>
  <c r="K76" i="12"/>
  <c r="D50" i="14" s="1"/>
  <c r="J76" i="12"/>
  <c r="C50" i="14" s="1"/>
  <c r="I73" i="12"/>
  <c r="G73" i="12"/>
  <c r="J73" i="12"/>
  <c r="H73" i="12"/>
  <c r="L73" i="12"/>
  <c r="K73" i="12"/>
  <c r="J72" i="12"/>
  <c r="L72" i="12"/>
  <c r="I72" i="12"/>
  <c r="K72" i="12"/>
  <c r="H72" i="12"/>
  <c r="G72" i="12"/>
  <c r="L71" i="12"/>
  <c r="K71" i="12"/>
  <c r="J71" i="12"/>
  <c r="H71" i="12"/>
  <c r="I71" i="12"/>
  <c r="G71" i="12"/>
  <c r="H70" i="12"/>
  <c r="I70" i="12"/>
  <c r="J70" i="12"/>
  <c r="L70" i="12"/>
  <c r="K70" i="12"/>
  <c r="G70" i="12"/>
  <c r="H69" i="12"/>
  <c r="I69" i="12"/>
  <c r="L69" i="12"/>
  <c r="K69" i="12"/>
  <c r="J69" i="12"/>
  <c r="G69" i="12"/>
  <c r="J68" i="12"/>
  <c r="C49" i="14" s="1"/>
  <c r="K68" i="12"/>
  <c r="D49" i="14" s="1"/>
  <c r="L68" i="12"/>
  <c r="E49" i="14" s="1"/>
  <c r="H68" i="12"/>
  <c r="I68" i="12"/>
  <c r="G68" i="12"/>
  <c r="G65" i="12"/>
  <c r="L65" i="12"/>
  <c r="K65" i="12"/>
  <c r="J65" i="12"/>
  <c r="H65" i="12"/>
  <c r="I65" i="12"/>
  <c r="G64" i="12"/>
  <c r="H64" i="12"/>
  <c r="L64" i="12"/>
  <c r="K64" i="12"/>
  <c r="J64" i="12"/>
  <c r="I64" i="12"/>
  <c r="J63" i="12"/>
  <c r="H63" i="12"/>
  <c r="G63" i="12"/>
  <c r="L63" i="12"/>
  <c r="K63" i="12"/>
  <c r="I63" i="12"/>
  <c r="L62" i="12"/>
  <c r="J62" i="12"/>
  <c r="H62" i="12"/>
  <c r="G62" i="12"/>
  <c r="K62" i="12"/>
  <c r="I62" i="12"/>
  <c r="L61" i="12"/>
  <c r="H61" i="12"/>
  <c r="J61" i="12"/>
  <c r="G61" i="12"/>
  <c r="K61" i="12"/>
  <c r="I61" i="12"/>
  <c r="K60" i="12"/>
  <c r="I60" i="12"/>
  <c r="G60" i="12"/>
  <c r="J60" i="12"/>
  <c r="L60" i="12"/>
  <c r="H60" i="12"/>
  <c r="G59" i="12"/>
  <c r="H59" i="12"/>
  <c r="L59" i="12"/>
  <c r="I59" i="12"/>
  <c r="K59" i="12"/>
  <c r="J59" i="12"/>
  <c r="G58" i="12"/>
  <c r="L58" i="12"/>
  <c r="H58" i="12"/>
  <c r="I58" i="12"/>
  <c r="K58" i="12"/>
  <c r="J58" i="12"/>
  <c r="J57" i="12"/>
  <c r="H57" i="12"/>
  <c r="K57" i="12"/>
  <c r="G57" i="12"/>
  <c r="I57" i="12"/>
  <c r="L57" i="12"/>
  <c r="L56" i="12"/>
  <c r="E48" i="14" s="1"/>
  <c r="K56" i="12"/>
  <c r="D48" i="14" s="1"/>
  <c r="J56" i="12"/>
  <c r="C48" i="14" s="1"/>
  <c r="G56" i="12"/>
  <c r="I56" i="12"/>
  <c r="H56" i="12"/>
  <c r="L29" i="12"/>
  <c r="H29" i="12"/>
  <c r="K29" i="12"/>
  <c r="G29" i="12"/>
  <c r="J29" i="12"/>
  <c r="I29" i="12"/>
  <c r="G28" i="12"/>
  <c r="K28" i="12"/>
  <c r="L28" i="12"/>
  <c r="I28" i="12"/>
  <c r="J28" i="12"/>
  <c r="H28" i="12"/>
  <c r="I27" i="12"/>
  <c r="J27" i="12"/>
  <c r="H27" i="12"/>
  <c r="L27" i="12"/>
  <c r="G27" i="12"/>
  <c r="K27" i="12"/>
  <c r="I26" i="12"/>
  <c r="H26" i="12"/>
  <c r="G26" i="12"/>
  <c r="L26" i="12"/>
  <c r="E45" i="14" s="1"/>
  <c r="J26" i="12"/>
  <c r="C45" i="14" s="1"/>
  <c r="K26" i="12"/>
  <c r="D45" i="14" s="1"/>
  <c r="I23" i="12"/>
  <c r="K23" i="12"/>
  <c r="H23" i="12"/>
  <c r="G23" i="12"/>
  <c r="L23" i="12"/>
  <c r="J23" i="12"/>
  <c r="G22" i="12"/>
  <c r="J22" i="12"/>
  <c r="K22" i="12"/>
  <c r="L22" i="12"/>
  <c r="H22" i="12"/>
  <c r="I22" i="12"/>
  <c r="H21" i="12"/>
  <c r="J21" i="12"/>
  <c r="C44" i="14" s="1"/>
  <c r="K21" i="12"/>
  <c r="D44" i="14" s="1"/>
  <c r="G21" i="12"/>
  <c r="L21" i="12"/>
  <c r="E44" i="14" s="1"/>
  <c r="I21" i="12"/>
  <c r="I18" i="12"/>
  <c r="J18" i="12"/>
  <c r="L18" i="12"/>
  <c r="K18" i="12"/>
  <c r="H18" i="12"/>
  <c r="G18" i="12"/>
  <c r="H17" i="12"/>
  <c r="I17" i="12"/>
  <c r="L17" i="12"/>
  <c r="K17" i="12"/>
  <c r="J17" i="12"/>
  <c r="G17" i="12"/>
  <c r="K16" i="12"/>
  <c r="L16" i="12"/>
  <c r="H16" i="12"/>
  <c r="I16" i="12"/>
  <c r="G16" i="12"/>
  <c r="J16" i="12"/>
  <c r="H15" i="12"/>
  <c r="I15" i="12"/>
  <c r="K15" i="12"/>
  <c r="D43" i="14" s="1"/>
  <c r="G15" i="12"/>
  <c r="L15" i="12"/>
  <c r="E43" i="14" s="1"/>
  <c r="J15" i="12"/>
  <c r="C43" i="14" s="1"/>
  <c r="L12" i="12"/>
  <c r="K12" i="12"/>
  <c r="G12" i="12"/>
  <c r="J12" i="12"/>
  <c r="I12" i="12"/>
  <c r="H12" i="12"/>
  <c r="I11" i="12"/>
  <c r="L11" i="12"/>
  <c r="K11" i="12"/>
  <c r="J11" i="12"/>
  <c r="G11" i="12"/>
  <c r="H11" i="12"/>
  <c r="G10" i="12"/>
  <c r="I10" i="12"/>
  <c r="L10" i="12"/>
  <c r="K10" i="12"/>
  <c r="J10" i="12"/>
  <c r="H10" i="12"/>
  <c r="G9" i="12"/>
  <c r="I9" i="12"/>
  <c r="H9" i="12"/>
  <c r="L9" i="12"/>
  <c r="J9" i="12"/>
  <c r="K9" i="12"/>
  <c r="J8" i="12"/>
  <c r="G8" i="12"/>
  <c r="H8" i="12"/>
  <c r="I8" i="12"/>
  <c r="L8" i="12"/>
  <c r="K8" i="12"/>
  <c r="F94" i="12"/>
  <c r="L7" i="12"/>
  <c r="K7" i="12"/>
  <c r="J7" i="12"/>
  <c r="G7" i="12"/>
  <c r="H7" i="12"/>
  <c r="I7" i="12"/>
  <c r="B69" i="9"/>
  <c r="H26" i="9"/>
  <c r="K26" i="9"/>
  <c r="J26" i="9"/>
  <c r="I26" i="9"/>
  <c r="D22" i="11"/>
  <c r="H93" i="5"/>
  <c r="D21" i="11"/>
  <c r="H85" i="5"/>
  <c r="D20" i="11"/>
  <c r="H77" i="5"/>
  <c r="D19" i="11"/>
  <c r="H69" i="5"/>
  <c r="D18" i="11"/>
  <c r="H57" i="5"/>
  <c r="H47" i="5"/>
  <c r="D17" i="11"/>
  <c r="D16" i="11"/>
  <c r="H32" i="5"/>
  <c r="H26" i="5"/>
  <c r="D15" i="11"/>
  <c r="H21" i="5"/>
  <c r="D14" i="11"/>
  <c r="H15" i="5"/>
  <c r="D13" i="11"/>
  <c r="D12" i="11"/>
  <c r="H7" i="5"/>
  <c r="H19" i="11"/>
  <c r="H15" i="11"/>
  <c r="H13" i="11"/>
  <c r="H18" i="11"/>
  <c r="K95" i="5" a="1"/>
  <c r="L93" i="5"/>
  <c r="I93" i="5" s="1"/>
  <c r="J93" i="5" s="1"/>
  <c r="L90" i="5"/>
  <c r="I90" i="5" s="1"/>
  <c r="J90" i="5" s="1"/>
  <c r="L89" i="5"/>
  <c r="L88" i="5"/>
  <c r="I88" i="5" s="1"/>
  <c r="J88" i="5" s="1"/>
  <c r="L87" i="5"/>
  <c r="L86" i="5"/>
  <c r="L85" i="5"/>
  <c r="L82" i="5"/>
  <c r="L81" i="5"/>
  <c r="L80" i="5"/>
  <c r="I80" i="5" s="1"/>
  <c r="J80" i="5" s="1"/>
  <c r="L79" i="5"/>
  <c r="L78" i="5"/>
  <c r="L77" i="5"/>
  <c r="L74" i="5"/>
  <c r="L72" i="5"/>
  <c r="L71" i="5"/>
  <c r="L70" i="5"/>
  <c r="L66" i="5"/>
  <c r="L65" i="5"/>
  <c r="L64" i="5"/>
  <c r="L63" i="5"/>
  <c r="L62" i="5"/>
  <c r="L60" i="5"/>
  <c r="L59" i="5"/>
  <c r="L58" i="5"/>
  <c r="L54" i="5"/>
  <c r="I54" i="5" s="1"/>
  <c r="J54" i="5" s="1"/>
  <c r="L53" i="5"/>
  <c r="I53" i="5" s="1"/>
  <c r="J53" i="5" s="1"/>
  <c r="L52" i="5"/>
  <c r="I52" i="5" s="1"/>
  <c r="J52" i="5" s="1"/>
  <c r="L51" i="5"/>
  <c r="I51" i="5" s="1"/>
  <c r="J51" i="5" s="1"/>
  <c r="L50" i="5"/>
  <c r="I50" i="5" s="1"/>
  <c r="J50" i="5" s="1"/>
  <c r="L49" i="5"/>
  <c r="I49" i="5" s="1"/>
  <c r="J49" i="5" s="1"/>
  <c r="L48" i="5"/>
  <c r="I48" i="5" s="1"/>
  <c r="J48" i="5" s="1"/>
  <c r="L44" i="5"/>
  <c r="I44" i="5" s="1"/>
  <c r="J44" i="5" s="1"/>
  <c r="L43" i="5"/>
  <c r="I43" i="5" s="1"/>
  <c r="J43" i="5" s="1"/>
  <c r="L42" i="5"/>
  <c r="L41" i="5"/>
  <c r="I41" i="5" s="1"/>
  <c r="J41" i="5" s="1"/>
  <c r="L40" i="5"/>
  <c r="I40" i="5" s="1"/>
  <c r="J40" i="5" s="1"/>
  <c r="L39" i="5"/>
  <c r="I39" i="5" s="1"/>
  <c r="J39" i="5" s="1"/>
  <c r="L38" i="5"/>
  <c r="I38" i="5" s="1"/>
  <c r="J38" i="5" s="1"/>
  <c r="L36" i="5"/>
  <c r="I36" i="5" s="1"/>
  <c r="J36" i="5" s="1"/>
  <c r="L35" i="5"/>
  <c r="L34" i="5"/>
  <c r="L33" i="5"/>
  <c r="I33" i="5" s="1"/>
  <c r="J33" i="5" s="1"/>
  <c r="L32" i="5"/>
  <c r="L29" i="5"/>
  <c r="L28" i="5"/>
  <c r="L27" i="5"/>
  <c r="L23" i="5"/>
  <c r="L22" i="5"/>
  <c r="L18" i="5"/>
  <c r="L16" i="5"/>
  <c r="L12" i="5"/>
  <c r="I12" i="5" s="1"/>
  <c r="J12" i="5" s="1"/>
  <c r="L11" i="5"/>
  <c r="L8" i="5"/>
  <c r="L73" i="5"/>
  <c r="L69" i="5"/>
  <c r="L61" i="5"/>
  <c r="L57" i="5"/>
  <c r="L47" i="5"/>
  <c r="I47" i="5" s="1"/>
  <c r="J47" i="5" s="1"/>
  <c r="L37" i="5"/>
  <c r="I37" i="5" s="1"/>
  <c r="J37" i="5" s="1"/>
  <c r="L26" i="5"/>
  <c r="L21" i="5"/>
  <c r="L17" i="5"/>
  <c r="L15" i="5"/>
  <c r="L9" i="5"/>
  <c r="H30" i="7"/>
  <c r="H9" i="3"/>
  <c r="G95" i="5"/>
  <c r="F95" i="5"/>
  <c r="D54" i="9" l="1"/>
  <c r="D57" i="9" s="1"/>
  <c r="E57" i="9" s="1"/>
  <c r="F41" i="9"/>
  <c r="F42" i="9" s="1"/>
  <c r="F43" i="9" s="1"/>
  <c r="D59" i="9"/>
  <c r="D64" i="9" s="1"/>
  <c r="E84" i="9"/>
  <c r="D7" i="9"/>
  <c r="D8" i="9" s="1"/>
  <c r="D68" i="9" s="1"/>
  <c r="C31" i="14"/>
  <c r="C30" i="14"/>
  <c r="D30" i="14" s="1"/>
  <c r="I71" i="14" s="1"/>
  <c r="B24" i="14"/>
  <c r="C24" i="14" s="1"/>
  <c r="K63" i="14"/>
  <c r="C29" i="14"/>
  <c r="D29" i="14" s="1"/>
  <c r="I70" i="14" s="1"/>
  <c r="J63" i="14"/>
  <c r="B25" i="14"/>
  <c r="C25" i="14" s="1"/>
  <c r="I63" i="14"/>
  <c r="B52" i="14"/>
  <c r="E51" i="14"/>
  <c r="D51" i="14"/>
  <c r="C51" i="14"/>
  <c r="E42" i="14"/>
  <c r="D42" i="14"/>
  <c r="C42" i="14"/>
  <c r="C23" i="11"/>
  <c r="I64" i="14"/>
  <c r="F18" i="11"/>
  <c r="G18" i="11" s="1"/>
  <c r="F17" i="11"/>
  <c r="H95" i="5" a="1"/>
  <c r="M95" i="5" a="1"/>
  <c r="F21" i="11"/>
  <c r="F20" i="11"/>
  <c r="F16" i="11"/>
  <c r="L94" i="12" a="1"/>
  <c r="K94" i="12" a="1"/>
  <c r="J94" i="12" a="1"/>
  <c r="G94" i="12" a="1"/>
  <c r="H94" i="12" a="1"/>
  <c r="I94" i="12" a="1"/>
  <c r="F22" i="11"/>
  <c r="I15" i="11"/>
  <c r="F15" i="11"/>
  <c r="G15" i="11" s="1"/>
  <c r="I14" i="11"/>
  <c r="F14" i="11"/>
  <c r="G14" i="11" s="1"/>
  <c r="I18" i="11"/>
  <c r="F19" i="11"/>
  <c r="G19" i="11" s="1"/>
  <c r="I19" i="11"/>
  <c r="F13" i="11"/>
  <c r="G13" i="11" s="1"/>
  <c r="I13" i="11"/>
  <c r="F12" i="11"/>
  <c r="D23" i="11"/>
  <c r="D76" i="9"/>
  <c r="L19" i="11"/>
  <c r="D5" i="11"/>
  <c r="H7" i="11" s="1"/>
  <c r="L95" i="5" a="1"/>
  <c r="D31" i="14" l="1"/>
  <c r="I72" i="14" s="1"/>
  <c r="J64" i="14"/>
  <c r="D24" i="14"/>
  <c r="D25" i="14"/>
  <c r="K64" i="14"/>
  <c r="E52" i="14"/>
  <c r="D52" i="14"/>
  <c r="C52" i="14"/>
  <c r="E76" i="9"/>
  <c r="D77" i="9"/>
  <c r="E77" i="9" s="1"/>
  <c r="E23" i="14"/>
  <c r="I66" i="14" s="1"/>
  <c r="I65" i="14"/>
  <c r="G17" i="11"/>
  <c r="H17" i="11"/>
  <c r="I17" i="11" s="1"/>
  <c r="G21" i="11"/>
  <c r="H21" i="11"/>
  <c r="I21" i="11" s="1"/>
  <c r="G20" i="11"/>
  <c r="H20" i="11"/>
  <c r="I20" i="11" s="1"/>
  <c r="H16" i="11"/>
  <c r="I16" i="11" s="1"/>
  <c r="G16" i="11"/>
  <c r="G22" i="11"/>
  <c r="H22" i="11"/>
  <c r="I22" i="11" s="1"/>
  <c r="G12" i="11"/>
  <c r="F23" i="11"/>
  <c r="H23" i="11" s="1"/>
  <c r="H12" i="11"/>
  <c r="I12" i="11" s="1"/>
  <c r="E24" i="14" l="1"/>
  <c r="J66" i="14" s="1"/>
  <c r="J65" i="14"/>
  <c r="K65" i="14"/>
  <c r="E25" i="14"/>
  <c r="K66" i="14" s="1"/>
  <c r="F49" i="14"/>
  <c r="F47" i="14"/>
  <c r="F46" i="14"/>
  <c r="F45" i="14"/>
  <c r="F44" i="14"/>
  <c r="F43" i="14"/>
  <c r="F42" i="14"/>
  <c r="F48" i="14"/>
  <c r="F50" i="14"/>
  <c r="F51" i="14"/>
  <c r="G23" i="11"/>
  <c r="F52" i="14" l="1"/>
  <c r="B70" i="9" l="1"/>
  <c r="K16" i="9"/>
  <c r="K20" i="9" s="1"/>
  <c r="H16" i="9"/>
  <c r="H20" i="9" s="1"/>
  <c r="G20" i="9"/>
  <c r="I20" i="9" s="1"/>
  <c r="J16" i="9"/>
  <c r="J20" i="9" s="1"/>
  <c r="I16" i="9"/>
  <c r="E79" i="9"/>
  <c r="E82" i="9" s="1"/>
  <c r="D79" i="9"/>
  <c r="D82" i="9" s="1"/>
  <c r="D83" i="9" s="1"/>
  <c r="L20" i="11"/>
  <c r="M22" i="11" s="1"/>
  <c r="F5" i="11"/>
  <c r="H5" i="11"/>
  <c r="I95" i="5"/>
  <c r="E87" i="9" l="1"/>
  <c r="J5" i="11"/>
  <c r="L5" i="11"/>
  <c r="E9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tc={FBC964CE-F678-4003-B40B-D9190532A3DB}</author>
  </authors>
  <commentList>
    <comment ref="B5" authorId="0" shapeId="0" xr:uid="{FBC964CE-F678-4003-B40B-D9190532A3DB}">
      <text>
        <t>[Threaded comment]
Your version of Excel allows you to read this threaded comment; however, any edits to it will get removed if the file is opened in a newer version of Excel. Learn more: https://go.microsoft.com/fwlink/?linkid=870924
Comment:
    Actual Pennybacker funding per WaFd Bank acct *7940, deposit 01/26/2026. Previously on Dashboard!H8. Source: WaFd bank statement dated 03/30/2026.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Sergio Chidichimo</author>
  </authors>
  <commentList>
    <comment ref="D41" authorId="0" shapeId="0" xr:uid="{7CCB210B-5A5D-46EF-926A-96626618366C}">
      <text>
        <r>
          <rPr>
            <b/>
            <sz val="9"/>
            <color indexed="81"/>
            <rFont val="Tahoma"/>
            <charset val="1"/>
          </rPr>
          <t>Sergio Chidichimo:</t>
        </r>
        <r>
          <rPr>
            <sz val="9"/>
            <color indexed="81"/>
            <rFont val="Tahoma"/>
            <charset val="1"/>
          </rPr>
          <t xml:space="preserve">
Per Inflow Register INF-008 (received 07/20/2026). Deposit occurred after the 07/14/2026 WaFd bank statement date — pending confirmation on next bank transaction report.</t>
        </r>
      </text>
    </comment>
    <comment ref="D42" authorId="0" shapeId="0" xr:uid="{EAFCF83E-4191-4C55-AE18-D275159727ED}">
      <text>
        <r>
          <rPr>
            <b/>
            <sz val="9"/>
            <color indexed="81"/>
            <rFont val="Tahoma"/>
            <charset val="1"/>
          </rPr>
          <t>July interest credit. Derived as residual: bank balance 08/03/2026 ($826,710.33 per WaFd) less prior running balance ($1,419,153.43) plus DRW-014 ($594,603.99). Consistent with 1.78% APY on ~$1.42M for 31 days (~$2,145). Confirm against the July bank statement.</t>
        </r>
      </text>
    </comment>
    <comment ref="F44" authorId="0" shapeId="0" xr:uid="{05F20A7B-E03E-48ED-8FBE-0FAA66FD210F}">
      <text>
        <r>
          <rPr>
            <b/>
            <sz val="9"/>
            <color indexed="81"/>
            <rFont val="Tahoma"/>
            <charset val="1"/>
          </rPr>
          <t>Running balance after DRW-015. Ties to bank balance $768,088.70 confirmed 08/12/2026.</t>
        </r>
      </text>
    </comment>
    <comment ref="D55" authorId="0" shapeId="0" xr:uid="{3755528F-25B4-4871-805C-CDB157ED642A}">
      <text>
        <r>
          <rPr>
            <b/>
            <sz val="9"/>
            <color indexed="81"/>
            <rFont val="Tahoma"/>
            <charset val="1"/>
          </rPr>
          <t>Source: WaFd Bank account *7940 (AVA Apt Leasehold - Capex), balance screenshot provided by user 08/12/2026, after DRW-015 franchise tax draw cleared. Ledger balance $768,088.70 / Available $768,088.70.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 Chidichimo</author>
  </authors>
  <commentList>
    <comment ref="C12" authorId="0" shapeId="0" xr:uid="{42A9F21A-1F1C-4F8E-8719-B656D787997D}">
      <text>
        <r>
          <rPr>
            <b/>
            <sz val="9"/>
            <color indexed="81"/>
            <rFont val="Tahoma"/>
            <charset val="1"/>
          </rPr>
          <t>Sergio Chidichimo:</t>
        </r>
        <r>
          <rPr>
            <sz val="9"/>
            <color indexed="81"/>
            <rFont val="Tahoma"/>
            <charset val="1"/>
          </rPr>
          <t xml:space="preserve">
Category aligned to Budget_Tracker row 26 ("Property Insurance") so the USI refund flows into inflow totals (Budget_Tracker K95, Dashboard, Reconciliation Section 5). Was "Insurance" — no matching budget category.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 Chidichimo</author>
  </authors>
  <commentList>
    <comment ref="E7" authorId="0" shapeId="0" xr:uid="{88D30E29-A090-4AD0-B8C9-72CCC223CA92}">
      <text>
        <r>
          <rPr>
            <b/>
            <sz val="9"/>
            <color indexed="81"/>
            <rFont val="Tahoma"/>
            <charset val="1"/>
          </rPr>
          <t>Zeroed 5/2026: Q4 lump-sum bill now pre-funded via Monthly Tax Escrow per Mesa West servicer (Shafer 5/6/2026). See row 9.</t>
        </r>
      </text>
    </comment>
    <comment ref="C9" authorId="0" shapeId="0" xr:uid="{7542F856-FCDE-4096-8D69-04AAC954EC2B}">
      <text>
        <r>
          <rPr>
            <b/>
            <sz val="9"/>
            <color indexed="81"/>
            <rFont val="Tahoma"/>
            <charset val="1"/>
          </rPr>
          <t>Q2 Monthly Tax Escrow: May $404,075.81 (funded via mortgage 5/4/2026) + Jun $173,000.00. Mesa West 6-month shortage spread (Shafer 5/6/2026).</t>
        </r>
      </text>
    </comment>
    <comment ref="D9" authorId="0" shapeId="0" xr:uid="{0056C360-A367-4200-83B4-A5C5C0CDF3FF}">
      <text>
        <r>
          <rPr>
            <b/>
            <sz val="9"/>
            <color indexed="81"/>
            <rFont val="Tahoma"/>
            <charset val="1"/>
          </rPr>
          <t>Q3 Monthly Tax Escrow: 3 × $288,000/mo (Jul-Sep). Steady-state per Mesa West servicer (Shafer 5/6/2026).</t>
        </r>
      </text>
    </comment>
    <comment ref="E9" authorId="0" shapeId="0" xr:uid="{026867E9-0CED-4560-BB97-7619CEC05F61}">
      <text>
        <r>
          <rPr>
            <b/>
            <sz val="9"/>
            <color indexed="81"/>
            <rFont val="Tahoma"/>
            <charset val="1"/>
          </rPr>
          <t>Q4 Monthly Tax Escrow: 3 × $288,000/mo (Oct-Dec). Steady-state per Mesa West servicer (Shafer 5/6/2026).</t>
        </r>
      </text>
    </comment>
    <comment ref="C81" authorId="0" shapeId="0" xr:uid="{EDF784DF-D947-481F-A6AD-C245399C2ED6}">
      <text>
        <r>
          <rPr>
            <b/>
            <sz val="9"/>
            <color indexed="81"/>
            <rFont val="Tahoma"/>
            <charset val="1"/>
          </rPr>
          <t>TX Franchise Tax extension payment due 5/15/2026 — AVA Otto allocated share (60% × ~$111K total per Lingzi Hong email 5/11/2026, KPMG breakdown pending). Note: $100K+ in accumulated 2024-2025 franchise tax liabilities may need separate funding.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Sergio Chidichimo</author>
  </authors>
  <commentList>
    <comment ref="A4" authorId="0" shapeId="0" xr:uid="{0E04EB28-ED9C-44E3-B703-739AE9981DF1}">
      <text>
        <r>
          <rPr>
            <b/>
            <sz val="9"/>
            <color indexed="81"/>
            <rFont val="Tahoma"/>
            <charset val="1"/>
          </rPr>
          <t>Linked to Reconciliation!D51 (Bank Statement Balance). Update D51 with the latest statement to refresh the entire funding model cascade.</t>
        </r>
      </text>
    </comment>
    <comment ref="E7" authorId="0" shapeId="0" xr:uid="{389BF129-81E5-4616-A0E6-20CEF67FA3A3}">
      <text>
        <r>
          <rPr>
            <b/>
            <sz val="9"/>
            <color indexed="81"/>
            <rFont val="Tahoma"/>
            <charset val="1"/>
          </rPr>
          <t>Sergio Chidichimo:</t>
        </r>
        <r>
          <rPr>
            <sz val="9"/>
            <color indexed="81"/>
            <rFont val="Tahoma"/>
            <charset val="1"/>
          </rPr>
          <t xml:space="preserve">
Zeroed 5/2026: Q4 lump-sum now pre-funded via Monthly Tax Escrow. See row 9.</t>
        </r>
      </text>
    </comment>
    <comment ref="C9" authorId="0" shapeId="0" xr:uid="{CADE1D3D-313B-4095-90B5-664C3F8CD6D5}">
      <text>
        <r>
          <rPr>
            <b/>
            <sz val="9"/>
            <color indexed="81"/>
            <rFont val="Tahoma"/>
            <charset val="1"/>
          </rPr>
          <t>Sergio Chidichimo:</t>
        </r>
        <r>
          <rPr>
            <sz val="9"/>
            <color indexed="81"/>
            <rFont val="Tahoma"/>
            <charset val="1"/>
          </rPr>
          <t xml:space="preserve">
Q2 Monthly Tax Escrow: May $404,075.81 (mortgage 5/4/2026) + Jun $173,000. Mesa West 6-month shortage spread (Shafer 5/6/2026).</t>
        </r>
      </text>
    </comment>
    <comment ref="D9" authorId="0" shapeId="0" xr:uid="{EFE2AA27-23A7-436C-BAAA-533227D8AF86}">
      <text>
        <r>
          <rPr>
            <b/>
            <sz val="9"/>
            <color indexed="81"/>
            <rFont val="Tahoma"/>
            <charset val="1"/>
          </rPr>
          <t>Sergio Chidichimo:</t>
        </r>
        <r>
          <rPr>
            <sz val="9"/>
            <color indexed="81"/>
            <rFont val="Tahoma"/>
            <charset val="1"/>
          </rPr>
          <t xml:space="preserve">
Q3: 3 × $288,000/mo (Jul-Sep). Mesa West steady-state (Shafer 5/6/2026).</t>
        </r>
      </text>
    </comment>
    <comment ref="E9" authorId="0" shapeId="0" xr:uid="{79F8D39D-B77B-49B8-82FB-8FEFBA9E0673}">
      <text>
        <r>
          <rPr>
            <b/>
            <sz val="9"/>
            <color indexed="81"/>
            <rFont val="Tahoma"/>
            <charset val="1"/>
          </rPr>
          <t>Sergio Chidichimo:</t>
        </r>
        <r>
          <rPr>
            <sz val="9"/>
            <color indexed="81"/>
            <rFont val="Tahoma"/>
            <charset val="1"/>
          </rPr>
          <t xml:space="preserve">
Q4: 3 × $288,000/mo (Oct-Dec). Mesa West steady-state (Shafer 5/6/2026).</t>
        </r>
      </text>
    </comment>
    <comment ref="C80" authorId="0" shapeId="0" xr:uid="{3DC44D85-4014-42DA-8FAD-2EFC8C0965F3}">
      <text>
        <r>
          <rPr>
            <b/>
            <sz val="9"/>
            <color indexed="81"/>
            <rFont val="Tahoma"/>
            <charset val="1"/>
          </rPr>
          <t>Sergio Chidichimo:</t>
        </r>
        <r>
          <rPr>
            <sz val="9"/>
            <color indexed="81"/>
            <rFont val="Tahoma"/>
            <charset val="1"/>
          </rPr>
          <t xml:space="preserve">
TX Franchise Tax extension due 5/15/2026 — AVA 60% share of ~$111K (Lingzi Hong 5/11/2026). $100K+ in 2024-25 accumulated liabilities may need separate funding.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Sergio Chidichimo</author>
  </authors>
  <commentList>
    <comment ref="B4" authorId="0" shapeId="0" xr:uid="{5545BB4D-C2A6-4030-BF3E-FCF9E41D9547}">
      <text>
        <r>
          <rPr>
            <b/>
            <sz val="9"/>
            <color indexed="81"/>
            <rFont val="Tahoma"/>
            <charset val="1"/>
          </rPr>
          <t>Sergio Chidichimo:</t>
        </r>
        <r>
          <rPr>
            <sz val="9"/>
            <color indexed="81"/>
            <rFont val="Tahoma"/>
            <charset val="1"/>
          </rPr>
          <t xml:space="preserve">
Toggle: Enter $0 to exclude AP paydown from model, or enter amount to include. Currently set to $400K for 90+ day AP balance paydown.</t>
        </r>
      </text>
    </comment>
    <comment ref="B5" authorId="0" shapeId="0" xr:uid="{6BB2DDE0-C046-4DD2-B943-6E1BDC4D5AAE}">
      <text>
        <r>
          <rPr>
            <b/>
            <sz val="9"/>
            <color indexed="81"/>
            <rFont val="Tahoma"/>
            <charset val="1"/>
          </rPr>
          <t>Sergio Chidichimo:</t>
        </r>
        <r>
          <rPr>
            <sz val="9"/>
            <color indexed="81"/>
            <rFont val="Tahoma"/>
            <charset val="1"/>
          </rPr>
          <t xml:space="preserve">
Quarter in which the AP aging paydown is applied.</t>
        </r>
      </text>
    </comment>
    <comment ref="B8" authorId="0" shapeId="0" xr:uid="{29861876-7EF1-4400-935B-4A20EA36BC76}">
      <text>
        <r>
          <rPr>
            <b/>
            <sz val="9"/>
            <color indexed="81"/>
            <rFont val="Tahoma"/>
            <charset val="1"/>
          </rPr>
          <t>Sergio Chidichimo:</t>
        </r>
        <r>
          <rPr>
            <sz val="9"/>
            <color indexed="81"/>
            <rFont val="Tahoma"/>
            <charset val="1"/>
          </rPr>
          <t xml:space="preserve">
Q1 + Q2 direct deposits per bank. Q3 $1.6M funding arrived via transfer and is included in the Inflows line below.</t>
        </r>
      </text>
    </comment>
    <comment ref="C17" authorId="0" shapeId="0" xr:uid="{DED07DD4-F28C-46D3-8CEC-91D5B8052A57}">
      <text>
        <r>
          <rPr>
            <b/>
            <sz val="9"/>
            <color indexed="81"/>
            <rFont val="Tahoma"/>
            <charset val="1"/>
          </rPr>
          <t>Sergio Chidichimo:
Base Case Q2 draw. Allocates (J94 Base annual − Q1 actual) by Current Model Q2/(Q2+Q3+Q4) weight, + AP toggle (B4) for Q2. Updates live with Expense_Projection_Models.</t>
        </r>
      </text>
    </comment>
    <comment ref="D17" authorId="0" shapeId="0" xr:uid="{3DABB352-A1F5-4FCF-AC6E-12374A3DC13E}">
      <text>
        <r>
          <rPr>
            <b/>
            <sz val="9"/>
            <color indexed="81"/>
            <rFont val="Tahoma"/>
            <charset val="1"/>
          </rPr>
          <t>Sergio Chidichimo:
Base Case Q3 draw. Allocates remaining Base annual (J94) by Current Model Q3 weight.</t>
        </r>
      </text>
    </comment>
    <comment ref="E17" authorId="0" shapeId="0" xr:uid="{684D7922-FA41-4CED-BA3C-3F1CDA73BD17}">
      <text>
        <r>
          <rPr>
            <b/>
            <sz val="9"/>
            <color indexed="81"/>
            <rFont val="Tahoma"/>
            <charset val="1"/>
          </rPr>
          <t>Sergio Chidichimo:
Base Case Q4 draw. Allocates remaining Base annual (J94) by Current Model Q4 weight.</t>
        </r>
      </text>
    </comment>
    <comment ref="C18" authorId="0" shapeId="0" xr:uid="{0A9E12FC-4369-495E-9D0B-BE4A07CA6E0C}">
      <text>
        <r>
          <rPr>
            <b/>
            <sz val="9"/>
            <color indexed="81"/>
            <rFont val="Tahoma"/>
            <charset val="1"/>
          </rPr>
          <t>Sergio Chidichimo:
Middle Case Q2 draw. Allocates (K94 Mid annual − Q1 actual) by Current Model Q2 weight + AP toggle.</t>
        </r>
      </text>
    </comment>
    <comment ref="D18" authorId="0" shapeId="0" xr:uid="{CB796BD4-0CC7-4A93-8B8A-F48F9CF079A0}">
      <text>
        <r>
          <rPr>
            <b/>
            <sz val="9"/>
            <color indexed="81"/>
            <rFont val="Tahoma"/>
            <charset val="1"/>
          </rPr>
          <t>Sergio Chidichimo:
Middle Case Q3 draw.</t>
        </r>
      </text>
    </comment>
    <comment ref="E18" authorId="0" shapeId="0" xr:uid="{3A824232-42C8-422C-83F4-4D0410C7E2D5}">
      <text>
        <r>
          <rPr>
            <b/>
            <sz val="9"/>
            <color indexed="81"/>
            <rFont val="Tahoma"/>
            <charset val="1"/>
          </rPr>
          <t>Sergio Chidichimo:
Middle Case Q4 draw.</t>
        </r>
      </text>
    </comment>
    <comment ref="C19" authorId="0" shapeId="0" xr:uid="{388D7457-94C2-4D73-AD75-0D66ABFADC67}">
      <text>
        <r>
          <rPr>
            <b/>
            <sz val="9"/>
            <color indexed="81"/>
            <rFont val="Tahoma"/>
            <charset val="1"/>
          </rPr>
          <t>Sergio Chidichimo:
High Case Q2 draw. Allocates (L94 High annual − Q1 actual) by Current Model Q2 weight + AP toggle.</t>
        </r>
      </text>
    </comment>
    <comment ref="D19" authorId="0" shapeId="0" xr:uid="{32D6C601-8ED6-4ED9-8242-FCE9A62BA0E1}">
      <text>
        <r>
          <rPr>
            <b/>
            <sz val="9"/>
            <color indexed="81"/>
            <rFont val="Tahoma"/>
            <charset val="1"/>
          </rPr>
          <t>Sergio Chidichimo:
High Case Q3 draw.</t>
        </r>
      </text>
    </comment>
    <comment ref="E19" authorId="0" shapeId="0" xr:uid="{56C809FC-8375-4A3B-A3FC-BEEC3EFA7CAE}">
      <text>
        <r>
          <rPr>
            <b/>
            <sz val="9"/>
            <color indexed="81"/>
            <rFont val="Tahoma"/>
            <charset val="1"/>
          </rPr>
          <t>Sergio Chidichimo:
High Case Q4 draw.</t>
        </r>
      </text>
    </comment>
    <comment ref="B23" authorId="0" shapeId="0" xr:uid="{88D067B6-EB07-4E35-B995-EEEEE6D452CA}">
      <text>
        <r>
          <rPr>
            <b/>
            <sz val="9"/>
            <color indexed="81"/>
            <rFont val="Tahoma"/>
            <family val="2"/>
          </rPr>
          <t>Bank balance as of 07/14/2026 (per bank transaction report). Sourced from Reconciliation!D51 via Expense_Projection_Models!A4.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<sst xmlns="http://schemas.openxmlformats.org/spreadsheetml/2006/main" count="34333" uniqueCount="4208">
  <si>
    <t>Turn #</t>
  </si>
  <si>
    <t>Date</t>
  </si>
  <si>
    <t>User Request</t>
  </si>
  <si>
    <t>Action Taken</t>
  </si>
  <si>
    <t>Details</t>
  </si>
  <si>
    <t>Outcome</t>
  </si>
  <si>
    <t>Update budget for tax escrow restructure (Mesa West 6-mo spread) and TX Franchise Tax extension payment; refresh Funding_Summary_Models with linked scenarios.</t>
  </si>
  <si>
    <t>Updated Budget_Tracker, Expense_Projection_Models, and Funding_Summary_Models with new tax timing; verified cascade through scenarios.</t>
  </si>
  <si>
    <t>Budget_Tracker E7=0 (Q4 Property Tax zeroed), Monthly Tax Escrow row 9 = $577,076 Q2 / $864,000 Q3 / $864,000 Q4 (total $2.305M); Accounting/Audit Fees C81 = $66,600 Q2 (TX Franchise AVA 60% share of $111K). Mirrored in Expense_Projection_Models. Funding_Summary_Models C17:E19 updated with quarterly redistribution: Q2 +$643,676, Q3 +$864,000, Q4 -$1,212,931. AP Aging 90+ days now $504,981.52.</t>
  </si>
  <si>
    <t>Additional Funding Required Q2-Q4: Base $2.55M / Middle $2.94M / High $3.40M (up ~$295K from prior model). DRW-010 left intact as historical record.</t>
  </si>
  <si>
    <t>User flagged C29:C31 bank balance looked wrong; asked how the funding model is structured.</t>
  </si>
  <si>
    <t>Walked through model architecture and re-linked stale bank balance hardcode.</t>
  </si>
  <si>
    <t>Reconciliation!D45 = $401,234.47 (05/13/2026 statement). Expense_Projection_Models!A4 was hardcoded to $1,252,109.73 (04/13/2026). Replaced A4 with formula =Reconciliation!D45 and updated A3 date label. Updated Funding_Summary_Models A12 label and B23 note for traceability.</t>
  </si>
  <si>
    <t>Cascade now live end-to-end. Additional Funding Required Q2-Q4 jumped +$851K across all scenarios: Base $3.40M / Middle $3.79M / High $4.25M.</t>
  </si>
  <si>
    <t>Update Dashboard!C13 (Q1 Budget) to also show $2.6M to match actual funding.</t>
  </si>
  <si>
    <t>Changed C13 from =Budget_Tracker!B95 ($2,551,479) to =H8 ($2,600,000). Q1 Budget now ties to Funded to Date.</t>
  </si>
  <si>
    <t>Downstream: Q1 Remaining $1,321,012→$1,369,532, Q1 % Used 48.2%→47.3%. Q1 Budget and Funded to Date now in sync.</t>
  </si>
  <si>
    <t>Q1 Budget = Funded to Date = $2,600,000. Dashboard fully aligned to actual Pennybacker deposit.</t>
  </si>
  <si>
    <t>Make reconciliation status cells formula-driven so they auto-resolve when draws/inflows are entered in registers.</t>
  </si>
  <si>
    <t>Replaced static status text in rows 16, 20, 26 (bank ledger) and B44:B45 (flags) with formulas that search Draw_Register!I:I for "RAAM" and Inflow_Register!I:I for "Interest". Added conditional formatting so colors auto-flip (red→green) when items are entered.</t>
  </si>
  <si>
    <t>G26 searches Draw_Register descriptions for RAAM; G16/G20 search Inflow_Register for Interest. H/I/J/K columns cascade from those lookups. Section 4 severity cells (B44, B45) also formula-driven. All currently show unresolved (correct).</t>
  </si>
  <si>
    <t>Reconciliation is now fully self-resolving. When RAAM lien draw and interest inflows are entered, all status cells, flags, and the WB vs Bank difference will auto-update to show resolved.</t>
  </si>
  <si>
    <t>Validate and rebuild projected draws in Funding_Summary_Models — found that quarterly splits were frozen hardcoded values disconnected from Expense_Projection_Models.</t>
  </si>
  <si>
    <t>Replaced [C17:E19](&lt;citation:Funding_Summary_Models!C17:E19&gt;) with live formulas allocating each scenario's annual total (J94/K94/L94 from Expense_Projection_Models) across Q2-Q4 using Current Model quarterly weights (C94:E94), plus AP toggle on Q2.</t>
  </si>
  <si>
    <t>Formula: =(Expense_Projection_Models!$X$94 − $B17) * (Expense_Projection_Models!C$94/SUM($C$94:$E$94)) + IF(quarter=Q2, $B$4, 0). Scenarios pull from J94 (Base $6.22M), K94 (Mid $6.74M), L94 (High $7.35M). Q1 actuals B17:B19 left hardcoded (pre-restructure operator scenarios). Annual totals F17:F19 unchanged; only quarterly distribution corrected.</t>
  </si>
  <si>
    <t>Additional Funding Required updated: Base $3.40M / Mid $3.79M / High $4.25M (up ~$850K vs prior frozen estimates — prior method understated Q3-Q4 burn). Cascade verified through running balance E23:E25. Quarterly splits now refresh automatically when Expense_Projection_Models updates.</t>
  </si>
  <si>
    <t>Dashboard mixes Q1 funded amounts with Q2-Q4 projections, making it look like unfunded projected budget is available to spend. Category-level 'remaining' is misleading (e.g., Debt Service shows $1.4M remaining but that includes unfunded Q4 projections).</t>
  </si>
  <si>
    <t>Redesigned Dashboard_v2: (1) Capital Flow table now scoped to Q1 ONLY — references Budget_Tracker column B (Q1) not column F (Total). Debt Service now shows $1.93M Q1 budget, $1.34M net draws, $589K remaining. (2) Quarterly Summary redesigned as 'Funding Status' — separates Projected vs Funded columns. Q1 shows ✅ FUNDED with $2.6M; Q2-Q4 show ⏳ NOT FUNDED with $0 funded. (3) Restricted Account section unchanged.</t>
  </si>
  <si>
    <t>Key decision: Category-level 'Remaining' now means 'Q1 budget minus net draws' — real money available, not inflated by unfunded projections. Quarterly table clearly distinguishes funded vs projected. Q2-Q4 greyed out with $0 funded until Pennybacker wires additional capital.</t>
  </si>
  <si>
    <t>Dashboard_v2 updated. Capital Flow now Q1-only (funded). Quarterly table shows funding status. Ready for user comparison with original.</t>
  </si>
  <si>
    <t>Eliminate the old Dashboard tab, making sure all references in the new dashboard and other sheets are resolved first.</t>
  </si>
  <si>
    <t>Traced 16 references to old Dashboard (10 in Dashboard_v2, 3 formulas + 3 text in Reconciliation). Repointed all: Dashboard_v2!B5 is now the funding input ($2.6M, blue font). D7/F7/J7/L7 now reference Draw_Register/Inflow_Register directly. Reconciliation D7→Dashboard_v2!B5, D51→Budget_Tracker!G95, D54→Budget_Tracker!K95. Updated descriptive text in Reconciliation. Deleted old Dashboard, renamed Dashboard_v2→Dashboard.</t>
  </si>
  <si>
    <t>Excel auto-resolved the rename (Dashboard_v2!B5 → Dashboard!B5). Verified: all KPIs, Reconciliation balance ($0.00), and WB vs Bank diff ($119,292) unchanged. No #REF! errors. Zero remaining references to old tab.</t>
  </si>
  <si>
    <t>Old Dashboard deleted. New Dashboard is the single source of truth. Funding input lives at Dashboard!B5.</t>
  </si>
  <si>
    <t>Net % Utilized in L5 (47.3%) doesn't match H23 (57.0%). User asked to align them.</t>
  </si>
  <si>
    <t>Root cause: two issues. (1) H23 used Q1 budget as denominator vs L5 used Funded — fixed H23 to use B5 ($2.6M). (2) Section row ranges inherited from old Dashboard were wrong — sections 5-11 pointed at incorrect Budget_Tracker rows. Contingency pointed at row 73 (Leasing Commissions) instead of row 93 (General Contingency), missing $129K INF-003 inflow. Also CapEx/Unit Turns swapped $11,771 DRW-001. Fixed all 11 section ranges to correct Budget_Tracker rows.</t>
  </si>
  <si>
    <t>After fix: F23 total net draws ($1,230,468) = H5/Budget_Tracker!L95 ($1,230,468). Both L5 and H23 now show 47.3%. CapEx correctly shows $16,614 (was $4,843). Unit Turns shows $0 (was $11,771). Contingency shows -$129K inflow.</t>
  </si>
  <si>
    <t>L5 and H23 now match at 47.3%. All section row ranges corrected. Dashboard fully consistent.</t>
  </si>
  <si>
    <t>Budget Tracker columns H (Remaining) and I (% Used) are misleading — they use Total Budget (all 4 quarters) vs Gross Draws, same issue as old Dashboard. Need to align with Dashboard's net-based Q1 view.</t>
  </si>
  <si>
    <t>Updated all 67 data rows + row 95 totals: H ('Net Remaining') now = Q1 Budget - Gross Draws + Inflows (was Total Budget - Gross Draws). I ('Net % Used') now = Net Draws / Q1 Budget (was Gross Draws / Total Budget). J (Status) recalculated from new I. Column headers updated.</t>
  </si>
  <si>
    <t>Key impact: Debt Service was ⚠ OVER at 122.5% → now 0.0% (draw fully refunded). Property Tax was 58.8% → now 99.5% (net after lender escrow release). Grand total: 48.2% net used, $1,321,012 net remaining. Column N now redundant (identical to H).</t>
  </si>
  <si>
    <t>Budget Tracker now aligned with Dashboard. Both use net draws against Q1 funded budget. Consistent story across all tabs.</t>
  </si>
  <si>
    <t>Asked if Dashboard shows net after Draw 7, if Reconciliation accounts for it, and what the new bank balance is after the last draw.</t>
  </si>
  <si>
    <t>Read Dashboard, Reconciliation, Draw_Register, and Budget_Tracker. Analyzed formula chains and data flow.</t>
  </si>
  <si>
    <t>Dashboard Gross Draws ($3,076,583.27) and Draw Count (7) include DRW-007 via Budget_Tracker SUMIF. However, Net Remaining ($815,980.44) is Q1-scoped. Reconciliation ledger ends at 03/30 statement date — DRW-007 (04/02, Q2) is not in the bank ledger. Estimated post-draw balance: $1,250,240.37 − $431,961.05 = $818,279.32.</t>
  </si>
  <si>
    <t>No changes made. Analysis only. Recon needs update after April bank statement. Dashboard Q2 section shows DRW-007 impact as -$431,961.05 unfunded.</t>
  </si>
  <si>
    <t>Asked if I can see the funding analysis tab in another open spreadsheet.</t>
  </si>
  <si>
    <t>Checked cross_file_access setting (enabled) and connected agents (none found).</t>
  </si>
  <si>
    <t>Cross-file access is ON but no other workbook has the Claude add-in active. User needs to launch the add-in in the other file to establish a connection.</t>
  </si>
  <si>
    <t>Informed user how to connect the other file. No changes made. User has started CAF Projections setup on Funding_Projections tab with Base/Middle/High cases.</t>
  </si>
  <si>
    <t>Map 22 capex categories to budget tracker rows, build Base/Middle/High scenarios, create Funding Summary dashboard with quarterly tables and charts</t>
  </si>
  <si>
    <t>Wrote columns G (Op Est), H (Old Op T12), I (New Op Annualized) with mapped capex data + =F## fixed expenses. Built J/K/L scenario columns. Created Funding Summary sheet with Capital Position, Quarterly Draws, Running Balance, Additional Funding Required sections + 3 charts.</t>
  </si>
  <si>
    <t>Base=I (Q1 run rate), Middle=G (Op Est), High=MAX(G,H). Capex mapped: Dryer Vents→P1 Safety, Foundation/Stair/Windows/Dumpster→P2, Painting→P3, Equip/Landscaping/ModelFFE→Emergency, HVAC←AC Heat, etc. Unit Turns allocated proportionally by sub-budget weight. Quarterly distribution uses budget's Q1-Q4 weights.</t>
  </si>
  <si>
    <t>G95=$6,317,512 H95=$6,721,472 I95=$5,690,128. Scenarios: Base J95=$5.69M Middle K95=$6.32M High L95=$6.93M. Additional funding needed: Base $2.45M, Middle $2.95M, High $3.41M. Funding Summary sheet created with 3 charts.</t>
  </si>
  <si>
    <t>Format columns adequately on Funding Summary and Funding_Projections</t>
  </si>
  <si>
    <t>Applied consistent formatting: column widths, right-aligned numbers, red negative balances, dash-for-zero format, section borders, wrap text headers, indent levels.</t>
  </si>
  <si>
    <t>Funding Summary: Widened cols A-F, red font on negative running balances, bottom borders under data sections, indented sub-rows. Funding_Projections: Uniform 120px width G-L, wrap-text headers, dash-for-zero format ($#,##0;($#,##0);"-") on all capex/unit turn rows, double-top-border on grand total row.</t>
  </si>
  <si>
    <t>Both sheets now display consistently: zeros as "-", negatives in parens, aligned numbers, color-coded scenario headers. Visual QC passed.</t>
  </si>
  <si>
    <t>Make columns G-L on Funding_Projections and Funding_Summary look institutional, matching existing workbook style</t>
  </si>
  <si>
    <t>Stripped all colored fills (green/gold/pink). Applied exact existing palette: #1F3864 navy headers, #2F5496 section bars, Calibri 10pt, accounting format with dash-for-zero, thin #BFBFBF gridlines. Both sheets now seamlessly match B-F columns.</t>
  </si>
  <si>
    <t>Number format: _($* #,##0.00_);_($* (#,##0.00);_($* -??_);_(@_) on Funding_Projections, _($* #,##0_) no-decimal on Funding_Summary. Removed gray font overrides from =F## formula rows. Chart data tables also restyled to navy headers.</t>
  </si>
  <si>
    <t>Both sheets visually consistent with rest of workbook. No colored fills on data rows, proper accounting format, institutional navy/white color scheme throughout.</t>
  </si>
  <si>
    <t>Rename Funding_Projections tab to most appropriate name</t>
  </si>
  <si>
    <t>Renamed to CAF_Projections. Updated subtitle in A2 to reflect CAF context. Zero formula references to old name needed updating (Excel auto-updates).</t>
  </si>
  <si>
    <t>Chose 'CAF_Projections' because the tab is specifically about Capital Advance Facility draw planning and scenario analysis — not general expenses. Aligns with Funding_Summary dashboard purpose.</t>
  </si>
  <si>
    <t>Tab renamed. Subtitle updated. No broken references.</t>
  </si>
  <si>
    <t>User asked if all data in both tabs is tied to source data for auto-updating</t>
  </si>
  <si>
    <t>Audited all formulas on Expense_Projection_Models (G-L) and Funding_Summary_Models. Identified hardcoded vs. formula-linked cells.</t>
  </si>
  <si>
    <t>Fixed expenses (Sections 1-4,7-11): all =F## formulas ✅. Scenarios J/K/L: all reference G/H/I ✅. Grand totals: SUM formulas ✅. HARDCODED: CapEx G32:I44, Unit Turns G47:I54 (from Funding Analysis import), Quarterly draws B14:E16 on Summary (calculated from budget weights).</t>
  </si>
  <si>
    <t>Scenario columns and summary are fully linked. Source capex data in G/H/I and quarterly allocations on Summary are static imports. Offered to convert to formulas.</t>
  </si>
  <si>
    <t>Audited formula linkage on both new tabs; user confirmed hardcoded capex source data is fine</t>
  </si>
  <si>
    <t>Reviewed all formulas on Expense_Projection_Models (G-L) and Funding_Summary_Models. Fixed expenses =F##, scenarios J/K/L reference G/H/I, totals are SUM formulas. CapEx G/H/I and quarterly draws are static imports — user confirmed acceptable.</t>
  </si>
  <si>
    <t>Hardcoded cells: CapEx G32:I44, Unit Turns G47:I54 (Funding Analysis import), quarterly draws B14:E16 on Summary. Everything downstream is formula-linked and auto-updates.</t>
  </si>
  <si>
    <t>No changes needed. User confirmed current structure works.</t>
  </si>
  <si>
    <t>Build Uses of Funds table on Funding_Summary_Models showing funding request by major categories</t>
  </si>
  <si>
    <t>Created rows 37-49: Uses of Funds section with 10 major categories (Debt Service, Reserves, AP, Insurance, CapEx, Unit Turns, Operating, Marketing, Legal, Transition). All formulas reference Expense_Projection_Models scenario columns. Includes Total Budget, Base/Middle/High, and % of Total (Middle).</t>
  </si>
  <si>
    <t>All SUM formulas cross-reference Expense_Projection_Models sections. % column uses Middle Case denominator. TOTAL USES cross-checks to grand totals: Budget $6,773,632, Base $5,684,273, Middle $6,206,512, High $6,815,397. Debt Service dominates at 74.5%. Chart 5 overlaps table but is locked — user can drag manually.</t>
  </si>
  <si>
    <t>Uses of Funds table built and verified. Institutional formatting applied. Chart repositioning blocked by protection — user notified.</t>
  </si>
  <si>
    <t>Rebuild Funding_Summary_Models sheet — old charts were locked/unmovable. User requested charts at bottom instead of right side.</t>
  </si>
  <si>
    <t>Deleted old sheet with 5 locked charts. Created fresh sheet with all data/formulas preserved. Built 3 charts (clustered column, line, horizontal bar) stacked vertically below Uses of Funds table (rows 52-100). Chart source data in hidden cols H-K.</t>
  </si>
  <si>
    <t>Charts: (1) Quarterly Draws by Scenario - columnClustered at A52:F68, navy palette. (2) Running Balance - lineMarkers at A70:F86, 3-series with markers. (3) Additional Funding Required - barClustered at A88:F100, navy with $K data labels. No duplicates this time.</t>
  </si>
  <si>
    <t>Sheet rebuilt clean. All formulas verified matching original. Charts display full-width below content. Old locked sheet deleted.</t>
  </si>
  <si>
    <t>Rebuild Funding_Summary_Models with charts at bottom instead of right side; fix locked/unmovable charts</t>
  </si>
  <si>
    <t>Recreated entire sheet from scratch. All data/formulas preserved. 3 charts stacked vertically below Uses table: (1) Quarterly Draws clustered column, (2) Running Balance line chart, (3) Additional Funding Required horizontal bar. Charts source data in grouped cols H-K.</t>
  </si>
  <si>
    <t>Old sheet had 5 locked charts (incl duplicates) that couldn't be moved/deleted via API or UI. New sheet built clean. Charts initially rendered blank because hidden cols (width=0) don't feed charts in Excel Online — fixed by unhiding + grouping. Navy/white institutional palette maintained.</t>
  </si>
  <si>
    <t>Sheet fully rebuilt. All 3 charts rendering correctly below Uses table. No more locked objects. Columns H-K grouped (collapsible) for chart source data.</t>
  </si>
  <si>
    <t>Apply better colors to Base/Middle/High scenario header boxes</t>
  </si>
  <si>
    <t>Applied refined traffic light palette: Base=#548235 (forest green), Middle=#BF8F00 (dark gold), High=#C00000 (crimson). White bold text on all three. Applied to both Expense_Projection_Models J5:L5 and Funding_Summary_Models C38:E38.</t>
  </si>
  <si>
    <t>User chose 'Traffic light (refined)' over navy gradient and cool-to-warm options. Colors signal risk escalation intuitively while remaining institutional.</t>
  </si>
  <si>
    <t>Scenario headers updated on both sheets. Consistent palette across workbook.</t>
  </si>
  <si>
    <t>Draft email to William presenting the funding analysis file with methodology explanation</t>
  </si>
  <si>
    <t>Wrote professional email explaining both new tabs (Expense_Projection_Models and Funding_Summary_Models), the 3 data sources (CAF Submitted, IPS T12, Q1 Annualized), 3 scenarios (Base/Middle/High), and key findings ($2.5M-$3.4M additional funding needed). Mentioned 4 PM call tomorrow.</t>
  </si>
  <si>
    <t>Email references updated column headers: CAF - Submitted Projections, IPS 2025 T12, CAF Q1 Annualized. Key numbers: Base $5.7M, Middle $6.2M, High $6.8M total. Additional funding: $2.5M/$3.0M/$3.4M. Bank balance $818K.</t>
  </si>
  <si>
    <t>Email drafted and presented to user. File link placeholder included for user to insert.</t>
  </si>
  <si>
    <t>Verify that updated Rate Cap Purchase ($810K in Q2) and new Development Feasibility fee ($50K in Q2) flow correctly from Expense_Projection_Models into Funding_Summary_Models.</t>
  </si>
  <si>
    <t>Audited both tabs — read all formulas, traced cross-sheet references, and verified grand totals match between sheets.</t>
  </si>
  <si>
    <t>Rate Cap (C11=$810K) flows to F11 via SUM, then to all scenarios via =F11. Dev Feasibility (C87=$50K, full year $100K) flows similarly. Funding Summary row 39 picks up Rate Cap via =SUM(Expense_Projection_Models!F7:F12)=$4,818,410.22. Row 48 picks up Dev Feasibility via =SUM(F84:F92)=$210,000. All 4 scenario grand totals match exactly between tabs. Quarterly Projected Draws (rows 14-16) are hardcoded by design — each scenario has its own independent quarterly allocation.</t>
  </si>
  <si>
    <t>Both updates flow correctly. All scenario totals (Current $7,015,632 / Base $5,926,273 / Middle $6,448,512 / High $7,057,397) match across sheets. No formula errors found.</t>
  </si>
  <si>
    <t>User flagged that totals don't match across Expense Projection and Funding Summary tabs.</t>
  </si>
  <si>
    <t>Identified root cause: Projected Draws (C14:E16) in Funding Summary are hardcoded and stale after the Rate Cap and Dev Feasibility updates. Uses of Funds (rows 39-49) are formula-linked and correct.</t>
  </si>
  <si>
    <t>Gaps: Base -$236,145, Middle -$131,000, High -$131,000. Middle/High gap = exact sum of Rate Cap increase + Dev Feasibility addition. Q2 Projected Draws need updating. Running Balance and Additional Funding Needed sections cascade from these hardcoded values.</t>
  </si>
  <si>
    <t>Awaiting user direction on how to allocate the gap — add to Q2 draws or distribute across Q2-Q4.</t>
  </si>
  <si>
    <t>User asked specifically why J94:L94 in Expense Projection don't match F14:F16 in Funding Summary.</t>
  </si>
  <si>
    <t>Showed side-by-side comparison. Explained gaps ($236K Base, $131K Middle/High) caused by hardcoded Projected Draws not updated after Rate Cap and Dev Feasibility changes.</t>
  </si>
  <si>
    <t>F14:F16 = SUM of hardcoded B14:E16 quarterly values. J94:L94 are formula-driven Grand Totals that auto-updated. The fix is to increase Q2 draws (C14:C16) by the gap amounts.</t>
  </si>
  <si>
    <t>Awaiting user confirmation to update C14 (+$236,145), C15 (+$131,000), C16 (+$131,000).</t>
  </si>
  <si>
    <t>User confirmed: update Q2 Projected Draws so full-year totals match Expense Projection Grand Totals for all three scenarios.</t>
  </si>
  <si>
    <t>Updated C14 ($820,185→$1,056,330), C15 ($998,699→$1,129,699), C16 ($1,035,366→$1,166,366). Verified F14:F16 now equals J94:L94.</t>
  </si>
  <si>
    <t>Base +$236,145, Middle +$131,000, High +$131,000 added to Q2 draws. All gaps allocated to Q2 since that's when Rate Cap and Dev Feasibility expenses fall.</t>
  </si>
  <si>
    <t>All three scenarios now tie: Base $5,926,272.59, Middle $6,448,511.62, High $7,057,397.25. Running Balance recalculated automatically.</t>
  </si>
  <si>
    <t>User uploaded bank transaction report PDF and asked to identify why reconciliation doesn't match bank balance and find missing transactions</t>
  </si>
  <si>
    <t>Parsed bank PDF (WaFd *7940), compared all 16 bank transactions against Reconciliation sheet (13 lines), Draw_Register, and Inflow_Register</t>
  </si>
  <si>
    <t>Delta is $1,869.36 = March credit interest (03/31/2026) not recorded. Also found: DRW-007 ($432K) and INF-005 ($432K) in registers but not in Recon sheet; DRW-007 has $38.95 variance ($431,961.05 vs $432,000). Bank YTD interest is $4,168.24 vs workbook $2,298.88.</t>
  </si>
  <si>
    <t>Findings presented to user. Awaiting confirmation to update Reconciliation sheet lines 14-16 and Dashboard bank balance from $1,250,240.37 to $1,252,109.73.</t>
  </si>
  <si>
    <t>User asked why G26 shows 'DRW-DRW-006' and whether reconciliation items are matching</t>
  </si>
  <si>
    <t>Fixed formula bug in Reconciliation!G26 — removed redundant 'DRW-' prefix concatenation</t>
  </si>
  <si>
    <t>Original formula: "DRW-"&amp;TEXT(INDEX(Draw_Register!A:A,...),"@") produced 'DRW-DRW-006' because Draw_Register!A already contains 'DRW-006'. Fixed to just pull INDEX value directly. RAAM LLC Lien is correctly matched with $0 variance.</t>
  </si>
  <si>
    <t>G26 now shows 'DRW-006'. K26 auto-updated to 'Draw recorded as DRW-006'. All 13 ledger lines matched. Awaiting user direction on adding 3 new bank transactions (March interest, DRW-007, INF-005).</t>
  </si>
  <si>
    <t>User confirmed proceed with all updates — add 3 missing transactions, update all cross-tab references, fix Section 5, update bank balance everywhere</t>
  </si>
  <si>
    <t>Added rows 27-29 to Recon ledger (Mar interest $1,869.36, DRW-007 $432K, INF-005 $432K). Updated Section 3 formulas (D34-D37) to include new rows. Section 3 balanced $0. Updated Section 5 True-Up (D58=D37, D60 fixed, E54=D54). Updated Expense_Projection A3/A4 to $1,252,109.73 dated 04/13. Funding_Summary label and note updated to 04/13. Verified all cascading references: Dashboard B7/L21/L22, Funding_Summary B6-B9/B20-B22/C26-C28.</t>
  </si>
  <si>
    <t>Key formulas: Recon D34=-(E15+E18+E22+E23+E24+E28), D36=D17+D19+D21+D25+D29, D37=D16+D20+D27. Section 5 D58=D37, E54=D54, E60=E54-E57-E58. Dashboard auto-shifted to D40 for bank balance. Expense_Projection A4 hardcoded to $1,252,109.73 (single source for Funding_Summary chain).</t>
  </si>
  <si>
    <t>All sheets reconciled. Section 3 diff=$0. Section 5 diff=$0. Dashboard Gap=$39 (known $38.95 DRW-007 variance: register $431,961.05 vs bank $432,000). Funding_Summary and Expense_Projection updated to current bank balance. Only open item: investigate DRW-007 $38.95 variance.</t>
  </si>
  <si>
    <t>User asked to fix bold/medium borders on row 28 to match thin borders used in rows above</t>
  </si>
  <si>
    <t>Fixed borders on Reconciliation rows 27-29: changed medium borders to thin #BFBFBF to match rows 14-26 pattern. Row 29 bottom kept as medium #000000 (last row of ledger table).</t>
  </si>
  <si>
    <t>Rows 28-29 inherited medium borders from the original last row (26) when inserted. Applied thin solid #BFBFBF interior borders, thin #000000 left/right edge borders.</t>
  </si>
  <si>
    <t>Border formatting now consistent across all 16 ledger rows (14-29).</t>
  </si>
  <si>
    <t>User asked why Dashboard M22 shows a gap</t>
  </si>
  <si>
    <t>Explained the $38.95 gap: DRW-007 register=$431,961.05 vs bank=$432,000. Budget_Tracker uses register amount, so expected balance is $38.95 higher than actual bank balance.</t>
  </si>
  <si>
    <t>M22 formula: =IF(ABS((L18-L19+L20+L21)-L22)&lt;1,"✅ Ties","❌ Gap: "&amp;...). Expected=$1,252,148.68, Bank=$1,252,109.73, diff=$38.95 rounds to $39.</t>
  </si>
  <si>
    <t>Awaiting user direction: either update Draw_Register DRW-007 to $432,000 (if bank is correct) or leave flagged as bank discrepancy.</t>
  </si>
  <si>
    <t>User confirmed bank amount $432,000 is correct for DRW-007, asked to update</t>
  </si>
  <si>
    <t>Attempted to update Draw_Register!F22 from $431,961.05 to $432,000.00 but sheet is password-protected. Asked user to unprotect or manually update.</t>
  </si>
  <si>
    <t>Draw_Register is password-protected (WorksheetProtection.unprotect requires password). F22 currently $431,961.05, needs to be $432,000.00 per bank statement.</t>
  </si>
  <si>
    <t>Blocked on sheet protection. Once F22 updated, Budget_Tracker, Dashboard M22, and Reconciliation I28 will auto-resolve. Dashboard should show '✅ Ties'.</t>
  </si>
  <si>
    <t>Verify funding summary model accounts for $800K rate cap from Budget_Tracker</t>
  </si>
  <si>
    <t>Cross-checked Rate Cap Purchase across Budget_Tracker, Expense_Projection_Models, and Funding_Summary_Models</t>
  </si>
  <si>
    <t>Budget_Tracker!C11 = $800,000. Expense_Projection_Models!C11 = $810,000 (hardcoded, not linked). $10K discrepancy flows into all Funding Summary scenarios via Debt Service &amp; Taxes line.</t>
  </si>
  <si>
    <t>Discrepancy identified: $810K vs $800K. Awaiting user decision on fix approach (update value, link formula, or both).</t>
  </si>
  <si>
    <t>User confirmed $810K is the correct rate cap figure, not $800K</t>
  </si>
  <si>
    <t>Identified Budget_Tracker!C11 ($800K) as the sheet needing correction to $810K</t>
  </si>
  <si>
    <t>Expense_Projection_Models and Funding_Summary_Models already have $810K and are correct. Budget_Tracker!C11 is the outlier at $800K.</t>
  </si>
  <si>
    <t>Awaiting user confirmation to update Budget_Tracker!C11 from $800K to $810K.</t>
  </si>
  <si>
    <t>User asked how a $400K AP paydown for 90+ day balances would affect the Funding Summary Models</t>
  </si>
  <si>
    <t>Analyzed AP &amp; Liabilities across Budget_Tracker, Expense_Projection_Models, and Funding_Summary_Models</t>
  </si>
  <si>
    <t>AP is currently $0 everywhere. $400K would flow 1:1 into all scenarios (AP is fixed/identical across Base/Middle/High). Increases additional funding needed by $400K in every scenario. Middle case goes from ~$2.65M to ~$3.05M.</t>
  </si>
  <si>
    <t>Analysis provided. Awaiting user decision on whether to add the $400K AP paydown to the model.</t>
  </si>
  <si>
    <t>User confirmed $400K AP paydown is Q2 only</t>
  </si>
  <si>
    <t>Confirmed timing: Q2 one-time AP paydown for 90+ day balances</t>
  </si>
  <si>
    <t>$400K goes to Expense_Projection_Models!C21 (AP Balance, Q2). Flows to F21 via SUM, then to all scenario columns via =F21. Adds $400K to additional funding in all scenarios.</t>
  </si>
  <si>
    <t>Awaiting user confirmation to enter the $400K into the model.</t>
  </si>
  <si>
    <t>User requested a toggle/input cell above Capital Position to model AP Aging paydown, wired into funding requirements, running balances, etc.</t>
  </si>
  <si>
    <t>Built SCENARIO ADJUSTMENTS section with AP Aging Paydown toggle at B4 ($400K default). Wired into Q2 projected draws (C17:C19) and Uses of Funds AP line (B44:E44).</t>
  </si>
  <si>
    <t>Inserted 3 rows at top for toggle section. B4 = $400K (blue/yellow input cell). Q2 draws converted from hardcoded to formulas (=baseValue+$B$4). AP &amp; Liabilities Uses of Funds formulas updated to include +$B$4. Running balances, remaining spend, additional funding, chart data all cascade automatically.</t>
  </si>
  <si>
    <t>Toggle complete. $400K flows through all scenarios. Set B4 to $0 to exclude. Additional funding increased by $400K across Base/Middle/High.</t>
  </si>
  <si>
    <t>User asked why $400K AP paydown decreases running balances when funding increases by $400K</t>
  </si>
  <si>
    <t>Explained the running balances track unfunded position (cash - draws), so adding $400K to draws makes balances more negative. Additional Funding Required correctly increases.</t>
  </si>
  <si>
    <t>Offered two options: (1) Leave as-is — running balances show unfunded worst case, additional funding captures the need. (2) Separate AP paydown from projected draws, add only to Remaining Spend / Additional Funding sections.</t>
  </si>
  <si>
    <t>Awaiting user decision on how to handle running balance presentation vs. funding requirement.</t>
  </si>
  <si>
    <t>User chose option 2: separate AP paydown from projected draws so running balances are unaffected</t>
  </si>
  <si>
    <t>Reverted Q2 draws (C17:C19) to original hardcoded values. Rewired $B$4 toggle into Remaining Spend formulas (B29:B31) only. Uses of Funds AP line (B44:E44) still includes toggle.</t>
  </si>
  <si>
    <t>C17:C19 back to original values (1,056,330 / 1,129,699 / 1,166,366). B29:B31 = SUM(Q2:Q4 draws)+$B$4. Running balances unaffected. Additional Funding increases by $400K. Uses of Funds AP line = $400K. Total Uses up $400K across all scenarios.</t>
  </si>
  <si>
    <t>Toggle rewired. Running balances stable. AP paydown only affects Remaining Spend, Additional Funding, and Uses of Funds sections.</t>
  </si>
  <si>
    <t>User flagged $400K not increasing Q2 funding. Approach 2 was wrong — AP paydown wasn't in Q2 draws.</t>
  </si>
  <si>
    <t>Reverted to approach 1: $B$4 added back into Q2 draws (C17:C19). Remaining Spend (B29:B31) reverted to plain SUM. $400K now flows through Q2 draws → running balances → remaining spend → additional funding → full year totals.</t>
  </si>
  <si>
    <t>C17=1056329.55+$B$4, C18=1129698.51+$B$4, C19=1166366.21+$B$4. B29:B31 = SUM(C:E draws). Uses of Funds AP (B44:E44) still includes +$B$4. All cascading correct.</t>
  </si>
  <si>
    <t>Toggle fully wired. Q2 draws, running balances, remaining spend, additional funding, full year totals, and uses of funds all respond to B4 toggle.</t>
  </si>
  <si>
    <t>Select ~$400k in AP payables prioritizing oldest (91+) then most recent, with staff-priority vendors. Exclude Capital Partners Mgmt and Pennybacker (internal). Aplus on hold.</t>
  </si>
  <si>
    <t>Built payment selection table in AP_Aging columns L:P with 38 vendors totaling $400,385.84.</t>
  </si>
  <si>
    <t>4 sections: Staff Priority ($119,983), 91+ Days Oldest ($160,748), Current Most Recent ($37,689), 61-90 Days Fill ($81,966). Excluded internal vendors ($339,956). Aplus on hold ($111,926).</t>
  </si>
  <si>
    <t>Payment table at AP_Aging!L1:P64. Grand total $400,385.84 across 38 vendors.</t>
  </si>
  <si>
    <t>User deleted payment table columns L:P. Cross-agent request from excel-69ee3c for Write_Off_Recon tab data.</t>
  </si>
  <si>
    <t>Confirmed Write_Off_Recon tab does not exist in this workbook. Replied to requesting agent with list of available sheets.</t>
  </si>
  <si>
    <t>This workbook has 17 tabs, none named Write_Off_Recon. The requesting agent works on '2603 Financial Prelims - AVA.xlsx' which likely contains that tab.</t>
  </si>
  <si>
    <t>Cross-agent request resolved. Payment table deletion noted — awaiting user instructions.</t>
  </si>
  <si>
    <t>Update bank account reconciliation with new transaction report PDF (statement through 04/28/2026).</t>
  </si>
  <si>
    <t>Added 3 new April transactions to Reconciliation tab; updated balance, totals, and Section 5 capital summary.</t>
  </si>
  <si>
    <t>New txns: 04/16 Q2 funding deposit $1,100,000 (INF-006), 04/16 DRW-008 withdrawal $768,540 (Rate Cap + SOFR fee), 04/16 DRW-009 withdrawal $407,984.73 (AP Run). Updated A2 statement date, A40/D40 bank balance to $1,175,585.00, D33 capital funded to $3,700,000 (+Q2), D34 draws formula to include DRW-008/009, A55 row label, INF-006 status to Received. Also fixed stray text in C23 (DRW-002 description). Calculated balance ties to bank exactly.</t>
  </si>
  <si>
    <t>✅ Fully reconciled through 04/28/2026. Calc bal = bank bal = $1,175,585.00. Workbook vs Bank difference = $0.</t>
  </si>
  <si>
    <t>User flagged that new transaction rows overwrote Section 3/4/5 headers instead of inserting rows.</t>
  </si>
  <si>
    <t>Inserted 3 rows to push sections down, rewrote transactions into rows 30-32 with proper ledger formatting/borders, restored Section 3 header at row 34-35, fixed broken formula refs (D36, D37) pointing at old row positions.</t>
  </si>
  <si>
    <t>D36 changed from =D6+D33 to =D6+D30 (Q2 funding row). D37 changed from refs to E34/E35 (now headers) to E31/E32 (DRW-008/009 debits). Row 32 has medium bottom border as last ledger entry. Row 33 blank separator. Row 34 Section 3 dark blue header. Row 35 column headers.</t>
  </si>
  <si>
    <t>✅ All sections restored. Calc bal = bank = $1,175,585. Section 5 balanced. No formula errors.</t>
  </si>
  <si>
    <t>Update reconciliation with new bank statement PDF (statement through 05/13/2026) and refresh all dependent tabs.</t>
  </si>
  <si>
    <t>Added April 30 Credit Interest ($1,649.47) and 5/4 DRW-010 withdrawal ($776,000) to Reconciliation ledger; updated Section 3 formulas and bank balance; fixed Dashboard L18 (Funded) and M12:M15 quarterly Funded cells.</t>
  </si>
  <si>
    <t>Inserted rows 33-34 in Reconciliation. D39 added E34 (DRW-010), D42 added D33 (April interest), D45 bank bal → $401,234.47, A2 statement date → 05/13/2026. Dashboard L18 changed from =B5 to =Reconciliation!D38 ($3,700,000 total funded incl. Q2). Dashboard M13 now formula-linked to Inflow_Register Q2 funding. Draw_Register already had DRW-010, so Budget_Tracker G95 ($5,029,146.95) and downstream auto-updated.</t>
  </si>
  <si>
    <t>✅ Reconciliation balanced through 05/13/2026: D47=0, E67=0, A73 "Fully reconciled through 05/13/2026". Dashboard M22 → ✅ Ties. Bank balance $401,234.47 reflected everywhere.</t>
  </si>
  <si>
    <t>Update Dashboard B5 "Funded to Date" to reflect cumulative funding (Q1 + Q2).</t>
  </si>
  <si>
    <t>Changed Dashboard B5 from hardcoded $2,600,000 (Q1 only) to formula =Reconciliation!D38 ($3,700,000 cumulative). Hardcoded L12 and M12 (Q1 columns) to $2,600,000 so the Q1 view remains Q1-only.</t>
  </si>
  <si>
    <t>B5 was previously feeding L12/M12 via =B5. Decoupled them by hardcoding the Q1 figures, then rewired B5 to the Reconciliation total funding cell.</t>
  </si>
  <si>
    <t>✅ Dashboard B5 = $3,700,000. Q1 column (M12) still = $2,600,000. M22 tie-check still ✅ Ties.</t>
  </si>
  <si>
    <t>Update reconciliation for DRW-011 ($229K, 6/15) and INF-007 ($1.6M Q3 funding, 6/12), respecting formatting.</t>
  </si>
  <si>
    <t>Read Reconciliation, Draw_Register, Inflow_Register, Budget_Tracker, Dashboard. Confirmed DRW-011 already in Draw_Register row 27 and INF-007 in Inflow_Register row 11. Asked clarifying questions on statement-date treatment and bank-balance basis.</t>
  </si>
  <si>
    <t>Both new items dated AFTER current 05/13/2026 statement. Section 3 D39 is hardcoded to specific bank-ledger cells (excludes DRW-011); Section 5 D59=Budget_Tracker!G95 already includes DRW-011; INF-007 'Q3 Funding' category excluded from Budget_Tracker!K95. User chose to provide a new bank balance reflecting NEITHER item. Awaiting exact figure + statement date + new interest.</t>
  </si>
  <si>
    <t>Paused: awaiting new bank balance figure before editing Reconciliation Section 2/3/5. Plan set: insert (not overwrite) ledger rows for INF-007 and DRW-011, extend D39/D41, update D45 and A2.</t>
  </si>
  <si>
    <t>Provided pre-inflow bank balance ($401,234.47). Uploaded *7866 screenshot ($379,310.63) but said to disregard it. Update reconciliation for DRW-011 and INF-007.</t>
  </si>
  <si>
    <t>Added DRW-011 (-$229K, 6/15) and INF-007 (+$1.6M, 6/12) to Reconciliation Section 2 ledger as POST-STATEMENT (uncleared) rows 35-36. Added 'Subsequent Events' block (rows 50-54) showing projected post-clear balance. Kept 05/13 cleared statement balance unchanged at $401,234.47.</t>
  </si>
  <si>
    <t>Inserted rows 35-36 (ledger) + rows 50-53 (subsequent-events note). New ledger rows VLOOKUP registers → ✅ MATCH, variance $0. F36 running bal = $1,772,234.47. Subsequent-events D54 projected balance = D51+D52+D53 = $1,772,234.47 (ties F36). Section 3 still BALANCED (D49=0). Section 5 refs auto-shifted correctly (D72/E72); $229K gap intact = DRW-011 not yet cleared. 7866 operating-acct screenshot disregarded per user.</t>
  </si>
  <si>
    <t>✅ Reconciliation balanced through 05/13/2026 ($401,234.47). Both new items recorded + flagged as in-transit. Projected balance after clearing: $1,772,234.47. No formula errors.</t>
  </si>
  <si>
    <t>Reconcile the last two draws (DRW-012, DRW-013) in the Reconciliation and update all applicable tabs.</t>
  </si>
  <si>
    <t>Analyzed Reconciliation gap and proposed plan</t>
  </si>
  <si>
    <t>Identified $2,303,260.30 Section 5 gap = $1.6M Q3 funding not in Funded total + $703,260.30 uncleared draws (DRW-011/012/013). Confirmed DRW-012/013 already flow to Budget_Tracker G95/Dashboard via SUMIF. Proposed post-statement treatment (same as DRW-011); user approved.</t>
  </si>
  <si>
    <t>Plan approved by user</t>
  </si>
  <si>
    <t>(continued) Execute approved reconciliation plan.</t>
  </si>
  <si>
    <t>Added DRW-012/013 to Reconciliation ledger; updated Subsequent Events, Sections 1 &amp; 5, Dashboard</t>
  </si>
  <si>
    <t>Ledger rows 38-39 (POST-STMT, ✅ MATCH vs register); Subsequent Events adds Less: DRW-012/-013, projected balance $1,298,528.07 ties F39; Section 1 D6==D14+D30+D36 ($5.3M actual funding, variance $0); Section 5 Funded now Q1+Q2+Q3 $5.3M with uncleared-draws adjustment line ($703,260.30) → Workbook vs Bank $0; Dashboard B5/L18=Reconciliation!D69, M22 tie-check nets uncleared draws, P12:P15 funded statuses now formula-driven. Budget_Tracker/registers unchanged (already included both draws).</t>
  </si>
  <si>
    <t>✅ Fully reconciled through 06/04/2026; all tie-checks pass</t>
  </si>
  <si>
    <t>Uploaded bank transaction report PDF (through 07/14/2026, balance $1,300,987.24). Fully reconcile the Reconciliation tab and make every displayed balance accurate; do not change draw data or approvals.</t>
  </si>
  <si>
    <t>Posted 4 new bank events to Reconciliation ledger: DRW-011 cleared 06/04 (date fixed from 06/15), June credit interest $2,459.17 (new inserted row 38), DRW-012 cleared 07/06, DRW-013 cleared 07/09 (date fixed to bank clear date). Updated Section 3 (draws formula now includes DRW-011/012/013, interest formula includes June, bank balance $1,300,987.24 as of 07/14/2026), zeroed Subsequent Events (all draws cleared), Section 5 uncleared-draws adjustment set to $0. Refreshed labels on Expense_Projection_Models (A3) and Funding_Summary_Models (A8:A12, B8 relinked to Reconciliation!D44).</t>
  </si>
  <si>
    <t>Row insert shifted Sections 3-5 down one row (Section 3 now rows 42-59, Section 5 rows 68-87); external refs auto-adjusted. Key formulas: D45=-(E15+E18+E22+E23+E24+E28+E31+E32+E34+E37+E39+E40)=-$5,610,816.29; D48 interest=$8,830.78 (=bank YTD); D51 bank balance hardcoded input with source note (WaFd report 07/14/2026). Interest still not tracked in Inflow_Register (flag item 3 remains MEDIUM by design). Draw_Register/Inflow_Register/approvals untouched.</t>
  </si>
  <si>
    <t>✅ Fully reconciled through 07/14/2026. Ledger F40 = Section 3 calc = bank = $1,300,987.24; D53=0, E81=0, Dashboard M22 '✅ Ties'. All balance displays (Dashboard B7/L22, Expense_Projection_Models A4, Funding_Summary_Models B12) show $1,300,987.24.</t>
  </si>
  <si>
    <t>Make sure the reconciliation picks up the 07/20 inflow (INF-008) and all balances are updated.</t>
  </si>
  <si>
    <t>Added INF-008 ($118,166.19 USI insurance refund, rec'd 07/20/2026) to Reconciliation ledger as row 41 (#28, deposit in transit — post 07/14 statement). Added deposit-in-transit lines to Section 3 (row 53), Subsequent Events (row 60), and Section 5 (E81). Changed Inflow_Register C12 category from "Insurance" to "Property Insurance" so Budget_Tracker SUMIF picks it up.</t>
  </si>
  <si>
    <t>Inserted 2 rows (41 and 60); all downstream refs auto-shifted. D48 inflows formula extended with +D41. D54 recon diff = D51-D52-D53 (calc vs bank + in-transit). Bank statement balance kept at $1,300,987.24 (07/14 report) — INF-008 pending on next bank report. Category assumed Property Insurance (USI refund); adjust if it belongs to another insurance line.</t>
  </si>
  <si>
    <t>✅ Balanced: calc $1,419,153.43 = bank $1,300,987.24 + in-transit $118,166.19; Section 5 WB vs Bank $0; Dashboard M22 ✅ Ties; inflow totals now $1,842,729.90 everywhere (Budget_Tracker K95, Dashboard F5/L20, Recon D76).</t>
  </si>
  <si>
    <t>AVA APARTMENTS</t>
  </si>
  <si>
    <t>Capital Draw Management System</t>
  </si>
  <si>
    <t>880 Units | Dallas, TX | Pennybacker Capital | CAF Management</t>
  </si>
  <si>
    <t>PROPERTY INFORMATION</t>
  </si>
  <si>
    <t>WORKBOOK TABS</t>
  </si>
  <si>
    <t>Property:</t>
  </si>
  <si>
    <t>AVA Apartments</t>
  </si>
  <si>
    <t>Dashboard</t>
  </si>
  <si>
    <t>Executive summary with budget utilization metrics</t>
  </si>
  <si>
    <t>Units:</t>
  </si>
  <si>
    <t>880</t>
  </si>
  <si>
    <t>New_Draw</t>
  </si>
  <si>
    <t>Create and submit new capital draw requests</t>
  </si>
  <si>
    <t>Owner:</t>
  </si>
  <si>
    <t>Pennybacker Capital</t>
  </si>
  <si>
    <t>Draw_Register</t>
  </si>
  <si>
    <t>Complete audit trail of all submitted draws</t>
  </si>
  <si>
    <t>Asset Manager:</t>
  </si>
  <si>
    <t>Arlast Capital LLC</t>
  </si>
  <si>
    <t>Budget_Tracker</t>
  </si>
  <si>
    <t>Detailed budget vs. actual by category</t>
  </si>
  <si>
    <t>Property Manager:</t>
  </si>
  <si>
    <t>CAF Management</t>
  </si>
  <si>
    <t>Config</t>
  </si>
  <si>
    <t>Reference lists and admin controls</t>
  </si>
  <si>
    <t>Budget Year:</t>
  </si>
  <si>
    <t>2026</t>
  </si>
  <si>
    <t>Total Capital Budget:</t>
  </si>
  <si>
    <t>$6,773,632</t>
  </si>
  <si>
    <t>DRAW SUBMISSION PROCESS</t>
  </si>
  <si>
    <t>1. Navigate to the 'New_Draw' tab</t>
  </si>
  <si>
    <t>2. Complete the Draw Header section (Quarter, Month, Type)</t>
  </si>
  <si>
    <t>3. Enter line items using the category dropdown - up to 25 lines per draw</t>
  </si>
  <si>
    <t>4. Review the draw total and verify available budget</t>
  </si>
  <si>
    <t>5. Click on "Print View" and export the draw request to PDF</t>
  </si>
  <si>
    <t>6. Upload the PDF draw request, along with the corresponding backup to the "Backup" folder in the drive</t>
  </si>
  <si>
    <t>7. Notify Sergio at sergio@arlast.com</t>
  </si>
  <si>
    <t>8. Click 'RECORD DRAW' button to log the draw to the register</t>
  </si>
  <si>
    <r>
      <t>•</t>
    </r>
    <r>
      <rPr>
        <b/>
        <sz val="10"/>
        <color rgb="FF000000"/>
        <rFont val="Calibri"/>
        <family val="2"/>
      </rPr>
      <t xml:space="preserve"> Standard draws:</t>
    </r>
    <r>
      <rPr>
        <sz val="10"/>
        <color rgb="FF000000"/>
        <rFont val="Calibri"/>
        <family val="2"/>
      </rPr>
      <t xml:space="preserve"> Submit by 25th of month for next month's funding</t>
    </r>
  </si>
  <si>
    <r>
      <t xml:space="preserve">• </t>
    </r>
    <r>
      <rPr>
        <b/>
        <sz val="10"/>
        <color rgb="FFC00000"/>
        <rFont val="Calibri"/>
        <family val="2"/>
      </rPr>
      <t>Emergency draws:</t>
    </r>
    <r>
      <rPr>
        <sz val="10"/>
        <color rgb="FF000000"/>
        <rFont val="Calibri"/>
        <family val="2"/>
      </rPr>
      <t xml:space="preserve"> Submit immediately with justification and notify Sergio right away</t>
    </r>
  </si>
  <si>
    <t>• All draws require pre-approval before disbursement</t>
  </si>
  <si>
    <t>• Supporting documentation (invoices, quotes) must accompany requests</t>
  </si>
  <si>
    <t>• Draw numbers are auto-generated - do not modify</t>
  </si>
  <si>
    <t>• Use 'CLEAR FORM' button to reset the draw entry form</t>
  </si>
  <si>
    <t>CONTACTS &amp; APPROVALS</t>
  </si>
  <si>
    <t>Submit draws and questions to: Sergio - Arlast Capital LLC</t>
  </si>
  <si>
    <t>AVA APARTMENTS — 2026 CAPITAL BUDGET DASHBOARD</t>
  </si>
  <si>
    <t>Last Updated:</t>
  </si>
  <si>
    <t>Funded to Date</t>
  </si>
  <si>
    <t>Gross Draws</t>
  </si>
  <si>
    <t>Inflows</t>
  </si>
  <si>
    <t>Net Capital Deployed</t>
  </si>
  <si>
    <t>Net Remaining</t>
  </si>
  <si>
    <t>Net % Utilized</t>
  </si>
  <si>
    <t>Bank Balance</t>
  </si>
  <si>
    <t>Draw Count</t>
  </si>
  <si>
    <t>Inflow Count</t>
  </si>
  <si>
    <t>Gross % Utilized</t>
  </si>
  <si>
    <t>Pending Approval</t>
  </si>
  <si>
    <t>Pending Inflows</t>
  </si>
  <si>
    <t>CAPITAL FLOW — FUNDED (Q1 ONLY)</t>
  </si>
  <si>
    <t>FUNDING STATUS BY QUARTER</t>
  </si>
  <si>
    <t>Q1 Budget</t>
  </si>
  <si>
    <t>Net Draws</t>
  </si>
  <si>
    <t>Q1 Remaining</t>
  </si>
  <si>
    <t>Net % Used</t>
  </si>
  <si>
    <t>Status</t>
  </si>
  <si>
    <t>Quarter</t>
  </si>
  <si>
    <t>Projected</t>
  </si>
  <si>
    <t>Funded</t>
  </si>
  <si>
    <t>Remaining</t>
  </si>
  <si>
    <t>1. Debt Service &amp; Taxes</t>
  </si>
  <si>
    <t>Q1 2026</t>
  </si>
  <si>
    <t>2. Lender Reserves</t>
  </si>
  <si>
    <t>Q2 2026</t>
  </si>
  <si>
    <t>3. AP &amp; Liabilities</t>
  </si>
  <si>
    <t>Q3 2026</t>
  </si>
  <si>
    <t>4. Insurance</t>
  </si>
  <si>
    <t>Q4 2026</t>
  </si>
  <si>
    <t>5. Capital Expenditures</t>
  </si>
  <si>
    <t>6. Unit Turns</t>
  </si>
  <si>
    <t>RESTRICTED ACCOUNT (WaFd *7940)</t>
  </si>
  <si>
    <t>7. Operating</t>
  </si>
  <si>
    <t>Funded (Actual)</t>
  </si>
  <si>
    <t>8. Marketing</t>
  </si>
  <si>
    <t>9. Legal &amp; Professional</t>
  </si>
  <si>
    <t>Inflows to Account</t>
  </si>
  <si>
    <t>10. Transition</t>
  </si>
  <si>
    <t>Interest Earned</t>
  </si>
  <si>
    <t>11. Contingency</t>
  </si>
  <si>
    <t>Bank Balance (per stmt)</t>
  </si>
  <si>
    <t>TOTAL (Q1 FUNDED)</t>
  </si>
  <si>
    <t>AVA APARTMENTS — RESTRICTED ACCOUNT RECONCILIATION</t>
  </si>
  <si>
    <t>SECTION 1: FUNDING TRUE-UP</t>
  </si>
  <si>
    <t>Description</t>
  </si>
  <si>
    <t>Amount</t>
  </si>
  <si>
    <t>Source</t>
  </si>
  <si>
    <t>Actual Pennybacker Funding (per bank)</t>
  </si>
  <si>
    <t>Bank stmts 01/26 + 04/16 + 06/03/2026</t>
  </si>
  <si>
    <t>CONFIRMED</t>
  </si>
  <si>
    <t>Workbook "Funded to Date" (Dashboard)</t>
  </si>
  <si>
    <t>Dashboard!B5 (Funded to Date)</t>
  </si>
  <si>
    <t>✅ RESOLVED</t>
  </si>
  <si>
    <t>Variance (Undershown)</t>
  </si>
  <si>
    <t>Funded - Workbook</t>
  </si>
  <si>
    <t>Note: Funded to Date reflects actual Pennybacker deposits — Q1 $2.6M (01/26) + Q2 $1.1M (04/16) + Q3 $1.6M (06/03) = $5,300,000.</t>
  </si>
  <si>
    <t>SECTION 2: BANK STATEMENT LEDGER vs. WORKBOOK REGISTERS</t>
  </si>
  <si>
    <t>#</t>
  </si>
  <si>
    <t>Bank Description</t>
  </si>
  <si>
    <t>Credit</t>
  </si>
  <si>
    <t>Debit</t>
  </si>
  <si>
    <t>Running Balance</t>
  </si>
  <si>
    <t>Draw/Inflow Ref</t>
  </si>
  <si>
    <t>Register Match</t>
  </si>
  <si>
    <t>Variance</t>
  </si>
  <si>
    <t>Notes / Flags</t>
  </si>
  <si>
    <t>Deposit - AVA Restricted Cash (Pennybacker Funding)</t>
  </si>
  <si>
    <t>FUNDING</t>
  </si>
  <si>
    <t>N/A</t>
  </si>
  <si>
    <t>Funding updated to $2,600,000 on Dashboard_v2!B5</t>
  </si>
  <si>
    <t>Withdrawal - AVA Draw 3 RE Tax 2025</t>
  </si>
  <si>
    <t>DRW-003</t>
  </si>
  <si>
    <t>✓ MATCHED</t>
  </si>
  <si>
    <t>RECONCILED</t>
  </si>
  <si>
    <t>8 parcel tax payments = $2,016,417.28</t>
  </si>
  <si>
    <t>Credit Interest (January)</t>
  </si>
  <si>
    <t>Deposit - AVA Capex Tfr RE Tax Lender Release</t>
  </si>
  <si>
    <t>INF-001</t>
  </si>
  <si>
    <t>Lender escrow release offsets DRW-003</t>
  </si>
  <si>
    <t>Withdrawal - AVA DRW-004 Mtg Shortfall</t>
  </si>
  <si>
    <t>DRW-004</t>
  </si>
  <si>
    <t>Mortgage shortfall - fully refunded 02/06</t>
  </si>
  <si>
    <t>Deposit - AVA DRW-004 Refund</t>
  </si>
  <si>
    <t>INF-002</t>
  </si>
  <si>
    <t>Refund of DRW-004 mortgage shortfall</t>
  </si>
  <si>
    <t>Credit Interest (February)</t>
  </si>
  <si>
    <t>Deposit - AVA Prior Mgmt Cash to Reserve</t>
  </si>
  <si>
    <t>INF-003</t>
  </si>
  <si>
    <t>Prior mgmt operating cash transfer</t>
  </si>
  <si>
    <t>Withdrawal - AVA DRW-001 Capex</t>
  </si>
  <si>
    <t>DRW-001</t>
  </si>
  <si>
    <t>Storage tank replacement Bldg 10 Phase 2</t>
  </si>
  <si>
    <t>Withdrawal - AVA DRW-002 Capex</t>
  </si>
  <si>
    <t>DRW-002</t>
  </si>
  <si>
    <t>Fire extinguisher inspection + replacements</t>
  </si>
  <si>
    <t>Withdrawal - AVA DRW-005 Mortgage Pymt. shortfall</t>
  </si>
  <si>
    <t>DRW-005</t>
  </si>
  <si>
    <t>Mortgage shortfall - fully refunded 03/10</t>
  </si>
  <si>
    <t>Deposit - Mortgage Pymt. shortfall (return)</t>
  </si>
  <si>
    <t>INF-004</t>
  </si>
  <si>
    <t>Refund of DRW-005 mortgage shortfall</t>
  </si>
  <si>
    <t>Withdrawal - RAAM LLC Lien AVA</t>
  </si>
  <si>
    <t>Credit Interest (March)</t>
  </si>
  <si>
    <t>INTEREST</t>
  </si>
  <si>
    <t>Withdrawal - April Mortgage Pymt. shortfall (DRW-007)</t>
  </si>
  <si>
    <t>DRW-007</t>
  </si>
  <si>
    <t>Deposit - Mortgage shortfall replenish (INF-005)</t>
  </si>
  <si>
    <t>INF-005</t>
  </si>
  <si>
    <t>Bank matches register</t>
  </si>
  <si>
    <t>Deposit - Q2 Funding (Pennybacker)</t>
  </si>
  <si>
    <t>INF-006</t>
  </si>
  <si>
    <t>Q2 capital funding from Pennybacker</t>
  </si>
  <si>
    <t>Withdrawal - AVA DRW-008 Rate Cap Purchase</t>
  </si>
  <si>
    <t>DRW-008</t>
  </si>
  <si>
    <t>Withdrawal - AVA DRW-009 AP Run 4.16</t>
  </si>
  <si>
    <t>DRW-009</t>
  </si>
  <si>
    <t>Credit Interest</t>
  </si>
  <si>
    <t>✖ MISSING</t>
  </si>
  <si>
    <t>⚠ NOT TRACKED</t>
  </si>
  <si>
    <t>Interest income not recorded in Inflow_Register</t>
  </si>
  <si>
    <t>Withdrawal — xfer from 7940 to 7866 — DRW-010</t>
  </si>
  <si>
    <t>DRW-010</t>
  </si>
  <si>
    <t>✅ RECONCILED</t>
  </si>
  <si>
    <t>May mortgage payment — Debt Service (P&amp;I)</t>
  </si>
  <si>
    <t>Credit Interest (May)</t>
  </si>
  <si>
    <t>Deposit - Q3 Funding (Pennybacker) xfer 7866→7940</t>
  </si>
  <si>
    <t>INF-007</t>
  </si>
  <si>
    <t>Q3 capital funding from Pennybacker (cleared 06/03)</t>
  </si>
  <si>
    <t>Withdrawal - AVA DRW-011 Mortgage Pymt. (May)</t>
  </si>
  <si>
    <t>DRW-011</t>
  </si>
  <si>
    <t>May mortgage payment — cleared bank 06/04/2026</t>
  </si>
  <si>
    <t>Credit Interest (June)</t>
  </si>
  <si>
    <t>Withdrawal - AVA DRW-012 Mortgage Pymt. (July)</t>
  </si>
  <si>
    <t>DRW-012</t>
  </si>
  <si>
    <t>July mortgage payment — cleared bank 07/06/2026</t>
  </si>
  <si>
    <t>Withdrawal - AVA DRW-013 Franchise Tax (CPM)</t>
  </si>
  <si>
    <t>DRW-013</t>
  </si>
  <si>
    <t>TX franchise tax to CPM — cleared bank 07/09/2026</t>
  </si>
  <si>
    <t>Deposit - USI Insurance Refund (INF-008) — rec'd 07/20/2026</t>
  </si>
  <si>
    <t>INF-008</t>
  </si>
  <si>
    <t>USI insurance refund — cleared bank 07/20/2026</t>
  </si>
  <si>
    <t>Credit Interest (July)</t>
  </si>
  <si>
    <t>Withdrawal - AVA DRW-014 Mortgage Pymt. (August)</t>
  </si>
  <si>
    <t>DRW-014</t>
  </si>
  <si>
    <t>August mortgage payment — cleared bank 08/03/2026</t>
  </si>
  <si>
    <t>SECTION 3: BALANCE RECONCILIATION</t>
  </si>
  <si>
    <t>Check</t>
  </si>
  <si>
    <t>Pennybacker Funding (Actual)</t>
  </si>
  <si>
    <t>Bank 01/26/2026 + Q2 04/16/2026</t>
  </si>
  <si>
    <t>Less: Total Draws Disbursed</t>
  </si>
  <si>
    <t>Less: RAAM LLC Lien (unregistered)</t>
  </si>
  <si>
    <t>Bank 03/12/2026 - NO DRAW #</t>
  </si>
  <si>
    <t>⚠ FLAG</t>
  </si>
  <si>
    <t>Plus: Inflows (Lender Release + Refunds + Op Cash)</t>
  </si>
  <si>
    <t>INF-001 thru INF-005 + INF-007 + INF-008 (excl. INF-006 Q2 fund)</t>
  </si>
  <si>
    <t>Plus: Interest Earned (YTD)</t>
  </si>
  <si>
    <t>Bank interest Jan thru Jul</t>
  </si>
  <si>
    <t>Calculated Balance</t>
  </si>
  <si>
    <t>Plus: Deposits in Transit</t>
  </si>
  <si>
    <t>None — INF-008 cleared the bank 07/20/2026 and is included above</t>
  </si>
  <si>
    <t>RECONCILIATION DIFFERENCE</t>
  </si>
  <si>
    <t>Bank Balance (07/14/2026)</t>
  </si>
  <si>
    <t>Per WaFd transaction report, after DRW-013</t>
  </si>
  <si>
    <t xml:space="preserve">  Plus: INF-008 USI Insurance Refund — rec'd 07/20/2026</t>
  </si>
  <si>
    <t>Cleared — now on bank</t>
  </si>
  <si>
    <t xml:space="preserve">  Plus: Credit Interest (July)</t>
  </si>
  <si>
    <t>Derived residual — confirm on July statement</t>
  </si>
  <si>
    <t xml:space="preserve">  Less: DRW-014 Mortgage Pymt. — 08/03/2026</t>
  </si>
  <si>
    <t>Draw_Register DRW-014 — Mortgage 08/03/2026</t>
  </si>
  <si>
    <t>SECTION 4: FLAGGED ITEMS — ACTION REQUIRED</t>
  </si>
  <si>
    <t>Severity</t>
  </si>
  <si>
    <t>Issue</t>
  </si>
  <si>
    <t>Impact</t>
  </si>
  <si>
    <t>Recommended Action</t>
  </si>
  <si>
    <t>Funding updated to $2,600,000 (was $2,551,479)</t>
  </si>
  <si>
    <t>Dashboard &amp; Budget Tracker underreport actual Pennybacker capital. "Funded to Date" references Q1 budget ($2,551,479) instead of actual bank deposit ($2,600,000).</t>
  </si>
  <si>
    <t>RESOLVED: Funding input updated to $2,600,000 on Dashboard_v2!B5. Old Dashboard tab removed.</t>
  </si>
  <si>
    <t>RAAM LLC Lien payment not in Draw Register</t>
  </si>
  <si>
    <t>$121,590.96 withdrawn from restricted account on 03/12 for "RAAM LLC -Lien AVA" with no corresponding draw request, no approval, and no budget category. This is an unauthorized disbursement from the restricted account.</t>
  </si>
  <si>
    <t>Investigate immediately. Create DRW-006 retroactively or document as exception. Determine budget category (Legal? AP?). Obtain retroactive approval. This should have followed the draw request workflow.</t>
  </si>
  <si>
    <t>Interest income not tracked ($2,298.88 YTD)</t>
  </si>
  <si>
    <t>Bank accrued $635.33 (Jan) + $1,663.55 (Feb) = $2,298.88 interest at 1.78% APY. Neither register tracks interest income. This increases the actual account balance above what the model implies.</t>
  </si>
  <si>
    <t>Add interest tracking to Inflow Register or create a separate interest ledger. Interest effectively increases available capital and should be reflected in remaining balance calculations.</t>
  </si>
  <si>
    <t>🟩 LOW</t>
  </si>
  <si>
    <t>DRW-001 &amp; DRW-002 bank timing vs. register dates</t>
  </si>
  <si>
    <t>DRW-001 and DRW-002 are dated January in the Draw Register but cleared the bank on 03/02/2026. The register date (01/17) reflects approval; the bank date (03/02) reflects disbursement. No dollar variance.</t>
  </si>
  <si>
    <t>Consider adding a "Disbursement Date" column to Draw Register to track when funds actually leave the restricted account, not just approval date.</t>
  </si>
  <si>
    <t>SECTION 5: TRUE-UP SUMMARY — ACTUAL CAPITAL POSITION</t>
  </si>
  <si>
    <t>Per Workbook</t>
  </si>
  <si>
    <t>Per Bank (True-Up)</t>
  </si>
  <si>
    <t>Total Capital Funded (Q1 + Q2 + Q3)</t>
  </si>
  <si>
    <t>Total Gross Draws</t>
  </si>
  <si>
    <t xml:space="preserve">  of which: RAAM LLC Lien (DRW-006, now registered)</t>
  </si>
  <si>
    <t>Total Inflows (Escrow + Refunds + Transfers)</t>
  </si>
  <si>
    <t>Interest Earned (YTD)</t>
  </si>
  <si>
    <t>Restricted Account Balance</t>
  </si>
  <si>
    <t xml:space="preserve">  Plus: Deposits in transit (none)</t>
  </si>
  <si>
    <t>Workbook vs. Bank Difference</t>
  </si>
  <si>
    <t>Difference Explained:</t>
  </si>
  <si>
    <t>Impact on WB Balance</t>
  </si>
  <si>
    <t xml:space="preserve">  Funding updated ✅</t>
  </si>
  <si>
    <t>Resolved — actual $2.6M used</t>
  </si>
  <si>
    <t xml:space="preserve">  RAAM LLC Lien now registered as DRW-006 ✅</t>
  </si>
  <si>
    <t>Resolved — DRW-006 created</t>
  </si>
  <si>
    <t>Resolved — Jan thru Jul tracked</t>
  </si>
  <si>
    <t>CAPITAL DRAW REQUEST</t>
  </si>
  <si>
    <t>AVA Apartments | Pennybacker Capital | 2026</t>
  </si>
  <si>
    <t>DRAW INFORMATION</t>
  </si>
  <si>
    <t>STATUS &amp; APPROVAL</t>
  </si>
  <si>
    <t>Draw Number:</t>
  </si>
  <si>
    <t>Status:</t>
  </si>
  <si>
    <t>Draft</t>
  </si>
  <si>
    <t>Draw Type:</t>
  </si>
  <si>
    <t>Submitted By:</t>
  </si>
  <si>
    <t>Quarter:</t>
  </si>
  <si>
    <t>Submission Date:</t>
  </si>
  <si>
    <t>Month:</t>
  </si>
  <si>
    <t>Draw Total:</t>
  </si>
  <si>
    <t>Prepared By:</t>
  </si>
  <si>
    <t>EMERGENCY JUSTIFICATION (Required for Emergency draws)</t>
  </si>
  <si>
    <t>LINE ITEMS</t>
  </si>
  <si>
    <t>Category</t>
  </si>
  <si>
    <t>Invoice/PO</t>
  </si>
  <si>
    <t>Qtr Budget</t>
  </si>
  <si>
    <t>Qtr Draws</t>
  </si>
  <si>
    <t>Available</t>
  </si>
  <si>
    <t>DRAW TOTAL</t>
  </si>
  <si>
    <t>Link for Nylsa and Alex:</t>
  </si>
  <si>
    <t>CAF_Draws</t>
  </si>
  <si>
    <t>AVA APARTMENTS - CAPITAL DRAW REGISTER</t>
  </si>
  <si>
    <t>Complete audit trail of all submitted capital draws</t>
  </si>
  <si>
    <t>Draw #</t>
  </si>
  <si>
    <t>Month</t>
  </si>
  <si>
    <t>Type</t>
  </si>
  <si>
    <t>Approved By</t>
  </si>
  <si>
    <t>Approval Date</t>
  </si>
  <si>
    <t>Plumbing/Water Heaters</t>
  </si>
  <si>
    <t>January</t>
  </si>
  <si>
    <t>Emergency</t>
  </si>
  <si>
    <t>Approved</t>
  </si>
  <si>
    <t>Storage Tank Replacement Building 10 Phase 2</t>
  </si>
  <si>
    <t>S.C</t>
  </si>
  <si>
    <t>Deferred Maint - Priority 1 (Safety)</t>
  </si>
  <si>
    <t>Standard</t>
  </si>
  <si>
    <t>Annual Inspection of Portable Extinguisher (293 units)</t>
  </si>
  <si>
    <t>EST-2348</t>
  </si>
  <si>
    <t>S.C.</t>
  </si>
  <si>
    <t>Service Call - No Parts / Inspection Only</t>
  </si>
  <si>
    <t>ABC &amp; BC Extinguisher Sales - 5 lb (28 units)</t>
  </si>
  <si>
    <t>Sales Tax on Fire Extinguisher Services</t>
  </si>
  <si>
    <t>Property Tax - Current Year</t>
  </si>
  <si>
    <t>2025 RE Tax Bill Dallas County</t>
  </si>
  <si>
    <t>Dallas County 791118080000</t>
  </si>
  <si>
    <t>Dallas County 8107000C0010000</t>
  </si>
  <si>
    <t>Dallas County 791118050000</t>
  </si>
  <si>
    <t>Dallas County 791118060000</t>
  </si>
  <si>
    <t>2025 RE Tax Bill Richardson ISD</t>
  </si>
  <si>
    <t>Richardson ISD 791118080000</t>
  </si>
  <si>
    <t>Richardson ISD 8107000C0010000</t>
  </si>
  <si>
    <t>Richardson ISD 791118050000</t>
  </si>
  <si>
    <t>Richardson ISD 791118060000</t>
  </si>
  <si>
    <t>Debt Service (P&amp;I)</t>
  </si>
  <si>
    <t>February</t>
  </si>
  <si>
    <t>Mortgage payment shortfall 2/5/26</t>
  </si>
  <si>
    <t>MesaWest330900386.020126</t>
  </si>
  <si>
    <t>March</t>
  </si>
  <si>
    <t>Mortgage Payment shortfall 3/4</t>
  </si>
  <si>
    <t>Mesa West 330900386.03/2026</t>
  </si>
  <si>
    <t>DRW-006</t>
  </si>
  <si>
    <t>Collection Agency Fees</t>
  </si>
  <si>
    <t>Legal/late fees</t>
  </si>
  <si>
    <t>Interior/Exterior Building Repairs</t>
  </si>
  <si>
    <t>RAAM LLC Lien</t>
  </si>
  <si>
    <t xml:space="preserve">4329 , 4330 , 4331 , 4332 , 4336 , 4337 , 4338 , 4339 , 4340 , 4341 , 4342 , 4343 , 4344 , 4345 , 4346 , 4347 , 4348 , 4349 , 4350 , 4351 , 4352 , 4353 , 4354 , 4355 , 4356 , 4358 , 4359 , 4360 , 4361 , 4362 , 4363 , 4364 , 4365 , 4366 , 4369 , 4370 , 4372 , 4373 , 4374 , 4375 , 4376 , 4377 , 4378 , 4379 , 4381 , 4382 , 4383 , 4385 , 4386 , 4387 , 4388 , 4389 , 4390 , 4391 , 4392 , 4393 , 4394 , 4395 , 4396 , 4397 , 4398 , 4399 , 4402 , 4403 , 4404 , 4405 , 4406 , 4407 , 4416 , 4423 , 4427 , 4428 , 4429 , 4430 , 4431 , 4432 , 4433 , 4437 , 4438 , 4439 , 4440 , 4441 , 4442 , 4444 , 4449 , 4450 , 4451
</t>
  </si>
  <si>
    <t>April</t>
  </si>
  <si>
    <t>Mortgage Payment shortfall 4/2</t>
  </si>
  <si>
    <t>Mesa West 330900386.04/2026</t>
  </si>
  <si>
    <t>Rate Cap Purchase</t>
  </si>
  <si>
    <t>Rate Cap purchase</t>
  </si>
  <si>
    <t>C6HACR8</t>
  </si>
  <si>
    <t>SOFR Cap Transaction Fee</t>
  </si>
  <si>
    <t>USKCA004162</t>
  </si>
  <si>
    <t>AP Balance</t>
  </si>
  <si>
    <t>AP Run 4.16.2026</t>
  </si>
  <si>
    <t>Multiple</t>
  </si>
  <si>
    <t>May</t>
  </si>
  <si>
    <t>Mortgage 5/4/2026</t>
  </si>
  <si>
    <t>330900386 5.4.2026</t>
  </si>
  <si>
    <t>June</t>
  </si>
  <si>
    <t>May mortgage payment</t>
  </si>
  <si>
    <t>330900386.05.2026</t>
  </si>
  <si>
    <t>July</t>
  </si>
  <si>
    <t>Mortgage 07/06/2026</t>
  </si>
  <si>
    <t>330900386.06.2026</t>
  </si>
  <si>
    <t>Accrued Expenses</t>
  </si>
  <si>
    <t>Franchise tax payment to CPM</t>
  </si>
  <si>
    <t>First payment July 2026</t>
  </si>
  <si>
    <t>August</t>
  </si>
  <si>
    <t>Mortgage 08/03/2026</t>
  </si>
  <si>
    <t>330900386.07.2026</t>
  </si>
  <si>
    <t>DRW-015</t>
  </si>
  <si>
    <t>Franchise tax payment to CPM Payment 2/3</t>
  </si>
  <si>
    <t>Second payment Aug 2026</t>
  </si>
  <si>
    <t>AVA APARTMENTS - ESCROW &amp; INFLOW REGISTER</t>
  </si>
  <si>
    <t>Audit trail for escrow releases, lender reimbursements, and other capital inflows</t>
  </si>
  <si>
    <t>Inflow #</t>
  </si>
  <si>
    <t>Offset Draw #</t>
  </si>
  <si>
    <t>Received By</t>
  </si>
  <si>
    <t>Receipt Date</t>
  </si>
  <si>
    <t>Lender Escrow Release</t>
  </si>
  <si>
    <t>Received</t>
  </si>
  <si>
    <t>Lender released tax escrow held for 2025 RE Tax - offsets DRW-003 property tax capital draw</t>
  </si>
  <si>
    <t>Michael Grace</t>
  </si>
  <si>
    <t>Operating Account Transfer</t>
  </si>
  <si>
    <t>Deposit - Transfer from DDA 7866 - AVA DRW-004 Refund</t>
  </si>
  <si>
    <t>General Contingency</t>
  </si>
  <si>
    <t>US Bank wire 02.23.26 IPS Operating Cash</t>
  </si>
  <si>
    <t>Deposit - Transfer from DDA 7866 - AVA DRW-005 Refund</t>
  </si>
  <si>
    <t>Jason Alonzo</t>
  </si>
  <si>
    <t>Deposit - Transfer from DDA 7866 - AVA DRW-007 Refund</t>
  </si>
  <si>
    <t>Q2 Funding</t>
  </si>
  <si>
    <t>Q3 funding</t>
  </si>
  <si>
    <t>Property Insurance</t>
  </si>
  <si>
    <t>USI Insurance refund</t>
  </si>
  <si>
    <t>AVA APARTMENTS - 2026 BUDGET TRACKER</t>
  </si>
  <si>
    <t>Quarterly budget allocations with real-time draw tracking</t>
  </si>
  <si>
    <t>Total Budget</t>
  </si>
  <si>
    <t>Total Draws</t>
  </si>
  <si>
    <t>Funded Remaining</t>
  </si>
  <si>
    <t>Property Tax - Reserve Shortfall</t>
  </si>
  <si>
    <t>Monthly Tax Escrow</t>
  </si>
  <si>
    <t>ECHFC Rent (PILOT)</t>
  </si>
  <si>
    <t>Replacement Reserve Funding</t>
  </si>
  <si>
    <t>Operating Reserve Funding</t>
  </si>
  <si>
    <t>Insurance Reserve Funding</t>
  </si>
  <si>
    <t>Other Lender Reserves</t>
  </si>
  <si>
    <t>Security Deposit Liability</t>
  </si>
  <si>
    <t>Liability Insurance</t>
  </si>
  <si>
    <t>Flood Insurance</t>
  </si>
  <si>
    <t>Workers Comp</t>
  </si>
  <si>
    <t>Deferred Maint - Priority 2 (Operational)</t>
  </si>
  <si>
    <t>Deferred Maint - Priority 3 (Cosmetic)</t>
  </si>
  <si>
    <t>Emergency CapEx Reserve</t>
  </si>
  <si>
    <t>HVAC Replacements</t>
  </si>
  <si>
    <t>Roof Repairs/Replacement</t>
  </si>
  <si>
    <t>Electrical/Lighting Upgrades</t>
  </si>
  <si>
    <t>Parking Lot/Exterior</t>
  </si>
  <si>
    <t>Pool/Amenity Improvements</t>
  </si>
  <si>
    <t>Signage/Branding</t>
  </si>
  <si>
    <t>Security/Access Control</t>
  </si>
  <si>
    <t>Standard Turn Budget</t>
  </si>
  <si>
    <t>Heavy Rehab/Down Units</t>
  </si>
  <si>
    <t>Appliance Replacements</t>
  </si>
  <si>
    <t>Flooring Replacements</t>
  </si>
  <si>
    <t>Cabinet/Countertop Upgrades</t>
  </si>
  <si>
    <t>Unit Doors/Drapes/Blinds</t>
  </si>
  <si>
    <t>Fixtures/Glass/Screens</t>
  </si>
  <si>
    <t>Unit Plumbing</t>
  </si>
  <si>
    <t>Payroll - Site Staff</t>
  </si>
  <si>
    <t>Utilities - Common Area</t>
  </si>
  <si>
    <t>Contract Services - Landscaping</t>
  </si>
  <si>
    <t>Contract Services - Pest Control</t>
  </si>
  <si>
    <t>Contract Services - Pool</t>
  </si>
  <si>
    <t>Contract Services - Elevator</t>
  </si>
  <si>
    <t>Repairs &amp; Maintenance</t>
  </si>
  <si>
    <t>Administrative/Office</t>
  </si>
  <si>
    <t>Bad Debt/Collection Loss</t>
  </si>
  <si>
    <t>Operating Deficit Carry</t>
  </si>
  <si>
    <t>Digital Marketing</t>
  </si>
  <si>
    <t>ILS/Listing Services</t>
  </si>
  <si>
    <t>Paid Search/Social Ads</t>
  </si>
  <si>
    <t>Resident Events/Retention</t>
  </si>
  <si>
    <t>Leasing Commissions/Bonuses</t>
  </si>
  <si>
    <t>Collateral/Photography</t>
  </si>
  <si>
    <t>Eviction - Filing Fees</t>
  </si>
  <si>
    <t>Eviction - Attorney Fees</t>
  </si>
  <si>
    <t>Owner Legal Fees</t>
  </si>
  <si>
    <t>Accounting/Audit Fees</t>
  </si>
  <si>
    <t>Environmental/Engineering</t>
  </si>
  <si>
    <t>PM Transition Costs</t>
  </si>
  <si>
    <t>Software/Technology Setup</t>
  </si>
  <si>
    <t>Training/Staff Onboarding</t>
  </si>
  <si>
    <t>Development Feasibility</t>
  </si>
  <si>
    <t>Due Diligence/Valuation</t>
  </si>
  <si>
    <t>HFC Compliance Fee</t>
  </si>
  <si>
    <t>GRAND TOTAL</t>
  </si>
  <si>
    <t>880 Units | Dallas, TX | Pennybacker Capital</t>
  </si>
  <si>
    <t>Draw #:</t>
  </si>
  <si>
    <t>Type:</t>
  </si>
  <si>
    <t>Date:</t>
  </si>
  <si>
    <t>Emergency Justification:</t>
  </si>
  <si>
    <t>DRAW TOTAL:</t>
  </si>
  <si>
    <t>APPROVALS</t>
  </si>
  <si>
    <t>CAF Management:</t>
  </si>
  <si>
    <t>________________________</t>
  </si>
  <si>
    <t>____________</t>
  </si>
  <si>
    <t>Arlast Capital:</t>
  </si>
  <si>
    <t>CAF expense projections with Base / Middle / High scenario analysis</t>
  </si>
  <si>
    <t>Current Model</t>
  </si>
  <si>
    <t>CAF - Submitted Projections</t>
  </si>
  <si>
    <t>IPS 2025 T12</t>
  </si>
  <si>
    <t>CAF Q1 Annualized</t>
  </si>
  <si>
    <t>Base Case</t>
  </si>
  <si>
    <t>Middle Case</t>
  </si>
  <si>
    <t>High Case</t>
  </si>
  <si>
    <t>AVA APARTMENTS — 2026 FUNDING SCENARIO ANALYSIS</t>
  </si>
  <si>
    <t>Remainder of 2026 (Q2–Q4) | Restricted Account WaFd *7940</t>
  </si>
  <si>
    <t>SCENARIO ADJUSTMENTS</t>
  </si>
  <si>
    <t>AP Aging Paydown (90+ Days)</t>
  </si>
  <si>
    <t>← Enter amount (or $0 to exclude)</t>
  </si>
  <si>
    <t xml:space="preserve">  Paydown Quarter</t>
  </si>
  <si>
    <t>Q2</t>
  </si>
  <si>
    <t>CAPITAL POSITION</t>
  </si>
  <si>
    <t>Pennybacker Funding (Q1 $2.6M + Q2 $1.1M)</t>
  </si>
  <si>
    <t>Draws Disbursed (Actual, cleared bank)</t>
  </si>
  <si>
    <t>Inflows (Q3 funding + refunds + op cash)</t>
  </si>
  <si>
    <t>QUARTERLY FUNDING REQUIREMENTS</t>
  </si>
  <si>
    <t>Q1 (Actual)</t>
  </si>
  <si>
    <t>Q3</t>
  </si>
  <si>
    <t>Q4</t>
  </si>
  <si>
    <t>Full Year Total</t>
  </si>
  <si>
    <t>Projected Draws</t>
  </si>
  <si>
    <t xml:space="preserve">  Base Case (Q1 Run Rate)</t>
  </si>
  <si>
    <t xml:space="preserve">  Middle Case (Operator Est.)</t>
  </si>
  <si>
    <t xml:space="preserve">  High Case (Max Historical)</t>
  </si>
  <si>
    <t>RUNNING BALANCE BY QUARTER</t>
  </si>
  <si>
    <t>End Q1</t>
  </si>
  <si>
    <t>End Q2</t>
  </si>
  <si>
    <t>End Q3</t>
  </si>
  <si>
    <t>End Q4</t>
  </si>
  <si>
    <t xml:space="preserve">  Base Case</t>
  </si>
  <si>
    <t xml:space="preserve">  Middle Case</t>
  </si>
  <si>
    <t xml:space="preserve">  High Case</t>
  </si>
  <si>
    <t>ADDITIONAL FUNDING REQUIRED (Q2–Q4)</t>
  </si>
  <si>
    <t>Remaining Spend (Q2–Q4)</t>
  </si>
  <si>
    <t>Current Bank Balance</t>
  </si>
  <si>
    <t>Additional Funding Needed</t>
  </si>
  <si>
    <t>SCENARIO METHODOLOGY</t>
  </si>
  <si>
    <t>Base Case:</t>
  </si>
  <si>
    <t>New Operator Q1 2026 annualized run rate (×4). Assumes current spend pace continues.</t>
  </si>
  <si>
    <t>Middle Case:</t>
  </si>
  <si>
    <t>Operator's capex budget estimate (CAF projections). Planned spend.</t>
  </si>
  <si>
    <t>High Case:</t>
  </si>
  <si>
    <t>MAX of Operator Estimate vs. Old Operator T12 combined. Worst-case historical envelope.</t>
  </si>
  <si>
    <t>Fixed Expenses:</t>
  </si>
  <si>
    <t>Debt Service, Insurance, Legal, Transition — identical across all scenarios (budgeted amounts).</t>
  </si>
  <si>
    <t>USES OF FUNDS</t>
  </si>
  <si>
    <t>% of Total (Mid)</t>
  </si>
  <si>
    <t>Debt Service &amp; Taxes</t>
  </si>
  <si>
    <t>Lender Reserves</t>
  </si>
  <si>
    <t>AP &amp; Liabilities</t>
  </si>
  <si>
    <t>Insurance</t>
  </si>
  <si>
    <t>Capital Expenditures</t>
  </si>
  <si>
    <t>Unit Turns</t>
  </si>
  <si>
    <t>Operating</t>
  </si>
  <si>
    <t>Marketing</t>
  </si>
  <si>
    <t>Legal &amp; Professional</t>
  </si>
  <si>
    <t>Transition &amp; Contingency</t>
  </si>
  <si>
    <t>TOTAL USES</t>
  </si>
  <si>
    <t>Base</t>
  </si>
  <si>
    <t>Middle</t>
  </si>
  <si>
    <t>High</t>
  </si>
  <si>
    <t>Q1</t>
  </si>
  <si>
    <t>Start (Apr '26)</t>
  </si>
  <si>
    <t>Scenario</t>
  </si>
  <si>
    <t>AP Aging</t>
  </si>
  <si>
    <t>AVA</t>
  </si>
  <si>
    <t>May 2026</t>
  </si>
  <si>
    <t>Vendor</t>
  </si>
  <si>
    <t>Open Balance</t>
  </si>
  <si>
    <t>Current</t>
  </si>
  <si>
    <t>1-30 Days</t>
  </si>
  <si>
    <t>31-60 Days</t>
  </si>
  <si>
    <t>61-90 Days</t>
  </si>
  <si>
    <t>91+ Days</t>
  </si>
  <si>
    <t>Ameristar Screen &amp; Glass</t>
  </si>
  <si>
    <t>Aplus Carpet Cleaning and Services</t>
  </si>
  <si>
    <t>Arizona Air-Scent Inc.</t>
  </si>
  <si>
    <t>Atmos Energy</t>
  </si>
  <si>
    <t>Capital Partners Management, LLC</t>
  </si>
  <si>
    <t>Celeri Labs, Inc</t>
  </si>
  <si>
    <t>Chadwell Supply, Inc.</t>
  </si>
  <si>
    <t>City of Dallas</t>
  </si>
  <si>
    <t>Clear Evaluations</t>
  </si>
  <si>
    <t>Core Distributing</t>
  </si>
  <si>
    <t>Foundation Specialists, Inc.</t>
  </si>
  <si>
    <t>Gold Landscape, LLC</t>
  </si>
  <si>
    <t>Handytrac Systems LLC</t>
  </si>
  <si>
    <t>HD Supply Facilities Maintenance</t>
  </si>
  <si>
    <t>JT Plumbing Solutions</t>
  </si>
  <si>
    <t>KPMG LLP</t>
  </si>
  <si>
    <t>LeaseLock Payment Services, Inc</t>
  </si>
  <si>
    <t>Maintenance Supply HQ DBA Lowe's Pro Supply</t>
  </si>
  <si>
    <t>Maintenance Supply Solutions</t>
  </si>
  <si>
    <t>Make Ready Central</t>
  </si>
  <si>
    <t>Massey Services, Inc</t>
  </si>
  <si>
    <t>National Valuation Consultants, Inc.</t>
  </si>
  <si>
    <t>Pennybacker Evergreen Partners, LP</t>
  </si>
  <si>
    <t>Possession Partner LLC</t>
  </si>
  <si>
    <t>Rasa Floors, LLC</t>
  </si>
  <si>
    <t>RC Housekeeping Services</t>
  </si>
  <si>
    <t>Redi Carpet - Dallas, Texas</t>
  </si>
  <si>
    <t>Renovations Services</t>
  </si>
  <si>
    <t>Rentable</t>
  </si>
  <si>
    <t>RentVision</t>
  </si>
  <si>
    <t>Texas Apartment Locating</t>
  </si>
  <si>
    <t>the copier guy</t>
  </si>
  <si>
    <t>TXU Electric</t>
  </si>
  <si>
    <t>UG Management LLC</t>
  </si>
  <si>
    <t>Verified Response Security &amp; Investigations</t>
  </si>
  <si>
    <t>Waterproofing &amp; Constructions Solutions LLC, DBA LSR Multifamily</t>
  </si>
  <si>
    <t>W Partnership</t>
  </si>
  <si>
    <t>AVA Total:</t>
  </si>
  <si>
    <t>Balance Sheet</t>
  </si>
  <si>
    <t>Accrual Basis</t>
  </si>
  <si>
    <t>Account Name</t>
  </si>
  <si>
    <t>Apr 2026</t>
  </si>
  <si>
    <t>Balance Sheet: May 2026</t>
  </si>
  <si>
    <t>Balance Sheet: Unit Spaces</t>
  </si>
  <si>
    <t>Balance Sheet: 0</t>
  </si>
  <si>
    <t>Balance Sheet: 1</t>
  </si>
  <si>
    <t>Balance Sheet: 2</t>
  </si>
  <si>
    <t>Balance Sheet: 3</t>
  </si>
  <si>
    <t>Balance Sheet: 5</t>
  </si>
  <si>
    <t>Balance Sheet: 6</t>
  </si>
  <si>
    <t>Balance Sheet: 8</t>
  </si>
  <si>
    <t>Balance Sheet: 9</t>
  </si>
  <si>
    <t>Balance Sheet: 10</t>
  </si>
  <si>
    <t>Balance Sheet: 22</t>
  </si>
  <si>
    <t>Balance Sheet: 23</t>
  </si>
  <si>
    <t>Balance Sheet: 24</t>
  </si>
  <si>
    <t>Assets</t>
  </si>
  <si>
    <t>Current Assets</t>
  </si>
  <si>
    <t>Cash</t>
  </si>
  <si>
    <t>Cash - Operating Account</t>
  </si>
  <si>
    <t>Assets|Current Assets|Cash</t>
  </si>
  <si>
    <t>00000|00000|00000</t>
  </si>
  <si>
    <t>Cash - Deposit Sweep</t>
  </si>
  <si>
    <t>Cash - Capex</t>
  </si>
  <si>
    <t>Undeposited Funds</t>
  </si>
  <si>
    <t>Accounts Receivable</t>
  </si>
  <si>
    <t>Assets|Current Assets|Accounts Receivable</t>
  </si>
  <si>
    <t>00000|00000|00001</t>
  </si>
  <si>
    <t>Accounts Receivable - Reserve</t>
  </si>
  <si>
    <t>Accounts Receivable - Other</t>
  </si>
  <si>
    <t>Deposits &amp; Escrows</t>
  </si>
  <si>
    <t>Escrow - Real Estate Taxes</t>
  </si>
  <si>
    <t>Assets|Current Assets|Deposits &amp; Escrows</t>
  </si>
  <si>
    <t>00000|00000|00002</t>
  </si>
  <si>
    <t>Escrow - Property Insurance</t>
  </si>
  <si>
    <t>Escrow - Lender Other</t>
  </si>
  <si>
    <t>Other Current Assets</t>
  </si>
  <si>
    <t>Prepaid Insurance</t>
  </si>
  <si>
    <t>Assets|Current Assets|Other Current Assets</t>
  </si>
  <si>
    <t>00000|00000|00003</t>
  </si>
  <si>
    <t>Prepaid Expenses</t>
  </si>
  <si>
    <t>Fixed Assets</t>
  </si>
  <si>
    <t>Land</t>
  </si>
  <si>
    <t>Assets|Fixed Assets|Fixed Assets</t>
  </si>
  <si>
    <t>00000|00001|00000</t>
  </si>
  <si>
    <t>Apartment Buildings</t>
  </si>
  <si>
    <t>Flooring</t>
  </si>
  <si>
    <t>Appliances &amp; Equipment</t>
  </si>
  <si>
    <t>Exterior</t>
  </si>
  <si>
    <t>Interior Other</t>
  </si>
  <si>
    <t>Cabinets/Counters</t>
  </si>
  <si>
    <t>Electrical</t>
  </si>
  <si>
    <t>Plumbing</t>
  </si>
  <si>
    <t>Equipment</t>
  </si>
  <si>
    <t>Fire &amp; Safety</t>
  </si>
  <si>
    <t>HVAC/Water Heater</t>
  </si>
  <si>
    <t>Landscape Projects</t>
  </si>
  <si>
    <t>Foundations/Structural</t>
  </si>
  <si>
    <t>Closing Costs</t>
  </si>
  <si>
    <t>Soft Costs</t>
  </si>
  <si>
    <t>Construction Mgmt</t>
  </si>
  <si>
    <t>Loan Fees</t>
  </si>
  <si>
    <t>Interest Rate Cap</t>
  </si>
  <si>
    <t>Loan Fees Legal</t>
  </si>
  <si>
    <t>Depreciation &amp; Amortization</t>
  </si>
  <si>
    <t>Accumulated Amortization - Other</t>
  </si>
  <si>
    <t>Assets|Fixed Assets|Depreciation &amp; Amortization</t>
  </si>
  <si>
    <t>00000|00001|00001</t>
  </si>
  <si>
    <t>Other Assets</t>
  </si>
  <si>
    <t>Suspense</t>
  </si>
  <si>
    <t>Assets|Other Assets</t>
  </si>
  <si>
    <t>00000|00002</t>
  </si>
  <si>
    <t>Liabilities &amp; Equity</t>
  </si>
  <si>
    <t>Liabilities</t>
  </si>
  <si>
    <t>Current Liabilities</t>
  </si>
  <si>
    <t>Accounts Payable</t>
  </si>
  <si>
    <t>Liabilities &amp; Equity|Liabilities|Current Liabilities</t>
  </si>
  <si>
    <t>00001|00000</t>
  </si>
  <si>
    <t>Accounts Payable - Other</t>
  </si>
  <si>
    <t>Deferred Income</t>
  </si>
  <si>
    <t>Asset Management Fee Payable</t>
  </si>
  <si>
    <t>Real Estate Taxes Payable</t>
  </si>
  <si>
    <t>Escrow and Debt Service Payable</t>
  </si>
  <si>
    <t>Tenant Deposits Liability</t>
  </si>
  <si>
    <t>Long Term Liabilities</t>
  </si>
  <si>
    <t>Loan Payable - 1st Lien</t>
  </si>
  <si>
    <t>Liabilities &amp; Equity|Liabilities|Long Term Liabilities</t>
  </si>
  <si>
    <t>00001|00001</t>
  </si>
  <si>
    <t>Equity</t>
  </si>
  <si>
    <t>Equity Position</t>
  </si>
  <si>
    <t>Owner's Control</t>
  </si>
  <si>
    <t>Liabilities &amp; Equity|Equity|Equity Position</t>
  </si>
  <si>
    <t>00002|00000</t>
  </si>
  <si>
    <t>Distributions</t>
  </si>
  <si>
    <t>Retained Earnings</t>
  </si>
  <si>
    <t>Liabilities &amp; Equity|Equity|Retained Earnings</t>
  </si>
  <si>
    <t>00002|00001</t>
  </si>
  <si>
    <t>GL Details</t>
  </si>
  <si>
    <t>Jan 2026 - Dec 2026</t>
  </si>
  <si>
    <t>Account</t>
  </si>
  <si>
    <t>Transaction Date</t>
  </si>
  <si>
    <t>Post Date</t>
  </si>
  <si>
    <t>Post Month</t>
  </si>
  <si>
    <t>Reference</t>
  </si>
  <si>
    <t>Transaction Type</t>
  </si>
  <si>
    <t>Memo/Note</t>
  </si>
  <si>
    <t>BLDG-Unit</t>
  </si>
  <si>
    <t>Resident/Vendor</t>
  </si>
  <si>
    <t>Net Change</t>
  </si>
  <si>
    <t>Balance</t>
  </si>
  <si>
    <t>GL Details: Beginning Balance</t>
  </si>
  <si>
    <t>GL Account: 2001: Accounts Payable</t>
  </si>
  <si>
    <t>2001</t>
  </si>
  <si>
    <t xml:space="preserve">Beginning Balance </t>
  </si>
  <si>
    <t>Inv #774224</t>
  </si>
  <si>
    <t>Invoice</t>
  </si>
  <si>
    <t>2024 Property Tax services - Litigation</t>
  </si>
  <si>
    <t>Ryan LLC</t>
  </si>
  <si>
    <t>Inv #752235</t>
  </si>
  <si>
    <t>Inv #752236</t>
  </si>
  <si>
    <t>Inv #752237</t>
  </si>
  <si>
    <t>Inv #774223</t>
  </si>
  <si>
    <t>2024 Property Tax Services</t>
  </si>
  <si>
    <t>Inv #1522175</t>
  </si>
  <si>
    <t>patio door glass</t>
  </si>
  <si>
    <t>Inv #778812</t>
  </si>
  <si>
    <t>2025 Property tax services administrative fee</t>
  </si>
  <si>
    <t>Inv #778809</t>
  </si>
  <si>
    <t>Inv #778810</t>
  </si>
  <si>
    <t>Inv #778811</t>
  </si>
  <si>
    <t>Inv #1187032</t>
  </si>
  <si>
    <t>File 6891.003 Legal Services</t>
  </si>
  <si>
    <t>Higier Allen &amp; Lautin, P.C.</t>
  </si>
  <si>
    <t>Inv #1989-14</t>
  </si>
  <si>
    <t>Change Order - Drywall/TBT</t>
  </si>
  <si>
    <t>Change Order - Miscellaneous</t>
  </si>
  <si>
    <t>Change Order - Carpentry</t>
  </si>
  <si>
    <t>Change Order - Kilz</t>
  </si>
  <si>
    <t>Make Ready Punch List</t>
  </si>
  <si>
    <t>Housekeeping</t>
  </si>
  <si>
    <t>Full Paint</t>
  </si>
  <si>
    <t>Paint Bathroom Cabinets</t>
  </si>
  <si>
    <t>Paint Kitchen Cabinets</t>
  </si>
  <si>
    <t>Drywall/TBT</t>
  </si>
  <si>
    <t>Resurfacing</t>
  </si>
  <si>
    <t>Replace Drawer</t>
  </si>
  <si>
    <t>Paint Front Door</t>
  </si>
  <si>
    <t>Patio Blind</t>
  </si>
  <si>
    <t>Light Fixture</t>
  </si>
  <si>
    <t>Smoke Detector</t>
  </si>
  <si>
    <t>Inv #4449</t>
  </si>
  <si>
    <t>Replace carpet in bedrooms</t>
  </si>
  <si>
    <t>Real Advice Service</t>
  </si>
  <si>
    <t>Inv #4450</t>
  </si>
  <si>
    <t>Install new carpet on stairs -Replace carpet in bedrooms</t>
  </si>
  <si>
    <t>Inv #4451</t>
  </si>
  <si>
    <t>Install new vinyl flooring throughout -Replace carpet in bedrooms</t>
  </si>
  <si>
    <t>Inv #2167-13</t>
  </si>
  <si>
    <t>Carpet Shampoo</t>
  </si>
  <si>
    <t>Paint Exterior Front Door</t>
  </si>
  <si>
    <t>Inv #2168-12</t>
  </si>
  <si>
    <t>Paint Exterior Door</t>
  </si>
  <si>
    <t>TV Rack</t>
  </si>
  <si>
    <t>Inv #2025-980</t>
  </si>
  <si>
    <t>Dallas Community Lighthouse dba Kids-U</t>
  </si>
  <si>
    <t>Inv #179-12</t>
  </si>
  <si>
    <t>Change Order - Resurfacing</t>
  </si>
  <si>
    <t>Blinds</t>
  </si>
  <si>
    <t>Inv #173-10</t>
  </si>
  <si>
    <t>Miscellaneous</t>
  </si>
  <si>
    <t>Carpentry</t>
  </si>
  <si>
    <t>Inv #1J931-122025</t>
  </si>
  <si>
    <t>Safe Rent</t>
  </si>
  <si>
    <t>SafeRent Solutions, LLC</t>
  </si>
  <si>
    <t>Inv #12406</t>
  </si>
  <si>
    <t>Monthly Patrol December17-31st 2025</t>
  </si>
  <si>
    <t>Inv #PRAS0431</t>
  </si>
  <si>
    <t>PLANK</t>
  </si>
  <si>
    <t>Inv #APT055241</t>
  </si>
  <si>
    <t>MC, MCS, Insite (MI, PR, WO, UT)</t>
  </si>
  <si>
    <t>Apartment Ratings</t>
  </si>
  <si>
    <t>Inv #3063528</t>
  </si>
  <si>
    <t>0138 WB56X22160 INNER GLASS</t>
  </si>
  <si>
    <t>Inv #5027228-1</t>
  </si>
  <si>
    <t>estimates for the electrical panels for boilers, and other elctrical issues for the exterior</t>
  </si>
  <si>
    <t>CANO ELECTRIC, INC</t>
  </si>
  <si>
    <t>Inv #055403728263</t>
  </si>
  <si>
    <t>TXU Energy commercial electricity invoice - Service period 11/19/2025 – 12/18/2025</t>
  </si>
  <si>
    <t>Inv #055103795323</t>
  </si>
  <si>
    <t>TXU Energy commercial electricity invoice - Service period  11/17/2025–12/18/2025</t>
  </si>
  <si>
    <t>Inv #539556-3794</t>
  </si>
  <si>
    <t>gate estimate-takeover</t>
  </si>
  <si>
    <t>Metro Communication Systems, Inc</t>
  </si>
  <si>
    <t>Inv #2162-12</t>
  </si>
  <si>
    <t>Kilz</t>
  </si>
  <si>
    <t>Touch Up Paint</t>
  </si>
  <si>
    <t>Inv #176-9</t>
  </si>
  <si>
    <t>Toilet Seat</t>
  </si>
  <si>
    <t>Paint Single Ceiling</t>
  </si>
  <si>
    <t>Inv #2101012</t>
  </si>
  <si>
    <t>Legal Services</t>
  </si>
  <si>
    <t>Jackson Walker LLP</t>
  </si>
  <si>
    <t>Inv #11400</t>
  </si>
  <si>
    <t>office clean</t>
  </si>
  <si>
    <t>gym/community center clean</t>
  </si>
  <si>
    <t>laundry center south clean</t>
  </si>
  <si>
    <t>kids U clean</t>
  </si>
  <si>
    <t>431S housekeeping</t>
  </si>
  <si>
    <t>1091N housekeeping</t>
  </si>
  <si>
    <t>Inv #1188930</t>
  </si>
  <si>
    <t>Inv #3064396</t>
  </si>
  <si>
    <t>5.5 Watt A19 LED 5000K - 40 Watt Equiv - Non-Dimmable - Frost Bright White Light Bulb - 4/pack</t>
  </si>
  <si>
    <t>Dy-Chlor II Multi Shock Granular - 50 Lb</t>
  </si>
  <si>
    <t>Inv #INV0170</t>
  </si>
  <si>
    <t>Unit 3067 balcony repair</t>
  </si>
  <si>
    <t>DHZ Painting</t>
  </si>
  <si>
    <t>Inv #INV0171</t>
  </si>
  <si>
    <t>Unit 2067 Balcony ceiling repair</t>
  </si>
  <si>
    <t>Inv #3064717</t>
  </si>
  <si>
    <t>8Surface Element - TP21YA</t>
  </si>
  <si>
    <t>Universal Chrome Burner Bowls - 6</t>
  </si>
  <si>
    <t>Universal Chrome Burner Bowls - 8</t>
  </si>
  <si>
    <t>Inv #INA-210708</t>
  </si>
  <si>
    <t>#53883 - 2026 Ava Apts. Multi-Family Contract RENEWAL-IP953886 January 2026</t>
  </si>
  <si>
    <t>Inv #2587493081</t>
  </si>
  <si>
    <t>Recurring Charges</t>
  </si>
  <si>
    <t>Entrata</t>
  </si>
  <si>
    <t>Set Up Charges</t>
  </si>
  <si>
    <t>Other Charges</t>
  </si>
  <si>
    <t>Inv #2549317101</t>
  </si>
  <si>
    <t>Implementation charges for SIM Migration for AVA - AVA</t>
  </si>
  <si>
    <t>Utilities Pro - AVA</t>
  </si>
  <si>
    <t>Inv #114484</t>
  </si>
  <si>
    <t>Inv #INV335351</t>
  </si>
  <si>
    <t>Google Business AI</t>
  </si>
  <si>
    <t>Inv #1959984</t>
  </si>
  <si>
    <t>Online Monthly Subscription Fee</t>
  </si>
  <si>
    <t>Inv #9159360-0126</t>
  </si>
  <si>
    <t>Pest Prevention</t>
  </si>
  <si>
    <t>Inv #12310</t>
  </si>
  <si>
    <t>January invoice</t>
  </si>
  <si>
    <t>Inv #123288250</t>
  </si>
  <si>
    <t>Network 3 Diamond Plus w/ Matterport</t>
  </si>
  <si>
    <t>Apartments.com</t>
  </si>
  <si>
    <t>Inv #INV337783</t>
  </si>
  <si>
    <t>ApartmentIQ</t>
  </si>
  <si>
    <t>Inv #PR5870-202512</t>
  </si>
  <si>
    <t>Income + ID Verification</t>
  </si>
  <si>
    <t>Inv #19753351-00</t>
  </si>
  <si>
    <t>5G 2000 SEMI HI-HIDE WHT</t>
  </si>
  <si>
    <t>Inv #12060</t>
  </si>
  <si>
    <t>133s sink clogged</t>
  </si>
  <si>
    <t>Inv #A2086NB-1</t>
  </si>
  <si>
    <t>2-2086 balcony repairs</t>
  </si>
  <si>
    <t>Kingdom Construction Company LLC</t>
  </si>
  <si>
    <t>Inv #INV-3064934</t>
  </si>
  <si>
    <t>Watco Nufit® Universal  Lift &amp; Turn Tub Drain Assembly - Chrome</t>
  </si>
  <si>
    <t>3M Respirator N95 Mask With Cool Flow Valve - 10/pack</t>
  </si>
  <si>
    <t>HTH Chlorine Granules - 50 lb</t>
  </si>
  <si>
    <t>Inv #051052774688</t>
  </si>
  <si>
    <t>Water</t>
  </si>
  <si>
    <t>Inv #050604311119</t>
  </si>
  <si>
    <t>Inv #050604311120</t>
  </si>
  <si>
    <t>Inv #051002822549</t>
  </si>
  <si>
    <t>Inv #INV-3065079</t>
  </si>
  <si>
    <t>8" x 4" 2-Way Wall/Ceiling Register</t>
  </si>
  <si>
    <t>GE® Refrigerator Evaporator Fan Motor - WR60X10141</t>
  </si>
  <si>
    <t>6" Universal Surface Element - TP12YA</t>
  </si>
  <si>
    <t>8" Universal Surface Element - TP21YA</t>
  </si>
  <si>
    <t>Universal Range Range Receptacle &amp; Wire Kit - RR110</t>
  </si>
  <si>
    <t>Pfister Single Handle Bathroom Vessel Faucet - Satin Nickel</t>
  </si>
  <si>
    <t>CFG Capstone Two Handle Kitchen Faucet - Chrome - Without Spray</t>
  </si>
  <si>
    <t>Pfister Single Handle Kitchen Faucet with Pull Down Sprayer - Stainless Steel</t>
  </si>
  <si>
    <t>NoMix Faucet Cartridge - Plastic</t>
  </si>
  <si>
    <t>1.25 GPM Niagara Earth Shower Head - Chrome</t>
  </si>
  <si>
    <t>Watco® Universal Nufit Push Pull® Drain with Grid - Chrome</t>
  </si>
  <si>
    <t>8" S-Shaped Shower Arm with Flange - Chrome</t>
  </si>
  <si>
    <t>Watco® 1 Hole Overflow NuFit Lift &amp; Turn Trim Kit - Chrome</t>
  </si>
  <si>
    <t>Inv #0020790</t>
  </si>
  <si>
    <t>272S tub/tile X2</t>
  </si>
  <si>
    <t>Inv #0020860</t>
  </si>
  <si>
    <t>1091N carpet clean</t>
  </si>
  <si>
    <t>Inv #0020859</t>
  </si>
  <si>
    <t>431S carpet cleaning</t>
  </si>
  <si>
    <t>Inv #0020911</t>
  </si>
  <si>
    <t>3 bedroom full paint</t>
  </si>
  <si>
    <t>ceiling paint</t>
  </si>
  <si>
    <t>8ft repair tape and belt 2 sheetrock repairs (1x1 + 2x1)</t>
  </si>
  <si>
    <t>Inv #INV-3065102</t>
  </si>
  <si>
    <t>1.28 GPF ADA Premier Elongated Complete Toilet - White</t>
  </si>
  <si>
    <t>Inv #19771885-00</t>
  </si>
  <si>
    <t>Inv #19771114-00</t>
  </si>
  <si>
    <t>Inv #11423</t>
  </si>
  <si>
    <t>272S Housekeeping</t>
  </si>
  <si>
    <t>2-2015 housekeeping</t>
  </si>
  <si>
    <t>1-0416 Housekeeping</t>
  </si>
  <si>
    <t>2-1036 Housekeeping</t>
  </si>
  <si>
    <t>1-1060 housekeeping</t>
  </si>
  <si>
    <t>Check #ACH 01.09</t>
  </si>
  <si>
    <t>Vendor Payment</t>
  </si>
  <si>
    <t>AP from prior Managmenet</t>
  </si>
  <si>
    <t>Check #ACH 01.09 - Reversal</t>
  </si>
  <si>
    <t>Vendor Payment Reversal</t>
  </si>
  <si>
    <t>Check #ACH 1/9/26</t>
  </si>
  <si>
    <t>Inv #2618383041</t>
  </si>
  <si>
    <t>Inv #0021391</t>
  </si>
  <si>
    <t>Unit - 430S Full paint townhome 290$</t>
  </si>
  <si>
    <t>Repairs 365$</t>
  </si>
  <si>
    <t>Inv #12047</t>
  </si>
  <si>
    <t>bldg 19 north boiler</t>
  </si>
  <si>
    <t>Inv #12059</t>
  </si>
  <si>
    <t>bldg 7 phas1 boiler</t>
  </si>
  <si>
    <t>Inv #C1623987</t>
  </si>
  <si>
    <t>Writ Court Fee</t>
  </si>
  <si>
    <t>Nationwide Compliant LLC</t>
  </si>
  <si>
    <t>Writ Licensee Fee</t>
  </si>
  <si>
    <t>Inv #0021182</t>
  </si>
  <si>
    <t>244S Full paint color change Ceilings full paint Cabinets full paint</t>
  </si>
  <si>
    <t>244S 2 tub and 2 tile resurfacing</t>
  </si>
  <si>
    <t>Inv #0021241</t>
  </si>
  <si>
    <t>272S Carpet deep clean Extra heavy traffic grease removal Buffer Heavy deodorizer (or recommend carpet to replace due heavy damage)</t>
  </si>
  <si>
    <t>Inv #0021240</t>
  </si>
  <si>
    <t>Unit - 2 2015 Carpet deep clean Heavy grease removal Buffer Heavy deodorizer</t>
  </si>
  <si>
    <t>Inv #0021226</t>
  </si>
  <si>
    <t>133S water extraction</t>
  </si>
  <si>
    <t>Inv #0021447</t>
  </si>
  <si>
    <t>1-0907 4 air ducts basic clean 120$ 1 air return clean 45$</t>
  </si>
  <si>
    <t>Inv #0021298</t>
  </si>
  <si>
    <t>Unit - 1-0101 Full paint 2 bedrooms 250$ Heavy killz 60$</t>
  </si>
  <si>
    <t>Unit - 2014N Full paint</t>
  </si>
  <si>
    <t>Inv #0021419</t>
  </si>
  <si>
    <t>Unit - 403s Carpet deep clean Heavy grease removal Buffer Stairs Heavy deodorizer</t>
  </si>
  <si>
    <t>Inv #0021416</t>
  </si>
  <si>
    <t>Unit - 1 101 Carpet deep clean Heavy grease removal Buffer Heavy pet treatment</t>
  </si>
  <si>
    <t>carpet repairs</t>
  </si>
  <si>
    <t>Inv #0021415</t>
  </si>
  <si>
    <t>Unit - 1-0303 Carpet deep clean Extra heavy grease removal Buffer Heavy pet treatment</t>
  </si>
  <si>
    <t>Inv #0021490</t>
  </si>
  <si>
    <t>1005N water extraction due to upstaris neighbor.</t>
  </si>
  <si>
    <t>Inv #INV-3066186</t>
  </si>
  <si>
    <t>Inv #19829068-00</t>
  </si>
  <si>
    <t>5G 2000 SEMI WHT BASE A</t>
  </si>
  <si>
    <t>Inv #INV-3066425</t>
  </si>
  <si>
    <t>Mixet Slip-On Tub Spout with Diverter - Chrome</t>
  </si>
  <si>
    <t>Inv #INV-3066424</t>
  </si>
  <si>
    <t>Inv #11429</t>
  </si>
  <si>
    <t>2-1090 touch up</t>
  </si>
  <si>
    <t>403S housekeeping</t>
  </si>
  <si>
    <t>415S touch up</t>
  </si>
  <si>
    <t>144S touch up</t>
  </si>
  <si>
    <t>2-2072 touch up</t>
  </si>
  <si>
    <t>1-0303 touch up</t>
  </si>
  <si>
    <t>3038N touch up</t>
  </si>
  <si>
    <t>3004N touch up</t>
  </si>
  <si>
    <t>1002N touch up</t>
  </si>
  <si>
    <t>249S touch up</t>
  </si>
  <si>
    <t>219S touch up</t>
  </si>
  <si>
    <t>361S touch up</t>
  </si>
  <si>
    <t>1-1315 touch up</t>
  </si>
  <si>
    <t>1-1413 touch up</t>
  </si>
  <si>
    <t>1-0101 housekeeping</t>
  </si>
  <si>
    <t>Inv #INV-3066708</t>
  </si>
  <si>
    <t>Clorox® Original Scent Germicidal Bleach - 43oz</t>
  </si>
  <si>
    <t>AAA Duracell CopperTop Alkaline Battery - 16/pack</t>
  </si>
  <si>
    <t>Magic Stainless Steel Cleaner &amp; Polish - 17oz</t>
  </si>
  <si>
    <t>6" Flush Mount 1 Bulb Ball Ceiling Fixture with White Glass - White</t>
  </si>
  <si>
    <t>9 Volt Procell Alkaline Batteries - 12/pack</t>
  </si>
  <si>
    <t>32" x 80" x 1-3/8" HC Primed Smooth Interior Door Slab</t>
  </si>
  <si>
    <t>Kwikset SmartKey Professional Reset Cradle Tool - 83260</t>
  </si>
  <si>
    <t>5 Cam Mailbox Lock - NA14 Keys</t>
  </si>
  <si>
    <t>1-1/4" x 12" Stainless Steel Grab Bar</t>
  </si>
  <si>
    <t>Pine-Sol Lavender Disinfectant Cleaner - 24oz</t>
  </si>
  <si>
    <t>Ajax Powder Oxygen Bleach Cleanser - 21oz</t>
  </si>
  <si>
    <t>Medium Nitrile Industrial Black Rubber Gloves - 100/pack</t>
  </si>
  <si>
    <t>Boardwalk 2-Ply Toilet Paper Rolls - 96/pack</t>
  </si>
  <si>
    <t>Paper Towel Rolls - 30/pack</t>
  </si>
  <si>
    <t>13 Gallon Tall White Kitchen Trash Bags - 90/pack</t>
  </si>
  <si>
    <t>10 Gallon Black Trash Can Liners - 1000/pack</t>
  </si>
  <si>
    <t>16 oz Plastic Trigger Spray Bottle</t>
  </si>
  <si>
    <t>32 oz Plastic Trigger Spray Bottle</t>
  </si>
  <si>
    <t>Windex Original No Scent Glass Cleaner Refill - Gallon</t>
  </si>
  <si>
    <t>Zep Oven and BBQ Grill Foam Cleaner - 19 oz</t>
  </si>
  <si>
    <t>Inv #INV-3066765</t>
  </si>
  <si>
    <t>Inv #2025-990</t>
  </si>
  <si>
    <t>Inv #3066623</t>
  </si>
  <si>
    <t>Pro Flex Vacuum Head - 19</t>
  </si>
  <si>
    <t>Check #ACH 1.16.26 Dec AMF</t>
  </si>
  <si>
    <t>December 2025 Asset Management Fee Rate 1.50%</t>
  </si>
  <si>
    <t>Payment #1000</t>
  </si>
  <si>
    <t>Payment #1000 - Reversal</t>
  </si>
  <si>
    <t>Inv #12115</t>
  </si>
  <si>
    <t>1091N hOT WATER LEAK IN RESTROOM</t>
  </si>
  <si>
    <t>Inv #INV-3066965</t>
  </si>
  <si>
    <t>Inv #DAY0065411</t>
  </si>
  <si>
    <t>PLANK UNIT: 433S</t>
  </si>
  <si>
    <t>Inv #DAY0065410</t>
  </si>
  <si>
    <t>CARPET UNIT: 433S</t>
  </si>
  <si>
    <t>Inv #19865484-00</t>
  </si>
  <si>
    <t>Inv #19865483-00</t>
  </si>
  <si>
    <t>1G 2000 SEMI WHT BASE A</t>
  </si>
  <si>
    <t>1G 2000 SEMI BASE C</t>
  </si>
  <si>
    <t>Inv #010677943</t>
  </si>
  <si>
    <t>9 WATT LED A19 LAMP 4000K 800 LUMENS - 100/CS</t>
  </si>
  <si>
    <t>BRK HARDWIRED IONIZATION SMOKE ALARM W/9V ALKALINE BATTERY BACKUP - SMI100-AC</t>
  </si>
  <si>
    <t>RANGE HOOD MOTOR FOR BROAN 99080200</t>
  </si>
  <si>
    <t>8-7/8" X 9-3/8" X 3/8" CHARCOAL RANGE HOOD FILTER</t>
  </si>
  <si>
    <t>GE WB02X32793 - MICROWAVE OVEN GREASE FILTER</t>
  </si>
  <si>
    <t>RANGEHOOD LIGHT LENS FOR BROAN 99110437</t>
  </si>
  <si>
    <t>6" PLUG-IN UNIVERSAL BURNER ELEMENT - SP12YA</t>
  </si>
  <si>
    <t>8" PLUG-IN UNIVERSAL BURNER ELEMENT - SP21YA</t>
  </si>
  <si>
    <t>BURNER PLUG-IN BLOCK FOR GE - RRB5</t>
  </si>
  <si>
    <t>8" BURNER SWITCH FOR WHIRLPOOL 3149400 WP3149400</t>
  </si>
  <si>
    <t>8" GE INFINITE CONTROL SWITCH  FITS GE WB23K10003</t>
  </si>
  <si>
    <t>6' CLOSET AUGER - 1/2" CABLE</t>
  </si>
  <si>
    <t>28" OVAL SATELLITE FLUORESCENT CEILING FIXTURE SATIN NICKEL</t>
  </si>
  <si>
    <t>SHOWER ROD FLANGES ADJUSTABLE CHROME ZINC</t>
  </si>
  <si>
    <t>NO MIX PLASTIC CARTRIDGE #100</t>
  </si>
  <si>
    <t>CARTRIDGE FOR MIXET MS5AT</t>
  </si>
  <si>
    <t>EXTENDED STEM FOR MIXET MSEXT 6-1/4"</t>
  </si>
  <si>
    <t>Inv #0021556</t>
  </si>
  <si>
    <t>1 102 Full paint 2 bedrooms 250$ Ceilings full paint 200$ Cabinets full paint 320$ Killz</t>
  </si>
  <si>
    <t>Inv #0021783</t>
  </si>
  <si>
    <t>430s carpet cleaning</t>
  </si>
  <si>
    <t>Inv #0021767</t>
  </si>
  <si>
    <t>gym full paint</t>
  </si>
  <si>
    <t>Inv #0021754</t>
  </si>
  <si>
    <t>1-0102 tub/tile x2</t>
  </si>
  <si>
    <t>2-2019 tub/tile x2</t>
  </si>
  <si>
    <t>Inv #0021748</t>
  </si>
  <si>
    <t>Unit - 1 518 Tub and tile resurfacing</t>
  </si>
  <si>
    <t>Unit - 2048N Tub and tile resurfacing</t>
  </si>
  <si>
    <t>Inv #0021700</t>
  </si>
  <si>
    <t>247S tub/tile x2</t>
  </si>
  <si>
    <t>2-0205 tub/tile</t>
  </si>
  <si>
    <t>2-1042 tub/tile</t>
  </si>
  <si>
    <t>2091N tub/tile</t>
  </si>
  <si>
    <t>Inv #0021699</t>
  </si>
  <si>
    <t>1-1401 tub/tile x2</t>
  </si>
  <si>
    <t>1022N tub/tile x2</t>
  </si>
  <si>
    <t>Payment #ACH 01.13.26</t>
  </si>
  <si>
    <t>Payment #ACH 01.05.26</t>
  </si>
  <si>
    <t>Inv #0021616</t>
  </si>
  <si>
    <t>Unit - 1 806 Full paint 200$ Cabinets full paint 300$ Primer application 60$ Repairs 50$</t>
  </si>
  <si>
    <t>1-0806 Tub and tile resurfacing</t>
  </si>
  <si>
    <t>Inv #0021615</t>
  </si>
  <si>
    <t>Unit - 244S Cabinets full paint + primer</t>
  </si>
  <si>
    <t>Inv #114717</t>
  </si>
  <si>
    <t>Inv #INA-216332</t>
  </si>
  <si>
    <t>Monthly Landscaping</t>
  </si>
  <si>
    <t>Inv #0021557</t>
  </si>
  <si>
    <t>4 sheetrock repairs 1x1 + mass +texture 180$ 1 sheetrock repair 4x4 + mass + texture 120$</t>
  </si>
  <si>
    <t>Full paint 2 bedrooms 250$ Ceilings full paint 200$ Cabinets full 320$</t>
  </si>
  <si>
    <t>Payment #1001</t>
  </si>
  <si>
    <t>Inv #Refund</t>
  </si>
  <si>
    <t>Resident refund Natalie Campbell</t>
  </si>
  <si>
    <t>Natalie Campbell</t>
  </si>
  <si>
    <t>Check #1002</t>
  </si>
  <si>
    <t>Inv #010692808</t>
  </si>
  <si>
    <t>Inv #19883763-00</t>
  </si>
  <si>
    <t>GE 17.5 CU FT FRIDGE STAINLESS GIE18GSNRSS GE 17.5 Cu. Ft. Stainless Refrigerator w/Icemaker, Frost-free design, top freezer, Two full width adjustable glass shelves, Factory installed icemaker, Adjustable wire freezer shelf, Energy Star, Upfront temperature controls, 67-3/8"H x 28"W x 32-5/8"D</t>
  </si>
  <si>
    <t>Inv #INV-3067728</t>
  </si>
  <si>
    <t>2" Faux Wood Blind - 31" W x 72" L - White</t>
  </si>
  <si>
    <t>66" x 84" Vertical Blind - White</t>
  </si>
  <si>
    <t>78" x 84" Vertical Blind - White</t>
  </si>
  <si>
    <t>Flat Black Rust-Oleum High Heat Spray Paint - 12 oz</t>
  </si>
  <si>
    <t>30" x 80" x 1-3/8" Primed 6 Panel Hollow Core Bifold Door</t>
  </si>
  <si>
    <t>24" x 80" x 1-3/8" HC Primed Smooth Interior Door Slab</t>
  </si>
  <si>
    <t>2 Hole Blank Overflow Plate - Satin Nickel</t>
  </si>
  <si>
    <t>3/4" Floor &amp; Ceiling Flange - Chrome</t>
  </si>
  <si>
    <t>Mixet Volume Control Faucet Handle - Smoke</t>
  </si>
  <si>
    <t>1.5 GPM Niagara Earth Shower Head - Satin Nickel</t>
  </si>
  <si>
    <t>1" x 60" Aluminum Shower Rod - Satin Nickel</t>
  </si>
  <si>
    <t>1" Adjustable Metal Shower Rod Ends - Satin Nickel</t>
  </si>
  <si>
    <t>24" Soma Towel Bar - Satin Nickel</t>
  </si>
  <si>
    <t>Soma Towel Ring - Satin Nickel</t>
  </si>
  <si>
    <t>Soma Toilet Paper Holder - Satin Nickel</t>
  </si>
  <si>
    <t>Elongated Wood Toilet Seat - White</t>
  </si>
  <si>
    <t>Round Wood Standard Toilet Seat - White</t>
  </si>
  <si>
    <t>7" Empire 1 Bulb Wall Sconce - Satin Nickel</t>
  </si>
  <si>
    <t>42" Hadley 4-Blade Hugger Ceiling Fan w/Light Kit - Satin Nickel - Dark Cherry/Rosewood Blades</t>
  </si>
  <si>
    <t>30" x 36" Beveled Edge Mirror</t>
  </si>
  <si>
    <t>13" LED 15W Flush Mount Puck Fixture - Satin Nickel</t>
  </si>
  <si>
    <t>24" Royal Cove 4 Bulb Vanity Fixture - Satin Nickel</t>
  </si>
  <si>
    <t>Pleated Air Filter - 12" x 24" x 1"</t>
  </si>
  <si>
    <t>Pleated Air Filter - 20" x 25" x 1"</t>
  </si>
  <si>
    <t>Fiberglass Air Filter - 16" x 25" x 1"</t>
  </si>
  <si>
    <t>1.28 GPF Berlin Round Standard Complete Toilet - White</t>
  </si>
  <si>
    <t>2" Faux Wood Blind - 47" W x 72" L - White</t>
  </si>
  <si>
    <t>2" Faux Wood Blind - 35" W x 72" L - White</t>
  </si>
  <si>
    <t>2" Faux Wood Blind - 35" W x 48" L - White</t>
  </si>
  <si>
    <t>2" Faux Wood Blind - 63" W x 72" L - White</t>
  </si>
  <si>
    <t>2" Faux Wood Blind - 71" W x 72" L - White</t>
  </si>
  <si>
    <t>Inv #C1632296</t>
  </si>
  <si>
    <t>Inv #INV-3067848</t>
  </si>
  <si>
    <t>Inv #3068068</t>
  </si>
  <si>
    <t>first co e142 heat sequencer</t>
  </si>
  <si>
    <t>first co fan relay- 24 volt-spno/spnc-e130</t>
  </si>
  <si>
    <t>Inv #INV-3068174</t>
  </si>
  <si>
    <t>48"x 96" 6 Panel Bypass Doors</t>
  </si>
  <si>
    <t>Inv #643230</t>
  </si>
  <si>
    <t>SCENT</t>
  </si>
  <si>
    <t>Inv #055603718452</t>
  </si>
  <si>
    <t>TXU Energy commercial electricity invoice - Service period 12/17/2025 – 01/20/2026</t>
  </si>
  <si>
    <t>Inv #11437</t>
  </si>
  <si>
    <t>430 s housekeeping</t>
  </si>
  <si>
    <t>Inv #3068184</t>
  </si>
  <si>
    <t>M10 First Co. Fan Coil Motor</t>
  </si>
  <si>
    <t>Honeywell Pro 1000 Non-Programmable Vertical Thermostat - TH1110DV1009/U</t>
  </si>
  <si>
    <t>First Co. E141 Heat Sequencer</t>
  </si>
  <si>
    <t>Inv #174506</t>
  </si>
  <si>
    <t>Emily video shop</t>
  </si>
  <si>
    <t>Inv #0021725</t>
  </si>
  <si>
    <t>Unit - 1-1401 Full paint 2 bedrooms 250$ Ceilings full paint 200$ Cabinets full paint 280$</t>
  </si>
  <si>
    <t>Inv #0021837</t>
  </si>
  <si>
    <t>2-2005 carpet cleaning</t>
  </si>
  <si>
    <t>Inv #0021883</t>
  </si>
  <si>
    <t>Unit - 1-0107 Carpet clean</t>
  </si>
  <si>
    <t>Inv #0021882</t>
  </si>
  <si>
    <t>Unit - 1005n Carpet pad relay Carpet repairs</t>
  </si>
  <si>
    <t>1 Blower rent x 3 days</t>
  </si>
  <si>
    <t>Inv #0021881</t>
  </si>
  <si>
    <t>Unit - 1018n Carpet deep clean Heavy grease removal Buffer Heavy deodorizer</t>
  </si>
  <si>
    <t>Inv #0021866</t>
  </si>
  <si>
    <t>Unit - 1-1109 Tub resurfacing occupied</t>
  </si>
  <si>
    <t>Inv #0021723</t>
  </si>
  <si>
    <t>Unit - 1-209 Full paint 200$ Ceilings full paint 200$ Cabinets full paint 280$</t>
  </si>
  <si>
    <t>Inv #0021698</t>
  </si>
  <si>
    <t>Unit - 433S 2 tub and 2 tile resurfacing 520$ Repair 35$</t>
  </si>
  <si>
    <t>Inv #0021722</t>
  </si>
  <si>
    <t>Unit - 2 2005 Full paint color change 300$ Primer 70$ Ceilings full paint 200$ Cabinets full paint 280$</t>
  </si>
  <si>
    <t>4 sheetrock repairs (3 1x1 + 1 2x1)</t>
  </si>
  <si>
    <t>Inv #0021721</t>
  </si>
  <si>
    <t>Unit - 433S Full paint color change townhome 2 bedrooms 350$ Ceilings full paint 200$ Cabinets full paint townhome 320$</t>
  </si>
  <si>
    <t>3 sheetrock repairs 2x2 2 sheetrock repais 1x1</t>
  </si>
  <si>
    <t>Inv #0021941</t>
  </si>
  <si>
    <t>2-2076 Full paint 2 bedrooms 250$ Ceilings full paint 200$ Cabinets full paint 300$</t>
  </si>
  <si>
    <t>Repairs 150$</t>
  </si>
  <si>
    <t>2 tub and 2 tile resurfacing</t>
  </si>
  <si>
    <t>make ready</t>
  </si>
  <si>
    <t>Inv #0021730</t>
  </si>
  <si>
    <t>Unit - 1-0703 Full paint color change 300$ Ceilings full paint 200$ Cabinets full paint 280$</t>
  </si>
  <si>
    <t>Tub and tile resurfacing</t>
  </si>
  <si>
    <t>Inv #0021769</t>
  </si>
  <si>
    <t>Unit - 1-0807 Full paint 200$ Ceilings full paint bathroom only 50$ Cabinets full paint 280$</t>
  </si>
  <si>
    <t>Inv #0021619</t>
  </si>
  <si>
    <t>Unit - 2 -1031 Full paint color change 350$ Ceilings full paint 200$ Cabinets full paint 280$</t>
  </si>
  <si>
    <t>Tub and tile resurfacing 260$ Kitchen countertops and extra bar 135$ Bathroom countertop 60$</t>
  </si>
  <si>
    <t>Inv #0021758</t>
  </si>
  <si>
    <t>Unit - 1-1303 Full paint 200$ Ceilings full paint 200$ Cabinets full paint 280$ Ceiling cracks repair 40$</t>
  </si>
  <si>
    <t>Tub and tile resurfacing 260$ Kitchen countertops + extra bar 125$ bathroom countertops resurfacing 60$</t>
  </si>
  <si>
    <t>Inv #0021580</t>
  </si>
  <si>
    <t>2 Tub and tile resurfacing</t>
  </si>
  <si>
    <t>Unit - 1-0415 Full paint color change 2 bedrooms 350$ Ceilings full paint color change 200$ Cabinets full paint 300$ 2 bedrooms</t>
  </si>
  <si>
    <t>Inv #0021579</t>
  </si>
  <si>
    <t>Unit - 2-1042 Full paint color change 300$ Ceilings full paint color change 250$ Cabinets full paint 280$</t>
  </si>
  <si>
    <t>Repairs</t>
  </si>
  <si>
    <t>Make ready</t>
  </si>
  <si>
    <t>Payment #1003</t>
  </si>
  <si>
    <t>Payment #1005</t>
  </si>
  <si>
    <t>Payment #1004</t>
  </si>
  <si>
    <t>Inv #0021720</t>
  </si>
  <si>
    <t>Unit - 1085N Full paint color change 2 bedrooms 350$ Ceilings full paint 200$ Cabinets full paint 280$ Ceilings primer application 120$</t>
  </si>
  <si>
    <t>Sheetrock repair 2x2 3 texture repairs 1x1 Ceiling repair 2x2 Repairs</t>
  </si>
  <si>
    <t>2 tub and 2 tile resurfacing 520$ Kitchen countertops and extra bar 125$ 2 bathroom countertops 120$</t>
  </si>
  <si>
    <t>Inv #0022087</t>
  </si>
  <si>
    <t>1-0806 carpet cleaning</t>
  </si>
  <si>
    <t>Inv #0021768</t>
  </si>
  <si>
    <t>Unit - 2048N Full paint 200$ Cabinets full paint 280$ Repairs 45$</t>
  </si>
  <si>
    <t>Inv #0021618</t>
  </si>
  <si>
    <t>Unit - 2051N Full paint color change 350$ Ceilings full paint 200$ Cabinets full paint 280$</t>
  </si>
  <si>
    <t>Tub and tile resurfacing 260$ Kitchen countertops and extra bar 135$ Bathroom countertops 60$</t>
  </si>
  <si>
    <t>Inv #0021617</t>
  </si>
  <si>
    <t>Unit - 1053N Full paint color change 350$ Ceilings full paint 200$ Cabinets color change 350$</t>
  </si>
  <si>
    <t>Inv #19782-NT</t>
  </si>
  <si>
    <t>New Property Material</t>
  </si>
  <si>
    <t>dmc Print Services</t>
  </si>
  <si>
    <t>Inv #12205</t>
  </si>
  <si>
    <t>building 10 phase 1 boiler replacement</t>
  </si>
  <si>
    <t>Payment #1006</t>
  </si>
  <si>
    <t>Payment #1007</t>
  </si>
  <si>
    <t>Payment #1007 - Reversal</t>
  </si>
  <si>
    <t>Inv #114751</t>
  </si>
  <si>
    <t>Refundable Deposit</t>
  </si>
  <si>
    <t>Refund for DEPOSIT</t>
  </si>
  <si>
    <t>Andemariam, Nehom</t>
  </si>
  <si>
    <t>Inv #0021918</t>
  </si>
  <si>
    <t>3091N make ready</t>
  </si>
  <si>
    <t>full paint, ceilings, and cabinets</t>
  </si>
  <si>
    <t>tub/tile resurfacing</t>
  </si>
  <si>
    <t>Inv #0021729</t>
  </si>
  <si>
    <t>Unit - 2-3086 Full paint color change 2 bedrooms 350$ Ceilings full paint 200$ Cabinets full paint 2 bedrooms 300$</t>
  </si>
  <si>
    <t>Sheetrock repair 2x3 + mass +texture 3 mass and texture repairs 4x4 + 5x4 + 2x1</t>
  </si>
  <si>
    <t>Inv #0021923</t>
  </si>
  <si>
    <t>1-1103 make ready</t>
  </si>
  <si>
    <t>full paint, ceilings, cabinets</t>
  </si>
  <si>
    <t>Inv #3068438</t>
  </si>
  <si>
    <t>C-FLUX 12OZ</t>
  </si>
  <si>
    <t>1-1/2 X 3 SS REPAIR CLAMP</t>
  </si>
  <si>
    <t>1/2 X 100 RED PEX PIPE TYPE B</t>
  </si>
  <si>
    <t>1/2 X 100 BLUE PEX PIPE TYPE B</t>
  </si>
  <si>
    <t>CAN LINER 55G 50CT BLK</t>
  </si>
  <si>
    <t>BRAZING FLUX 1/2 LB</t>
  </si>
  <si>
    <t>COLD COAT THERMAL SHIELD GEL</t>
  </si>
  <si>
    <t>9 X 12 SOLDERING HEAT SHIELD</t>
  </si>
  <si>
    <t>ACID BRUSH</t>
  </si>
  <si>
    <t>SOLID WIRE SOLDER .125 DIA 1LB</t>
  </si>
  <si>
    <t>3/8 FINE THREAD TO 3/8" COMP</t>
  </si>
  <si>
    <t>3/4 X 3/4 X 1/2 COPPER REDUCER TEE</t>
  </si>
  <si>
    <t>3/4 X 1/2 COPPER REDUCE COUPLING</t>
  </si>
  <si>
    <t>7/8ODX3/4ID COPP COUP W/O STOP</t>
  </si>
  <si>
    <t>7/8OD X 3/4ID COPP COUP W/STOP</t>
  </si>
  <si>
    <t>7/8OD X 3/4ID 90DEG COPP ELBOW</t>
  </si>
  <si>
    <t>1-1/2 X 5 YDS OPEN MESH CLOTH</t>
  </si>
  <si>
    <t>5/8ODX1/2ID COPP COUP W/O STOP</t>
  </si>
  <si>
    <t>5/8OD X 1/2ID COPP COUP W/STOP</t>
  </si>
  <si>
    <t>5/8OD X 1/2ID 90DEG COPP ELBOW</t>
  </si>
  <si>
    <t>3/8-1" PEX CINCH CLAMP TOOL</t>
  </si>
  <si>
    <t>SHARKBITE 3/4X3/4X1/2 TEE</t>
  </si>
  <si>
    <t>PEX TEE 3/4 X 3/4 X 1/2 PK5</t>
  </si>
  <si>
    <t>3/4 X 100 RED PEX PIPE TYPE B</t>
  </si>
  <si>
    <t>3/4" X 100' BLUE PEX PIPE TYPE B</t>
  </si>
  <si>
    <t>RED PEX PIPE 3/4" X 10'</t>
  </si>
  <si>
    <t>SHARKBITE 3/4X1/2X3/4 TEE</t>
  </si>
  <si>
    <t>SHARKBITE 3/4X1/2X1/2 TEE</t>
  </si>
  <si>
    <t>SHARKBITE 3/4X1/2 REDUCER</t>
  </si>
  <si>
    <t>SHARKBITE 1/2X3/4 ELBOW</t>
  </si>
  <si>
    <t>T&amp;P RELIEF VALVE 150PSI</t>
  </si>
  <si>
    <t>SHARKBITE 3/4X3/4X3/4 TEE</t>
  </si>
  <si>
    <t>PEX CINCH CLAMP 3/4 PK100</t>
  </si>
  <si>
    <t>PEX TEE 3/4 PK5</t>
  </si>
  <si>
    <t>PEX TEST PLUG 3/4 PK10</t>
  </si>
  <si>
    <t>PEX COUPLING 3/4 PK5</t>
  </si>
  <si>
    <t>PEX ELBOW 3/4 PK5</t>
  </si>
  <si>
    <t>3/4FIP X 18 BRAID SS CONNECTOR</t>
  </si>
  <si>
    <t>2 X 3 SS REPAIR CLAMP</t>
  </si>
  <si>
    <t>RED PEX PIPE 1/2 X 10</t>
  </si>
  <si>
    <t>BLUE PEX PIPE 1/2 X 10</t>
  </si>
  <si>
    <t>SHARKBITE 1/2X1/2X1/2TEE</t>
  </si>
  <si>
    <t>SHARKBITE 1/2X1/2 ELBOW</t>
  </si>
  <si>
    <t>PEX CINCH CLAMP 1/2 PK100</t>
  </si>
  <si>
    <t>PEX ELBOW 1/2 PK10</t>
  </si>
  <si>
    <t>PEX TEE 1/2 PK5</t>
  </si>
  <si>
    <t>PEX TEST PLUG 1/2PK5</t>
  </si>
  <si>
    <t>PEX COUPLING 1/2 PK5</t>
  </si>
  <si>
    <t>1" X 3" SS REPAIR CLAMP</t>
  </si>
  <si>
    <t>Inv #3064268</t>
  </si>
  <si>
    <t>Kwikset 660 SmartKey Single Cylinder Deadbolt - Satin Nickel</t>
  </si>
  <si>
    <t>5.6Hardwired Smoke Alarm with 10 Year Sealed Battery Backup - AMI1061SB</t>
  </si>
  <si>
    <t>5.6Alert Hardwired Smoke Alarm with 9 Volt Battery Backup - SMI100AC</t>
  </si>
  <si>
    <t>Fluidmaster 400A Universal Ballcock</t>
  </si>
  <si>
    <t>6Universal Surface Element - TP12YA</t>
  </si>
  <si>
    <t>1/3 HP InSinkErator FWD-1 Garbage Disposal</t>
  </si>
  <si>
    <t>2-5/8Sliding Patio Door Pin Lock - Chrome - 2/pack</t>
  </si>
  <si>
    <t>32Easy Reacher Pick Up Tool - 2533</t>
  </si>
  <si>
    <t>White Knit T-Shirt Cloth Rags - 8 lb</t>
  </si>
  <si>
    <t>Acetone - Gallon</t>
  </si>
  <si>
    <t>Dap Kwik Seal Plus Kitchen &amp;amp; Bath Adhesive Caulk - 5.5 oz - White</t>
  </si>
  <si>
    <t>55 Gallon Black Trash Can Liners - 50/pack</t>
  </si>
  <si>
    <t>1-1/2</t>
  </si>
  <si>
    <t>Muriatic Acid - Gallon</t>
  </si>
  <si>
    <t>Professional Deep Leaf Rake with Bag</t>
  </si>
  <si>
    <t>8&amp;#039; to 16&amp;#039; Aluminum Telescopic Swimming Pool Pole</t>
  </si>
  <si>
    <t>Complete Pool Test Kit</t>
  </si>
  <si>
    <t>Alkalinity Increaser - 25 Lb</t>
  </si>
  <si>
    <t>3Trichlor Chlorine Tablets - 50 Lb</t>
  </si>
  <si>
    <t>1-5/8Aluminum/Vinyl Door Sweep</t>
  </si>
  <si>
    <t>3/4Aluminum/Vinyl Door Jamb Weatherstrip</t>
  </si>
  <si>
    <t>Universal Range Range Receptacle &amp;amp; Wire Kit - RR110</t>
  </si>
  <si>
    <t>GE&amp;reg; Electric Surface Element Infinite Switch - WB24T10022</t>
  </si>
  <si>
    <t>Phosphate Remover - Quart</t>
  </si>
  <si>
    <t>pH Plus - 5 Lb</t>
  </si>
  <si>
    <t>Payment #1008</t>
  </si>
  <si>
    <t>Inv #054054177012</t>
  </si>
  <si>
    <t>TXU Energy commercial electricity invoice - Service period  12/19/2025–01/20/2026</t>
  </si>
  <si>
    <t>Inv #0022154</t>
  </si>
  <si>
    <t>2-1009 water extraction</t>
  </si>
  <si>
    <t>2-1010 water extraction</t>
  </si>
  <si>
    <t>2-1003 water extraction</t>
  </si>
  <si>
    <t>Inv #19955480-00</t>
  </si>
  <si>
    <t>Molly Shigemoto refund from prior management</t>
  </si>
  <si>
    <t>Molly Shigemoto</t>
  </si>
  <si>
    <t>Check #1009</t>
  </si>
  <si>
    <t>Inv #11450</t>
  </si>
  <si>
    <t>1018N full clean</t>
  </si>
  <si>
    <t>1009N touch up</t>
  </si>
  <si>
    <t>Inv #2107326</t>
  </si>
  <si>
    <t>FOR LEGAL SERVICES RENDERED and expenses incurred in connection with the above-referenced matter for the period ending December 31, 2025</t>
  </si>
  <si>
    <t>Inv #2601103</t>
  </si>
  <si>
    <t>Project: 26002.00 Skillman and Royal Mixed-Use Redevelopment Professional Services from December 29, 2025 to January 26, 2026</t>
  </si>
  <si>
    <t>GFF Design</t>
  </si>
  <si>
    <t>Inv #INV355611</t>
  </si>
  <si>
    <t>MavenAI:Google Business AI Google Business AI - 1 Month - January 2026</t>
  </si>
  <si>
    <t>Inv #2625701381</t>
  </si>
  <si>
    <t>Inv #1979097</t>
  </si>
  <si>
    <t>Inv #12407</t>
  </si>
  <si>
    <t>verified response service</t>
  </si>
  <si>
    <t>Inv #115499</t>
  </si>
  <si>
    <t>Inv #202602</t>
  </si>
  <si>
    <t>Predevelopment Fee</t>
  </si>
  <si>
    <t>Inv #175-8</t>
  </si>
  <si>
    <t>Inv #1988-17</t>
  </si>
  <si>
    <t>Change Order - Drywall</t>
  </si>
  <si>
    <t>Change Order - Paint Fireplace Resurface</t>
  </si>
  <si>
    <t>Change Order - Paint All Ceilings</t>
  </si>
  <si>
    <t>Trash Out</t>
  </si>
  <si>
    <t>Inv #INV351930</t>
  </si>
  <si>
    <t>Check #1010</t>
  </si>
  <si>
    <t>Hernandez, Amanda</t>
  </si>
  <si>
    <t>Refund for Payment</t>
  </si>
  <si>
    <t>Rocha, Osvaldo</t>
  </si>
  <si>
    <t>Fairley, Azreal</t>
  </si>
  <si>
    <t>Nwosu, Michael</t>
  </si>
  <si>
    <t>Ivory, Dominique</t>
  </si>
  <si>
    <t>Inv #12183</t>
  </si>
  <si>
    <t>phase 1 bldg 7 boiler</t>
  </si>
  <si>
    <t>Inv #0022192</t>
  </si>
  <si>
    <t>258S carpet clean</t>
  </si>
  <si>
    <t>Inv #0022193</t>
  </si>
  <si>
    <t>244S carpet cleaning</t>
  </si>
  <si>
    <t>Inv #0022297</t>
  </si>
  <si>
    <t>Stretch</t>
  </si>
  <si>
    <t>1009N carpet clean</t>
  </si>
  <si>
    <t>2-1006 carpet clean</t>
  </si>
  <si>
    <t>Inv #PR5870-202601</t>
  </si>
  <si>
    <t>Inv #123461735</t>
  </si>
  <si>
    <t>Inv #12202</t>
  </si>
  <si>
    <t>building 39 backup</t>
  </si>
  <si>
    <t>Inv #050554372762</t>
  </si>
  <si>
    <t>Inv #010779187</t>
  </si>
  <si>
    <t>SAS SAFETY RAVEN NITRILE GLOVES LARGE BLACK -100/BX</t>
  </si>
  <si>
    <t>1/3HP FWD1 GARBAGE DISPOSER WITH CORD</t>
  </si>
  <si>
    <t>660 15 6AL STRKP  KWIKSET SINGLE CYLINDER DEADBOLT- SATIN NICKEL</t>
  </si>
  <si>
    <t>400A FLUIDMASTER TANK FILL VALVE</t>
  </si>
  <si>
    <t>WATCO UNIVERSAL NUFIT PUSH PULL TUB STOPPER WITH NO GRID - BRUSHED NICKEL</t>
  </si>
  <si>
    <t>REPLACEMENT TOWEL BAR ENDS-10 PK</t>
  </si>
  <si>
    <t>G136-2000 PFISTER TWO METAL HANDLE HIGH ARC KITCHEN FAUCET W/O SPRAY - CHROME</t>
  </si>
  <si>
    <t>SINK BASKET INSERT WITH POST</t>
  </si>
  <si>
    <t>18408 DAP ALEX FAST DRY CAULK WITH SILICONE  WHITE 5.5 OZ (6/CS)</t>
  </si>
  <si>
    <t>TOUGH COAT HI-HEAT BLACK SPRAY PAINT</t>
  </si>
  <si>
    <t>EPOXY APPLIANCE WHITE SPRAY PAINT - 12 OZ.</t>
  </si>
  <si>
    <t>LIMIT SWITCH - 145° F - FOR FIRST CO. E146</t>
  </si>
  <si>
    <t>FRIGIDAIRE REFRIGERATOR DOOR GASKET-242193212</t>
  </si>
  <si>
    <t>Inv #12217</t>
  </si>
  <si>
    <t>bldg 39 gas smell</t>
  </si>
  <si>
    <t>Inv #DAY0066658</t>
  </si>
  <si>
    <t>vinyl replacement for 1027N</t>
  </si>
  <si>
    <t>Inv #DAY0066657</t>
  </si>
  <si>
    <t>CARPET UNIT: 1027n</t>
  </si>
  <si>
    <t>Inv #010785557</t>
  </si>
  <si>
    <t>36IN FAN PULL STRING - 24/PK</t>
  </si>
  <si>
    <t>300T X 26D KWIKSET TYLO PRIVACY - SATIN CHROME</t>
  </si>
  <si>
    <t>DAP ALEX ACRYLIC LATEX WHITE CAULK - 10.1 OZ.</t>
  </si>
  <si>
    <t>STAINLESS STEEL BASKET STRAINER W/RUBBER STOPPER</t>
  </si>
  <si>
    <t>UNIVERSAL SPLASH GUARD AND STOPPER</t>
  </si>
  <si>
    <t>50 WATT HALOGEN BULB FOR GE MICROWAVE WB08X10057</t>
  </si>
  <si>
    <t>N3210N NIAGARA WATER SAVER AERATOR - 1.0 GPM CHROME</t>
  </si>
  <si>
    <t>DOOR VIEWER 180° -  SATIN NICKEL</t>
  </si>
  <si>
    <t>96MM HOLLOW STAINLESS STEEL BAR CABINET PULL-BSN 5/PK</t>
  </si>
  <si>
    <t>12" WALNUT WOOD KNOB CHROME PULL CHAIN - 4/PK</t>
  </si>
  <si>
    <t>TOP/BOTTOM PIVOT BRACKET SET - 2-113A</t>
  </si>
  <si>
    <t>24" 4-LIGHT BATH STRIP - POLISHED CHROME</t>
  </si>
  <si>
    <t>GE 1.6 CU FT OVER THE RANGE MICROWAVE SS JNM3163RJSS</t>
  </si>
  <si>
    <t>6' ALUMINUM SHOWER ROD</t>
  </si>
  <si>
    <t>24" TOWEL BAR SET - SATIN NICKEL</t>
  </si>
  <si>
    <t>PAPER HOLDER - SATIN NICKEL</t>
  </si>
  <si>
    <t>ROUND WHITE PLASTIC TOILET SEAT</t>
  </si>
  <si>
    <t>WHITE ELONGATED PLASTIC TOILET SEAT W/CLOSED FRONT</t>
  </si>
  <si>
    <t>N2917CH NIAGARA EARTH SHOWERHEAD 1.75 GPM - CHROME</t>
  </si>
  <si>
    <t>6" UNIVERSAL BOWL - COMBO - 6/BG</t>
  </si>
  <si>
    <t>8" UNIVERSAL BOWL - COMBO - 6/BG</t>
  </si>
  <si>
    <t>9 WATT LED A19 LAMP 5000K  800 LUMENS - 24/CS</t>
  </si>
  <si>
    <t>40 WATT CLEAR A15 APPLIANCE LAMP - 12/PK</t>
  </si>
  <si>
    <t>AL9V- 12PPJ RAYOVAC ULTRAPRO 9V ALKALINE BATTERY 12/PK</t>
  </si>
  <si>
    <t>8-3/4" X 10-1/2" X 3/8" CHARCOAL RANGE HOOD FILTER</t>
  </si>
  <si>
    <t>BRK HARDWIRE IONIZATION SMOKE ALARM W/ LOCKED 9V LITHIUM  BATTERY BACKUP - SMI105-AC</t>
  </si>
  <si>
    <t>BRK IONIZATION 9V ALKALINE BATTERY-OPERATED SMOKE ALARM - SMI100</t>
  </si>
  <si>
    <t>4" FLEXIBLE SPRING DOOR STOP - SATIN NICKEL - 5/PK</t>
  </si>
  <si>
    <t>20X25X1 A/C FILTER - 12/CS - MERV 1</t>
  </si>
  <si>
    <t>16X25X1 A/C FILTER - 12/CS - MERV 1</t>
  </si>
  <si>
    <t>PREMIUM 2" CORDLESS FAUX WOOD BLIND 35X48 - WHITE</t>
  </si>
  <si>
    <t>PREMIUM 2" CORDLESS FAUX WOOD BLIND 31X72 - WHITE</t>
  </si>
  <si>
    <t>PREMIUM 2" CORDLESS FAUX WOOD BLIND 34X72 - WHITE</t>
  </si>
  <si>
    <t>PREMIUM 2" CORDLESS FAUX WOOD BLIND 63X72- WHITE</t>
  </si>
  <si>
    <t>VERTICAL BLIND 78x84 W/ DELUXE HEADRAIL -  WHITE</t>
  </si>
  <si>
    <t>VERTICAL BLIND 66X84 W/ DELUXE HEADRAIL - WHITE</t>
  </si>
  <si>
    <t>15" ROUND LED CCT SELECTABLE FLAT PANEL FIXTURE - BN</t>
  </si>
  <si>
    <t>200T X 26D KWIKSET TYLO PASSAGE - SATIN CHROME</t>
  </si>
  <si>
    <t>Rodriguez, Maurico</t>
  </si>
  <si>
    <t>Elizabeth, Rosa</t>
  </si>
  <si>
    <t>Berko, Henry</t>
  </si>
  <si>
    <t>Inv #INV-3769</t>
  </si>
  <si>
    <t>Capital Partners reimbursment</t>
  </si>
  <si>
    <t>Inv #2656516201</t>
  </si>
  <si>
    <t>Inv #116177</t>
  </si>
  <si>
    <t>Visual Content $199 Prorated for 19 Days</t>
  </si>
  <si>
    <t>Inv #1546823</t>
  </si>
  <si>
    <t>154s window replacement top window in living room</t>
  </si>
  <si>
    <t>2-1075 window replacement living room window</t>
  </si>
  <si>
    <t>Inv #175233</t>
  </si>
  <si>
    <t>Josie</t>
  </si>
  <si>
    <t>Payment #1011</t>
  </si>
  <si>
    <t>Inv #AM-2026-01</t>
  </si>
  <si>
    <t>January 2026 Asset Management Fee</t>
  </si>
  <si>
    <t>Inv #8006516687</t>
  </si>
  <si>
    <t>Research and consultation in regards to a restructuring of various entities to transfer land and general partner interests to housing corporations.</t>
  </si>
  <si>
    <t>Inv #AM-2026-01B</t>
  </si>
  <si>
    <t>AVA Apartments - 10% AM Fee Allocation</t>
  </si>
  <si>
    <t>Inv #LPS-260201860</t>
  </si>
  <si>
    <t>LeaseLock invoice</t>
  </si>
  <si>
    <t>Inv #010818987</t>
  </si>
  <si>
    <t>DAP ALEX PLUS LATEX WHITE CAULK - 10.1 OZ.</t>
  </si>
  <si>
    <t>PHA52BNK5 PHAZE 52" CEILING FAN 5 BLADE BRUSHED NICKEL</t>
  </si>
  <si>
    <t>DISPOSAL STOPPER FOR BADGER- ISE INSINKERATOR</t>
  </si>
  <si>
    <t>CABINET DRAWER TRACK SET - 22-7/16"</t>
  </si>
  <si>
    <t>N2912CH NIAGARA EARTH SHOWERHEAD 1.25 GPM - CHROME</t>
  </si>
  <si>
    <t>2-HOLE BLANK OVERFLOW PLATE - CHROME</t>
  </si>
  <si>
    <t>48" CHROME SLIDING PATIO DOOR BAR</t>
  </si>
  <si>
    <t>Inv #010818988</t>
  </si>
  <si>
    <t>PREMIUM 2" CORDLESS FAUX WOOD BLIND 35X72 - WHITE</t>
  </si>
  <si>
    <t>Inv #010818989</t>
  </si>
  <si>
    <t>POWER WASH- PRESSURE WASHER CONCENTRATE</t>
  </si>
  <si>
    <t>GALLON- FABULOSO MULTI-PURPOSE CLEANER LAVENDER FRAGRANCE</t>
  </si>
  <si>
    <t>BLEACH - 6/CS</t>
  </si>
  <si>
    <t>BREAK-UP - OVEN &amp; GRILL CLEANER, 19OZ AEROSOL- 6/CS</t>
  </si>
  <si>
    <t>SCOTT KITCHEN ROLL TOWELS 1 PLY (CASE OF 20)</t>
  </si>
  <si>
    <t>BLUE MICROFIBER CLEANING CLOTHS,16 X 16, 24/PACK</t>
  </si>
  <si>
    <t>7-10 GAL HEAVY TRASH BAGS  24X23 - .5 MIL  500/BX</t>
  </si>
  <si>
    <t>12 - 16 GAL TRASH BAGS CLEAR 24X33 - 35MIL 500/CS</t>
  </si>
  <si>
    <t>WINDEX WINDOW CLEANER - 32 OZ. W/SPRAYER</t>
  </si>
  <si>
    <t>WINDEX WINDOW CLEANER - GALLON</t>
  </si>
  <si>
    <t>DAWN DISH SOAP 38OZ</t>
  </si>
  <si>
    <t>DISPOSABLE NITRILE GLOVES- X-LARGE 100/BX - BLACK 6 MIL</t>
  </si>
  <si>
    <t>DISPOSABLE NITRILE GLOVES- MEDIUM 100/BX - BLACK 6 MIL</t>
  </si>
  <si>
    <t>PUMICE SCOURING STICK</t>
  </si>
  <si>
    <t>SUPER BOWL HEAVY DUTY BOWL CLEANER - 32 OZ.</t>
  </si>
  <si>
    <t>MULTI-FOLD WHITE HAND TOWELS - 4000/CS</t>
  </si>
  <si>
    <t>2' ALUMINUM STEP LADDER - 300 LB LOAD</t>
  </si>
  <si>
    <t>Inv #010818990</t>
  </si>
  <si>
    <t>KILZ INTERIOR PRIMER/SEALER AEROSOL - 13 OZ.</t>
  </si>
  <si>
    <t>8" BURNER SWITCH FOR GE WB24T10025</t>
  </si>
  <si>
    <t>UNIVERSAL CERAMIC RANGE BLOCK - 12001676</t>
  </si>
  <si>
    <t>12" 20W (32- WATT EQUIVALENT) LED CIRCLINE T9 CCT BULB</t>
  </si>
  <si>
    <t>RH CORNER DISHWASHER DOOR GASKET FOR GE WD8X227</t>
  </si>
  <si>
    <t>LH CORNER DISHWASHER DOOR GASKET FOR GE WD8X228</t>
  </si>
  <si>
    <t>APPLIANCE EPOXY BISCUIT TOUCH-UP PAINT</t>
  </si>
  <si>
    <t>KORKY STRONG ARM TANK LEVER- 6051BP CHROME</t>
  </si>
  <si>
    <t>3/8" COMP X 1/2" FIP X 20" STAINLESS STEEL FAUCET SUPPLY LINE</t>
  </si>
  <si>
    <t>SHORT BROACH TUB HANDLES FOR GERBER - PAIR</t>
  </si>
  <si>
    <t>BOWL TO FLOOR TOILET BOLTS  BRASS PLATED    5/16 X  2-1/4 - 2/PK</t>
  </si>
  <si>
    <t>TANK TO BOWL CLOSET BOLTS 2/PK</t>
  </si>
  <si>
    <t>3/8" FLARE X 7/8" BALLCOCK X 12" PVC BRAIDED TANK SUPPLY LINE</t>
  </si>
  <si>
    <t>3/8" COMP X 1/2" FEMALE COMPRESSION REDUCING ADAPTOR</t>
  </si>
  <si>
    <t>3/8" X 3/8" BRASS COMPRESSION ADAPTER</t>
  </si>
  <si>
    <t>FASCO D1050A 1/8HP 230V 1550RPM TRANE REPLACEMENT CONDENSER MOTOR</t>
  </si>
  <si>
    <t>TRANE MOT18732 1/6HP 230V 1625 RPM CONDENSER MOTOR</t>
  </si>
  <si>
    <t>Inv #DAY0067313</t>
  </si>
  <si>
    <t>432S vinyl replacement</t>
  </si>
  <si>
    <t>Inv #33754</t>
  </si>
  <si>
    <t>Takeover Bandits</t>
  </si>
  <si>
    <t>Red Elephant</t>
  </si>
  <si>
    <t>Check #ACH 12/17/26</t>
  </si>
  <si>
    <t>Check #1019</t>
  </si>
  <si>
    <t>Check #1018</t>
  </si>
  <si>
    <t>Check #1017</t>
  </si>
  <si>
    <t>Check #1016</t>
  </si>
  <si>
    <t>Check #1015</t>
  </si>
  <si>
    <t>Check #1014</t>
  </si>
  <si>
    <t>Check #1013</t>
  </si>
  <si>
    <t>Check #1012</t>
  </si>
  <si>
    <t>Inv #0022506</t>
  </si>
  <si>
    <t>201S carpet cleaning</t>
  </si>
  <si>
    <t>201S Full paint 200$ Ceilings full paint 200$ Cabinets full paint 280$ Primer 40$ Repairs 50$</t>
  </si>
  <si>
    <t>Inv #0022579</t>
  </si>
  <si>
    <t>201S TUB/TILE</t>
  </si>
  <si>
    <t>2014N TUB RESURFACING</t>
  </si>
  <si>
    <t>Inv #0022545</t>
  </si>
  <si>
    <t>1-1424 Full paint 2 bedrooms color change 350$ Ceilings full paint 200$ Cabinets full paint 2 bedrooms color change 320$</t>
  </si>
  <si>
    <t>Inv #3617</t>
  </si>
  <si>
    <t>AVA Apartments Leasehold, LLC dba AVA v. Brittany Candler &amp; All Other</t>
  </si>
  <si>
    <t>The Law Firm of Meyer &amp; Colegrove, PLLC</t>
  </si>
  <si>
    <t>Inv #0022022</t>
  </si>
  <si>
    <t>Unit - 247S Full paint 2 bedrooms 250$ Ceilings full pains 200$ Cabinets full paint 300$</t>
  </si>
  <si>
    <t>Inv #0021726</t>
  </si>
  <si>
    <t>repairs</t>
  </si>
  <si>
    <t>Unit - 1022N Full paint 2 bedrooms 250$ Ceilings full paint 200$ Cabinets full paint 280$</t>
  </si>
  <si>
    <t>Shrestha, Bijay</t>
  </si>
  <si>
    <t>Inv #0021627</t>
  </si>
  <si>
    <t>Unit - 2-2066 Full paint 2 bedrooms color change 350$ Ceilings full paint 200$ Cabinets full paint 2 bedrooms 300$</t>
  </si>
  <si>
    <t>Inv #0021626</t>
  </si>
  <si>
    <t>Unit - 353S Full paint 2 bedrooms color change 350$ Ceilings full paint 200$ Cabinets full paint 2 bedrooms 300$</t>
  </si>
  <si>
    <t>Inv #0021625</t>
  </si>
  <si>
    <t>tub.tile resurfacing</t>
  </si>
  <si>
    <t>Unit - 362S Full paint 2 bedrooms 250$ Ceilings full paint 200$ Cabinets full paint 2 bedrooms 300$</t>
  </si>
  <si>
    <t>Payment #ACH 02.09.26</t>
  </si>
  <si>
    <t>Payment #ACH 02.04.26</t>
  </si>
  <si>
    <t>Check #1020</t>
  </si>
  <si>
    <t>Inv #A2086DT-0001</t>
  </si>
  <si>
    <t>2-2086 framing testing</t>
  </si>
  <si>
    <t>Inv #A432CR-0001</t>
  </si>
  <si>
    <t>432S sheetrock ceiling repair</t>
  </si>
  <si>
    <t>Inv #AWTS-0001</t>
  </si>
  <si>
    <t>bldg 15 phase 2 by 2086 stairwell brace</t>
  </si>
  <si>
    <t>Check #ACH 02.20</t>
  </si>
  <si>
    <t>Payment #1022</t>
  </si>
  <si>
    <t>Payment #1021</t>
  </si>
  <si>
    <t>Inv #F12205</t>
  </si>
  <si>
    <t>BLDG 10 tANK REPLACEMENT REMAINING AMOUNT DUE</t>
  </si>
  <si>
    <t>Inv #0022696</t>
  </si>
  <si>
    <t>2-1017 2 dehumidifier rent x 4 days</t>
  </si>
  <si>
    <t>blower rent x 4 days</t>
  </si>
  <si>
    <t>Inv #0022686</t>
  </si>
  <si>
    <t>Unit - 2 2050 Full paint 2 bedrooms 250$ Ceilings full paint 200$ Cabinets full paint color change 300$</t>
  </si>
  <si>
    <t>Inv #0022681</t>
  </si>
  <si>
    <t>Unit - 2 2050 2 tub and 2 tile resurfacing</t>
  </si>
  <si>
    <t>Inv #0022655</t>
  </si>
  <si>
    <t>Unit - 1053N Sink resurfacing small repair</t>
  </si>
  <si>
    <t>Inv #0022391</t>
  </si>
  <si>
    <t>Unit - 415S Carpet deep clean Pre spot Stairs Deodorizer</t>
  </si>
  <si>
    <t>Inv #645014</t>
  </si>
  <si>
    <t>Inv #0022697</t>
  </si>
  <si>
    <t>2-1010 1 dehumidifier rent x 4 days</t>
  </si>
  <si>
    <t>Inv #0022357</t>
  </si>
  <si>
    <t>Unit - 2-1089 blower rent x 3 days</t>
  </si>
  <si>
    <t>Inv #051352172190</t>
  </si>
  <si>
    <t>Inv #051352172191</t>
  </si>
  <si>
    <t>Inv #INA-230053</t>
  </si>
  <si>
    <t>Inv #055128854210</t>
  </si>
  <si>
    <t>Payment #ACH 02.20.26</t>
  </si>
  <si>
    <t>Payment #ACH 02.03.26</t>
  </si>
  <si>
    <t>Payment #ACH 02.12.26</t>
  </si>
  <si>
    <t>Inv #0022436</t>
  </si>
  <si>
    <t>1-1220 carpet cleaning</t>
  </si>
  <si>
    <t>Inv #0022437</t>
  </si>
  <si>
    <t>Unit - 2014N Carpet deep clean Heavy grease removal Buffer Heavy deodorizer</t>
  </si>
  <si>
    <t>Inv #0022438</t>
  </si>
  <si>
    <t>Unit - 1022N Carpet deep clean Heavy grease removal Buffer Heavy deodorizer</t>
  </si>
  <si>
    <t>Inv #0022449</t>
  </si>
  <si>
    <t>Unit - 1-1424 Carpet deep clean Extra heavy grease removal Buffer Heavy deodorize</t>
  </si>
  <si>
    <t>Inv #0022458</t>
  </si>
  <si>
    <t>Unit - 2 1010 11 blowers rent x 3 days</t>
  </si>
  <si>
    <t>Inv #0022459</t>
  </si>
  <si>
    <t>Unit - 2-1009 Blower rent x 3 days</t>
  </si>
  <si>
    <t>Inv #0022460</t>
  </si>
  <si>
    <t>Unit - 2-1007 3 blowers rent x 3 days</t>
  </si>
  <si>
    <t>Inv #0022461</t>
  </si>
  <si>
    <t>Unit - 2-1003 Blower rent x 3 days</t>
  </si>
  <si>
    <t>Inv #0022462</t>
  </si>
  <si>
    <t>Unit - 2-1004 2 blower rent x 3 days</t>
  </si>
  <si>
    <t>Inv #0022783</t>
  </si>
  <si>
    <t>Unit - 2-1046 Full paint 200$ Repairs 50$ Cabinets full paint 280$</t>
  </si>
  <si>
    <t>Inv #0022806</t>
  </si>
  <si>
    <t>Unit - 2-1081 Emergency water extraction heavy all unit Wet pad removal Antimicrobial treatment</t>
  </si>
  <si>
    <t>Inv #0022812</t>
  </si>
  <si>
    <t>Unit - 221S Carpet deep clean Heavy grease removal Buffer Heavy yellow stains removal Heavy deodorizer</t>
  </si>
  <si>
    <t>Inv #0022821</t>
  </si>
  <si>
    <t>Unit - 247S Carpet clean Buffer Heavy deodorizer</t>
  </si>
  <si>
    <t>Inv #0022850</t>
  </si>
  <si>
    <t>Unit - 1-703 Carpet deep clean Heavy grease removal Buffer Heavy deodorizer</t>
  </si>
  <si>
    <t>Inv #0022852</t>
  </si>
  <si>
    <t>Unit - 1-1303 Carpet deep clean Heavy grease removal Buffer Heavy deodorizer</t>
  </si>
  <si>
    <t>Inv #0023024</t>
  </si>
  <si>
    <t>Unit - 1-103 Kitchen countertops and extra bar 125$ Bathroom countertop resurfacing 60$</t>
  </si>
  <si>
    <t>Unit - 2-1070 2 tub and 2 tile resurfacing</t>
  </si>
  <si>
    <t>Payment #1023</t>
  </si>
  <si>
    <t>Payment #1024</t>
  </si>
  <si>
    <t>Inv #0022851</t>
  </si>
  <si>
    <t>Unit - 1 1103 Carpet deep clean Heavy grease removal Buffer Heavy deodorizer, Closet pad replace Antimicrobial treatment</t>
  </si>
  <si>
    <t>Closet pad replace Antimicrobial treatment</t>
  </si>
  <si>
    <t>Inv #0021925</t>
  </si>
  <si>
    <t>2-1084 make ready</t>
  </si>
  <si>
    <t>tub/tile, kitchen counters, and rr counters</t>
  </si>
  <si>
    <t>Inv #0023001</t>
  </si>
  <si>
    <t>Unit - 1-1306 Tub and tile resurfacing 260$ Tub repair 45$</t>
  </si>
  <si>
    <t>Inv #0023119</t>
  </si>
  <si>
    <t>Unit - 1-0816 2 tub and 2 tile resurfacing</t>
  </si>
  <si>
    <t>Unit - 1-1074 2 tub and 2 tile resurfacing</t>
  </si>
  <si>
    <t>Inv #0023017</t>
  </si>
  <si>
    <t>Unit - 2 2079 2 tub and 2 tile resurfacing</t>
  </si>
  <si>
    <t>Inv #0022991</t>
  </si>
  <si>
    <t>Unit - 2048N Housekeeping clean</t>
  </si>
  <si>
    <t>Unit - 1038N Housekeeping clean</t>
  </si>
  <si>
    <t>Unit - 1022N Housekeeping clean 2bd</t>
  </si>
  <si>
    <t>Unit - 1085N Housekeeping clean 2bd</t>
  </si>
  <si>
    <t>Unit - 221S Housekeeping clean 2bd</t>
  </si>
  <si>
    <t>Unit - 1-0514 Housekeeping clean</t>
  </si>
  <si>
    <t>Inv #0022917</t>
  </si>
  <si>
    <t>Unit - 2-1046 Carpet deep clean Extra heavy grease removal Buffer Deodorizer</t>
  </si>
  <si>
    <t>Inv #0022916</t>
  </si>
  <si>
    <t>Unit - 2084N Carpet deep clean Heavy grease removal Buffer Pet treatment</t>
  </si>
  <si>
    <t>Inv #0022912</t>
  </si>
  <si>
    <t>Unit - 432S Carpet deep clean Heavy grease removal Buffer Stairs Heavy deodorizer</t>
  </si>
  <si>
    <t>Inv #0022572</t>
  </si>
  <si>
    <t>Unit - 1-1424 2 tub and 2 tile resurfacing 520$ Kitchen countertops and extra bar 125$ 2 bathroom countertops 120$</t>
  </si>
  <si>
    <t>Inv #0022859</t>
  </si>
  <si>
    <t>Unit - 1022N Carpet deep clean Heavy grease removal Buffer Heavy pet treatment 2 bedrooms</t>
  </si>
  <si>
    <t>Inv #0022858</t>
  </si>
  <si>
    <t>Unit - 1038N Carpet deep clean Heavy grease removal Buffer Deodorizer</t>
  </si>
  <si>
    <t>Inv #0022856</t>
  </si>
  <si>
    <t>val Buffer Heavy deodorizer</t>
  </si>
  <si>
    <t>Inv #0022855</t>
  </si>
  <si>
    <t>Unit - 2-3086 Carpet deep clean Heavy grease removal Buffer Stains removal Heavy deodorizer</t>
  </si>
  <si>
    <t>Inv #0022854</t>
  </si>
  <si>
    <t>Unit - 1-0116 Carpet deep clean Extra heavy grease removal Buffer Heavy deodorizer</t>
  </si>
  <si>
    <t>Inv #010867429</t>
  </si>
  <si>
    <t>MURIATIC ACID GALLON - 4/CS  (29% HCL)</t>
  </si>
  <si>
    <t>CYANURIC ACID REAGENT REFILL FOR TEST KIT- .75 oz</t>
  </si>
  <si>
    <t>.75 OZ TAYLOR POOL WATER REAGENT R0010A</t>
  </si>
  <si>
    <t>.75 OZ TAYLOR POOL WATER REAGENT R0012A</t>
  </si>
  <si>
    <t>.75 OZ TAYLOR POOL WATER REAGENT R0008A</t>
  </si>
  <si>
    <t>.75 OZ TAYLOR POOL WATER REAGENT R0009A</t>
  </si>
  <si>
    <t>POOL STABILIZER - 7LB.</t>
  </si>
  <si>
    <t>2" FLOW METER</t>
  </si>
  <si>
    <t>RAINBOW 300 C CHLORINATOR</t>
  </si>
  <si>
    <t>A300 ROUND CAL-HYPO TABLETS- 50 LB.</t>
  </si>
  <si>
    <t>DUAL EYE WASH STATION WITH 16 OZ BOTTLES</t>
  </si>
  <si>
    <t>Inv #010867430</t>
  </si>
  <si>
    <t>DAP KWIKSEAL TUB &amp; TILE WHITE CAULK - 5.5 OZ.</t>
  </si>
  <si>
    <t>Check #1025</t>
  </si>
  <si>
    <t>Inv #AKCWRR-0001</t>
  </si>
  <si>
    <t>Kids U mailbox Center repairs</t>
  </si>
  <si>
    <t>Inv #0022857</t>
  </si>
  <si>
    <t>Unit - 353S Carpet deep clean Heavy grease removal Buffer Heavy deodorizer, Carpet repairs</t>
  </si>
  <si>
    <t>Carpet repairs</t>
  </si>
  <si>
    <t>Inv #0022862</t>
  </si>
  <si>
    <t>Unit - 221S Carpet deep clean Heavy grease removal Buffer Pet treatment, Entry repair</t>
  </si>
  <si>
    <t>Entry repair</t>
  </si>
  <si>
    <t>Inv #0022863</t>
  </si>
  <si>
    <t>Unit - 3091N Carpet deep clean Heavy grease removal Buffer Heavy deodorizer, Stretch 3 patch repairs Carpet repairs</t>
  </si>
  <si>
    <t>Stretch 3 patch repairs Carpet repairs</t>
  </si>
  <si>
    <t>Inv #0022860</t>
  </si>
  <si>
    <t>Unit - 1085N Carpet deep clean Heavy grease removal Buffer Heavy deodorizer, carpet repairs</t>
  </si>
  <si>
    <t>Inv #0022918</t>
  </si>
  <si>
    <t>Unit - 2-2064 Carpet deep clean Extra heavy grease removal Buffer Pet treatment Odor treatment, entry repairs</t>
  </si>
  <si>
    <t>Inv #0022919</t>
  </si>
  <si>
    <t>Unit - 2 2050 Carpet deep clean Heavy grease removal Buffer Pet treatment Odor treatment, Carpet repairs</t>
  </si>
  <si>
    <t>Inv #0022789</t>
  </si>
  <si>
    <t>Unit - 1022N Carpet deep clean Heavy grease removal Buffer stains removal Heavy deodorizer</t>
  </si>
  <si>
    <t>Unit - 2 1042 Carpet deep clean Extra heavy grease removal Buffer stains removal Heavy deodorizer bedroom</t>
  </si>
  <si>
    <t>Unit - 1-0415 Carpet deep clean Extra heavy grease removal Buffer stains removal Heavy deodorizer, 2 patch repairs</t>
  </si>
  <si>
    <t>Unit - 1-807 Carpet deep clean Heavy grease removal Buffer Heavy deodorizer, carpet repairs</t>
  </si>
  <si>
    <t>Unit - 2091N Carpet deep clean Heavy grease removal Buffer Heavy deodorizer</t>
  </si>
  <si>
    <t>2 patch repairs</t>
  </si>
  <si>
    <t>Unit - 247S Carpet deep clean Extra heavy grease removal Buffer Heavy deodorizer</t>
  </si>
  <si>
    <t>Unit - 2048N Carpet deep clean Heavy grease removal Buffer Heavy deodorizer, carpet repairs</t>
  </si>
  <si>
    <t>Inv #DAY0067761</t>
  </si>
  <si>
    <t>2-1031 carpet replacement</t>
  </si>
  <si>
    <t>Inv #DAY0067760</t>
  </si>
  <si>
    <t>2-2076 carpet replacement</t>
  </si>
  <si>
    <t>Inv #DAY0067763</t>
  </si>
  <si>
    <t>2051N carpet repalcement</t>
  </si>
  <si>
    <t>Inv #DAY0067762</t>
  </si>
  <si>
    <t>1-0518 carpet replacement</t>
  </si>
  <si>
    <t>Inv #DAY0067764</t>
  </si>
  <si>
    <t>1053N carpet replacement</t>
  </si>
  <si>
    <t>Inv #DAY0067806</t>
  </si>
  <si>
    <t>256S carpet replacement</t>
  </si>
  <si>
    <t>Inv #DAY0067798</t>
  </si>
  <si>
    <t>2-2048 carpet replacement</t>
  </si>
  <si>
    <t>Inv #DAY0067797</t>
  </si>
  <si>
    <t>2-2066 carpet replacement</t>
  </si>
  <si>
    <t>Inv #DAY0067796</t>
  </si>
  <si>
    <t>2-1084 carpet replacement</t>
  </si>
  <si>
    <t>Inv #DAY0067908</t>
  </si>
  <si>
    <t>256S vinyl replacement</t>
  </si>
  <si>
    <t>Payment #1026</t>
  </si>
  <si>
    <t>Refundable Ad Deposit</t>
  </si>
  <si>
    <t>Payment #1027</t>
  </si>
  <si>
    <t>Inv #11479</t>
  </si>
  <si>
    <t>1-1424 2x2 extra</t>
  </si>
  <si>
    <t>1027-N 2x2 extra</t>
  </si>
  <si>
    <t>Inv #114091</t>
  </si>
  <si>
    <t>1-0703 housekeeping</t>
  </si>
  <si>
    <t>1-1303 housekeeping</t>
  </si>
  <si>
    <t>1-1103 housekeeping</t>
  </si>
  <si>
    <t>1-0807 housekeeping</t>
  </si>
  <si>
    <t>2091N housekeeping</t>
  </si>
  <si>
    <t>2048N housekeeping</t>
  </si>
  <si>
    <t>1-0415 housekeeping</t>
  </si>
  <si>
    <t>247S housekeeping</t>
  </si>
  <si>
    <t>Inv #C1664085</t>
  </si>
  <si>
    <t>Inv #3081865-2163-6</t>
  </si>
  <si>
    <t>03/01/2026 - 03/31/2026</t>
  </si>
  <si>
    <t>Waste Management of Dallas, Inc</t>
  </si>
  <si>
    <t>Inv #3081629-2163-6</t>
  </si>
  <si>
    <t>03/01/2026 - 03/31/2026 - Overage Service Flat MSW Tier1</t>
  </si>
  <si>
    <t>Inv #3081807-2163-8</t>
  </si>
  <si>
    <t>03/01/2026 - 03/31/2026 -</t>
  </si>
  <si>
    <t>Inv #3081628-2163-8</t>
  </si>
  <si>
    <t>Inv #3081864-2163-9</t>
  </si>
  <si>
    <t>Inv #3081863-2163-1</t>
  </si>
  <si>
    <t>Payment #1029</t>
  </si>
  <si>
    <t>LeaseLock Insurance Services, Inc.</t>
  </si>
  <si>
    <t>Payment #1028</t>
  </si>
  <si>
    <t>LeaseLock, Inc.</t>
  </si>
  <si>
    <t>Inv #REM-251202156- CM</t>
  </si>
  <si>
    <t>Credit REM-251202156- CM was allocated to Invoice  - #REM-251202156</t>
  </si>
  <si>
    <t>Inv #TECH-251202157- CM</t>
  </si>
  <si>
    <t>Credit TECH-251202157- CM was allocated to Invoice  - #TECH-251202157</t>
  </si>
  <si>
    <t>Inv #055353798293</t>
  </si>
  <si>
    <t>Inv #12290</t>
  </si>
  <si>
    <t>bldg 16 west phase 2 2-1082 entire building was stopped up.</t>
  </si>
  <si>
    <t>Inv #20175484-00</t>
  </si>
  <si>
    <t>valspar 2000 semi gloss high hide</t>
  </si>
  <si>
    <t>Valspar 2000 Semi-gloss NeutralTintable Interior Paint Paint + Primer ( 1-…</t>
  </si>
  <si>
    <t>Valspar 2000 Semi-gloss Pastel Trintable interior paint paint + primer (5 gallon)</t>
  </si>
  <si>
    <t>Valspar direct to metal semi-gloss neutral interior/exterior water based</t>
  </si>
  <si>
    <t>Check #ACH 02.27.2026</t>
  </si>
  <si>
    <t>Inv #010890887</t>
  </si>
  <si>
    <t>RED SEAL WAX RING KIT W/SLEEVE, BRASS BOLTS, &amp; HARDWARE</t>
  </si>
  <si>
    <t>TALL CLOSET BOLT COVER W/ WASHER - PAIR</t>
  </si>
  <si>
    <t>WSL-C 0226 400A FLUIDMASTER TANK FILL VALVE</t>
  </si>
  <si>
    <t>48750-PP-CP WATCO UNIVERSAL NUFIT PUSH PULL TUB STOPPER W/ NO GRID - CHROME</t>
  </si>
  <si>
    <t>MIXET SLIP-ON DIVERTER 1/2" TUB SPOUT 6 1/2" LENGTH - CHROME</t>
  </si>
  <si>
    <t>WHITEFALLS MASSAGE SHOWERHEAD - 1.75 GPM CHROME</t>
  </si>
  <si>
    <t>660 15 SMT 6AL STRKP  SMT KWIKSET SMARTKEY SINGLE CYLINDER DEADBOLT - SATIN NICKEL</t>
  </si>
  <si>
    <t>RED SEAL UNIVERSAL FILL VALVE REPLACEMENT SEAL - 10/PK</t>
  </si>
  <si>
    <t>3" TOILET TANK GASKET</t>
  </si>
  <si>
    <t>SLIDING DOOR HANDLE/LOCK</t>
  </si>
  <si>
    <t>PATIO DOOR HANDLE AND LATCH SET - 13-114</t>
  </si>
  <si>
    <t>Inv #054008449321</t>
  </si>
  <si>
    <t>Inv #INV-3073911</t>
  </si>
  <si>
    <t>Inv #010890191</t>
  </si>
  <si>
    <t>6W (50W REPLACEMENT)  MR16 LED REFLECTOR BULB - 3000K GU10 BASE</t>
  </si>
  <si>
    <t>BLUE WIRE NUTS AWG 14-22 - 100/BX</t>
  </si>
  <si>
    <t>1/8" X 3" TOGGLE BOLTS 50/BX</t>
  </si>
  <si>
    <t>3/16" X 3" TOGGLE BOLTS 50/BX</t>
  </si>
  <si>
    <t>#10 X 3/4" PHILLIPS PH SELF DRILLING SCREWS - 40/BX</t>
  </si>
  <si>
    <t>#10 X 1" PHILLIPS PH SELF DRILLING SCREWS - 20/BX</t>
  </si>
  <si>
    <t>INDUSTRIAL PENETRANT</t>
  </si>
  <si>
    <t>#8 X 3" DRYWALL SCREW - 250/BX</t>
  </si>
  <si>
    <t>FIX-A-JAMB II- INTERIOR</t>
  </si>
  <si>
    <t>HEAVY DUTY DEADBOLT STRIKE - PB</t>
  </si>
  <si>
    <t>KW1 KEY BLANKS 5 PIN FOR KWIKSET  - 250/BX</t>
  </si>
  <si>
    <t>NA14 KEY BLANKS FOR NATIONAL - 50/BX</t>
  </si>
  <si>
    <t>DRAWER TRACK ROLLER LH MONO-RAIL - 45-17</t>
  </si>
  <si>
    <t>DRAWER TRACK ROLLER RH MONO-RAIL - 45-18</t>
  </si>
  <si>
    <t>ADJUSTABLE CLOSET ROD 48" TO 72"</t>
  </si>
  <si>
    <t>STEEL MIRROR CLIPS WITH SCREWS- 25 PK</t>
  </si>
  <si>
    <t>ACRYLIC MIRROR CLIPS - 24/PK</t>
  </si>
  <si>
    <t>OPEN CELL FOAM WEATHERSTRIP 3/8" X 1/2" X 17'</t>
  </si>
  <si>
    <t>TEFLON TAPE - 1/2" X 260"- 10/PK</t>
  </si>
  <si>
    <t>6" RUBBER DUAL CUP TOILET PLUNGER - YELLOW HANDLE</t>
  </si>
  <si>
    <t>PLUMBERS SANDCLOTH - 1-1/2" X 30' - 120 GRIT</t>
  </si>
  <si>
    <t>3" TOILET FLUSH VALVE KIT - INCLUDES VALVE, TANK SEAL, TANK BOLTS</t>
  </si>
  <si>
    <t>FLUIDMASTER TOILET TANK FLUSH VALVE - 507A</t>
  </si>
  <si>
    <t>FALLCREEK TWO HANDLE HIGH ARC KITCHEN FAUCET W/O SPRAY - CHROME</t>
  </si>
  <si>
    <t>VENT FAN MOTOR - SM552/TP552  RM552</t>
  </si>
  <si>
    <t>2" HOLE COVER WITH PUTTY CUP - CHROME PLATED</t>
  </si>
  <si>
    <t>Inv #19850-NT</t>
  </si>
  <si>
    <t>12 X 18 Brochures 4 Page: 500ct</t>
  </si>
  <si>
    <t>Inv #0021724</t>
  </si>
  <si>
    <t>1-0518 Full paint color change 300$ Ceiling full paint 200$ Cabinets full paint color change 320$ Primer 70$</t>
  </si>
  <si>
    <t>Cracks repairs Repairs</t>
  </si>
  <si>
    <t>Inv #0021942</t>
  </si>
  <si>
    <t>1-0116 2 tub and 2 tile resurfacing</t>
  </si>
  <si>
    <t>1-0116 Full paint 200$ Ceilings full paint 200$ Cabinets full paint 280$</t>
  </si>
  <si>
    <t>Inv #0022025</t>
  </si>
  <si>
    <t>1091N -Sheetrock repair 5x4 + mass + texture</t>
  </si>
  <si>
    <t>Inv #0022306</t>
  </si>
  <si>
    <t>2-1007 Emergency water extraction 5 areas Heavy antimicrobial treatment (Sewage water), areas deep clean</t>
  </si>
  <si>
    <t>Areas deep clean</t>
  </si>
  <si>
    <t>Inv #116974</t>
  </si>
  <si>
    <t>Rentvision billing</t>
  </si>
  <si>
    <t>Inv #2663844371</t>
  </si>
  <si>
    <t>Inv #1998832</t>
  </si>
  <si>
    <t>Inv #12524</t>
  </si>
  <si>
    <t>Patrol service</t>
  </si>
  <si>
    <t>Inv #202603</t>
  </si>
  <si>
    <t>Payment #ACH 02.23.26</t>
  </si>
  <si>
    <t>Inv #0023131</t>
  </si>
  <si>
    <t>2 2079 Full paint color change 2 bedrooms 350$ Full paint cabinets 320$</t>
  </si>
  <si>
    <t>Inv #0023132</t>
  </si>
  <si>
    <t>Unit - 2-1070 Full paint 2 bedrooms 250$ Cabinets full paint 280$</t>
  </si>
  <si>
    <t>Inv #0023133</t>
  </si>
  <si>
    <t>1-1306 Full paint 200$ Cabinets full paint 280$</t>
  </si>
  <si>
    <t>Inv #0023135</t>
  </si>
  <si>
    <t>1-0816 Full paint 2 bedrooms color change 350$ Ceilings full paint 200$ Cabinets full paint 300$</t>
  </si>
  <si>
    <t>Inv #0023136</t>
  </si>
  <si>
    <t>2-1074 Full paint 2 bedrooms 250$ Ceilings full paint 200$ Cabinets full paint 2bd 300$ Repairs 15$</t>
  </si>
  <si>
    <t>Inv #0023139</t>
  </si>
  <si>
    <t>2-2066 Carpet deep clean Extra heavy grease removal Buffer Heavy pet treatment</t>
  </si>
  <si>
    <t>Inv #0023144</t>
  </si>
  <si>
    <t>221S Ozone machine rent x 3days</t>
  </si>
  <si>
    <t>Inv #0023227</t>
  </si>
  <si>
    <t>2-1070 Carpet deep clean Extra heavy grease removal Buffer Heavy deodorizer</t>
  </si>
  <si>
    <t>Inv #0023239</t>
  </si>
  <si>
    <t>2-2019 Carpet deep clean Extra heavy grease removal Buffer Heavy pet treatment</t>
  </si>
  <si>
    <t>Inv #0023276</t>
  </si>
  <si>
    <t>215S Tub and tile resurfacing</t>
  </si>
  <si>
    <t>Inv #0023241</t>
  </si>
  <si>
    <t>2-1025 Emergency water extraction Full bedroom + closet Wet pad removal Antimicrobial treatment</t>
  </si>
  <si>
    <t>Inv #0023240</t>
  </si>
  <si>
    <t>2-1074 Carpet deep clean Extra heavy grease removal Buffer Heavy stains removal Heavy deodorizer</t>
  </si>
  <si>
    <t>Inv #0023343</t>
  </si>
  <si>
    <t>2018N Tub and tile resurfacing</t>
  </si>
  <si>
    <t>Inv #0023328</t>
  </si>
  <si>
    <t>2-2019 Kitchen countertops and extra bar 125$ Bathroom countertops 60$</t>
  </si>
  <si>
    <t>Inv #0023327</t>
  </si>
  <si>
    <t>223S 2 tub and 2 tile resurfacing</t>
  </si>
  <si>
    <t>Inv #0023347</t>
  </si>
  <si>
    <t>2071N 2 tub and 2 tile resurfacing 520$ Tub repair 25$</t>
  </si>
  <si>
    <t>Inv #0023358</t>
  </si>
  <si>
    <t>223S Full paint 2 bedrooms 250$ Full paint cabinets 2 bd 320$</t>
  </si>
  <si>
    <t>Inv #0023238</t>
  </si>
  <si>
    <t>421S Carpet deep clean Heavy grease removal Buffer Stairs Heavy deodorizer, stretch, carpet repairs</t>
  </si>
  <si>
    <t>Stretch Carpet repairs</t>
  </si>
  <si>
    <t>Inv #0023226</t>
  </si>
  <si>
    <t>2 2079 Carpet deep clean Extra heavy grease removal Buffer Heavy deodorizer, pad relay, and carpet repairs</t>
  </si>
  <si>
    <t>Pad relay Carpet repairs</t>
  </si>
  <si>
    <t>Inv #0023224</t>
  </si>
  <si>
    <t>1-0816 Carpet deep clean Extra heavy grease removal Buffer Heavy deodorizer, stretch entire unit</t>
  </si>
  <si>
    <t>Stretch all unit</t>
  </si>
  <si>
    <t>Inv #0023225</t>
  </si>
  <si>
    <t>1-1306 Carpet deep clean Extra heavy grease removal Buffer Heavy pet treatment, stretch all unit</t>
  </si>
  <si>
    <t>Inv #123631526</t>
  </si>
  <si>
    <t>Inv #114097</t>
  </si>
  <si>
    <t>432S housekeeping</t>
  </si>
  <si>
    <t>1-0116 housekeeping</t>
  </si>
  <si>
    <t>2-3086 housekeeping</t>
  </si>
  <si>
    <t>362S housekeeping</t>
  </si>
  <si>
    <t>353S housekeeping</t>
  </si>
  <si>
    <t>3091N housekeeping</t>
  </si>
  <si>
    <t>Payment #1030</t>
  </si>
  <si>
    <t>Sherwin Williams Paint</t>
  </si>
  <si>
    <t>Inv #0023348</t>
  </si>
  <si>
    <t>1003N Tub and tile resurfacing</t>
  </si>
  <si>
    <t>Inv #0023406</t>
  </si>
  <si>
    <t>426S baseboards replace 54ft 510$ (material and labor)</t>
  </si>
  <si>
    <t>Inv #0023369</t>
  </si>
  <si>
    <t>2018N Full paint 200$ Cabinets full paint 280$</t>
  </si>
  <si>
    <t>Inv #0023365</t>
  </si>
  <si>
    <t>1003N Full paint 200$ Cabinets full paint 280$</t>
  </si>
  <si>
    <t>Inv #SALES0000179608</t>
  </si>
  <si>
    <t>Legal Notice</t>
  </si>
  <si>
    <t>Rent Suit</t>
  </si>
  <si>
    <t>Inv #PR5870-0001</t>
  </si>
  <si>
    <t>Inv #12227</t>
  </si>
  <si>
    <t>Building 27 : entire building is backing up</t>
  </si>
  <si>
    <t>Inv #12324</t>
  </si>
  <si>
    <t>south boiler low air flow</t>
  </si>
  <si>
    <t>Inv #CA1669405</t>
  </si>
  <si>
    <t>Actions Service Licensee Fee</t>
  </si>
  <si>
    <t>Inv #CA1669406</t>
  </si>
  <si>
    <t>Inv #20220217-00</t>
  </si>
  <si>
    <t>Inv #050753855045</t>
  </si>
  <si>
    <t>Inv #051052805470</t>
  </si>
  <si>
    <t>Inv #050504430266</t>
  </si>
  <si>
    <t>Inv #2541-0226-2</t>
  </si>
  <si>
    <t>Concept Design</t>
  </si>
  <si>
    <t>Inv #010930199</t>
  </si>
  <si>
    <t>LIFEGUARD LIFE HOOK</t>
  </si>
  <si>
    <t>12' STRAIGHT POOL POLE</t>
  </si>
  <si>
    <t>2" CORDLESS FAUX WOOD BLIND 71X72 - WHITE</t>
  </si>
  <si>
    <t>2" CORDLESS FAUX WOOD BLIND 23X72 - WHITE</t>
  </si>
  <si>
    <t>Inv #C1671371</t>
  </si>
  <si>
    <t>Inv #050454494648</t>
  </si>
  <si>
    <t>Payment #1031</t>
  </si>
  <si>
    <t>Inv #2694396181</t>
  </si>
  <si>
    <t>Payment #1032</t>
  </si>
  <si>
    <t>Inv #12298</t>
  </si>
  <si>
    <t>bldg 16 west phase 2 2-1082 entire building was stopped up- 2nd call as there was excess napkins</t>
  </si>
  <si>
    <t>Inv #12335</t>
  </si>
  <si>
    <t>boiler not functiooning  at 3B</t>
  </si>
  <si>
    <t>Inv #0023366</t>
  </si>
  <si>
    <t>426S Full paint townhome 2 bedrooms 250$ Ceilings full paint 200$ Cabinets full paint 320$</t>
  </si>
  <si>
    <t>Inv #0023364</t>
  </si>
  <si>
    <t>2071N Full paint 2 bedrooms 250$ Full paint cabinets 320$</t>
  </si>
  <si>
    <t>Inv #0023367</t>
  </si>
  <si>
    <t>421S Full paint 200$ Cabinets full paint 280$</t>
  </si>
  <si>
    <t>Inv #0023698</t>
  </si>
  <si>
    <t>1 1106 Emergency water extraction 2 areas Wet pad removal Tack strip removal Antimicrobial treatment</t>
  </si>
  <si>
    <t>Inv #0023695</t>
  </si>
  <si>
    <t>169S Emergency water extraction 3 areas Wet pad removal Antimicrobial treatment (Sunday)169S Emergency water extraction 3 areas Wet pad removal Antimicrobial treatment (Sunday)</t>
  </si>
  <si>
    <t>Inv #0023606</t>
  </si>
  <si>
    <t>1-0310 Full paint 200$ Cabinets full paint 280$</t>
  </si>
  <si>
    <t>Inv #DAY0068936</t>
  </si>
  <si>
    <t>1085N vinyl replacement</t>
  </si>
  <si>
    <t>Inv #DAY0068938</t>
  </si>
  <si>
    <t>242S vinyl replacement</t>
  </si>
  <si>
    <t>Inv #DAY0069289</t>
  </si>
  <si>
    <t>242S carpet replacement</t>
  </si>
  <si>
    <t>Inv #Legal/Lare fees</t>
  </si>
  <si>
    <t>Real Advice service legal/late fees related to lien</t>
  </si>
  <si>
    <t>Check #1033</t>
  </si>
  <si>
    <t>Check #1034</t>
  </si>
  <si>
    <t>Payment #1036</t>
  </si>
  <si>
    <t>Payment #1035</t>
  </si>
  <si>
    <t>Inv #1557054</t>
  </si>
  <si>
    <t>2-1074 broken window</t>
  </si>
  <si>
    <t>Inv #LPS-260301806</t>
  </si>
  <si>
    <t>Payment #ACH 03.03.26</t>
  </si>
  <si>
    <t>Payment #ACH 03.02.26</t>
  </si>
  <si>
    <t>Inv #010979800</t>
  </si>
  <si>
    <t>WSL 28" LED OVAL TWO RING FLUSH MOUNT CEILING FIXTURE</t>
  </si>
  <si>
    <t>52" 5 PRE-ASSEMBLED ROSEWOOD BLADE HUGGER CEILING FAN W/ LIGHT - BRUSHED PEWTER</t>
  </si>
  <si>
    <t>NATIONAL STYLE C8730 MAILBOX LOCK   MP4573</t>
  </si>
  <si>
    <t>663 X15 KWIKSET SINGLE SIDED DEADBOLT SATIN NICKEL</t>
  </si>
  <si>
    <t>FALLCREEK SINGLE HANDLE PULL DOWN KITCHEN FAUCET - CHROME</t>
  </si>
  <si>
    <t>WHITE LIGHTNING KITCHEN &amp; BATH CLEAR CAULK - 5.3 OZ - 12/CS</t>
  </si>
  <si>
    <t>NO MIX BRASS CARTRIDGE #101</t>
  </si>
  <si>
    <t>TUBE MOUNT THERMOSTAT</t>
  </si>
  <si>
    <t>20A SELF TEST TAMPER PROOF GFCI RECEPTACLE - WHITE</t>
  </si>
  <si>
    <t>ATC-3 BLADE-TYPE FUSE - 5/PK</t>
  </si>
  <si>
    <t>ATC-5 BLADE-TYPE FUSE - 5/PK</t>
  </si>
  <si>
    <t>TAPPAN-STYLE RANGE BLOCK</t>
  </si>
  <si>
    <t>EVAPORATOR FAN MOTOR FOR GE WR60X10141, WR60X10346, WR60X23584</t>
  </si>
  <si>
    <t>STAY SOFT PLUMBERS PUTTY - 14 OZ</t>
  </si>
  <si>
    <t>1-1/4" X 1-1/4" FLEXIBLE COUPLING</t>
  </si>
  <si>
    <t>1-1/2" X 1-1/2" FLEXIBLE COUPLING</t>
  </si>
  <si>
    <t>2" X 2" FLEXIBLE COUPLING</t>
  </si>
  <si>
    <t>12" LED 2-RING CEILING FLUSH MOUNT FIXTURE - SATIN NICKEL</t>
  </si>
  <si>
    <t>SQUARE D 1P 20A BREAKER - QO120</t>
  </si>
  <si>
    <t>Inv #010980086</t>
  </si>
  <si>
    <t>GE 27" ELECTRIC SPACEMAKER WASHER/DRYER -WHITE- GUD27ESSMWW</t>
  </si>
  <si>
    <t>Inv #AM-2026-02</t>
  </si>
  <si>
    <t>Feb 2026 Asset Management Fee</t>
  </si>
  <si>
    <t>Inv #125016</t>
  </si>
  <si>
    <t>Estimates</t>
  </si>
  <si>
    <t>Inv #0023430</t>
  </si>
  <si>
    <t>2-2075 Carpet deep clean Extra heavy grease removal Buffer Heavy pet treatment</t>
  </si>
  <si>
    <t>Inv #0023326</t>
  </si>
  <si>
    <t>426S tub/tile resurfacing X2</t>
  </si>
  <si>
    <t>421S tub/tile resurfacing</t>
  </si>
  <si>
    <t>Check #ACH 03.17.2026</t>
  </si>
  <si>
    <t>Inv #114109</t>
  </si>
  <si>
    <t>2-2025 1x1 extra</t>
  </si>
  <si>
    <t>1-1401 2x2</t>
  </si>
  <si>
    <t>Inv #114110</t>
  </si>
  <si>
    <t>1-816 2x2 laundry Extra</t>
  </si>
  <si>
    <t>2-1070 2x2 &amp;#039; extra-1070 2x2 &amp;#039; extra</t>
  </si>
  <si>
    <t>256-s 3x2</t>
  </si>
  <si>
    <t>421-s 1x1 Laundry Town home</t>
  </si>
  <si>
    <t>2-1074 2x2 Extra</t>
  </si>
  <si>
    <t>Inv #010982498</t>
  </si>
  <si>
    <t>WHIRLPOOL 24" STACK LAUNDRY CENTER - WHITE - WET4024HW</t>
  </si>
  <si>
    <t>GE 24" DISHWASHER, BLACK - GSD2100VBB/GDF450PGRBB</t>
  </si>
  <si>
    <t>Mavungo, Ramon</t>
  </si>
  <si>
    <t>Inv #0023160</t>
  </si>
  <si>
    <t>1-0708 Carpet deep clean Heavy grease removal Buffer Heavy deodorizer</t>
  </si>
  <si>
    <t>Inv #0023161</t>
  </si>
  <si>
    <t>215S Carpet deep clean Heavy grease removal Buffer Heavy deodorizer</t>
  </si>
  <si>
    <t>Inv #0023459</t>
  </si>
  <si>
    <t>2-1025 Carpet pad relay Full bedroom + closet Carpet repairs</t>
  </si>
  <si>
    <t>2 blowers rent x 3 days</t>
  </si>
  <si>
    <t>Inv #0023484</t>
  </si>
  <si>
    <t>416S Carpet deep clean Heavy grease removal Buffer 2 Stairs Heavy deodorizer</t>
  </si>
  <si>
    <t>Inv #0023492</t>
  </si>
  <si>
    <t>1104N 2 tub and 2 tile resurfacing</t>
  </si>
  <si>
    <t>1-0310 Tub and tile resurfacing</t>
  </si>
  <si>
    <t>Inv #0023493</t>
  </si>
  <si>
    <t>1086N 2 tub and 2 tile resurfacing</t>
  </si>
  <si>
    <t>1035N tub/tile</t>
  </si>
  <si>
    <t>Inv #0023503</t>
  </si>
  <si>
    <t>1-0215 2 tub and 2 tile resurfacing 520$ Kitchen countertops and extra bar 125$ 2 bathroom countertops 120$</t>
  </si>
  <si>
    <t>Inv #0023542</t>
  </si>
  <si>
    <t>1080N Tub and tile resurfacing 260$ Kitchen countertops and extra bar 125$ Bathroom countertop 60$</t>
  </si>
  <si>
    <t>Inv #0023545</t>
  </si>
  <si>
    <t>1-0613 Tub and tile resurfacing 260$ Kitchen countertop and extra bar 125$ Bathroom countertop 60$</t>
  </si>
  <si>
    <t>Inv #0023544</t>
  </si>
  <si>
    <t>1074N 2 tub and 2 tile resurfacing 520$ Kitchen countertops and extra bar 125$ 2 bathroom countertops 120$</t>
  </si>
  <si>
    <t>Inv #20315070-00</t>
  </si>
  <si>
    <t>2000 SEMI HI HIDE WHITE INTERIOR PAINT 5-GALLON Valspar 2000 Semi White Base Interior Paint 5-Gallon, Good flow &amp; leveling for a uniform finish, Great hide and coverage, Excellent touch-up and fast recoat time, Easy to apply - spray, brush or roll</t>
  </si>
  <si>
    <t>Inv #20315079-00</t>
  </si>
  <si>
    <t>Valspar 2000 Semi-gloss Pastel TintableInterior Paint Paint + Primer ( 1-gallon )</t>
  </si>
  <si>
    <t>Inv #0023543</t>
  </si>
  <si>
    <t>2-2032 Tub and tile resurfacing 260$ Kitchen countertops and extra bar 125$ Bathroom countertop 60$</t>
  </si>
  <si>
    <t>242S 2 tub and 2 tile resurfacing</t>
  </si>
  <si>
    <t>Inv #0023556</t>
  </si>
  <si>
    <t>1-1318 Tub resurfacing</t>
  </si>
  <si>
    <t>416S Tub and tile resurfacing</t>
  </si>
  <si>
    <t>Inv #8006571959</t>
  </si>
  <si>
    <t>For professional services rendered in connection with the federal and state returns as detailed for the taxable year ending December 31, 2025.</t>
  </si>
  <si>
    <t>Inv #12397</t>
  </si>
  <si>
    <t>building 16 backing up entire building</t>
  </si>
  <si>
    <t>Inv #12410</t>
  </si>
  <si>
    <t>building 8 on North needs a hydrojet</t>
  </si>
  <si>
    <t>Inv #71752120</t>
  </si>
  <si>
    <t>Apt/Condo Pest Prevention</t>
  </si>
  <si>
    <t>Inv #0023595</t>
  </si>
  <si>
    <t>1080N Full paint 2 bedrooms color change 350$ Repairs and killz 70$ Cabinets full paint 2 bd 320$</t>
  </si>
  <si>
    <t>Inv #0023586</t>
  </si>
  <si>
    <t>2073N Carpet deep clean Heavy grease removal Buffer Heavy deodorizer</t>
  </si>
  <si>
    <t>Inv #0023567</t>
  </si>
  <si>
    <t>Carpet repairs Stretch Patch repairs</t>
  </si>
  <si>
    <t>426S Carpet deep clean Extra heavy grease removal Buffer Stairs Heavy deodorizer,  A+ Carpet cleaning and services LLC 2146503024 718 Gatecrest dr Fate, TX  75087 Billed To Ava apartments 8401 Skillman St Dallas, TX  75231 Date of Issue 03/02/2026 Due Date 03/17/2026 Invoice Number 0023567 Amount Due (USD) $255.26 Description	Rate	Qty	Line Total Unit - 426S Carpet deep clean Extra heavy grease removal Buffer Stairs Heavy deodorizer $185.00 +Sales tax 1	$185.00 Carpet repairs Stretch Patch repairs</t>
  </si>
  <si>
    <t>Inv #0023596</t>
  </si>
  <si>
    <t>2-2070 Full paint 2 bedrooms 250$ Primer and heavy repairs 350$ Cabinets full paint 320$</t>
  </si>
  <si>
    <t>heavy repairs</t>
  </si>
  <si>
    <t>Inv #011005679</t>
  </si>
  <si>
    <t>STAINLESS STEEL CLEANER POLISH</t>
  </si>
  <si>
    <t>LYSOL PRO TOILET BOWL CLEANER</t>
  </si>
  <si>
    <t>2" CORDLESS FAUX WOOD BLIND 47X72- WHITE</t>
  </si>
  <si>
    <t>2" CORDLESS FAUX WOOD BLIND 72X72 - WHITE</t>
  </si>
  <si>
    <t>24" 6 PANEL HOLLOW CORE COLONIST SLAB DOOR</t>
  </si>
  <si>
    <t>32" 6 PANEL HOLLOW CORE COLONIST SLAB DOOR</t>
  </si>
  <si>
    <t>PATIO VERTICAL BLIND 78X84 - WHITE</t>
  </si>
  <si>
    <t>REPLACEMENT FOR MIXET #71 TUB DIVERTER SPOUT</t>
  </si>
  <si>
    <t>WHITEFALLS MASSAGE SHOWERHEAD - 1.75 GPM BRUSHED NICKEL</t>
  </si>
  <si>
    <t>BRIGGS 7195 130 TOILET EXPRESS - 0.8 GPF WHITE ELONGATED FRONT ADA</t>
  </si>
  <si>
    <t>2" CORDLESS FAUX WOOD BLIND 35X36 - WHITE</t>
  </si>
  <si>
    <t>2" CORDLESS FAUX WOOD BLIND 70X72 - WHITE</t>
  </si>
  <si>
    <t>4-LIGHT WAVE TRACK LIGHT W/ GU10 SOCKET - BN W/FROSTED GLASS</t>
  </si>
  <si>
    <t>52" 5-BLADE SATIN NICKEL CEILING FAN W/ ALABASTER LIGHT KIT</t>
  </si>
  <si>
    <t>LED SQUARE OUTDOOR</t>
  </si>
  <si>
    <t>SOF-TEE TOILET PAPER - 96/CS</t>
  </si>
  <si>
    <t>COMET CLEANERS - 21 OZ.</t>
  </si>
  <si>
    <t>MEDIUM DUTY SCRUBBING SPONGE - 20/BX</t>
  </si>
  <si>
    <t>STAINLESS STEEL SPONGE - 12/PK</t>
  </si>
  <si>
    <t>Inv #0023568</t>
  </si>
  <si>
    <t>115S Emergency water extraction Wet pad removal Antimicrobial treatment</t>
  </si>
  <si>
    <t>Inv #0023771</t>
  </si>
  <si>
    <t>242S Large mass and texture repairs Sheetrock repairs Primer Trim door repairs Baseboards repairs</t>
  </si>
  <si>
    <t>Inv #0023733</t>
  </si>
  <si>
    <t>2018N Carpet deep clean Heavy grease removal Buffer Heavy deodorizer</t>
  </si>
  <si>
    <t>Inv #0024013</t>
  </si>
  <si>
    <t>1010N Emergency water extraction Antimicrobial treatment (7:00PM)</t>
  </si>
  <si>
    <t>Inv #0023587</t>
  </si>
  <si>
    <t>1086N Carpet deep clean Heavy grease removal Buffer Heavy deodorizer</t>
  </si>
  <si>
    <t>Inv #0023569</t>
  </si>
  <si>
    <t>114S Emergency water extaction 5 areas Wet pad removal Antimicrobial treatment</t>
  </si>
  <si>
    <t>Inv #0023617</t>
  </si>
  <si>
    <t>1053N Housekeeping clean 2 bedrooms</t>
  </si>
  <si>
    <t>2-1031 Housekeeping clean</t>
  </si>
  <si>
    <t>Inv #0023604</t>
  </si>
  <si>
    <t>repairs 12ft</t>
  </si>
  <si>
    <t>1-1318 Full paint color change 300$ Ceilings full paint 200$ Ceiling repairs and killz 50$ Tape and belt repair 12ft 144$</t>
  </si>
  <si>
    <t>Inv #0023622</t>
  </si>
  <si>
    <t>2-1084 Housekeeping clean</t>
  </si>
  <si>
    <t>Inv #0023605</t>
  </si>
  <si>
    <t>1074N Full paint 2 bedrooms color change 350$ Cabinets full paint 320$</t>
  </si>
  <si>
    <t>Inv #0022322</t>
  </si>
  <si>
    <t>2091N full paint, ceiling, and cabinets</t>
  </si>
  <si>
    <t>Inv #0023973</t>
  </si>
  <si>
    <t>1-1106 Carpet pad relay Carpet repairs, Carpet clean</t>
  </si>
  <si>
    <t>Carpet clean</t>
  </si>
  <si>
    <t>Inv #0023952</t>
  </si>
  <si>
    <t>2 2022 Carpet deep clean Heavy grease removal Buffer Heavy deodorizer,  Carpet repairs</t>
  </si>
  <si>
    <t>Inv #INA-237952</t>
  </si>
  <si>
    <t>Payment #ACH 03.18.26</t>
  </si>
  <si>
    <t>Payment #ACH 03.12.26</t>
  </si>
  <si>
    <t>Payment #ACH 03.20.26</t>
  </si>
  <si>
    <t>Payment #ACH 03.23.26</t>
  </si>
  <si>
    <t>Payment #1037</t>
  </si>
  <si>
    <t>Check #1038</t>
  </si>
  <si>
    <t>Inv #0024200</t>
  </si>
  <si>
    <t>1010N Blower rent x 3 days</t>
  </si>
  <si>
    <t>Inv #0024169</t>
  </si>
  <si>
    <t>422S Repairs 50$</t>
  </si>
  <si>
    <t>422S Full paint color change 2 bedrooms 400$ Ceilings full paint 200$ Cabinets full paint 320$</t>
  </si>
  <si>
    <t>Inv #752237- CM</t>
  </si>
  <si>
    <t>Ryan Law Firm, PLLC</t>
  </si>
  <si>
    <t>Credit 752237- CM was allocated to Invoice  - #752237</t>
  </si>
  <si>
    <t>Inv #752236- CM</t>
  </si>
  <si>
    <t>Credit 752236- CM was allocated to Invoice  - #752236</t>
  </si>
  <si>
    <t>Inv #752235- CM</t>
  </si>
  <si>
    <t>Credit 752235- CM was allocated to Invoice  - #752235</t>
  </si>
  <si>
    <t>Check #ACH 03.25.2026</t>
  </si>
  <si>
    <t>Inv #011034331</t>
  </si>
  <si>
    <t>Inv #12497</t>
  </si>
  <si>
    <t>building 9&amp;amp;10 backing up</t>
  </si>
  <si>
    <t>Inv #12452</t>
  </si>
  <si>
    <t>phase 2 underground leak by pool</t>
  </si>
  <si>
    <t>Inv #12473</t>
  </si>
  <si>
    <t>bldg 13 phase 1 pipe busted under bldg</t>
  </si>
  <si>
    <t>Inv #D12499</t>
  </si>
  <si>
    <t>Repair - Below Slab Sewer Line Repair Building 13</t>
  </si>
  <si>
    <t>Inv #3044194</t>
  </si>
  <si>
    <t>dnO/A/N WA14AZ18AJ1NA WK 14.3 COND 1.5T</t>
  </si>
  <si>
    <t>19HXS5 R410 TXV 1.5T FURR EVAP COIL</t>
  </si>
  <si>
    <t>8073 - 1/2IN X 6FT WHIP WIRING KIT</t>
  </si>
  <si>
    <t>NON-FUSED DISCONNECT 60A</t>
  </si>
  <si>
    <t>Inv #DAL26030264TM-ret</t>
  </si>
  <si>
    <t>Retainer feee</t>
  </si>
  <si>
    <t>Inv #011032115</t>
  </si>
  <si>
    <t>Pool motor</t>
  </si>
  <si>
    <t>Inv #055728725144</t>
  </si>
  <si>
    <t>Inv #100068200053</t>
  </si>
  <si>
    <t>Inv #0024168</t>
  </si>
  <si>
    <t>1-0913 Full paint 200$ Ceilings full paint 200$ Cabinets full paint 280$</t>
  </si>
  <si>
    <t>Check #ACH (eCheck) Wafd 3.26.26</t>
  </si>
  <si>
    <t>Payment #1039</t>
  </si>
  <si>
    <t>Inv #011041986</t>
  </si>
  <si>
    <t>12X24X1 A/C FILTER - 12/CS - MERV 1</t>
  </si>
  <si>
    <t>30" X 36" POLISHED EDGE MIRROR</t>
  </si>
  <si>
    <t>WALNUT WOOD KNOB W/12" CHROME PULL CHAIN - 4/PK</t>
  </si>
  <si>
    <t>WHITEFALLS MASSAGE SHOWERHEAD - 2.0 GPM CHROME</t>
  </si>
  <si>
    <t>6" PLUG- IN BURNER ELEMENT FOR GE WB30M1</t>
  </si>
  <si>
    <t>MIXET OEM HDL20 VOLUME CONTROL HANDLE - CLEAR</t>
  </si>
  <si>
    <t>WHITEFALLS PUSH &amp; SEAL DRAIN STOPPER - CHROME</t>
  </si>
  <si>
    <t>TOWEL BAR SET 24" X 5/8" W/EXPOSED SCREW - CHROME</t>
  </si>
  <si>
    <t>24" PLASTIC TOWEL BAR W/SPRING LOADED ENDS - WHITE</t>
  </si>
  <si>
    <t>TOILET PAPER HOLDER W/EXPOSED SCREW - CHROME</t>
  </si>
  <si>
    <t>84" VERTICAL BLIND SLAT 50/PK - WHITE (82-1/2" ACTUAL LENGTH</t>
  </si>
  <si>
    <t>2" CORDLESS FAUX WOOD BLIND 48X72 - WHITE</t>
  </si>
  <si>
    <t>CHROME PLATED STEEL SHOWER ARM ESCUTCHEON</t>
  </si>
  <si>
    <t>MAXWELL ONE SIDED KEYLESS DEADBOLT SATIN NICKEL</t>
  </si>
  <si>
    <t>DUAL THREAD AERATOR - CHROME 10/PK</t>
  </si>
  <si>
    <t>1/3HP BLAZER MAX GARBAGE DISPOSER W/O CORD (LIKE FWD1)</t>
  </si>
  <si>
    <t>300DLX15 KWIKSET DELTA PRIVACY LEVER -SATIN NICKEL</t>
  </si>
  <si>
    <t>24" PRIMED HARDBOARD BIFOLD</t>
  </si>
  <si>
    <t>32" 6 PANEL MOLDED BIFOLD DOOR</t>
  </si>
  <si>
    <t>TPPCSW-D 1-GANG DECORATOR NON INSULATED RECEPTACLE PLATE - WHITE 20/PK</t>
  </si>
  <si>
    <t>Inv #0023772</t>
  </si>
  <si>
    <t>1080N Carpet deep clean Heavy grease removal Buffer Heavy pet treatment 2 bd</t>
  </si>
  <si>
    <t>Inv #0023895</t>
  </si>
  <si>
    <t>119S 2 tub and 2 tile resurfacing</t>
  </si>
  <si>
    <t>1-0802 2 tub and 2 tile resurfacing 520$ Tub repair 30$</t>
  </si>
  <si>
    <t>Inv #0023839</t>
  </si>
  <si>
    <t>1-1318 Carpet deep clean Heavy grease removal Buffer Heavy deodorizer</t>
  </si>
  <si>
    <t>Inv #0023812</t>
  </si>
  <si>
    <t>1069N Full paint color change 300$ Ceilings full paint 200$ Cabinets full paint 280$ Primer 50$</t>
  </si>
  <si>
    <t>Inv #0023822</t>
  </si>
  <si>
    <t>115 Carpet pad relay</t>
  </si>
  <si>
    <t>Inv #0023794</t>
  </si>
  <si>
    <t>2-2053 Tub and tile resurfacing</t>
  </si>
  <si>
    <t>422S Tub and tile resurfacing</t>
  </si>
  <si>
    <t>Inv #0023813</t>
  </si>
  <si>
    <t>1069N Tub and tile resurfacing 260$ Bathroom countertops 60$ Kitchen countertops and extra bar 125$</t>
  </si>
  <si>
    <t>Inv #0023607</t>
  </si>
  <si>
    <t>242S Full paint 2 bedrooms 250$ Ceilings full paint 200$ Cabinets full paint 2bd 320$</t>
  </si>
  <si>
    <t>Inv #0023833</t>
  </si>
  <si>
    <t>2040N Carpet deep clean Heavy grease removal Buffer Heavy deodorizer</t>
  </si>
  <si>
    <t>Inv #0023834</t>
  </si>
  <si>
    <t>1003N Carpet deep clean Heavy grease removal Buffer Heavy deodorizer</t>
  </si>
  <si>
    <t>Inv #0023838</t>
  </si>
  <si>
    <t>2103N Carpet deep clean Heavy grease removal Buffer Pet treatment</t>
  </si>
  <si>
    <t>Inv #0023815</t>
  </si>
  <si>
    <t>1031N Tub and tile resurfacing 260$ Kitchen countertops and extra bar 125$ Bathroom countertop 60$</t>
  </si>
  <si>
    <t>Inv #0023814</t>
  </si>
  <si>
    <t>1031N Full paint color change 2 bedrooms 350$ Ceilings full paint 200$ Cabinets full paint 280$ Primer 50$</t>
  </si>
  <si>
    <t>Inv #0023889</t>
  </si>
  <si>
    <t>245S 2 tub and 2 tile resurfacing</t>
  </si>
  <si>
    <t>Inv #0023899</t>
  </si>
  <si>
    <t>1-0215 Full paint 2 bedrooms 250$ Gabinets full paint 320$</t>
  </si>
  <si>
    <t>1-0215 Repairs and killz 80$</t>
  </si>
  <si>
    <t>Inv #0023900</t>
  </si>
  <si>
    <t>1104N Full paint 2 bedrooms 250$ Full paint Cabinets 320$</t>
  </si>
  <si>
    <t>1104N Repairs and killz</t>
  </si>
  <si>
    <t>Inv #0023823</t>
  </si>
  <si>
    <t>114 Carpet pad relay</t>
  </si>
  <si>
    <t>1 dehumidifier rent x 3 days 225$ 2 blowers rent x 3 days 90$</t>
  </si>
  <si>
    <t>Inv #0023902</t>
  </si>
  <si>
    <t>1-1302 Full paint 200$ Full paint cabinets 280$</t>
  </si>
  <si>
    <t>Door trim repairs + heavy killz</t>
  </si>
  <si>
    <t>Inv #0024150</t>
  </si>
  <si>
    <t>2-2020 Full paint 2 bedrooms 250$ Cabinets full paint color change 320$</t>
  </si>
  <si>
    <t>Repairs 115$</t>
  </si>
  <si>
    <t>Inv #0024041</t>
  </si>
  <si>
    <t>2054N Carpet pad relay Carpet repairs</t>
  </si>
  <si>
    <t>Inv #0024104</t>
  </si>
  <si>
    <t>2-2059 Tub and tile resurfacing</t>
  </si>
  <si>
    <t>Sheetrock repair and tile install 3x3</t>
  </si>
  <si>
    <t>Inv #0024124</t>
  </si>
  <si>
    <t>1-1423 2 tub and 2 tile resurfacing</t>
  </si>
  <si>
    <t>1103N 2 tub and 2 tile resurfacing 520$ Tub repair 35$</t>
  </si>
  <si>
    <t>Inv #0024068</t>
  </si>
  <si>
    <t>1069N Carpet deep clean Heavy grease removal Buffer Paint removal Deodorizer</t>
  </si>
  <si>
    <t>Inv #0024151</t>
  </si>
  <si>
    <t>2-2059 Full paint color change 300$ Cabinets full paint color change 280$ Primer 40$ Bedroom ceiling full paint color change 45$</t>
  </si>
  <si>
    <t>Inv #0023888</t>
  </si>
  <si>
    <t>2078N Tub and tile resurfacing</t>
  </si>
  <si>
    <t>1058N Tub resurfacing</t>
  </si>
  <si>
    <t>1020N Tub and tile resurfacing</t>
  </si>
  <si>
    <t>404S Tub and tile resurfacing</t>
  </si>
  <si>
    <t>Inv #0024152</t>
  </si>
  <si>
    <t>1-1304 Full paint 200$ Cabinets full paint 280$</t>
  </si>
  <si>
    <t>Repairs 70$</t>
  </si>
  <si>
    <t>Inv #0024153</t>
  </si>
  <si>
    <t>2078N Full paint 2 bedroom 250$ Cabinets full paint 280$</t>
  </si>
  <si>
    <t>Repairs 55$</t>
  </si>
  <si>
    <t>Inv #9247398419</t>
  </si>
  <si>
    <t>Surface Mount Vertical 5-dr Mailbox-alum</t>
  </si>
  <si>
    <t>Inv #DAY0070065</t>
  </si>
  <si>
    <t>119S carpet replacement</t>
  </si>
  <si>
    <t>Inv #0023786</t>
  </si>
  <si>
    <t>2054N Emergency water extraction Heavy trash removal Antimicrobial treatment, Carpet clean</t>
  </si>
  <si>
    <t>Inv #0024038</t>
  </si>
  <si>
    <t>1038N make ready</t>
  </si>
  <si>
    <t>Inv #0024157</t>
  </si>
  <si>
    <t>1058N Full paint 200$ Cabinets full paint color change 280$ Killz 30$</t>
  </si>
  <si>
    <t>Inv #0024154</t>
  </si>
  <si>
    <t>1103N Full paint 2 bedrooms 250$ Ceilings full paint 200$ Cabinets full paint 320$</t>
  </si>
  <si>
    <t>Repairs 75$</t>
  </si>
  <si>
    <t>Inv #0024159</t>
  </si>
  <si>
    <t>1 1423 Full paint 2 bedrooms 250$ Cabinets full paint 320$ Ceilings full paint 200$</t>
  </si>
  <si>
    <t>Repairs + killz 50$</t>
  </si>
  <si>
    <t>Inv #0023985</t>
  </si>
  <si>
    <t>2018N Carpet touch up clean</t>
  </si>
  <si>
    <t>Inv #0024158</t>
  </si>
  <si>
    <t>101S Full paint 200$ Cabinets color change full paint 280$ Primer 40$ Ceilings full paint 200$</t>
  </si>
  <si>
    <t>Sheetrock repair 3x1 + mass +texture + repairs 115$</t>
  </si>
  <si>
    <t>Inv #0023896</t>
  </si>
  <si>
    <t>1-1304 Tub and tile resurfacing 260$ Tub repair 30$</t>
  </si>
  <si>
    <t>1 1302 Tub and tile resurfacing</t>
  </si>
  <si>
    <t>Inv #0024160</t>
  </si>
  <si>
    <t>1020N Full paint 200$ Cabinets full paint 280$</t>
  </si>
  <si>
    <t>Repairs 50$</t>
  </si>
  <si>
    <t>Inv #0024174</t>
  </si>
  <si>
    <t>119S Full paint 2 bedrooms 250$ Touch up cabinets 90$ Ceilings full paint 200$</t>
  </si>
  <si>
    <t>5 sheetrock repairs 2x1 + 2x1+ 1x1 + 1x1 + 1x1 230$ 10 ft baseboards replace 120$</t>
  </si>
  <si>
    <t>Payment #ACH 03.25.26</t>
  </si>
  <si>
    <t>Payment #1040</t>
  </si>
  <si>
    <t>Inv #177686</t>
  </si>
  <si>
    <t>Emily Martinez</t>
  </si>
  <si>
    <t>Inv #0024238</t>
  </si>
  <si>
    <t>1103N Carpet deep clean Heavy grease reoval Buffer Heavy deodorizer, stretch, carpet repair</t>
  </si>
  <si>
    <t>Inv #0024563</t>
  </si>
  <si>
    <t>2-2053 Bedroom ceiling demolition Bedroom ceiling sheetrock install + isolation Mass and texture</t>
  </si>
  <si>
    <t>Full paint</t>
  </si>
  <si>
    <t>Inv #0023765</t>
  </si>
  <si>
    <t>1-0116 make ready</t>
  </si>
  <si>
    <t>Inv #20417647-00</t>
  </si>
  <si>
    <t>LED A19 60W REPL CEC NON-COMPLIANT 60-Watt Equivalent A19 Soft White General Purpose LED (10-Pack), Versatile bulb suitable for a variety of  fixtures and lighting applications, Soft White glow makes any space appear cozy and inviting, LED technology uses considerably less power compared to</t>
  </si>
  <si>
    <t>40W LED WALL PACK BRONZE OPEN FACE MAXLITE 40W LED Wall Pack, Equivalent to 175W Metal Halide, 5,645 lumens, 5000K, 80+ CRI, Universal voltage 120 - 277 volts, Bronze powder-coat finished die-cast aluminum housing, Clear shatter-resistant lens, 9-1/2"H x 14-1/2"W x 8-3/8"D</t>
  </si>
  <si>
    <t>LED MR16 50W REPL TITLE 20 50-Watt Equivalent MR16 GU10 Base Dimmable Enhance Reflector LED, 90+ high CRI color rendering light bulbs allow colors to appear more realistic and vibrant, Highest quality energy efficient light compliant with new California Energy Commission standards,</t>
  </si>
  <si>
    <t>Payment #1041</t>
  </si>
  <si>
    <t>The Amos Law Firm</t>
  </si>
  <si>
    <t>Inv #114121</t>
  </si>
  <si>
    <t>2-2076 2x2 Touch Up</t>
  </si>
  <si>
    <t>2-2066 2x2 Double Extra clean</t>
  </si>
  <si>
    <t>2051-N 2x1</t>
  </si>
  <si>
    <t>Inv #114140</t>
  </si>
  <si>
    <t>2-2022 2x2 Touch Up</t>
  </si>
  <si>
    <t>2040-N 1x1 Laundry Touch up</t>
  </si>
  <si>
    <t>1003-N 1x1</t>
  </si>
  <si>
    <t>1-1318 1x1 Extra</t>
  </si>
  <si>
    <t>Inv #9247491479</t>
  </si>
  <si>
    <t>Hvy-dty Chemical Feeder For Large Pools</t>
  </si>
  <si>
    <t>Payment #1042</t>
  </si>
  <si>
    <t>Inv #011066192</t>
  </si>
  <si>
    <t>ITE 1P 20A BREAKER - Q120</t>
  </si>
  <si>
    <t>ITE 2P 40A BREAKER - Q240</t>
  </si>
  <si>
    <t>ITE 2P 50A BREAKER - Q250</t>
  </si>
  <si>
    <t>ITE 2P 60A BREAKER - Q260</t>
  </si>
  <si>
    <t>SLOW CLOSE ELONGATED WHITE PLASTIC TOILET SEAT</t>
  </si>
  <si>
    <t>PLUMBERS HEAT PROOF STEM GREASE - 2 OZ</t>
  </si>
  <si>
    <t>UR248 - SHARKBITE 1/2" X 1/2" ELBOW</t>
  </si>
  <si>
    <t>U246LF - SHARKBITE 3/8" X 3/8" ELBOW</t>
  </si>
  <si>
    <t>HONEYWELL HOME DIGITAL VERTICAL HEAT/COOL THERMOSTAT - TH1110D1000/TH1110DV1009</t>
  </si>
  <si>
    <t>"S" SHAPED SHOWER ARM CHROME</t>
  </si>
  <si>
    <t>19" ROUND VITREOUS CHINA LAVATORY SINK - WHITE</t>
  </si>
  <si>
    <t>400A FLUIDMASTER TANK FILL VALVE AND RED FLAPPER</t>
  </si>
  <si>
    <t>Inv #0024368</t>
  </si>
  <si>
    <t>2105N Full paint 2 bedrooms 250$ Cabinets full paint 2 bedroom 320$</t>
  </si>
  <si>
    <t>Newman, James</t>
  </si>
  <si>
    <t>Turner, John</t>
  </si>
  <si>
    <t>Inv #9247546204</t>
  </si>
  <si>
    <t>1 Gal Phos Clear PRO</t>
  </si>
  <si>
    <t>Algaeclear Pro+ 60 1 Gal.</t>
  </si>
  <si>
    <t>Inv #0024370</t>
  </si>
  <si>
    <t>1-1311 Full paint 200$ Cabinets full paint 280$</t>
  </si>
  <si>
    <t>2-1075 Full paint 2 bedrooms 250$ Cabinets full paint 320$</t>
  </si>
  <si>
    <t>Inv #0024369</t>
  </si>
  <si>
    <t>2105N repairs and killz 100$</t>
  </si>
  <si>
    <t>Inv #0024358</t>
  </si>
  <si>
    <t>2-1079 2 Tub and 2 tile resurfacing</t>
  </si>
  <si>
    <t>Inv #0024355</t>
  </si>
  <si>
    <t>2105N 2 tub and 2 tile resurfacing 520$</t>
  </si>
  <si>
    <t>1-1019 2 tub and 2 tile resurfacing 520$</t>
  </si>
  <si>
    <t>Inv #100068200053-033126</t>
  </si>
  <si>
    <t>02/19/2026 - 03/22/2026 - Sales Tax</t>
  </si>
  <si>
    <t>S37-150</t>
  </si>
  <si>
    <t>02/19/2026 - 03/22/2026 - Gross Receipts Reimb</t>
  </si>
  <si>
    <t>02/19/2026 - 03/22/2026 - Base Charge</t>
  </si>
  <si>
    <t>02/19/2026 - 03/22/2026 - Energy Charge</t>
  </si>
  <si>
    <t>S30-221</t>
  </si>
  <si>
    <t>S28-107</t>
  </si>
  <si>
    <t>S39-256</t>
  </si>
  <si>
    <t>S30-223</t>
  </si>
  <si>
    <t>S28-101</t>
  </si>
  <si>
    <t>02/19/2026 - 03/16/2026 - Sales Tax</t>
  </si>
  <si>
    <t>S26-403</t>
  </si>
  <si>
    <t>02/19/2026 - 03/16/2026 - Gross Receipts Reimb</t>
  </si>
  <si>
    <t>02/19/2026 - 03/16/2026 - Base Charge</t>
  </si>
  <si>
    <t>02/19/2026 - 03/16/2026 - Energy Charge</t>
  </si>
  <si>
    <t>S27-418</t>
  </si>
  <si>
    <t>S27-422</t>
  </si>
  <si>
    <t>03/02/2026 - 03/22/2026 - Out of Cycle Meter Rdg-Reg Hrs</t>
  </si>
  <si>
    <t>S26-401</t>
  </si>
  <si>
    <t>03/02/2026 - 03/22/2026 - Sales Tax</t>
  </si>
  <si>
    <t>03/02/2026 - 03/22/2026 - Gross Receipts Reimb</t>
  </si>
  <si>
    <t>03/02/2026 - 03/22/2026 - Base Charge</t>
  </si>
  <si>
    <t>03/02/2026 - 03/22/2026 - Energy Charge</t>
  </si>
  <si>
    <t>S38-151</t>
  </si>
  <si>
    <t>02/19/2026 - 02/25/2026 - Sales Tax</t>
  </si>
  <si>
    <t>S32-432</t>
  </si>
  <si>
    <t>02/19/2026 - 02/25/2026 - Gross Receipts Reimb</t>
  </si>
  <si>
    <t>02/19/2026 - 02/25/2026 - Base Charge</t>
  </si>
  <si>
    <t>02/19/2026 - 02/25/2026 - Energy Charge</t>
  </si>
  <si>
    <t>02/28/2026 - 03/22/2026 - Sales Tax</t>
  </si>
  <si>
    <t>S30-224</t>
  </si>
  <si>
    <t>02/28/2026 - 03/22/2026 - Gross Receipts Reimb</t>
  </si>
  <si>
    <t>02/28/2026 - 03/22/2026 - Out of Cycle Meter Rdg-Reg Hrs</t>
  </si>
  <si>
    <t>02/28/2026 - 03/22/2026 - Base Charge</t>
  </si>
  <si>
    <t>02/28/2026 - 03/22/2026 - Energy Charge</t>
  </si>
  <si>
    <t>02/19/2026 - 02/26/2026 - Sales Tax</t>
  </si>
  <si>
    <t>S35-247</t>
  </si>
  <si>
    <t>02/19/2026 - 02/26/2026 - Gross Receipts Reimb</t>
  </si>
  <si>
    <t>02/19/2026 - 02/26/2026 - Base Charge</t>
  </si>
  <si>
    <t>02/19/2026 - 02/26/2026 - Energy Charge</t>
  </si>
  <si>
    <t>S34-142</t>
  </si>
  <si>
    <t>S38-353</t>
  </si>
  <si>
    <t>02/19/2026 - 03/10/2026 - Sales Tax</t>
  </si>
  <si>
    <t>S31-219</t>
  </si>
  <si>
    <t>02/19/2026 - 03/10/2026 - Gross Receipts Reimb</t>
  </si>
  <si>
    <t>02/19/2026 - 03/10/2026 - Base Charge</t>
  </si>
  <si>
    <t>02/19/2026 - 03/10/2026 - Energy Charge</t>
  </si>
  <si>
    <t>S31-119</t>
  </si>
  <si>
    <t>S37-249</t>
  </si>
  <si>
    <t>02/19/2026 - 03/23/2026 - Gross Receipts Reimb</t>
  </si>
  <si>
    <t>S41-264</t>
  </si>
  <si>
    <t>02/19/2026 - 03/23/2026 - Disconnect at Meter</t>
  </si>
  <si>
    <t>02/19/2026 - 03/23/2026 - Sales Tax</t>
  </si>
  <si>
    <t>02/19/2026 - 03/23/2026 - Base Charge</t>
  </si>
  <si>
    <t>02/19/2026 - 03/23/2026 - Energy Charge</t>
  </si>
  <si>
    <t>S38-154</t>
  </si>
  <si>
    <t>02/19/2026 - 03/05/2026 - Gross Receipts Reimb</t>
  </si>
  <si>
    <t>S26-415</t>
  </si>
  <si>
    <t>02/19/2026 - 03/05/2026 - Sales Tax</t>
  </si>
  <si>
    <t>02/19/2026 - 03/05/2026 - Base Charge</t>
  </si>
  <si>
    <t>02/19/2026 - 03/05/2026 - Energy Charge</t>
  </si>
  <si>
    <t>S40-159</t>
  </si>
  <si>
    <t>02/19/2026 - 03/20/2026 - Gross Receipts Reimb</t>
  </si>
  <si>
    <t>S34-242</t>
  </si>
  <si>
    <t>02/19/2026 - 03/20/2026 - Base Charge</t>
  </si>
  <si>
    <t>02/19/2026 - 03/20/2026 - Sales Tax</t>
  </si>
  <si>
    <t>02/19/2026 - 03/20/2026 - Energy Charge</t>
  </si>
  <si>
    <t>S35-245</t>
  </si>
  <si>
    <t>S34-244</t>
  </si>
  <si>
    <t>S32-430</t>
  </si>
  <si>
    <t>S40-261</t>
  </si>
  <si>
    <t>S39-155</t>
  </si>
  <si>
    <t>S40-162</t>
  </si>
  <si>
    <t>S27-421</t>
  </si>
  <si>
    <t>S32-431</t>
  </si>
  <si>
    <t>S29-215</t>
  </si>
  <si>
    <t>02/19/2026 - 03/01/2026 - Sales Tax</t>
  </si>
  <si>
    <t>S32-426</t>
  </si>
  <si>
    <t>02/19/2026 - 03/01/2026 - Gross Receipts Reimb</t>
  </si>
  <si>
    <t>02/19/2026 - 03/01/2026 - Base Charge</t>
  </si>
  <si>
    <t>02/19/2026 - 03/01/2026 - Energy Charge</t>
  </si>
  <si>
    <t>S27-424</t>
  </si>
  <si>
    <t>S40-361</t>
  </si>
  <si>
    <t>S38-354</t>
  </si>
  <si>
    <t>S26-416</t>
  </si>
  <si>
    <t>S38-153</t>
  </si>
  <si>
    <t>S28-104</t>
  </si>
  <si>
    <t>S26-407</t>
  </si>
  <si>
    <t>S26-404</t>
  </si>
  <si>
    <t>S34-141</t>
  </si>
  <si>
    <t>S40-362</t>
  </si>
  <si>
    <t>S26-414</t>
  </si>
  <si>
    <t>S29-115</t>
  </si>
  <si>
    <t>S42-274</t>
  </si>
  <si>
    <t>S40-160</t>
  </si>
  <si>
    <t>vacant_unit_Electric_Late Payment Penalty</t>
  </si>
  <si>
    <t>vacant_unit_Electric_Sales Tax</t>
  </si>
  <si>
    <t>vacant_unit_Electric_Gross Receipts Reimb</t>
  </si>
  <si>
    <t>vacant_unit_Electric_Disconnect Recovery Charge</t>
  </si>
  <si>
    <t>Inv #AM-2026-03</t>
  </si>
  <si>
    <t>March 2026 AM Fee</t>
  </si>
  <si>
    <t>HelloData Market Analytics Subscription - March 2026</t>
  </si>
  <si>
    <t>Asset Performance Analytics Platform - March 2026</t>
  </si>
  <si>
    <t>Payment #ACH 03.27.26</t>
  </si>
  <si>
    <t>Inv #011072237</t>
  </si>
  <si>
    <t>HOMAX PRO GRADE POPCORN CEILING TEXTURE 14 OZ</t>
  </si>
  <si>
    <t>2-1/2" WOOSTER SILVER TIP ANGLE BRUSH</t>
  </si>
  <si>
    <t>9" X 3/4" CIRRUS X POLYAMIDE ROLLER  WOOSTER</t>
  </si>
  <si>
    <t>4" &amp; 6" MINI PAINT ROLLER FRAME</t>
  </si>
  <si>
    <t>4" MINI-PAINT FOAM ROLLER SLEEVE - 10PK</t>
  </si>
  <si>
    <t>MASKING PAPER - 12" X 180'</t>
  </si>
  <si>
    <t>9' X 12' DELUXE CANVAS DROP CLOTH</t>
  </si>
  <si>
    <t>KILZ 2 - GALLON</t>
  </si>
  <si>
    <t>PREMIUM PROFESSIONAL CAULKING GUN</t>
  </si>
  <si>
    <t>SANDING SPONGE - MEDIUM/FINE</t>
  </si>
  <si>
    <t>BLUE MASKING TAPE - 2" X 60 YDS.</t>
  </si>
  <si>
    <t>4' - 8' EXTENSION POLE</t>
  </si>
  <si>
    <t>WOOSTER SILVER TIP 3" ANGLE SASH BRUSH</t>
  </si>
  <si>
    <t>Inv #0024479</t>
  </si>
  <si>
    <t>2033N Full paint color change 2 bedrooms 400$ Ceilings full paint 200$ Cabinets full paint 320$</t>
  </si>
  <si>
    <t>Inv #0024486</t>
  </si>
  <si>
    <t>404S Full paint color change townhome 350$ Ceilings full paint color change 200$ Cabinets full paint color change 280$ Heavy primer 100$</t>
  </si>
  <si>
    <t>Inv #2701814231</t>
  </si>
  <si>
    <t>Resident Utility Charges</t>
  </si>
  <si>
    <t>Inv #2018345</t>
  </si>
  <si>
    <t>Inv #100072873971-040126</t>
  </si>
  <si>
    <t>02/19/2026 - 03/22/2026 - Meter Charge</t>
  </si>
  <si>
    <t>02/19/2026 - 03/22/2026 - Base Usage</t>
  </si>
  <si>
    <t>02/19/2026 - 03/22/2026 - Energy Efficiency</t>
  </si>
  <si>
    <t>02/19/2026 - 03/22/2026 - PUC Assessment</t>
  </si>
  <si>
    <t>02/19/2026 - 03/22/2026 - Market Securitization (Debt) Financing</t>
  </si>
  <si>
    <t>02/19/2026 - 03/22/2026 - Hub to Load Zone Pass-Through</t>
  </si>
  <si>
    <t>02/19/2026 - 03/22/2026 - Distribution Cost Recovery</t>
  </si>
  <si>
    <t>02/19/2026 - 03/22/2026 - Transmission Cost Recov Factor</t>
  </si>
  <si>
    <t>02/19/2026 - 03/22/2026 - Distribution System Charge</t>
  </si>
  <si>
    <t>Late Payment Penalty</t>
  </si>
  <si>
    <t>Inv #118475</t>
  </si>
  <si>
    <t>Inv #PR5870-0002</t>
  </si>
  <si>
    <t>Inv #123811981</t>
  </si>
  <si>
    <t>Inv #4126067</t>
  </si>
  <si>
    <t>COPIER RENTAL</t>
  </si>
  <si>
    <t>Inv #40255404B</t>
  </si>
  <si>
    <t>Inv #3044855</t>
  </si>
  <si>
    <t>111523 2 WIRE COMPRESSOR HARDSTART KIT 500%</t>
  </si>
  <si>
    <t>112110 UNPRESSURIZED FLUSH 19.5 OZ</t>
  </si>
  <si>
    <t>110035 SLUDGE SUCKER NITRO KIT</t>
  </si>
  <si>
    <t>123046 35+5 X 370/440 ROUND RUN CAPACITOR-USA</t>
  </si>
  <si>
    <t>123060 40+5 X 370/440 ROUND RUN CAPACITOR-USA</t>
  </si>
  <si>
    <t>123044 45+5 X 370/440 ROUND RUN CAPACITOR-USA</t>
  </si>
  <si>
    <t>123252 5 X 370/440 ROUND RUN CAPACITOR-USA</t>
  </si>
  <si>
    <t>111089 N4164 CONTACTOR 1.5P 40A 24V W/LUG</t>
  </si>
  <si>
    <t>667160 SUPCO INFRARED LASER THERMOMETER</t>
  </si>
  <si>
    <t>Inv #INV-3875</t>
  </si>
  <si>
    <t>Q1 property visits reimbursements</t>
  </si>
  <si>
    <t>Inv #0024423</t>
  </si>
  <si>
    <t>1041N Carpet deep clean Heavy grease removal Buffer Heavy deodorizer</t>
  </si>
  <si>
    <t>Inv #0024315</t>
  </si>
  <si>
    <t>101S Tub and tile resurfacing 260$ Kitchen countertops and extra bar 125$ Bathroom countertop 60$</t>
  </si>
  <si>
    <t>Inv #0024316</t>
  </si>
  <si>
    <t>1101N Resurface kitchen countertops &amp;ndash; $125 Resurface restroom countertops &amp;ndash; $120 Tub/tile resurfacing X2 &amp;ndash; $520</t>
  </si>
  <si>
    <t>Inv #0024317</t>
  </si>
  <si>
    <t>1-0913 Resurface tub/tile &amp;ndash; $260 Resurface kitchen counters &amp;ndash; $125 Resurface restroom counters &amp;ndash; $60</t>
  </si>
  <si>
    <t>Inv #0023730</t>
  </si>
  <si>
    <t>1035N Carpet deep clean Heavy grease removal Buffer Heavy deodorizer</t>
  </si>
  <si>
    <t>Inv #0023603</t>
  </si>
  <si>
    <t>1086N Full paint 2 bedroom 250$ Cabinets full paint 320$</t>
  </si>
  <si>
    <t>Inv #0024477</t>
  </si>
  <si>
    <t>1-1019 Full paint 2 bedrooms color change 400$ Full paint ceilings 200$ Cabinets full paint 280$ Heavy primer 90$</t>
  </si>
  <si>
    <t>Inv #0024478</t>
  </si>
  <si>
    <t>1-1019 8 mass and texture repairs 1x1 2 mass and texture repairs 8x1 3 mass and texture repairs 2x1 2 mass and texture repairs 3x2</t>
  </si>
  <si>
    <t>Inv #0024480</t>
  </si>
  <si>
    <t>2033N 14 mass and texture repairs 1x1 4 mass and texture repairs 8x1 2 mass and texture repairs 3x1 1 mass and texture repairs 2x1</t>
  </si>
  <si>
    <t>Inv #0024483</t>
  </si>
  <si>
    <t>245S Full paint 2 bedrooms 250$ Heavy primer for stains + small repair 70$ Ceilings full paint 200$ Cabinets full paint 300$</t>
  </si>
  <si>
    <t>Inv #0024484</t>
  </si>
  <si>
    <t>1 802 Full paint 2 bedrooms 250$ Ceilings full paint 200$ Cabinets full paint 300$ Primer 50$</t>
  </si>
  <si>
    <t>Inv #DAY0070520</t>
  </si>
  <si>
    <t>2-1075 carpet replacement</t>
  </si>
  <si>
    <t>Inv #100072873236-040226</t>
  </si>
  <si>
    <t>actual_Electric_Late Payment Penalty</t>
  </si>
  <si>
    <t>Inv #100919832-040226</t>
  </si>
  <si>
    <t>03/04/2026 - 04/02/2026 - Environmental Cleanup Fee</t>
  </si>
  <si>
    <t>03/04/2026 - 04/02/2026 - Storm Water Charges</t>
  </si>
  <si>
    <t>03/04/2026 - 04/02/2026 - Sewer Usage Charge</t>
  </si>
  <si>
    <t>03/04/2026 - 04/02/2026 - Sewer Base Charge</t>
  </si>
  <si>
    <t>03/04/2026 - 04/02/2026 - Water Base Charge</t>
  </si>
  <si>
    <t>03/04/2026 - 04/02/2026 - Water Usage Charge</t>
  </si>
  <si>
    <t>Inv #DAY0070679</t>
  </si>
  <si>
    <t>2-1075 vinyl replacement</t>
  </si>
  <si>
    <t>Inv #DA10377</t>
  </si>
  <si>
    <t>1074N carpet replacement</t>
  </si>
  <si>
    <t>Payment #1043</t>
  </si>
  <si>
    <t>Inv #SALES0000180545</t>
  </si>
  <si>
    <t>Extra Service</t>
  </si>
  <si>
    <t>Inv #100923606-040326</t>
  </si>
  <si>
    <t>03/05/2026 - 04/02/2026 - Environmental Cleanup Fee</t>
  </si>
  <si>
    <t>03/05/2026 - 04/02/2026 - Sewer Base Charge</t>
  </si>
  <si>
    <t>03/05/2026 - 04/02/2026 - Water Usage Charge</t>
  </si>
  <si>
    <t>03/05/2026 - 04/02/2026 - Water Base Charge</t>
  </si>
  <si>
    <t>03/05/2026 - 04/02/2026 - Storm Water Charges</t>
  </si>
  <si>
    <t>03/05/2026 - 04/02/2026 - Sewer Usage Charge</t>
  </si>
  <si>
    <t>Inv #100920654-040326</t>
  </si>
  <si>
    <t>03/05/2026 - 04/02/2026 - Water</t>
  </si>
  <si>
    <t>03/05/2026 - 04/02/2026 - Sewer</t>
  </si>
  <si>
    <t>Inv #100920609-040326</t>
  </si>
  <si>
    <t>Inv #125485</t>
  </si>
  <si>
    <t>614 kitchen  Remove and replace up to 1 bundle of 30yr charcoal shingles Install ice and watershield underlayment Remove and re install one metal slant back low profile vent Seal vent to new underlayment Seal all exposed fasteners Seal all new shingles to existing Clean and haul away all job related debris</t>
  </si>
  <si>
    <t>Inv #3045253</t>
  </si>
  <si>
    <t>UC3636-3 ULTRALITE PAD 36X36X3</t>
  </si>
  <si>
    <t>Inv #3045254</t>
  </si>
  <si>
    <t>286124 24HXS6 R410 TXV 2.0T FURR EVAP COIL</t>
  </si>
  <si>
    <t>280024 dnO/A/N WA14AZ24AJ1NA WK 14.3 COND 2.0T</t>
  </si>
  <si>
    <t>Payment #1044</t>
  </si>
  <si>
    <t>M.L. CARPET AND REMODELING SERVICES LLC</t>
  </si>
  <si>
    <t>Check #1046</t>
  </si>
  <si>
    <t>Check #1045</t>
  </si>
  <si>
    <t>Inv #0024543</t>
  </si>
  <si>
    <t>1-0913 Carpet deep clean Heavy grease removal Buffer Heavy deodorizer</t>
  </si>
  <si>
    <t>Inv #0024487</t>
  </si>
  <si>
    <t>1-0613 Full paint 200$ Killz</t>
  </si>
  <si>
    <t>1101N Full paint 2 bedroom 250$ Killz</t>
  </si>
  <si>
    <t>1-0613 repairs 35$</t>
  </si>
  <si>
    <t>1101N repairs</t>
  </si>
  <si>
    <t>Inv #0024541</t>
  </si>
  <si>
    <t>245S Carpet deep clean Heavy grease removal Buffer Heavy stains removal Pet treatment</t>
  </si>
  <si>
    <t>Inv #0024544</t>
  </si>
  <si>
    <t>2033N Carpet deep clean Heavy grease removal Buffer Pet treatment</t>
  </si>
  <si>
    <t>2033N Patch repairs Stretch Carpet repairs</t>
  </si>
  <si>
    <t>Inv #0024518</t>
  </si>
  <si>
    <t>2-2020 Make ready 2 bedrooms Pop up drain 45$</t>
  </si>
  <si>
    <t>1101N Make ready 2 bd</t>
  </si>
  <si>
    <t>2078N Make ready</t>
  </si>
  <si>
    <t>1058N Make ready</t>
  </si>
  <si>
    <t>1020N Make ready 2 bedrooms</t>
  </si>
  <si>
    <t>2-2021 Make ready 2 bd</t>
  </si>
  <si>
    <t>2-1018 Make ready</t>
  </si>
  <si>
    <t>1-0613 Make ready</t>
  </si>
  <si>
    <t>Inv #INA-243911</t>
  </si>
  <si>
    <t>Second Phase Entrance: Labor to remove broken branch and haul away debris. - 04/08/2026</t>
  </si>
  <si>
    <t>Inv #3045379</t>
  </si>
  <si>
    <t>NITROGEN N40 GAS ONLY</t>
  </si>
  <si>
    <t>Inv #3045447</t>
  </si>
  <si>
    <t>530128 2868 HARD SLAB 32 X 80 IN 1-3/8 THICK</t>
  </si>
  <si>
    <t>Inv #3045395</t>
  </si>
  <si>
    <t>dnO/A/N WA14AZ24AJ1NA WK 14.3 COND 2.0T</t>
  </si>
  <si>
    <t>24HXS6R410A FIRDN EVAP COIL PISTON</t>
  </si>
  <si>
    <t>Payment #1047</t>
  </si>
  <si>
    <t>Payment #1048</t>
  </si>
  <si>
    <t>Inv #0024549</t>
  </si>
  <si>
    <t>2-1083 Emergency water extraction 3 areas Wet pad removal Antimicrobial treatment</t>
  </si>
  <si>
    <t>Inv #0024551</t>
  </si>
  <si>
    <t>2 1050 Emergency water extraction 6 areas Wet pad removal Antimicrobial treatment</t>
  </si>
  <si>
    <t>Inv #71805480</t>
  </si>
  <si>
    <t>1-1303 Clean out</t>
  </si>
  <si>
    <t>Inv #71805445</t>
  </si>
  <si>
    <t>Pest Special Service - GRCO 1-1301</t>
  </si>
  <si>
    <t>Inv #71805448</t>
  </si>
  <si>
    <t>Pest Special Service - GRCO Unit 1-1302</t>
  </si>
  <si>
    <t>Inv #71805451</t>
  </si>
  <si>
    <t>Pest Special Service - GRCO Unit 1-1304</t>
  </si>
  <si>
    <t>Inv #12498</t>
  </si>
  <si>
    <t>Underground Leak Phase 2 pool</t>
  </si>
  <si>
    <t>Inv #12570</t>
  </si>
  <si>
    <t>bldg 21 hydro jet</t>
  </si>
  <si>
    <t>Inv #12439</t>
  </si>
  <si>
    <t>1085N broken pipe</t>
  </si>
  <si>
    <t>Inv #2733000951</t>
  </si>
  <si>
    <t>Inv #134601</t>
  </si>
  <si>
    <t>Locator Service</t>
  </si>
  <si>
    <t>Inv #0024519</t>
  </si>
  <si>
    <t>1104N Make ready 2 bd Ceiling fan repair 45$</t>
  </si>
  <si>
    <t>1-1304 Make ready</t>
  </si>
  <si>
    <t>1-1423 Make ready 2 bd</t>
  </si>
  <si>
    <t>422S Make ready</t>
  </si>
  <si>
    <t>245S Make ready</t>
  </si>
  <si>
    <t>2-2032 Make ready</t>
  </si>
  <si>
    <t>Inv #3045724</t>
  </si>
  <si>
    <t>502678 78X84 VERTICAL WHITE</t>
  </si>
  <si>
    <t>500123 23X36 FAUXWOOD WHITE</t>
  </si>
  <si>
    <t>500571 71X72 FAUXWOOD WHITE</t>
  </si>
  <si>
    <t>500547 47X72 FAUXWOOD WHITE</t>
  </si>
  <si>
    <t>50056900 CUT 69X72 FAUXWOOD WHITE  CUT TO 67.5X72</t>
  </si>
  <si>
    <t>500235 35X48 FAUXWOOD WHITE</t>
  </si>
  <si>
    <t>500563 63X72 FAUXWOOD WHITE</t>
  </si>
  <si>
    <t>500531 31X72 FAUXWOOD WHITE</t>
  </si>
  <si>
    <t>Inv #DAY0071122</t>
  </si>
  <si>
    <t>141S carpet replacement</t>
  </si>
  <si>
    <t>Inv #71805491</t>
  </si>
  <si>
    <t>Pest Special Service - GRCO Unit 1-1306</t>
  </si>
  <si>
    <t>Inv #71805485</t>
  </si>
  <si>
    <t>Pest Special Service - GRCO Unit 1-1305</t>
  </si>
  <si>
    <t>Payment #1049</t>
  </si>
  <si>
    <t>Payment #1050</t>
  </si>
  <si>
    <t>Inv #0024512</t>
  </si>
  <si>
    <t>2033N tub/tile resurfacing X2</t>
  </si>
  <si>
    <t>Inv #0024436</t>
  </si>
  <si>
    <t>2-2075 tub/tile resurfacing X2, tile repair</t>
  </si>
  <si>
    <t>Inv #0024886</t>
  </si>
  <si>
    <t>1074N Bathroom countertop</t>
  </si>
  <si>
    <t>Inv #0024837</t>
  </si>
  <si>
    <t>2-1050 Carpet pad relay 4 areas Carpet repairs</t>
  </si>
  <si>
    <t>3 blower rent x 3 days</t>
  </si>
  <si>
    <t>Inv #0024838</t>
  </si>
  <si>
    <t>2 1083 Carpet pad relay 3 areas Carpet repairs</t>
  </si>
  <si>
    <t>4 Blowers rent x 3 days</t>
  </si>
  <si>
    <t>Inv #011142186</t>
  </si>
  <si>
    <t>9W OMNI-DIRECTIONAL LED LAMP W/GU24 BASE - 4000K</t>
  </si>
  <si>
    <t>MARKSMAN 2.5 PROFESSIONAL SERIES WET/DRY VACUUM</t>
  </si>
  <si>
    <t>32 WATT 12" DIA. FC12T9 CIRCLINE BULB - CW</t>
  </si>
  <si>
    <t>BURNER PLUG-IN BLOCK FOR GE - RRB5 FOR ROUND SQUARE AND RECTANGLE CONNECTIONS</t>
  </si>
  <si>
    <t>7.25"H LED 4 HEAD TRACK LIGHT - SATIN NICKEL</t>
  </si>
  <si>
    <t>WALL SCONCE SATIN NICKEL  W/ALABASTER GLASS</t>
  </si>
  <si>
    <t>DEFROST TIMER FOR GE WR9X502</t>
  </si>
  <si>
    <t>32" OVAL SATELLITE FLUORESCENT CEILING FIXTURE SATIN NICKEL</t>
  </si>
  <si>
    <t>DEFROST THERMOSTAT - ML45</t>
  </si>
  <si>
    <t>TD425- 4" X 25' METALLIC DRYER VENT HOSE</t>
  </si>
  <si>
    <t>40W ADJUSTABLE WALL PACK CCT SELECTABLE</t>
  </si>
  <si>
    <t>OVEN THERMOSTAT FOR GE  ERWB20K10026</t>
  </si>
  <si>
    <t>DUPLEX/RECEPTACLE-TAMPER RESISTANT-WHITE</t>
  </si>
  <si>
    <t>SINGLE POLE SWITCH - WHITE</t>
  </si>
  <si>
    <t>1-1/4 " X 3-5/8" DEADBOLT STRIKE PLATEBRASS PLATED 5PK</t>
  </si>
  <si>
    <t>DOOR REINFORCER SINGLE HOLE 4-1/2" X 3-7/8" SS</t>
  </si>
  <si>
    <t>FIX-A-JAMB II- EXTERIOR</t>
  </si>
  <si>
    <t>#175 MASTERLOCK COMBINATION PADLOCK</t>
  </si>
  <si>
    <t>3-1/2" X 15" ALUMINUM PULL PLATE</t>
  </si>
  <si>
    <t>3-1/2" X 15" ALUMINUM PUSH PLATE</t>
  </si>
  <si>
    <t>EZ-SAND 5 MIN. SET JOINT COMPOUND18 LB</t>
  </si>
  <si>
    <t>EZ-SAND 20 MIN SET JOINT COMPOUND 18 LB</t>
  </si>
  <si>
    <t>972097J PFISTER BRUSHED NICKEL PUSH &amp; SEAL DRAIN</t>
  </si>
  <si>
    <t>.75 OZ TAYLOR DPD 1 REAGENT - R0001A</t>
  </si>
  <si>
    <t>.75 OZ TAYLOR DPD 2 REAGENT - R0002A</t>
  </si>
  <si>
    <t>Inv #4025807885-041426</t>
  </si>
  <si>
    <t>03/13/2026 - 04/14/2026 - State Tax Refund</t>
  </si>
  <si>
    <t>03/13/2026 - 04/14/2026 - Customer Charge</t>
  </si>
  <si>
    <t>03/13/2026 - 04/14/2026 - Rate Case Expense Recovery</t>
  </si>
  <si>
    <t>03/13/2026 - 04/14/2026 - Pipeline Safety/Regulatory Fee</t>
  </si>
  <si>
    <t>03/13/2026 - 04/14/2026 - City Sales Tax</t>
  </si>
  <si>
    <t>03/13/2026 - 04/14/2026 - Reimbursement of MGRT</t>
  </si>
  <si>
    <t>03/13/2026 - 04/14/2026 - Rider WNA</t>
  </si>
  <si>
    <t>03/13/2026 - 04/14/2026 - Rider FF</t>
  </si>
  <si>
    <t>03/13/2026 - 04/14/2026 - Consump Chrg</t>
  </si>
  <si>
    <t>03/13/2026 - 04/14/2026 - Rider GCR</t>
  </si>
  <si>
    <t>Inv #4025806199-041426</t>
  </si>
  <si>
    <t>03/13/2026 - 04/14/2026 - Local Sales Tax</t>
  </si>
  <si>
    <t>03/13/2026 - 04/14/2026 - State Sales Tax</t>
  </si>
  <si>
    <t>Inv #4025807803-041426</t>
  </si>
  <si>
    <t>Inv #9248052909</t>
  </si>
  <si>
    <t>98210-bl Elec. Frige Charging Scale</t>
  </si>
  <si>
    <t>Inv #DAY0071315</t>
  </si>
  <si>
    <t>PLANK UNIT: 1018-2</t>
  </si>
  <si>
    <t>Inv #120-2317TW</t>
  </si>
  <si>
    <t>building 13 there is a foundation pier crushing a sewer line</t>
  </si>
  <si>
    <t>Payment #1051</t>
  </si>
  <si>
    <t>Inv #4025808562-041526</t>
  </si>
  <si>
    <t>Inv #DAY0071380</t>
  </si>
  <si>
    <t>2-2075 vinyl replacement</t>
  </si>
  <si>
    <t>Inv #DAY0071364</t>
  </si>
  <si>
    <t>1080N carpet replacement</t>
  </si>
  <si>
    <t>Inv #DAY0071363</t>
  </si>
  <si>
    <t>2-2075 carpet replacement</t>
  </si>
  <si>
    <t>Inv #LPS-260401729</t>
  </si>
  <si>
    <t>Payment #1082</t>
  </si>
  <si>
    <t>Payment #1052</t>
  </si>
  <si>
    <t>Payment #1053</t>
  </si>
  <si>
    <t>Apartment List</t>
  </si>
  <si>
    <t>Payment #1054</t>
  </si>
  <si>
    <t>Payment #1055</t>
  </si>
  <si>
    <t>Payment #1061</t>
  </si>
  <si>
    <t>Payment #1069</t>
  </si>
  <si>
    <t>Impact Mechanical Services</t>
  </si>
  <si>
    <t>Payment #1070</t>
  </si>
  <si>
    <t>Payment #1071</t>
  </si>
  <si>
    <t>JAMES BRENDAN CARROLL PLLC</t>
  </si>
  <si>
    <t>Payment #1072</t>
  </si>
  <si>
    <t>J National</t>
  </si>
  <si>
    <t>Payment #1066</t>
  </si>
  <si>
    <t>Grace Hill, LLC</t>
  </si>
  <si>
    <t>Payment #1067</t>
  </si>
  <si>
    <t>Payment #1068</t>
  </si>
  <si>
    <t>Home Depot USA Inc</t>
  </si>
  <si>
    <t>Payment #1056</t>
  </si>
  <si>
    <t>Aptexx, Inc.</t>
  </si>
  <si>
    <t>Payment #1057</t>
  </si>
  <si>
    <t>Payment #1058</t>
  </si>
  <si>
    <t>Audio Images International, Inc</t>
  </si>
  <si>
    <t>Payment #1059</t>
  </si>
  <si>
    <t>Payment #1060</t>
  </si>
  <si>
    <t>Payment #1062</t>
  </si>
  <si>
    <t>CoreLogic SafeRent, Inc</t>
  </si>
  <si>
    <t>Payment #1063</t>
  </si>
  <si>
    <t>Everon LLC</t>
  </si>
  <si>
    <t>Payment #1064</t>
  </si>
  <si>
    <t>First Onsite Property Restoration</t>
  </si>
  <si>
    <t>Payment #1065</t>
  </si>
  <si>
    <t>Payment #1073</t>
  </si>
  <si>
    <t>Keytrak Inc</t>
  </si>
  <si>
    <t>Payment #1074</t>
  </si>
  <si>
    <t>Payment #1075</t>
  </si>
  <si>
    <t>Ko-Vac Pools</t>
  </si>
  <si>
    <t>Credit 19531567-00 was allocated to Invoice  - #19346026-00</t>
  </si>
  <si>
    <t>Credit 19771885-00 was allocated to Invoice  - #19346026-00</t>
  </si>
  <si>
    <t>Credit 19771885-00 was allocated to Invoice  - #19346030-00</t>
  </si>
  <si>
    <t>Credit 19771885-00 was allocated to Invoice  - #19357511-00</t>
  </si>
  <si>
    <t>Payment #1076</t>
  </si>
  <si>
    <t>Payment #1078</t>
  </si>
  <si>
    <t>Payment #1077</t>
  </si>
  <si>
    <t>Payment #1079</t>
  </si>
  <si>
    <t>Maria S Ortega dba Busy Bees Cleaning Services</t>
  </si>
  <si>
    <t>Payment #1080</t>
  </si>
  <si>
    <t>Credit CM171806 was allocated to Invoice  - #CY11890D</t>
  </si>
  <si>
    <t>Payment #1081</t>
  </si>
  <si>
    <t>Payment #1087</t>
  </si>
  <si>
    <t>Payment #1083</t>
  </si>
  <si>
    <t>Payment #1084</t>
  </si>
  <si>
    <t>Payment #1085</t>
  </si>
  <si>
    <t>SmartRent Technologies, Inc.</t>
  </si>
  <si>
    <t>Payment #1086</t>
  </si>
  <si>
    <t>Structural Sciences, Inc</t>
  </si>
  <si>
    <t>Payment #1088</t>
  </si>
  <si>
    <t>Payment #1089</t>
  </si>
  <si>
    <t>Payment #1090</t>
  </si>
  <si>
    <t>VRH Sales dba Verified Response Security &amp; Investigations</t>
  </si>
  <si>
    <t>Payment #1091</t>
  </si>
  <si>
    <t>Winstead PC</t>
  </si>
  <si>
    <t>Payment #1092</t>
  </si>
  <si>
    <t>Zillow, Inc.</t>
  </si>
  <si>
    <t>Payment #1094</t>
  </si>
  <si>
    <t>RealPageOne, Inc.</t>
  </si>
  <si>
    <t>Payment #1093</t>
  </si>
  <si>
    <t>Inv #C1707251-a</t>
  </si>
  <si>
    <t>Eviction Appeal (Paupers): AVA APARTMENTS LEASEHOLD LLC DBA AVA vs. QUENTIN ALLEN, &amp; ALL OTHER OCCUPANTS</t>
  </si>
  <si>
    <t>Inv #C1707251-B</t>
  </si>
  <si>
    <t>Eviction Appeal (Paupers): AVA APARTMENTS LEASEHOLD LLC DBA AVA vs. IIONA HISHAW, &amp; ALL OTHER OCCUPANTS</t>
  </si>
  <si>
    <t>Inv #4025807867-041626</t>
  </si>
  <si>
    <t>03/13/2026 - 04/16/2026 - State Tax Refund</t>
  </si>
  <si>
    <t>03/13/2026 - 04/16/2026 - Rate Case Expense Recovery</t>
  </si>
  <si>
    <t>03/13/2026 - 04/16/2026 - City Sales Tax</t>
  </si>
  <si>
    <t>03/13/2026 - 04/16/2026 - Reimbursement of MGRT</t>
  </si>
  <si>
    <t>03/13/2026 - 04/16/2026 - Rider WNA</t>
  </si>
  <si>
    <t>03/13/2026 - 04/16/2026 - Customer Charge</t>
  </si>
  <si>
    <t>03/13/2026 - 04/16/2026 - Rider FF</t>
  </si>
  <si>
    <t>03/13/2026 - 04/16/2026 - Consump Chrg</t>
  </si>
  <si>
    <t>03/13/2026 - 04/16/2026 - Rider GCR</t>
  </si>
  <si>
    <t>03/13/2026 - 04/16/2026 - Pipeline Safety/Regulatory Fee</t>
  </si>
  <si>
    <t>Check #ACH 04.17.2026</t>
  </si>
  <si>
    <t>Armada Analytics</t>
  </si>
  <si>
    <t>Inv #648179</t>
  </si>
  <si>
    <t>Inv #20572252-00</t>
  </si>
  <si>
    <t>GE DISHWASHER BLACK TALL TUB GDF450PGRBB GE 3 Cycle Dishwasher Black, 3 cycles; 3 wash options, Piranha? hard food disposer with removable filter, 23-3/4"W x 33-3/8"H x 24"D</t>
  </si>
  <si>
    <t>RANGE CORD PIGTAIL 6 FT 50 AMP, THREE PRONG</t>
  </si>
  <si>
    <t>Inv #20572266-00</t>
  </si>
  <si>
    <t>SCREW-TYPE 4" CLAMP EACH</t>
  </si>
  <si>
    <t>GE 24" STACK WASH/DRYER WHITE GUD24ESSMWW GE 24" Unitized Spacemaker White Washer/Dryer GUD24ESSMWW, 2.0  cu. ft washer, 4.4 cu ft electric dryer, 12 wash cycles, 6 wash/rinse temperatures , Auto-load sensing , 3-way exhaust options, 120/240V, 74-1/2"H x 24"W x 27-1/4"D</t>
  </si>
  <si>
    <t>DRYER CORD PIGTAIL 6FT 30 AMP, 3-PRONG Dryer Cord 6 Ft 3-Prong 30 Amp 250 Volt, Three closed-end ring connectors, #10 gauge wire, Fits most dryers</t>
  </si>
  <si>
    <t>FLEX FOIL DUCT HOSE 4"X8' Foil Flex Duct 4 in x 8 ft, For venting clothes electrical &amp; gas dryer, Flame resistant, Wire pitch 1"; duct diameter 4" UL 2158A certified, Check building codes prior to installation</t>
  </si>
  <si>
    <t>WASH MACHINE SS HOSE PK2</t>
  </si>
  <si>
    <t>Inv #3046302</t>
  </si>
  <si>
    <t>Payment #ACH 04.14.26</t>
  </si>
  <si>
    <t>Payment #ACH 04.02.26</t>
  </si>
  <si>
    <t>Payment #ACH 04.10.26</t>
  </si>
  <si>
    <t>Payment #ACH 04.13.26</t>
  </si>
  <si>
    <t>Payment #ACH 04.03.26</t>
  </si>
  <si>
    <t>Credit 4025806199-041426 was allocated to Invoice  - #4025807885-041426</t>
  </si>
  <si>
    <t>Credit 4025807885-041426 was allocated to Invoice  - #4025807885-041426</t>
  </si>
  <si>
    <t>Inv #DAY0071555</t>
  </si>
  <si>
    <t>CARPET UNIT: 118S</t>
  </si>
  <si>
    <t>Inv #0024700</t>
  </si>
  <si>
    <t>1020N Carpet deep clean Extra heavy grease removal Buffer Heavy deodorizer</t>
  </si>
  <si>
    <t>Inv #0024758</t>
  </si>
  <si>
    <t>2-2032 Full paint color change 350$ Ceilings full paint color change200$ Cabinets full paint color change280$ Heavy Primer 90$</t>
  </si>
  <si>
    <t>Repairs all unit</t>
  </si>
  <si>
    <t>Inv #0024701</t>
  </si>
  <si>
    <t>223S Carpet deep clean Heavy grease removal Buffer Heavy deodorizer</t>
  </si>
  <si>
    <t>Inv #0024598</t>
  </si>
  <si>
    <t>2105N Carpet deep clean Heavy grease removal Buffer Heavy deodorizer</t>
  </si>
  <si>
    <t>Inv #20590668-00</t>
  </si>
  <si>
    <t>Inv #0024776</t>
  </si>
  <si>
    <t>1-1306 Make ready</t>
  </si>
  <si>
    <t>1-0913 Make ready</t>
  </si>
  <si>
    <t>1-0215 Make ready 2 bd</t>
  </si>
  <si>
    <t>1-0310 Make ready</t>
  </si>
  <si>
    <t>2-2053 Make ready</t>
  </si>
  <si>
    <t>2-2059 make ready</t>
  </si>
  <si>
    <t>Payment #1095</t>
  </si>
  <si>
    <t>Payment #1096</t>
  </si>
  <si>
    <t>Inv #0025150</t>
  </si>
  <si>
    <t>1-0510 Carpet deep clean Heavy grease removal Buffer Heavy stains removal Heavy deodorizer</t>
  </si>
  <si>
    <t>Inv #20592255-00</t>
  </si>
  <si>
    <t>Inv #20592255-01</t>
  </si>
  <si>
    <t>Inv #20592271-00</t>
  </si>
  <si>
    <t>PAINTSCENTSATIONS FRESH AIR PAINTSCENTSATIONS IS A LIQUID PAINT ADDITIVE THAT TURNS PAINT INTO AN AIR FRESHENER AND HELPS ELIMINATE ODORS. LASTS FOR 3-4 MONTHS. MIXES EASILY WITH LATEX OR SOLVENT PAINTS.  USE 1 OZ. PER GALLON OF PAINT. FRESH AIR SCENT - 10 OZ BOTTLE - U/M: EACH</t>
  </si>
  <si>
    <t>Inv #1564010</t>
  </si>
  <si>
    <t>2017N window replacement</t>
  </si>
  <si>
    <t>2018N window replacement</t>
  </si>
  <si>
    <t>Inv #179711</t>
  </si>
  <si>
    <t>Inv #15694</t>
  </si>
  <si>
    <t>3975</t>
  </si>
  <si>
    <t>Inv #0025149</t>
  </si>
  <si>
    <t>2-1079 Carpet deep clean Heavy grease removal Buffer Stains removal Heavy deodorizer</t>
  </si>
  <si>
    <t>Inv #0025148</t>
  </si>
  <si>
    <t>1101N Carpet deep clean Pre spot Buffer Heavy deodorizer</t>
  </si>
  <si>
    <t>Inv #0025123</t>
  </si>
  <si>
    <t>1006N Emergency water extraction 3 areas Antimicrobial treatment</t>
  </si>
  <si>
    <t>Inv #0025122</t>
  </si>
  <si>
    <t>1005N Emergency water extraction 7 areas Wet pad removal Antimicrobial treatment</t>
  </si>
  <si>
    <t>Inv #0025121</t>
  </si>
  <si>
    <t>1104N Carpet deep clean Heavy grease removal Buffer Heavy deodorizer</t>
  </si>
  <si>
    <t>Inv #0025119</t>
  </si>
  <si>
    <t>2-1075 Mass and texture repairs 8ft Baseboards repairs Primer</t>
  </si>
  <si>
    <t>Payment #1097</t>
  </si>
  <si>
    <t>Payment #ACH 04.21.26</t>
  </si>
  <si>
    <t>Inv #0025258</t>
  </si>
  <si>
    <t>118S Full paint 2 bedrooms 250$ Cabinets full paint 300$ Ceilings full paint 200$ Heavy killz 50$</t>
  </si>
  <si>
    <t>Inv #0025054</t>
  </si>
  <si>
    <t>141S Full paint 2 bedrooms, heavy killz</t>
  </si>
  <si>
    <t>3 sheetrock repairs 2x1 + 1x1 + 1x1 120$</t>
  </si>
  <si>
    <t>Inv #0025289</t>
  </si>
  <si>
    <t>2071N Carpet deep clean Heavy grease removal Buffer Heavy deodorizer</t>
  </si>
  <si>
    <t>Inv #0025254</t>
  </si>
  <si>
    <t>1 510 Full paint 200$ Cabinets full paint 280$</t>
  </si>
  <si>
    <t>Inv #0025255</t>
  </si>
  <si>
    <t>1 717 Full paint 200$ Cabinets full paint 280$</t>
  </si>
  <si>
    <t>Repairs and killz</t>
  </si>
  <si>
    <t>Inv #0024974</t>
  </si>
  <si>
    <t>141S 2 tubs and 2 tiles occupied</t>
  </si>
  <si>
    <t>Inv #0025218</t>
  </si>
  <si>
    <t>2-2071 Bathroom sheetrock repair Primer Closet ceiling sheetrock repair 3x3 + mass + texture Cracks and repairs 350$</t>
  </si>
  <si>
    <t>Renteria, Jorge</t>
  </si>
  <si>
    <t>Inv #0025215</t>
  </si>
  <si>
    <t>1-0717 Tub and tile resurfacing 260$ Kitchen countertops and extra bar 125$ Bathroom countertop 60$</t>
  </si>
  <si>
    <t>Inv #20608817-00</t>
  </si>
  <si>
    <t>Inv #INA-244700</t>
  </si>
  <si>
    <t>Inv #011188730</t>
  </si>
  <si>
    <t>6 PANEL BYPASS DOOR WHITE- 48" OPENING</t>
  </si>
  <si>
    <t>Inv #0025328</t>
  </si>
  <si>
    <t>2-2075 Full clean 2bd</t>
  </si>
  <si>
    <t>Inv #0024780</t>
  </si>
  <si>
    <t>119S Touch up clean 70$</t>
  </si>
  <si>
    <t>1058N Housekeeping clean</t>
  </si>
  <si>
    <t>1020N Housekeeping clean</t>
  </si>
  <si>
    <t>1-0613 Housekeeping clean</t>
  </si>
  <si>
    <t>2-2053 Housekeeping clean</t>
  </si>
  <si>
    <t>Inv #0024777</t>
  </si>
  <si>
    <t>2-1019 Make ready 2 bd</t>
  </si>
  <si>
    <t>2-2049 Make ready 2 bd</t>
  </si>
  <si>
    <t>119S Make ready</t>
  </si>
  <si>
    <t>101S Make ready</t>
  </si>
  <si>
    <t>404S Make ready</t>
  </si>
  <si>
    <t>Inv #3673</t>
  </si>
  <si>
    <t>Oluwafikunayomi Precious Olaniran v. AVA Apartments/CAF Management</t>
  </si>
  <si>
    <t>Check #1098</t>
  </si>
  <si>
    <t>Inv #0025268</t>
  </si>
  <si>
    <t>403S Tub and Tile resurfacing (right side Master)</t>
  </si>
  <si>
    <t>Inv #3046689</t>
  </si>
  <si>
    <t>280G1424S2 RAC14324B21S 2.0T R410A 14.3S2 GUARDIAN</t>
  </si>
  <si>
    <t>SO-0974246HSXP 24HXS6R410A FIRDN EVAP COIL PISTON</t>
  </si>
  <si>
    <t>Inv #12404</t>
  </si>
  <si>
    <t>bldg 8 boiler is not turning on</t>
  </si>
  <si>
    <t>Titilayo, Aminu</t>
  </si>
  <si>
    <t>Inv #12599</t>
  </si>
  <si>
    <t>building 7 phase 1</t>
  </si>
  <si>
    <t>Inv #20631559-00</t>
  </si>
  <si>
    <t>GE 30" SLIDE-IN ELEC SS 500 SERIES GRS500PVSS GE 30" Stainless 5.3 cu ft 500 Series Slide-In Electric Range, Self-clean, Guaranteed exact fit for GE 30" free-standing range, 5 Burner Radiant Glass Cooktop, Dual-element bake with upper and lower elements, ADA compliant, 30"W x 37-1/8"H x 28-5/8"D</t>
  </si>
  <si>
    <t>Inv #100068181772-042426</t>
  </si>
  <si>
    <t>03/19/2026 - 04/19/2026 - PUC Assessment</t>
  </si>
  <si>
    <t>03/19/2026 - 04/19/2026 - Sales Tax</t>
  </si>
  <si>
    <t>03/23/2026 - 04/21/2026 - Base Usage</t>
  </si>
  <si>
    <t>03/19/2026 - 04/19/2026 - Distribution System Charge</t>
  </si>
  <si>
    <t>03/19/2026 - 04/19/2026 - Base Usage</t>
  </si>
  <si>
    <t>03/19/2026 - 04/19/2026 - Energy Efficiency</t>
  </si>
  <si>
    <t>03/19/2026 - 04/19/2026 - Meter Charge</t>
  </si>
  <si>
    <t>03/19/2026 - 04/19/2026 - Gross Receipts Reimb</t>
  </si>
  <si>
    <t>03/19/2026 - 04/19/2026 - Distribution Cost Recovery</t>
  </si>
  <si>
    <t>03/19/2026 - 04/19/2026 - Transmission Cost Recov Factor</t>
  </si>
  <si>
    <t>03/19/2026 - 04/19/2026 - Hub to Load Zone Pass-Through</t>
  </si>
  <si>
    <t>03/19/2026 - 04/19/2026 - Market Securitization (Debt) Financing</t>
  </si>
  <si>
    <t>03/19/2026 - 04/19/2026 - Base Charge</t>
  </si>
  <si>
    <t>03/23/2026 - 04/21/2026 - PUC Assessment</t>
  </si>
  <si>
    <t>03/23/2026 - 04/21/2026 - Base Charge</t>
  </si>
  <si>
    <t>03/23/2026 - 04/21/2026 - Market Securitization (Debt) Financing</t>
  </si>
  <si>
    <t>03/23/2026 - 04/21/2026 - Energy Efficiency</t>
  </si>
  <si>
    <t>03/23/2026 - 04/21/2026 - Sales Tax</t>
  </si>
  <si>
    <t>03/23/2026 - 04/21/2026 - Meter Charge</t>
  </si>
  <si>
    <t>03/23/2026 - 04/21/2026 - Gross Receipts Reimb</t>
  </si>
  <si>
    <t>03/23/2026 - 04/21/2026 - Hub to Load Zone Pass-Through</t>
  </si>
  <si>
    <t>03/23/2026 - 04/21/2026 - Distribution Cost Recovery</t>
  </si>
  <si>
    <t>03/23/2026 - 04/21/2026 - Transmission Cost Recov Factor</t>
  </si>
  <si>
    <t>03/23/2026 - 04/21/2026 - Distribution System Charge</t>
  </si>
  <si>
    <t>Inv #3094464-2163-3</t>
  </si>
  <si>
    <t>ServicePeriod: 04/01/26-04/30/26</t>
  </si>
  <si>
    <t>Inv #3094459-2163-3</t>
  </si>
  <si>
    <t>Inv #3094458-2163-5</t>
  </si>
  <si>
    <t>Inv #3094460-2163-1</t>
  </si>
  <si>
    <t>Inv #0025357</t>
  </si>
  <si>
    <t>422S Carpet deep clean Heavy grease removal Buffer Heavy pet treatment, stretch</t>
  </si>
  <si>
    <t>Inv #0025354</t>
  </si>
  <si>
    <t>404S Carpet deep clean Heavy grease removal Buffer Stairs Heavy deodorizer</t>
  </si>
  <si>
    <t>Inv #0025353</t>
  </si>
  <si>
    <t>1 215 Carpet deep clean Heavy grease removal Buffer Heavy pet treatment</t>
  </si>
  <si>
    <t>Inv #0025352</t>
  </si>
  <si>
    <t>1-0802 Carpet deep clean Heavy grease removal Buffer Paint removal Heavy deodorizer</t>
  </si>
  <si>
    <t>Inv #0025351</t>
  </si>
  <si>
    <t>2 2021 Carpet deep clean Heavy grease removal Buffer Stains removal Pet treatment</t>
  </si>
  <si>
    <t>Inv #0024871</t>
  </si>
  <si>
    <t>1-0413 Tub and tile resurfacing occupied</t>
  </si>
  <si>
    <t>Inv #011214395</t>
  </si>
  <si>
    <t>6' CLOSET AUGER WITH DOWNHEAD - T6FL-DH</t>
  </si>
  <si>
    <t>15% SILVER SOLDER - 28 STICKS/TUBE</t>
  </si>
  <si>
    <t>35+5 MFD 370V ROUND DUAL CAPACITOR</t>
  </si>
  <si>
    <t>45+5 MFD 370V ROUND DUAL CAPACITOR</t>
  </si>
  <si>
    <t>40+5 MFD 370V ROUND DUAL CAPACITOR</t>
  </si>
  <si>
    <t>1P 30A CONTACTOR W/SHUNT</t>
  </si>
  <si>
    <t>2P 30A CONTACTOR</t>
  </si>
  <si>
    <t>Credit Refund was allocated to Invoice  - #Refund</t>
  </si>
  <si>
    <t>Inv #0025491</t>
  </si>
  <si>
    <t>2-1073 Heavy repairs all unit per estimate</t>
  </si>
  <si>
    <t>Inv #0025493</t>
  </si>
  <si>
    <t>1 1107 Full paint 200$ Cabinets full paint 280$ Ceilings full paint 200$</t>
  </si>
  <si>
    <t>Repairs &amp;amp; killz</t>
  </si>
  <si>
    <t>Inv #0025495</t>
  </si>
  <si>
    <t>2097N Full paint 2 bedrooms 250$ Touch up ceiling 100$ Cabinets full paint 300$</t>
  </si>
  <si>
    <t>Repairs 35$</t>
  </si>
  <si>
    <t>Inv #0025496</t>
  </si>
  <si>
    <t>224S Full paint color change 350$ Ceilings full paint 200$ Cabinets full paint 280$</t>
  </si>
  <si>
    <t>Mass and texture repairs + repairs + killz</t>
  </si>
  <si>
    <t>Inv #0025498</t>
  </si>
  <si>
    <t>101S Closet sheetrock and mass and texture repairs walls</t>
  </si>
  <si>
    <t>Inv #0025044</t>
  </si>
  <si>
    <t>2-2021 Housekeeping clean 2 bd</t>
  </si>
  <si>
    <t>2-2020 Housekeeping clean 2 bd</t>
  </si>
  <si>
    <t>2-2059 Housekeeping clean</t>
  </si>
  <si>
    <t>245S Housekeeping clean 2 bd</t>
  </si>
  <si>
    <t>2-2049 Housekeeping clean 2 bd</t>
  </si>
  <si>
    <t>404S Housekeeping clean</t>
  </si>
  <si>
    <t>422S Housekeeping clean</t>
  </si>
  <si>
    <t>141S Housekeeping clean 2 bd</t>
  </si>
  <si>
    <t>Inv #0025437</t>
  </si>
  <si>
    <t>1-1107 Carpet deep clean Heavy grease removal Buffer Heavy deodorizer</t>
  </si>
  <si>
    <t>Inv #0025438</t>
  </si>
  <si>
    <t>1-0207 Carpet deep clean Heavy grease removal Buffer Heavy deodorizer</t>
  </si>
  <si>
    <t>Inv #0025490</t>
  </si>
  <si>
    <t>2-1073 Full paint color change 400$ Cabinets full paint 300$ Ceilings full paint 200$ Heavy primer application 150$</t>
  </si>
  <si>
    <t>Inv #0025487</t>
  </si>
  <si>
    <t>2-1075 Ceiling sheetrock repair + mass +texture</t>
  </si>
  <si>
    <t>Inv #0025325</t>
  </si>
  <si>
    <t>1-1423 Full clean 2bd</t>
  </si>
  <si>
    <t>2-1019 Full clean 2bd</t>
  </si>
  <si>
    <t>Inv #0025323</t>
  </si>
  <si>
    <t>1104N Full clean 2bd</t>
  </si>
  <si>
    <t>1101N Full clean 2bd</t>
  </si>
  <si>
    <t>2078N Full clean 2bd</t>
  </si>
  <si>
    <t>1-0802 Full clean 2bd</t>
  </si>
  <si>
    <t>1-0310 Full clean 1bd</t>
  </si>
  <si>
    <t>1-1406 Full clean 1bd</t>
  </si>
  <si>
    <t>1-1304 Full clean 1bd</t>
  </si>
  <si>
    <t>Inv #0025321</t>
  </si>
  <si>
    <t>2-2032 Full clean 1bd</t>
  </si>
  <si>
    <t>Inv #20652143-00</t>
  </si>
  <si>
    <t>16X25 RETURN AIR GRILL FITS 16 X 25 FILTER SIZE</t>
  </si>
  <si>
    <t>WHEELED BRUTE 44 GAL TRASH CAN The Rubbermaid Commercial wheeled BRUTE container , allows you to move loads 5X easier* even over rough , terrains to improve productivity and reduce the, risk of injury. The container is constructed with the highes, quality material plus a UV inhibitor e</t>
  </si>
  <si>
    <t>WATCO NUFIT PP TUB STOP CHRM STOP W/O GRID PIN Watco Universal Nufit Push Pull Tub Stopper, Silicone, Update, easy install worn tub drain, Chrome, Update Finish with standard flow, 3/8-5/16 Pin or Silicone</t>
  </si>
  <si>
    <t>ADJ SHOWER ROD ENDS PAIR CHROME-PLATED METAL</t>
  </si>
  <si>
    <t>20X25 RETURN AIR GRILL FITS 20 X 25 FILTER SIZE</t>
  </si>
  <si>
    <t>PRO PAK 400A 3PK FILL VALVE Fluidmaster 400ACN3P5 Universal Toilet Fill Valve Contractor 3-Pack includes 3 of the most trusted toilet fill valves in the world., 400A is a trusted and durable, built from corrosion resistant materials and featuring a 5-year warranty</t>
  </si>
  <si>
    <t>BADGER DISP STOPPER PK/5</t>
  </si>
  <si>
    <t>12X24X1 PLEATED AC FLTR CS/12 MERV8</t>
  </si>
  <si>
    <t>12X24 RETURN AIR GRILL FITS 12 X 24 FILTER SIZE</t>
  </si>
  <si>
    <t>PROCELL 9V BATTERY PK/12 ALKALINE</t>
  </si>
  <si>
    <t>4" SPRING STOPS PK/5 MP10127 SATIN NICKEL</t>
  </si>
  <si>
    <t>PROCELL BATTERY AA PK24 ALKALINE Procell Batteries AA, Alkaline extra long life , Outstanding performance and reliability, No mercury - special disposal procedures not needed, Date coded to insure freshness, SDS Available</t>
  </si>
  <si>
    <t>RAYOVAC BATTERY AAA 24PK BX/24 ALKALINE RAYOVAC AAA ALKALINE BATTERIES - RECLOSABLE CONTAINER - MERCURY FREE FORMULA - BEST USED BEFORE DATE ON BATTERY - U/M: BOX/24</t>
  </si>
  <si>
    <t>PFISTER PUSH &amp; SEAL DRAIN ASSEMBLY, CHROME Pfister Chrome Push &amp; Seal Drain Assembly, Fits all standard bathroom sinks, Installs in under 5-minutes, Tool-free installation, Includes overflow slot,  972-053A</t>
  </si>
  <si>
    <t>RAGS IN A BOX 8 LBS WHITE COTTON RAGS</t>
  </si>
  <si>
    <t>COMPACTOR TRASH LINERS 4 MIL COMPACTOR TRASH CAN LINERS - HEAVY-DUTY - 32 in  X 18 in  X 50 in  BAG SIZE - 4 MIL THICK - GUSSET SEAL - ROLL PACKED - COLOR: BLACK - 50 BAGS PER ROLL - U/M: EACH</t>
  </si>
  <si>
    <t>TOILET SEAT ROUND WHITE WOOD W/LID CS/6 CHURCH WOOD ROUND FRONT TOILET SEAT - CLOSED FRONT WITH COVER - DURABLE BAKED ENAMEL FINISH - EASY-CLEAN HINGES WITH NON-CORROSIVE, TOP-TIGHTENING BOLTS, NUTS &amp; NO-SLIP WASHERS - LIFT-OFF FOR EASY REPLACMENT - COLOR: WHITE - MFG# 540EC - U/M: CASE/6</t>
  </si>
  <si>
    <t>SS SINK STRAINER BASKET FIXED STICK POST 30053</t>
  </si>
  <si>
    <t>FLUIDMASTER PERFECT FIT TANK LEVER CHROME FLUIDMASTER PERFECT FIT ADJUSTABLE FLUSH LEVER - ROTATING RATCHET ADJUSTS TO FIT ANY TANK POSITION - TELESCOPING ARM, NO CUTTING OR BENDING - 4 FLAPPER CHAIN HOLES - METAL HANDLE - CONTOURED ARM FOR MANSFIELD VALVES - FINISH: CHROME - U/M: EACH</t>
  </si>
  <si>
    <t>2-PIECE BOLT CAP PAIR</t>
  </si>
  <si>
    <t>DAP BATH CLEAR SILICONE 9.8 OZ CARTRIDGE</t>
  </si>
  <si>
    <t>Inv #126022</t>
  </si>
  <si>
    <t>roof repair bldg 40-chimney</t>
  </si>
  <si>
    <t>Roof repair bldg 32 unit 429 gutter/facia</t>
  </si>
  <si>
    <t>building 30 shingles missing</t>
  </si>
  <si>
    <t>bldg 13 missing shingles</t>
  </si>
  <si>
    <t>bldg 14 missing shingles</t>
  </si>
  <si>
    <t>Check #1099</t>
  </si>
  <si>
    <t>Inv #9248560821</t>
  </si>
  <si>
    <t>Metering Device - Piston .059</t>
  </si>
  <si>
    <t>Chrm Diverter Tub Spt Di-cst Zinc 5/8</t>
  </si>
  <si>
    <t>Hvac Flushing Solvent 16 Oz Refill</t>
  </si>
  <si>
    <t>Mixet 5-1/2 Chrm Rnd Shwr Esctchn</t>
  </si>
  <si>
    <t>Earth Spa 3 stg 1.75 GPM Shwrhd Chrm</t>
  </si>
  <si>
    <t>Marzioli, Josiah</t>
  </si>
  <si>
    <t>Refund for Conditions Fee</t>
  </si>
  <si>
    <t>Inv #011232621</t>
  </si>
  <si>
    <t>Inv #9248619237</t>
  </si>
  <si>
    <t>Pro-flush Hvac Kit</t>
  </si>
  <si>
    <t>Inv #20671979-00</t>
  </si>
  <si>
    <t>GE DISHWASHER STAINLESS TALL TUB GDF450PSRSS GE 3 Cycle Dishwasher Stainless, 3 cycles; 3 wash options, Piranha? hard food disposer with removable filter, 23-3/4"W x 34-5/8"H x 24"H</t>
  </si>
  <si>
    <t>GE SILICONE KIT &amp; BATH 10.1 OZ CARTRIDGE WHITE GE Advanced Silicone 2 Kitchen &amp; Bath Sealant 10.1 oz, 100% Waterproof White Silicone Caulk , Five times stronger adhesion, Shrink &amp; crack-proof , Non-Paintable, Neutral curing with low odor, 10-year mold-free protection, 10.1 oz cartridge</t>
  </si>
  <si>
    <t>UNIVERSAL NUFIT CHROME DRAIN STOPPER WITH GRID Watco Universal NuFit Push/Pull Tub Drain Stopper with Grid, No need to remove existing drain body, Installs with silicone adhesive or a pin adapter for drain with cross bar, Includes silicone with 3/8" &amp; 5/16" adapter pins, 48750-PP-CP-G-2P</t>
  </si>
  <si>
    <t>BR NICKEL PULL KNOB PK/4 WOOD KNOB B/N FINISH</t>
  </si>
  <si>
    <t>LED 13" ROUND FIXTURE 15W SN TRIM 74045 LED 13" Round Flat-Panel Edge-Lit Fixture w/Satin Nickel Trim, 15W, White frosted plastic lens, Ultra-slim design mounts as flush ceiling or wall sconce, 1054 lumens, 3k,4k,5k, 120V dimmable and instant full brightness, Rated for 50,000 hours, 74045</t>
  </si>
  <si>
    <t>Inv #DAY0072402</t>
  </si>
  <si>
    <t>2-1073 carpet replacement</t>
  </si>
  <si>
    <t>Inv #DAY0072400</t>
  </si>
  <si>
    <t>2-1019 carpet replacement</t>
  </si>
  <si>
    <t>Inv #20679734-00</t>
  </si>
  <si>
    <t>Inv #DAY0072429</t>
  </si>
  <si>
    <t>2-1019 vinyl replacement</t>
  </si>
  <si>
    <t>Inv #DAY0072430</t>
  </si>
  <si>
    <t>2-1073 Vinyl replacement</t>
  </si>
  <si>
    <t>Inv #100920654-043026</t>
  </si>
  <si>
    <t>04/03/2026 - 04/28/2026 - Environmental Cleanup Fee</t>
  </si>
  <si>
    <t>04/03/2026 - 04/28/2026 - Sewer Base Charge</t>
  </si>
  <si>
    <t>04/03/2026 - 04/28/2026 - Water Base Charge</t>
  </si>
  <si>
    <t>04/03/2026 - 04/28/2026 - Storm Water Charges</t>
  </si>
  <si>
    <t>04/03/2026 - 04/28/2026 - Sewer Usage Charge</t>
  </si>
  <si>
    <t>04/03/2026 - 04/28/2026 - Water Usage Charge</t>
  </si>
  <si>
    <t>Inv #100919832-043026</t>
  </si>
  <si>
    <t>04/03/2026 - 04/29/2026 - Sewer Base Charge</t>
  </si>
  <si>
    <t>04/03/2026 - 04/29/2026 - Water Base Charge</t>
  </si>
  <si>
    <t>04/03/2026 - 04/29/2026 - Storm Water Charges</t>
  </si>
  <si>
    <t>04/03/2026 - 04/29/2026 - Sewer Usage Charge</t>
  </si>
  <si>
    <t>04/03/2026 - 04/29/2026 - Water Usage Charge</t>
  </si>
  <si>
    <t>04/03/2026 - 04/29/2026 - Environmental Cleanup Fee</t>
  </si>
  <si>
    <t>Inv #100923606-043026</t>
  </si>
  <si>
    <t>04/03/2026 - 04/28/2026 - Base Charge</t>
  </si>
  <si>
    <t>Inv #AM-2026-04</t>
  </si>
  <si>
    <t>AMF April</t>
  </si>
  <si>
    <t>HelloData Market Analytics Subscription - April 2026</t>
  </si>
  <si>
    <t>Asset Performance Analytics Platform - April 2026</t>
  </si>
  <si>
    <t>Inv #100072873971-043026</t>
  </si>
  <si>
    <t>Payment #ACH 04.30.26</t>
  </si>
  <si>
    <t>Credit 4025808562-041526 was allocated to Invoice  - #4025807867-041626</t>
  </si>
  <si>
    <t>Credit 4025807867-041626 was allocated to Invoice  - #4025807867-041626</t>
  </si>
  <si>
    <t>Credit 4025807803-041426 was allocated to Invoice  - #4025807803-041426</t>
  </si>
  <si>
    <t>Inv #3085583</t>
  </si>
  <si>
    <t>24" x 80" x 1-3/8" HC Primed 6 Panel Interior Door Slab</t>
  </si>
  <si>
    <t>Inv #12648</t>
  </si>
  <si>
    <t>between bldg 9&amp;amp;10  North needing a hydrojet</t>
  </si>
  <si>
    <t>Inv #3085505</t>
  </si>
  <si>
    <t>Ortho® Fire Ant Killer Mound Treatment - 3 lb.</t>
  </si>
  <si>
    <t>11/16" x 5-1/2" x 16' Primed MDF Baseboard</t>
  </si>
  <si>
    <t>Spectracide® Wasp &amp; Hornet Killer - 18.5 oz.</t>
  </si>
  <si>
    <t>5/8" x 2-1/8" x 7' Primed FJ Wedge Casing</t>
  </si>
  <si>
    <t>4' x 8' x 15/32 BC Sanded Plywood</t>
  </si>
  <si>
    <t>2" x 150' Aluminum Foil Tape</t>
  </si>
  <si>
    <t>3" x 150' Aluminum Foil Tape</t>
  </si>
  <si>
    <t>3/8" Fine Female Flare x 3/8" Comp Brass Adapter</t>
  </si>
  <si>
    <t>Universal Fin Comb</t>
  </si>
  <si>
    <t>Infrared Thermometer</t>
  </si>
  <si>
    <t>3/4" x 6' Armaflex® Pipe Insulation</t>
  </si>
  <si>
    <t>1/2" x 6' Armaflex® Pipe Insulation</t>
  </si>
  <si>
    <t>Honeywell Pro 1000 Non-Programmable Vertical Thermostat - White</t>
  </si>
  <si>
    <t>24" x 48" Hinged Metal Access Door</t>
  </si>
  <si>
    <t>Braeburn Non-Programmable Thermostat - White</t>
  </si>
  <si>
    <t>Inv #2740470421</t>
  </si>
  <si>
    <t>Inv #119925</t>
  </si>
  <si>
    <t>Inv #2037977</t>
  </si>
  <si>
    <t>Inv #12728</t>
  </si>
  <si>
    <t>Inv #3096514-2163-3</t>
  </si>
  <si>
    <t>Inv #3096513-2163-5</t>
  </si>
  <si>
    <t>Inv #3094465-2163-0</t>
  </si>
  <si>
    <t>Inv #3094466-2163-8</t>
  </si>
  <si>
    <t>Inv #100072873236-050226</t>
  </si>
  <si>
    <t>Inv #100068200053-050226</t>
  </si>
  <si>
    <t>03/23/2026 - 04/21/2026 - ENERGY CHARGE</t>
  </si>
  <si>
    <t>04/11/2026 - 04/21/2026 - Sales Tax</t>
  </si>
  <si>
    <t>S36-433</t>
  </si>
  <si>
    <t>04/11/2026 - 04/21/2026 - Out of Cycle Meter Rdg-Reg Hrs</t>
  </si>
  <si>
    <t>04/11/2026 - 04/21/2026 - Gross Receipts Reimb</t>
  </si>
  <si>
    <t>04/11/2026 - 04/21/2026 - Base Charge</t>
  </si>
  <si>
    <t>04/11/2026 - 04/21/2026 - Energy Charge</t>
  </si>
  <si>
    <t>03/26/2026 - 04/21/2026 - Sales Tax</t>
  </si>
  <si>
    <t>03/23/2026 - 04/21/2026 - Disconnect at Meter</t>
  </si>
  <si>
    <t>03/23/2026 - 04/21/2026 - Reconnect at Meter-Reg Hrs</t>
  </si>
  <si>
    <t>03/23/2026 - 04/21/2026 - Energy Charge</t>
  </si>
  <si>
    <t>03/23/2026 - 03/29/2026 - Energy Charge</t>
  </si>
  <si>
    <t>03/23/2026 - 03/29/2026 - Base Charge</t>
  </si>
  <si>
    <t>04/06/2026 - 04/21/2026 - Sales Tax</t>
  </si>
  <si>
    <t>S38-352</t>
  </si>
  <si>
    <t>04/06/2026 - 04/21/2026 - Gross Receipts Reimb</t>
  </si>
  <si>
    <t>04/06/2026 - 04/21/2026 - Out of Cycle Meter Rdg-Reg Hrs</t>
  </si>
  <si>
    <t>04/06/2026 - 04/21/2026 - Base Charge</t>
  </si>
  <si>
    <t>04/06/2026 - 04/21/2026 - Energy Charge</t>
  </si>
  <si>
    <t>03/23/2026 - 04/09/2026 - Sales Tax</t>
  </si>
  <si>
    <t>03/23/2026 - 04/09/2026 - Gross Receipts Reimb</t>
  </si>
  <si>
    <t>03/23/2026 - 04/09/2026 - Base Charge</t>
  </si>
  <si>
    <t>03/23/2026 - 04/09/2026 - ENERGY CHARGE</t>
  </si>
  <si>
    <t>03/26/2026 - 04/21/2026 - Out of Cycle Meter Rdg-Reg Hrs</t>
  </si>
  <si>
    <t>03/26/2026 - 04/21/2026 - Base Charge</t>
  </si>
  <si>
    <t>03/26/2026 - 04/21/2026 - Gross Receipts Reimb</t>
  </si>
  <si>
    <t>03/26/2026 - 04/21/2026 - Energy Charge</t>
  </si>
  <si>
    <t>03/23/2026 - 03/29/2026 - Sales Tax</t>
  </si>
  <si>
    <t>03/23/2026 - 03/29/2026 - Gross Receipts Reimb</t>
  </si>
  <si>
    <t>03/23/2026 - 03/29/2026 - ENERGY CHARGE</t>
  </si>
  <si>
    <t>03/23/2026 - 04/17/2026 - Base Charge</t>
  </si>
  <si>
    <t>03/23/2026 - 04/17/2026 - ENERGY CHARGE</t>
  </si>
  <si>
    <t>03/23/2026 - 04/17/2026 - Gross Receipts Reimb</t>
  </si>
  <si>
    <t>03/23/2026 - 04/17/2026 - Sales Tax</t>
  </si>
  <si>
    <t>03/25/2026 - 04/21/2026 - Sales Tax</t>
  </si>
  <si>
    <t>S26-408</t>
  </si>
  <si>
    <t>03/25/2026 - 04/21/2026 - Energy Charge</t>
  </si>
  <si>
    <t>03/25/2026 - 04/21/2026 - Gross Receipts Reimb</t>
  </si>
  <si>
    <t>03/25/2026 - 04/21/2026 - Out of Cycle Meter Rdg-Reg Hrs</t>
  </si>
  <si>
    <t>03/25/2026 - 04/21/2026 - Base Charge</t>
  </si>
  <si>
    <t>04/09/2026 - 04/20/2026 - Sales Tax</t>
  </si>
  <si>
    <t>S31-118</t>
  </si>
  <si>
    <t>04/09/2026 - 04/20/2026 - Gross Receipts Reimb</t>
  </si>
  <si>
    <t>04/09/2026 - 04/20/2026 - Out of Cycle Meter Rdg-Reg Hrs</t>
  </si>
  <si>
    <t>04/09/2026 - 04/20/2026 - Base Charge</t>
  </si>
  <si>
    <t>04/09/2026 - 04/20/2026 - Energy Charge</t>
  </si>
  <si>
    <t>03/30/2026 - 04/21/2026 - Gross Receipts Reimb</t>
  </si>
  <si>
    <t>S38-351</t>
  </si>
  <si>
    <t>03/30/2026 - 04/21/2026 - Out of Cycle Meter Rdg-Reg Hrs</t>
  </si>
  <si>
    <t>03/30/2026 - 04/21/2026 - Sales Tax</t>
  </si>
  <si>
    <t>03/30/2026 - 04/21/2026 - Base Charge</t>
  </si>
  <si>
    <t>03/30/2026 - 04/21/2026 - Energy Charge</t>
  </si>
  <si>
    <t>03/23/2026 - 03/29/2026 - Disconnect at Meter</t>
  </si>
  <si>
    <t>03/23/2026 - 03/29/2026 - Reconnect at Meter-Reg Hrs</t>
  </si>
  <si>
    <t>04/07/2026 - 04/21/2026 - Sales Tax</t>
  </si>
  <si>
    <t>S42-169</t>
  </si>
  <si>
    <t>04/07/2026 - 04/21/2026 - Out of Cycle Meter Rdg-Reg Hrs</t>
  </si>
  <si>
    <t>04/07/2026 - 04/21/2026 - Gross Receipts Reimb</t>
  </si>
  <si>
    <t>04/07/2026 - 04/21/2026 - Base Charge</t>
  </si>
  <si>
    <t>04/07/2026 - 04/21/2026 - Energy Charge</t>
  </si>
  <si>
    <t>S33-235</t>
  </si>
  <si>
    <t>Inv #0025810</t>
  </si>
  <si>
    <t>1-0406 Carpet deep clean Heavy grease removal Buffer Pet treatment</t>
  </si>
  <si>
    <t>Inv #0025808</t>
  </si>
  <si>
    <t>3061N Carpet deep clean Heavy grease removal Buffer Pet treatment</t>
  </si>
  <si>
    <t>Inv #0025809</t>
  </si>
  <si>
    <t>433S Carpet deep clean Heavy grease removal Buffer Stairs Heavy deodorizer</t>
  </si>
  <si>
    <t>Inv #0025679</t>
  </si>
  <si>
    <t>1-0406 Full paint 200$ Cabinets full paint 280$</t>
  </si>
  <si>
    <t>1-0501 Full paint 200$ Cabinets full paint 280$</t>
  </si>
  <si>
    <t>Inv #0025618</t>
  </si>
  <si>
    <t>169S Carpet deep clean Extra heavy grease removal Buffer Heavy deodorizer, repairs</t>
  </si>
  <si>
    <t>Inv #DAY0072658</t>
  </si>
  <si>
    <t>2-2048 vinyl replacement</t>
  </si>
  <si>
    <t>Browder, Briana</t>
  </si>
  <si>
    <t>Inv #3085793</t>
  </si>
  <si>
    <t>1/2" X 6' ARMAFLEX PIPE INSULATION</t>
  </si>
  <si>
    <t>3/4" X 6' ARMAFLEX PIPE INSULATION</t>
  </si>
  <si>
    <t>Inv #1573248</t>
  </si>
  <si>
    <t>003-N, 2002-N x --- 1/8&amp;quot; tempered --- clear Patio Door (sliding) Glass  Locations: Patio, Broken  Note: also bring 28x76 patio doo</t>
  </si>
  <si>
    <t>Check #1100</t>
  </si>
  <si>
    <t>High Quality Out of School Time Services</t>
  </si>
  <si>
    <t>Check #1101</t>
  </si>
  <si>
    <t>Inv #0025677</t>
  </si>
  <si>
    <t>Unit - 169S Full paint 3 bedrooms 270$ Cabinets full paint 300$ Ceilings full paint 200$</t>
  </si>
  <si>
    <t>Primer + repairs</t>
  </si>
  <si>
    <t>Inv #0025743</t>
  </si>
  <si>
    <t>169S 2 tub and 2 tile resurfacing</t>
  </si>
  <si>
    <t>Inv #0025825</t>
  </si>
  <si>
    <t>2-1070 Carpet deep clean Extra heavy grease removal Buffer Heavy deodorizer, stretch</t>
  </si>
  <si>
    <t>Inv #0025828</t>
  </si>
  <si>
    <t>2086N Carpet deep clean Extra heavy grease removal Buffer Heavy stains removal Heavy deodorizer, repairs</t>
  </si>
  <si>
    <t>Inv #0025746</t>
  </si>
  <si>
    <t>4 make readys /day</t>
  </si>
  <si>
    <t>Inv #SALES0000182504</t>
  </si>
  <si>
    <t>Legal Notice and Rent Suit</t>
  </si>
  <si>
    <t>Inv #PR5870-0003</t>
  </si>
  <si>
    <t>Inv #0025617</t>
  </si>
  <si>
    <t>2091N Carpet clean</t>
  </si>
  <si>
    <t>Inv #0025557</t>
  </si>
  <si>
    <t>1-1107 Housekeeping clean 110$ Extra dirty 40$</t>
  </si>
  <si>
    <t>Inv #0025692</t>
  </si>
  <si>
    <t>2-1019 40ft baseboards replace + paint</t>
  </si>
  <si>
    <t>Inv #1573913</t>
  </si>
  <si>
    <t>2-2075 window in living room replace</t>
  </si>
  <si>
    <t>Inv #011278510</t>
  </si>
  <si>
    <t>PAN-CRISPR</t>
  </si>
  <si>
    <t>Inv #20741298-00</t>
  </si>
  <si>
    <t>Cisse, Oumar</t>
  </si>
  <si>
    <t>Inv #3086435</t>
  </si>
  <si>
    <t>Inv #20745324-00</t>
  </si>
  <si>
    <t>Inv #DAY0072993</t>
  </si>
  <si>
    <t>2-2059 carpet replacement</t>
  </si>
  <si>
    <t>Inv #DAY0072950</t>
  </si>
  <si>
    <t>1053N vinyl replacement</t>
  </si>
  <si>
    <t>Check #1100 - Reversal</t>
  </si>
  <si>
    <t>Carrizales, Ariam</t>
  </si>
  <si>
    <t>Baca, Hilda</t>
  </si>
  <si>
    <t>Refund for CANCELFEE</t>
  </si>
  <si>
    <t>Lennan, Trevion</t>
  </si>
  <si>
    <t>Inv #3086786</t>
  </si>
  <si>
    <t>No-Chlor Non-Chlorine Shock - 50 lb.</t>
  </si>
  <si>
    <t>3" Trichlor Chlorine Tablets - 50 lb.</t>
  </si>
  <si>
    <t>Algaecide 60 Plus - Quart</t>
  </si>
  <si>
    <t>Clear Leaf Trap with Handle</t>
  </si>
  <si>
    <t>Inv #3086787</t>
  </si>
  <si>
    <t>Better Home Soma Dummy Lever - Satin Nickel</t>
  </si>
  <si>
    <t>Inv #2771894031</t>
  </si>
  <si>
    <t>Inv #011296222</t>
  </si>
  <si>
    <t>DAP KWIKSEAL PLUS WHITE CAULK - 10.1 OZ.</t>
  </si>
  <si>
    <t>24" HOLLOW CORE DOOR - HARDBOARD FINISH</t>
  </si>
  <si>
    <t>4" 90° ALUMINUM DRYER ELBOW</t>
  </si>
  <si>
    <t>PORCELAIN LAMP HOLDER W/PULL CHAIN</t>
  </si>
  <si>
    <t>6" OPAL FLUORESCENT GLOBE FIXTURE - BN W/ALABASTER GLASS GU24 BASE</t>
  </si>
  <si>
    <t>Inv #011296223</t>
  </si>
  <si>
    <t>GE FREEZER DOOR GASKET WR14X27234</t>
  </si>
  <si>
    <t>GE DOOR GASKET FF BLACK WR14X27235</t>
  </si>
  <si>
    <t>Inv #20772486-00</t>
  </si>
  <si>
    <t>Check #1106</t>
  </si>
  <si>
    <t>Check #1105</t>
  </si>
  <si>
    <t>Check #1104</t>
  </si>
  <si>
    <t>Check #1103</t>
  </si>
  <si>
    <t>Check #1102</t>
  </si>
  <si>
    <t>Inv #12639</t>
  </si>
  <si>
    <t>Provide and install one (1) 2&amp;rdquo; Double Check Valve Assembly (DCVA) for backflow prevention. Work includes all necessary labor, materials, and testing to ensure proper operation and compliance with local plumbing codes.</t>
  </si>
  <si>
    <t>Inv #12653</t>
  </si>
  <si>
    <t>boiler 7 west</t>
  </si>
  <si>
    <t>Inv #4025807885-051226</t>
  </si>
  <si>
    <t>04/15/2026 - 05/12/2026 - State Tax Refund</t>
  </si>
  <si>
    <t>04/15/2026 - 05/12/2026 - Rider FF</t>
  </si>
  <si>
    <t>04/15/2026 - 05/12/2026 - Customer Charge</t>
  </si>
  <si>
    <t>04/15/2026 - 05/12/2026 - Rate Case Expense Recovery</t>
  </si>
  <si>
    <t>04/15/2026 - 05/12/2026 - City Sales Tax</t>
  </si>
  <si>
    <t>04/15/2026 - 05/12/2026 - Reimbursement of MGRT</t>
  </si>
  <si>
    <t>04/15/2026 - 05/12/2026 - Consump Chrg</t>
  </si>
  <si>
    <t>04/15/2026 - 05/12/2026 - Rider GCR</t>
  </si>
  <si>
    <t>Inv #4025807803-051226</t>
  </si>
  <si>
    <t>04/15/2026 - 05/12/2026 - Local Sales Tax</t>
  </si>
  <si>
    <t>04/15/2026 - 05/12/2026 - State Sales Tax</t>
  </si>
  <si>
    <t>Inv #4025806199-051226</t>
  </si>
  <si>
    <t>Inv #4025808562-051226</t>
  </si>
  <si>
    <t>Check #ACH 05.13.2026</t>
  </si>
  <si>
    <t>Inv #0025726</t>
  </si>
  <si>
    <t>2086N tub/tile x2</t>
  </si>
  <si>
    <t>Inv #12697</t>
  </si>
  <si>
    <t>building 8 boiler inspection</t>
  </si>
  <si>
    <t>Inv #12652</t>
  </si>
  <si>
    <t>Building 7 phase 1 code 4 error</t>
  </si>
  <si>
    <t>Inv #12686</t>
  </si>
  <si>
    <t>2088N Ceiling Hot water pipe busted</t>
  </si>
  <si>
    <t>Inv #9249145605</t>
  </si>
  <si>
    <t>3.5in.x78in.x84 in. Std Vertl Blind Wht</t>
  </si>
  <si>
    <t>10 Oz Wht DAP Kwik Seal Pkg Of 12 12/Cs</t>
  </si>
  <si>
    <t>Inv #12675</t>
  </si>
  <si>
    <t>2 Boilers are completely down, Building 8 North side, and south side by the gym</t>
  </si>
  <si>
    <t>Refund for RELETFEE</t>
  </si>
  <si>
    <t>Olaniran, Oluwafikaunyomi</t>
  </si>
  <si>
    <t>Inv #DAY0073453</t>
  </si>
  <si>
    <t>2054N carpet replacement in 1 bedroom</t>
  </si>
  <si>
    <t>Inv #12701</t>
  </si>
  <si>
    <t>9750 meter leak</t>
  </si>
  <si>
    <t>Tente, SHUKURU</t>
  </si>
  <si>
    <t>Williams, Lakesha</t>
  </si>
  <si>
    <t>Inv #4025807867-051426</t>
  </si>
  <si>
    <t>04/17/2026 - 05/12/2026 - State Tax Refund</t>
  </si>
  <si>
    <t>04/17/2026 - 05/12/2026 - Rate Case Expense Recovery</t>
  </si>
  <si>
    <t>04/17/2026 - 05/12/2026 - City Sales Tax</t>
  </si>
  <si>
    <t>04/17/2026 - 05/12/2026 - Reimbursement of MGRT</t>
  </si>
  <si>
    <t>04/17/2026 - 05/12/2026 - Customer Charge</t>
  </si>
  <si>
    <t>04/17/2026 - 05/12/2026 - Rider FF</t>
  </si>
  <si>
    <t>04/17/2026 - 05/12/2026 - Consump Chrg</t>
  </si>
  <si>
    <t>04/17/2026 - 05/12/2026 - Rider GCR</t>
  </si>
  <si>
    <t>Check #ACH 05.15.2026</t>
  </si>
  <si>
    <t>Inv #649448</t>
  </si>
  <si>
    <t>AIR SCENT</t>
  </si>
  <si>
    <t>Pisanan, Maria</t>
  </si>
  <si>
    <t>Inv #0025982</t>
  </si>
  <si>
    <t>Unit - 1063N Mass and texture repairs (8x1 + 1x1 + 1x1 + 1x1)</t>
  </si>
  <si>
    <t>Inv #0025997</t>
  </si>
  <si>
    <t>2025N Carpet deep clean Heavy grease removal Buffer Heavy deodorizer</t>
  </si>
  <si>
    <t>Inv #0026222</t>
  </si>
  <si>
    <t>3061 Full paint 200$ Cabinets full paint 280$</t>
  </si>
  <si>
    <t>Inv #0026006</t>
  </si>
  <si>
    <t>2-2020 Carpet deep clean Heavy grease removal Buffer Pet treatment</t>
  </si>
  <si>
    <t>Inv #0025981</t>
  </si>
  <si>
    <t>Unit - 1063N Full paint 200$ Cabinets full paint 280$ Ceilings full paint 200$ Primer 60$</t>
  </si>
  <si>
    <t>Inv #0025892</t>
  </si>
  <si>
    <t>Unit - 1 1103 Carpet pad relay Carpet repairs, carpet clean</t>
  </si>
  <si>
    <t>Inv #0025844</t>
  </si>
  <si>
    <t>256S Full clean 2 bd</t>
  </si>
  <si>
    <t>433S Full clean 2 bd</t>
  </si>
  <si>
    <t>2086 Full clean 2 bd</t>
  </si>
  <si>
    <t>Inv #0025676</t>
  </si>
  <si>
    <t>433S Full paint townhome 2 bd 250$ Cabinets full paint 300$</t>
  </si>
  <si>
    <t>Inv #0025697</t>
  </si>
  <si>
    <t>2-1032 Tub and tile resurfacing</t>
  </si>
  <si>
    <t>433S Tub and tile resurfacing</t>
  </si>
  <si>
    <t>Inv #0025983</t>
  </si>
  <si>
    <t>1-0301 Full paint 2 bedrooms 250$ Ceilings full paint 200$ Cabinets full paint 300$ Killz 25$</t>
  </si>
  <si>
    <t>Inv #0025727</t>
  </si>
  <si>
    <t>3061N Tub and tile resurfacing</t>
  </si>
  <si>
    <t>Inv #0025691</t>
  </si>
  <si>
    <t>2086N Full paint 2 bd 250$ Ceilings full paint 200$ Cabinets full paint 300$</t>
  </si>
  <si>
    <t>Killz + repais 65$</t>
  </si>
  <si>
    <t>Inv #0025678</t>
  </si>
  <si>
    <t>- 2070N Small repairs + killz</t>
  </si>
  <si>
    <t>Inv #0026007</t>
  </si>
  <si>
    <t>2-2070 Carpet deep clean Heavy grease removal Buffer Stains removal Heavy deodorizer</t>
  </si>
  <si>
    <t>Payment #ACH 05.12.26</t>
  </si>
  <si>
    <t>Payment #ACH 05.04.26</t>
  </si>
  <si>
    <t>Payment #ACH 05.11.26</t>
  </si>
  <si>
    <t>Payment #ACH 05.14.26</t>
  </si>
  <si>
    <t>Payment #ACH 05.07.26</t>
  </si>
  <si>
    <t>Payment #1107</t>
  </si>
  <si>
    <t>Inv #3088180</t>
  </si>
  <si>
    <t>Cal-Shock Granular Chlorine Shock - 100 lb.</t>
  </si>
  <si>
    <t>Inv #0026156</t>
  </si>
  <si>
    <t>2-2058 Tub and tile resurfacing</t>
  </si>
  <si>
    <t>2060N Tub and tile resurfacing</t>
  </si>
  <si>
    <t>Inv #0025868</t>
  </si>
  <si>
    <t>2-1065 2 tub resurfacing</t>
  </si>
  <si>
    <t>1063N Tub and tile resurfacing large 270$ Kitchen countertops and extra bar 125$ Bathroom countertop large 70$</t>
  </si>
  <si>
    <t>Inv #0025898</t>
  </si>
  <si>
    <t>1006N Carpet pad relay 3 areas Carpet repairs</t>
  </si>
  <si>
    <t>Inv #0025903</t>
  </si>
  <si>
    <t>1-1103 Tub and tile resurfacing 260$</t>
  </si>
  <si>
    <t>1-1103 full paint</t>
  </si>
  <si>
    <t>Inv #0026059</t>
  </si>
  <si>
    <t>1-0301 Carpet deep clean Extra heavy grease removal Buffer Heavy stains removal Heavy deodorizer</t>
  </si>
  <si>
    <t>Inv #0026056</t>
  </si>
  <si>
    <t>2097N Carpet deep clean Heavy grease removal Buffer Stains removal Heavy deodorizer</t>
  </si>
  <si>
    <t>Inv #0025976</t>
  </si>
  <si>
    <t>2-2042 Full paint 200$ Ceilings full paint 200$ Cabinets full paint 280$</t>
  </si>
  <si>
    <t>2-2042 Sheetrock repairs + mass and texture repairs</t>
  </si>
  <si>
    <t>Inv #0025958</t>
  </si>
  <si>
    <t>2-0501 Tub and tile resurfacing</t>
  </si>
  <si>
    <t>Inv #0025949</t>
  </si>
  <si>
    <t>2-0301 2 tub and 2 tile resurfacing</t>
  </si>
  <si>
    <t>2-2042 Tub and tile resurfacing</t>
  </si>
  <si>
    <t>Check #1111</t>
  </si>
  <si>
    <t>Check #1110</t>
  </si>
  <si>
    <t>Check #1109</t>
  </si>
  <si>
    <t>Check #1108</t>
  </si>
  <si>
    <t>Inv #0026180</t>
  </si>
  <si>
    <t>2 2045 Full paint 200$ Ceilings full paint 200$ Cabinets full paint 280$</t>
  </si>
  <si>
    <t>Inv #0026179</t>
  </si>
  <si>
    <t>2060N Full paint color change 300$ Ceilings full paint 200$ Cabinets full paint 280$ Killz 25$</t>
  </si>
  <si>
    <t>Inv #0026178</t>
  </si>
  <si>
    <t>2-2058 Full paint 200$ Ceilings full paint 200$ Cabinets full paint 280$ Killz 25$</t>
  </si>
  <si>
    <t>Inv #0026162</t>
  </si>
  <si>
    <t>2-2045 Kitchen countertops and bar 125$ Bathroom countertop 60$ Tub and tile resurfacing 260$</t>
  </si>
  <si>
    <t>2001: Accounts Payable:</t>
  </si>
  <si>
    <t>GL Account: 2002: Accounts Payable - Other</t>
  </si>
  <si>
    <t>2002</t>
  </si>
  <si>
    <t>JE #243836 - AVAAJE1231</t>
  </si>
  <si>
    <t>General Journal Entry Reversal</t>
  </si>
  <si>
    <t>To reclass payroll</t>
  </si>
  <si>
    <t>To reclass items unpaid at 12/31</t>
  </si>
  <si>
    <t>JE #243837 - AVAAJE1231</t>
  </si>
  <si>
    <t>Accrue Electric 7308</t>
  </si>
  <si>
    <t>Accrue Water 7315</t>
  </si>
  <si>
    <t>JE #250740 - To record PPE 01.09.2026 PD 01.16.2026</t>
  </si>
  <si>
    <t>General Journal Entry</t>
  </si>
  <si>
    <t>Net Pay/Direct Deposit</t>
  </si>
  <si>
    <t>Net Pay/Live Checks</t>
  </si>
  <si>
    <t>Tax Cash Transfer</t>
  </si>
  <si>
    <t>GL Cash Account - Taxes</t>
  </si>
  <si>
    <t>JE #250820 - To record PPE 01.09.2026 PD 01.21.2026</t>
  </si>
  <si>
    <t>JE #248395 - Payroll</t>
  </si>
  <si>
    <t>Payroll 1.16</t>
  </si>
  <si>
    <t>Payroll 1.29</t>
  </si>
  <si>
    <t>Payroll</t>
  </si>
  <si>
    <t>JE #248399 - AVAJE0131</t>
  </si>
  <si>
    <t>JE #247618 - AVAJE0131</t>
  </si>
  <si>
    <t>Accruals - Jan26</t>
  </si>
  <si>
    <t>JE #248609 - AVAJE0131</t>
  </si>
  <si>
    <t>record prior management bank rec</t>
  </si>
  <si>
    <t>JE #248611 - AVAAJE0131</t>
  </si>
  <si>
    <t>CAF property mgmt fee 2.75% Jan</t>
  </si>
  <si>
    <t>CAF compliance mgmt fee $2.25 per unit Jan</t>
  </si>
  <si>
    <t>Mgmt Fee 1% Jan</t>
  </si>
  <si>
    <t>JE #248396 - Payroll</t>
  </si>
  <si>
    <t>JE #264680 - AVA0201</t>
  </si>
  <si>
    <t>TRS Management Expense</t>
  </si>
  <si>
    <t>JE #246687 - AVAAJE0131</t>
  </si>
  <si>
    <t>Refund in transit</t>
  </si>
  <si>
    <t>JE #246690 - AVAAJE0131</t>
  </si>
  <si>
    <t>JE #249871 - AVAJE0218</t>
  </si>
  <si>
    <t>mgt fee Jan26 AVA</t>
  </si>
  <si>
    <t>JE #252469 - AVAJE0223</t>
  </si>
  <si>
    <t>Operating funds from IPS prior mgmt</t>
  </si>
  <si>
    <t>JE #253581 - AVAJE0201</t>
  </si>
  <si>
    <t>HFC Fee Accrual - Feb26</t>
  </si>
  <si>
    <t>JE #253784 - AVAJE0201</t>
  </si>
  <si>
    <t>Reverse gas accrual</t>
  </si>
  <si>
    <t>JE #253785 - AVAJE0201</t>
  </si>
  <si>
    <t>Accruals - Feb26</t>
  </si>
  <si>
    <t>JE #254297 - AVAJE0201</t>
  </si>
  <si>
    <t>JE #254594 - AVAJE0201</t>
  </si>
  <si>
    <t>Water Reimbursement accrual</t>
  </si>
  <si>
    <t>JE #258344 - 03/01/2026 Accrual</t>
  </si>
  <si>
    <t>V-01565 - Apartment Ratings PO #333443 AVA VRP</t>
  </si>
  <si>
    <t>V-10405 - Arizona Air-Scent Inc. PO #333449 Arizona aircent for offices, gyms, models, and clubhouse</t>
  </si>
  <si>
    <t>582507 - Rentable PO #333451 Google Business AI</t>
  </si>
  <si>
    <t>Massey Services, Inc PO #333464 Apt/Condo Pest Prevention</t>
  </si>
  <si>
    <t>590275 - JT Plumbing Solutions PO #334457 building 17 backing up entire building</t>
  </si>
  <si>
    <t>590275 - JT Plumbing Solutions PO #334458 bldg 8 boiler is not turning on</t>
  </si>
  <si>
    <t>V-10681 - Aplus Carpet Cleaning and Services PO #334560 building 8 boiler down will not turn on</t>
  </si>
  <si>
    <t>590275 - JT Plumbing Solutions PO #335357 1085N broken pipe</t>
  </si>
  <si>
    <t>V-10681 - Aplus Carpet Cleaning and Services PO #335598 2-2053 Bedroom ceiling demolition Bedroom ceiling sheetrock install + isolation Mass and texture</t>
  </si>
  <si>
    <t>V-10638 - RC Housekeeping Services PO #336138 2-2076 2x2 Touch Up</t>
  </si>
  <si>
    <t>V-10681 - Aplus Carpet Cleaning and Services PO #336168 1-1106 Carpet pad relay Carpet repairs, Carpet clean</t>
  </si>
  <si>
    <t>V-10681 - Aplus Carpet Cleaning and Services PO #336169 2 2022 Carpet deep clean Heavy grease removal Buffer Heavy deodorizer,  Carpet repairs</t>
  </si>
  <si>
    <t>V-10638 - RC Housekeeping Services PO #336171 2-2022 2x2 Touch Up</t>
  </si>
  <si>
    <t>V-00872 - Chadwell Supply, Inc. PO #336591 item# ZZ-Hbq220 pool pump motor</t>
  </si>
  <si>
    <t>590275 - JT Plumbing Solutions PO #336610 back flow inspecton</t>
  </si>
  <si>
    <t>590275 - JT Plumbing Solutions PO #336906 phase 2 building 10 2-1016 underground leak</t>
  </si>
  <si>
    <t>590275 - JT Plumbing Solutions PO #337133 Underground Leak Phase 2 pool</t>
  </si>
  <si>
    <t>V-10681 - Aplus Carpet Cleaning and Services PO #337287 2054N Emergency water extraction Heavy trash removal Antimicrobial treatment, Carpet clean</t>
  </si>
  <si>
    <t>JE #258356 - 03/01/2026 Accrual</t>
  </si>
  <si>
    <t>V-10681 - Aplus Carpet Cleaning and Services PO #337479 1103N Carpet deep clean Heavy grease reoval Buffer Heavy deodorizer, stretch, carpet repair</t>
  </si>
  <si>
    <t>JE #258386 - 03/01/2026 Accrual</t>
  </si>
  <si>
    <t>V-10084 - Redi Carpet - Dallas, Texas PO #337599 119S carpet replacement</t>
  </si>
  <si>
    <t>JE #253786 - AVAJE0201</t>
  </si>
  <si>
    <t>JE #254595 - AVAJE0201</t>
  </si>
  <si>
    <t>JE #264681 - AVA0301</t>
  </si>
  <si>
    <t>JE #253218 - AVAAJE0131</t>
  </si>
  <si>
    <t>CAF property mgmt fee 2.75% Feb</t>
  </si>
  <si>
    <t>CAF compliance mgmt fee $2.25 per unit Feb</t>
  </si>
  <si>
    <t>Mgmt Fee 1% Feb - Due to not CAF</t>
  </si>
  <si>
    <t>JE #254738 - AVAJE0312</t>
  </si>
  <si>
    <t>mgt fee Feb26 AVA</t>
  </si>
  <si>
    <t>JE #255513 - AVAJE0301</t>
  </si>
  <si>
    <t>HFC Fee Accrual - March26</t>
  </si>
  <si>
    <t>JE #256064 - AVAJE0326</t>
  </si>
  <si>
    <t>mgt fee Mar26</t>
  </si>
  <si>
    <t>JE #256105 - AVAJE0301</t>
  </si>
  <si>
    <t>Gas accrual reversal - Jan26</t>
  </si>
  <si>
    <t>JE #257452 - AVAAJE0331</t>
  </si>
  <si>
    <t>CAF property mgmt fee 2.75% March</t>
  </si>
  <si>
    <t>JE #258151 - Worker Comp</t>
  </si>
  <si>
    <t>Worker Comp Mar Accrual</t>
  </si>
  <si>
    <t>JE #258324 - AVAJE0301</t>
  </si>
  <si>
    <t>Reversal of permant accruals</t>
  </si>
  <si>
    <t>JE #258325 - AVAJE0301</t>
  </si>
  <si>
    <t>Accruals - Mar26</t>
  </si>
  <si>
    <t>JE #258152 - Worker Comp</t>
  </si>
  <si>
    <t>JE #258326 - AVAJE0301</t>
  </si>
  <si>
    <t>JE #258345 - 03/01/2026 Accrual</t>
  </si>
  <si>
    <t>JE #258357 - 03/01/2026 Accrual</t>
  </si>
  <si>
    <t>JE #258387 - 03/01/2026 Accrual</t>
  </si>
  <si>
    <t>JE #264683 - AVA0401</t>
  </si>
  <si>
    <t>JE #260560 - AVAJE0416</t>
  </si>
  <si>
    <t>JE #260863 - AVAJE0401</t>
  </si>
  <si>
    <t>HFC Fee Accrual - April 26</t>
  </si>
  <si>
    <t>JE #263295 - 04/01/2026 Accrual</t>
  </si>
  <si>
    <t>PO Accruals April 26</t>
  </si>
  <si>
    <t>JE #263390 - Worker Comp</t>
  </si>
  <si>
    <t>Worker Comp April Accrual</t>
  </si>
  <si>
    <t>JE #263291 - 04/01/2026 Accrual</t>
  </si>
  <si>
    <t>JE #263731 - 04/01/2026 Accrual</t>
  </si>
  <si>
    <t>V-10681 - Aplus Carpet Cleaning and Services PO #342736 1-0510 Tub and tile resurfacing</t>
  </si>
  <si>
    <t>V-10681 - Aplus Carpet Cleaning and Services PO #342985 1-0310 Carpet deep clean Heavy grease removal Buffer Heavy deodorizer</t>
  </si>
  <si>
    <t>JE #264324 - AVAJE0401</t>
  </si>
  <si>
    <t>Trash Reimbursement accrual</t>
  </si>
  <si>
    <t>Electric Reimbursement</t>
  </si>
  <si>
    <t>JE #263187 - AVAJE0401</t>
  </si>
  <si>
    <t>Accruals - April 26</t>
  </si>
  <si>
    <t>JE #263301 - AVAAJE0430</t>
  </si>
  <si>
    <t>JE #263188 - AVAJE0401</t>
  </si>
  <si>
    <t>JE #263292 - 04/01/2026 Accrual</t>
  </si>
  <si>
    <t>JE #263296 - 04/01/2026 Accrual</t>
  </si>
  <si>
    <t>JE #263732 - 04/01/2026 Accrual</t>
  </si>
  <si>
    <t>JE #264325 - AVAJE0401</t>
  </si>
  <si>
    <t>JE #265675 - AVAJE0506</t>
  </si>
  <si>
    <t>ITF AVA APARTMEN  - AVIDPAY  REF*CK*1062*260416*CoreLogic SafeRent Inc\207332861\168729587\208754118 CK1062</t>
  </si>
  <si>
    <t>JE #265676 - AVAJE0507</t>
  </si>
  <si>
    <t>mgt fee Apr26 AVA</t>
  </si>
  <si>
    <t>JE #266230 - AVAJE0519</t>
  </si>
  <si>
    <t>return mgt fee AVA Apr26</t>
  </si>
  <si>
    <t>2002: Accounts Payable - Other:</t>
  </si>
  <si>
    <t>Total:</t>
  </si>
  <si>
    <t>Investors' Property Services</t>
  </si>
  <si>
    <t>12/14/2025 - Accrual - Accounting Book: Default - Tree: Default</t>
  </si>
  <si>
    <t>Printed 4/13/2026 11:13:05 AM</t>
  </si>
  <si>
    <t/>
  </si>
  <si>
    <t>YTD Actual</t>
  </si>
  <si>
    <t>ASSETS</t>
  </si>
  <si>
    <t>Bank</t>
  </si>
  <si>
    <t>1100-0005 Undeposited Funds</t>
  </si>
  <si>
    <t>1110-0000 Operating Cash 1</t>
  </si>
  <si>
    <t>1115-0005 Construction Reserve</t>
  </si>
  <si>
    <t>1118-0000 Money Market Account</t>
  </si>
  <si>
    <t>1140-0000 Petty Cash</t>
  </si>
  <si>
    <t>Total Bank</t>
  </si>
  <si>
    <t>1250-0010 Tenant Rent A/R Current</t>
  </si>
  <si>
    <t>1250-0020 Tenant Other A/R Current</t>
  </si>
  <si>
    <t>1250-5100 A/R Non-Tenant</t>
  </si>
  <si>
    <t>1260-0000 Allowance For Doubtful Account</t>
  </si>
  <si>
    <t>Total Accounts Receivable</t>
  </si>
  <si>
    <t>Other Current Asset</t>
  </si>
  <si>
    <t>1120-0000 Escrow Cash RE Tax</t>
  </si>
  <si>
    <t>1125-0000 Escrow Cash Insurance</t>
  </si>
  <si>
    <t>1125-0010 Escrow Initial Debt Service &amp; Oper Exp Rsv Dep</t>
  </si>
  <si>
    <t>1340-0000 Prepaid Insurance</t>
  </si>
  <si>
    <t>1340-0005 Prepaid Other</t>
  </si>
  <si>
    <t>Total Other Current Asset</t>
  </si>
  <si>
    <t>Fixed Asset</t>
  </si>
  <si>
    <t>Property Plant &amp; Equipment</t>
  </si>
  <si>
    <t>1610-0000 Land</t>
  </si>
  <si>
    <t>Buildings</t>
  </si>
  <si>
    <t>1700-0000 Buildings - Other</t>
  </si>
  <si>
    <t>Total Buildings</t>
  </si>
  <si>
    <t>1700-0004 Furniture &amp; Equipment</t>
  </si>
  <si>
    <t>1700-0009 Due Diligence Costs</t>
  </si>
  <si>
    <t>1700-0010 Other Title and Closing Costs</t>
  </si>
  <si>
    <t>1700-0015 HFC Closing and Title Costs</t>
  </si>
  <si>
    <t>Total Property Plant &amp; Equipment</t>
  </si>
  <si>
    <t>Improvements</t>
  </si>
  <si>
    <t>Major Capital Improvement (Rehab)</t>
  </si>
  <si>
    <t>Interior (Rehab)</t>
  </si>
  <si>
    <t>1730-0010 Appliances</t>
  </si>
  <si>
    <t>1730-0660 Mold Remediation</t>
  </si>
  <si>
    <t>Total Interior (Rehab)</t>
  </si>
  <si>
    <t>Exterior &amp; Management (Rehab)</t>
  </si>
  <si>
    <t xml:space="preserve">1740-0008 Foundation/Structural </t>
  </si>
  <si>
    <t>1740-0021 Contractor Services</t>
  </si>
  <si>
    <t>1740-0026 Doors</t>
  </si>
  <si>
    <t>1740-0030 Electrical</t>
  </si>
  <si>
    <t>1740-0040 Exterior Elevations</t>
  </si>
  <si>
    <t>1740-0050 Fire &amp; Life Safety</t>
  </si>
  <si>
    <t>1740-0120 Plumbing</t>
  </si>
  <si>
    <t>1740-0223 GC Interior</t>
  </si>
  <si>
    <t>1740-0224 GC Exterior</t>
  </si>
  <si>
    <t>1740-0300 Project/Construction Supervision</t>
  </si>
  <si>
    <t>Total Exterior &amp; Management (Rehab)</t>
  </si>
  <si>
    <t>Total Major Capital Improvement (Rehab)</t>
  </si>
  <si>
    <t>Major Repairs/Capital (Non-Rehab)</t>
  </si>
  <si>
    <t>1750-0010 Appliance Replacement</t>
  </si>
  <si>
    <t>1750-0013 Parking Lot/Sidewalk</t>
  </si>
  <si>
    <t>1750-0020 Boiler</t>
  </si>
  <si>
    <t>1750-0027 Cabinetry</t>
  </si>
  <si>
    <t>1750-0028 Countertops</t>
  </si>
  <si>
    <t>1750-0030 Carpet/Flooring Replacement</t>
  </si>
  <si>
    <t>1750-0033 Vehicle-Carts</t>
  </si>
  <si>
    <t>1750-0034 Contracted Turnover</t>
  </si>
  <si>
    <t>1750-0035 Counter/Tub/Sink Resurfacing</t>
  </si>
  <si>
    <t>1750-0037 Doors</t>
  </si>
  <si>
    <t>1750-0040 Drape/Blind Replacement</t>
  </si>
  <si>
    <t>1750-0045 Drywall/Ceiling</t>
  </si>
  <si>
    <t>1750-0050 Electrical</t>
  </si>
  <si>
    <t>1750-0055 Exterminator</t>
  </si>
  <si>
    <t>1750-0060 Exterior Building</t>
  </si>
  <si>
    <t>1750-0064 Fence/Gate</t>
  </si>
  <si>
    <t>1750-0066 Fixtures</t>
  </si>
  <si>
    <t>1750-0068 Fire &amp; Life Safety</t>
  </si>
  <si>
    <t>1750-0070 HVAC</t>
  </si>
  <si>
    <t>1750-0072 Furniture</t>
  </si>
  <si>
    <t>1750-0073 Major Landscape</t>
  </si>
  <si>
    <t>1750-0075 Glass/Screens</t>
  </si>
  <si>
    <t>1750-0076 Office Computers</t>
  </si>
  <si>
    <t>1750-0080 Painting</t>
  </si>
  <si>
    <t>1750-0090 Plumbing</t>
  </si>
  <si>
    <t>1750-0095 Pool</t>
  </si>
  <si>
    <t>1750-0100 Roof</t>
  </si>
  <si>
    <t>1750-0110 Signage</t>
  </si>
  <si>
    <t>1750-0111 Parking Lot/Sidewalk</t>
  </si>
  <si>
    <t>1750-0115 Structural</t>
  </si>
  <si>
    <t>1750-0116 Balcony/Patio</t>
  </si>
  <si>
    <t>1750-0117 Tools &amp; Equip</t>
  </si>
  <si>
    <t>1750-0121 Casualty Losses</t>
  </si>
  <si>
    <t>1750-0122 Uninsured Losses</t>
  </si>
  <si>
    <t>1750-0123 Washer/Dryer</t>
  </si>
  <si>
    <t xml:space="preserve">1750-0124 Casualty Losses - Construction </t>
  </si>
  <si>
    <t>1750-0125 Window Replacement</t>
  </si>
  <si>
    <t>1750-0130 Interior Renovation</t>
  </si>
  <si>
    <t>Total Major Repairs/Capital (Non-Rehab)</t>
  </si>
  <si>
    <t>Total Improvements</t>
  </si>
  <si>
    <t>Total Fixed Asset</t>
  </si>
  <si>
    <t>Other Asset</t>
  </si>
  <si>
    <t>Loan Costs</t>
  </si>
  <si>
    <t>1800-0010 Loan Legal Cost</t>
  </si>
  <si>
    <t>1800-0020 Loan Fees</t>
  </si>
  <si>
    <t>1800-0099 Accumulated Amortization-Loan Fees</t>
  </si>
  <si>
    <t>Total Loan Costs</t>
  </si>
  <si>
    <t>Total Other Asset</t>
  </si>
  <si>
    <t>TOTAL ASSETS</t>
  </si>
  <si>
    <t>LIABILITIES AND EQUITY</t>
  </si>
  <si>
    <t>LIABILITIES</t>
  </si>
  <si>
    <t>Other Current Liability</t>
  </si>
  <si>
    <t>2107-0000 IPS Credit Card</t>
  </si>
  <si>
    <t>2200-0000 Accounts Payable</t>
  </si>
  <si>
    <t>2200-0020 Accrued Other</t>
  </si>
  <si>
    <t>2210-0000 Prepaid Rent</t>
  </si>
  <si>
    <t>2250-0000 Tenant Deposits</t>
  </si>
  <si>
    <t>2465-0000 RE Tax Payable</t>
  </si>
  <si>
    <t>Total Other Current Liability</t>
  </si>
  <si>
    <t>Long Term Liability</t>
  </si>
  <si>
    <t>2110-0000 Note 1 Principal</t>
  </si>
  <si>
    <t>Total Long Term Liability</t>
  </si>
  <si>
    <t>TOTAL LIABILITIES</t>
  </si>
  <si>
    <t>EQUITY</t>
  </si>
  <si>
    <t>Net Income</t>
  </si>
  <si>
    <t>3100-0010 Equity Capital</t>
  </si>
  <si>
    <t>3400-0000 Owner Distribution</t>
  </si>
  <si>
    <t>3800-0000 Retained Earnings-Current</t>
  </si>
  <si>
    <t>TOTAL EQUITY</t>
  </si>
  <si>
    <t>TOTAL LIABILITIES AND EQUITY</t>
  </si>
  <si>
    <t>The balance sheet may not balance due to rounding, unlisted general ledger accounts, or the close year process has not been completed.</t>
  </si>
  <si>
    <t>© ResMan, LLC</t>
  </si>
  <si>
    <t>General Ledger</t>
  </si>
  <si>
    <t>1/1/2025 - 12/14/2025 - Accrual - Accounting Book: Default</t>
  </si>
  <si>
    <t>Printed 4/13/2026 11:19:10 AM</t>
  </si>
  <si>
    <t>Property</t>
  </si>
  <si>
    <t>Name</t>
  </si>
  <si>
    <t>Beginning Balance:</t>
  </si>
  <si>
    <t>(686,921.21)</t>
  </si>
  <si>
    <t>Summary - 1/1/2025</t>
  </si>
  <si>
    <t>23 Entries</t>
  </si>
  <si>
    <t xml:space="preserve">1446987 </t>
  </si>
  <si>
    <t>RV - Reclass to prepaid</t>
  </si>
  <si>
    <t>Summary - 1/2/2025</t>
  </si>
  <si>
    <t>1 Entry</t>
  </si>
  <si>
    <t>Summary - 1/3/2025</t>
  </si>
  <si>
    <t>8 Entries</t>
  </si>
  <si>
    <t>Summary - 1/6/2025</t>
  </si>
  <si>
    <t>40 Entries</t>
  </si>
  <si>
    <t>Summary - 1/7/2025</t>
  </si>
  <si>
    <t>18 Entries</t>
  </si>
  <si>
    <t>Summary - 1/9/2025</t>
  </si>
  <si>
    <t>3 Entries</t>
  </si>
  <si>
    <t>Summary - 1/13/2025</t>
  </si>
  <si>
    <t>6 Entries</t>
  </si>
  <si>
    <t>Summary - 1/14/2025</t>
  </si>
  <si>
    <t>17 Entries</t>
  </si>
  <si>
    <t>Summary - 1/15/2025</t>
  </si>
  <si>
    <t>96 Entries</t>
  </si>
  <si>
    <t>Summary - 1/16/2025</t>
  </si>
  <si>
    <t>99 Entries</t>
  </si>
  <si>
    <t>Summary - 1/17/2025</t>
  </si>
  <si>
    <t>164 Entries</t>
  </si>
  <si>
    <t>Summary - 1/20/2025</t>
  </si>
  <si>
    <t>42 Entries</t>
  </si>
  <si>
    <t>Summary - 1/21/2025</t>
  </si>
  <si>
    <t>90 Entries</t>
  </si>
  <si>
    <t>Summary - 1/22/2025</t>
  </si>
  <si>
    <t>119 Entries</t>
  </si>
  <si>
    <t>Summary - 1/23/2025</t>
  </si>
  <si>
    <t>191 Entries</t>
  </si>
  <si>
    <t>Summary - 1/24/2025</t>
  </si>
  <si>
    <t>123 Entries</t>
  </si>
  <si>
    <t>Summary - 1/27/2025</t>
  </si>
  <si>
    <t>4 Entries</t>
  </si>
  <si>
    <t>Summary - 1/28/2025</t>
  </si>
  <si>
    <t>64 Entries</t>
  </si>
  <si>
    <t>Summary - 1/29/2025</t>
  </si>
  <si>
    <t>71 Entries</t>
  </si>
  <si>
    <t>Summary - 1/30/2025</t>
  </si>
  <si>
    <t>34 Entries</t>
  </si>
  <si>
    <t>Summary - 1/31/2025</t>
  </si>
  <si>
    <t>214 Entries</t>
  </si>
  <si>
    <t>Jan 2025 Net Change =</t>
  </si>
  <si>
    <t>Summary - 2/1/2025</t>
  </si>
  <si>
    <t>30 Entries</t>
  </si>
  <si>
    <t>Summary - 2/3/2025</t>
  </si>
  <si>
    <t>36 Entries</t>
  </si>
  <si>
    <t>Summary - 2/4/2025</t>
  </si>
  <si>
    <t>7 Entries</t>
  </si>
  <si>
    <t>Summary - 2/5/2025</t>
  </si>
  <si>
    <t>76 Entries</t>
  </si>
  <si>
    <t>Summary - 2/6/2025</t>
  </si>
  <si>
    <t>Summary - 2/7/2025</t>
  </si>
  <si>
    <t>31 Entries</t>
  </si>
  <si>
    <t>Summary - 2/8/2025</t>
  </si>
  <si>
    <t>Summary - 2/10/2025</t>
  </si>
  <si>
    <t>33 Entries</t>
  </si>
  <si>
    <t>Summary - 2/11/2025</t>
  </si>
  <si>
    <t>Summary - 2/12/2025</t>
  </si>
  <si>
    <t>85 Entries</t>
  </si>
  <si>
    <t>Summary - 2/13/2025</t>
  </si>
  <si>
    <t>Summary - 2/14/2025</t>
  </si>
  <si>
    <t>26 Entries</t>
  </si>
  <si>
    <t>Summary - 2/18/2025</t>
  </si>
  <si>
    <t>24 Entries</t>
  </si>
  <si>
    <t>Summary - 2/19/2025</t>
  </si>
  <si>
    <t>101 Entries</t>
  </si>
  <si>
    <t>Summary - 2/20/2025</t>
  </si>
  <si>
    <t>Summary - 2/21/2025</t>
  </si>
  <si>
    <t>41 Entries</t>
  </si>
  <si>
    <t>Summary - 2/24/2025</t>
  </si>
  <si>
    <t>56 Entries</t>
  </si>
  <si>
    <t>Summary - 2/25/2025</t>
  </si>
  <si>
    <t>97 Entries</t>
  </si>
  <si>
    <t>Summary - 2/26/2025</t>
  </si>
  <si>
    <t>25 Entries</t>
  </si>
  <si>
    <t>Summary - 2/27/2025</t>
  </si>
  <si>
    <t>120690181</t>
  </si>
  <si>
    <t>1-0102 - Benjamin Esono Mikue</t>
  </si>
  <si>
    <t>120722303</t>
  </si>
  <si>
    <t>1-0103 - Samantha Castro</t>
  </si>
  <si>
    <t>121044977</t>
  </si>
  <si>
    <t>1-0812 - Thanathip Angsanunt</t>
  </si>
  <si>
    <t>121231717</t>
  </si>
  <si>
    <t>1-0911 - Jessica Garcia</t>
  </si>
  <si>
    <t>122481829</t>
  </si>
  <si>
    <t>1-1206 - Tanisha Braams</t>
  </si>
  <si>
    <t>123335143</t>
  </si>
  <si>
    <t>2-2060 - Christian Kochan</t>
  </si>
  <si>
    <t>121025795</t>
  </si>
  <si>
    <t>2-2076 - simone alexander</t>
  </si>
  <si>
    <t>Summary - 2/28/2025</t>
  </si>
  <si>
    <t>93 Entries</t>
  </si>
  <si>
    <t>Feb 2025 Net Change =</t>
  </si>
  <si>
    <t>Summary - 3/1/2025</t>
  </si>
  <si>
    <t>Summary - 3/3/2025</t>
  </si>
  <si>
    <t>22 Entries</t>
  </si>
  <si>
    <t>Summary - 3/4/2025</t>
  </si>
  <si>
    <t>19 Entries</t>
  </si>
  <si>
    <t>Summary - 3/5/2025</t>
  </si>
  <si>
    <t>177 Entries</t>
  </si>
  <si>
    <t>Summary - 3/6/2025</t>
  </si>
  <si>
    <t>28 Entries</t>
  </si>
  <si>
    <t>Summary - 3/7/2025</t>
  </si>
  <si>
    <t>47 Entries</t>
  </si>
  <si>
    <t>Summary - 3/10/2025</t>
  </si>
  <si>
    <t>1188</t>
  </si>
  <si>
    <t>Alexis Nott</t>
  </si>
  <si>
    <t>1189</t>
  </si>
  <si>
    <t>Samson Ikhariale</t>
  </si>
  <si>
    <t>Summary - 3/11/2025</t>
  </si>
  <si>
    <t>137 Entries</t>
  </si>
  <si>
    <t>Summary - 3/12/2025</t>
  </si>
  <si>
    <t>Summary - 3/13/2025</t>
  </si>
  <si>
    <t>11 Entries</t>
  </si>
  <si>
    <t>Summary - 3/14/2025</t>
  </si>
  <si>
    <t>Summary - 3/17/2025</t>
  </si>
  <si>
    <t>Summary - 3/18/2025</t>
  </si>
  <si>
    <t>9 Entries</t>
  </si>
  <si>
    <t>Summary - 3/19/2025</t>
  </si>
  <si>
    <t>10 Entries</t>
  </si>
  <si>
    <t>Summary - 3/20/2025</t>
  </si>
  <si>
    <t>xfer to unit 2-2046</t>
  </si>
  <si>
    <t>Yulisa Avila, Orlin Hernandez</t>
  </si>
  <si>
    <t>Summary - 3/23/2025</t>
  </si>
  <si>
    <t>16 Entries</t>
  </si>
  <si>
    <t>Summary - 3/24/2025</t>
  </si>
  <si>
    <t>Summary - 3/26/2025</t>
  </si>
  <si>
    <t>Summary - 3/27/2025</t>
  </si>
  <si>
    <t>Summary - 3/28/2025</t>
  </si>
  <si>
    <t>Summary - 3/31/2025</t>
  </si>
  <si>
    <t>513 Entries</t>
  </si>
  <si>
    <t>Mar 2025 Net Change =</t>
  </si>
  <si>
    <t>Summary - 4/1/2025</t>
  </si>
  <si>
    <t>173 Entries</t>
  </si>
  <si>
    <t>Summary - 4/2/2025</t>
  </si>
  <si>
    <t>15 Entries</t>
  </si>
  <si>
    <t>Summary - 4/3/2025</t>
  </si>
  <si>
    <t>170 Entries</t>
  </si>
  <si>
    <t>Summary - 4/4/2025</t>
  </si>
  <si>
    <t>45 Entries</t>
  </si>
  <si>
    <t>Summary - 4/7/2025</t>
  </si>
  <si>
    <t>Summary - 4/8/2025</t>
  </si>
  <si>
    <t>195 Entries</t>
  </si>
  <si>
    <t>Summary - 4/9/2025</t>
  </si>
  <si>
    <t>Summary - 4/10/2025</t>
  </si>
  <si>
    <t>Summary - 4/11/2025</t>
  </si>
  <si>
    <t>55 Entries</t>
  </si>
  <si>
    <t>Summary - 4/14/2025</t>
  </si>
  <si>
    <t>118 Entries</t>
  </si>
  <si>
    <t>Summary - 4/15/2025</t>
  </si>
  <si>
    <t>Summary - 4/16/2025</t>
  </si>
  <si>
    <t>Summary - 4/17/2025</t>
  </si>
  <si>
    <t>38 Entries</t>
  </si>
  <si>
    <t>Summary - 4/18/2025</t>
  </si>
  <si>
    <t>Summary - 4/22/2025</t>
  </si>
  <si>
    <t>Summary - 4/23/2025</t>
  </si>
  <si>
    <t>51 Entries</t>
  </si>
  <si>
    <t>Summary - 4/24/2025</t>
  </si>
  <si>
    <t>5 Entries</t>
  </si>
  <si>
    <t>Summary - 4/25/2025</t>
  </si>
  <si>
    <t>52 Entries</t>
  </si>
  <si>
    <t>Summary - 4/29/2025</t>
  </si>
  <si>
    <t>Summary - 4/30/2025</t>
  </si>
  <si>
    <t>156 Entries</t>
  </si>
  <si>
    <t>Apr 2025 Net Change =</t>
  </si>
  <si>
    <t>Summary - 5/1/2025</t>
  </si>
  <si>
    <t>50 Entries</t>
  </si>
  <si>
    <t>Summary - 5/2/2025</t>
  </si>
  <si>
    <t>Summary - 5/5/2025</t>
  </si>
  <si>
    <t>Summary - 5/6/2025</t>
  </si>
  <si>
    <t>Summary - 5/7/2025</t>
  </si>
  <si>
    <t>Summary - 5/8/2025</t>
  </si>
  <si>
    <t>27 Entries</t>
  </si>
  <si>
    <t>Summary - 5/9/2025</t>
  </si>
  <si>
    <t>Summary - 5/12/2025</t>
  </si>
  <si>
    <t>20 Entries</t>
  </si>
  <si>
    <t>Summary - 5/13/2025</t>
  </si>
  <si>
    <t>39 Entries</t>
  </si>
  <si>
    <t>Summary - 5/14/2025</t>
  </si>
  <si>
    <t>324 Entries</t>
  </si>
  <si>
    <t>Summary - 5/15/2025</t>
  </si>
  <si>
    <t>2 Entries</t>
  </si>
  <si>
    <t>Summary - 5/16/2025</t>
  </si>
  <si>
    <t>Summary - 5/18/2025</t>
  </si>
  <si>
    <t>Summary - 5/19/2025</t>
  </si>
  <si>
    <t>Summary - 5/20/2025</t>
  </si>
  <si>
    <t>Summary - 5/21/2025</t>
  </si>
  <si>
    <t>132 Entries</t>
  </si>
  <si>
    <t>Summary - 5/22/2025</t>
  </si>
  <si>
    <t>43 Entries</t>
  </si>
  <si>
    <t>Summary - 5/23/2025</t>
  </si>
  <si>
    <t>Summary - 5/27/2025</t>
  </si>
  <si>
    <t>Summary - 5/28/2025</t>
  </si>
  <si>
    <t>Summary - 5/29/2025</t>
  </si>
  <si>
    <t>Summary - 5/30/2025</t>
  </si>
  <si>
    <t>Summary - 5/31/2025</t>
  </si>
  <si>
    <t>149 Entries</t>
  </si>
  <si>
    <t>May 2025 Net Change =</t>
  </si>
  <si>
    <t>Summary - 6/1/2025</t>
  </si>
  <si>
    <t>Summary - 6/2/2025</t>
  </si>
  <si>
    <t>Summary - 6/3/2025</t>
  </si>
  <si>
    <t>Summary - 6/4/2025</t>
  </si>
  <si>
    <t>Summary - 6/5/2025</t>
  </si>
  <si>
    <t>12 Entries</t>
  </si>
  <si>
    <t>Summary - 6/6/2025</t>
  </si>
  <si>
    <t>75 Entries</t>
  </si>
  <si>
    <t>Summary - 6/9/2025</t>
  </si>
  <si>
    <t>58 Entries</t>
  </si>
  <si>
    <t>Summary - 6/10/2025</t>
  </si>
  <si>
    <t>Summary - 6/11/2025</t>
  </si>
  <si>
    <t>Summary - 6/12/2025</t>
  </si>
  <si>
    <t>62 Entries</t>
  </si>
  <si>
    <t>Summary - 6/13/2025</t>
  </si>
  <si>
    <t>Summary - 6/16/2025</t>
  </si>
  <si>
    <t>Summary - 6/17/2025</t>
  </si>
  <si>
    <t>63 Entries</t>
  </si>
  <si>
    <t>Summary - 6/19/2025</t>
  </si>
  <si>
    <t>465 Entries</t>
  </si>
  <si>
    <t>Summary - 6/20/2025</t>
  </si>
  <si>
    <t>Summary - 6/23/2025</t>
  </si>
  <si>
    <t>Summary - 6/24/2025</t>
  </si>
  <si>
    <t>554 Entries</t>
  </si>
  <si>
    <t>Summary - 6/25/2025</t>
  </si>
  <si>
    <t>81 Entries</t>
  </si>
  <si>
    <t>Summary - 6/26/2025</t>
  </si>
  <si>
    <t>Summary - 6/27/2025</t>
  </si>
  <si>
    <t>Summary - 6/29/2025</t>
  </si>
  <si>
    <t>Summary - 6/30/2025</t>
  </si>
  <si>
    <t>115 Entries</t>
  </si>
  <si>
    <t>Jun 2025 Net Change =</t>
  </si>
  <si>
    <t>Summary - 7/1/2025</t>
  </si>
  <si>
    <t>5552</t>
  </si>
  <si>
    <t>Nicolas Williams</t>
  </si>
  <si>
    <t>R-5552</t>
  </si>
  <si>
    <t xml:space="preserve">Reversed </t>
  </si>
  <si>
    <t>Summary - 7/2/2025</t>
  </si>
  <si>
    <t>Summary - 7/3/2025</t>
  </si>
  <si>
    <t>Summary - 7/7/2025</t>
  </si>
  <si>
    <t>89 Entries</t>
  </si>
  <si>
    <t>Summary - 7/8/2025</t>
  </si>
  <si>
    <t>Summary - 7/9/2025</t>
  </si>
  <si>
    <t>Summary - 7/10/2025</t>
  </si>
  <si>
    <t>35 Entries</t>
  </si>
  <si>
    <t>5559</t>
  </si>
  <si>
    <t>Dominique Tall</t>
  </si>
  <si>
    <t>Summary - 7/14/2025</t>
  </si>
  <si>
    <t>Summary - 7/15/2025</t>
  </si>
  <si>
    <t>13 Entries</t>
  </si>
  <si>
    <t>Summary - 7/16/2025</t>
  </si>
  <si>
    <t>74 Entries</t>
  </si>
  <si>
    <t>Summary - 7/17/2025</t>
  </si>
  <si>
    <t>Summary - 7/18/2025</t>
  </si>
  <si>
    <t>98 Entries</t>
  </si>
  <si>
    <t>Summary - 7/21/2025</t>
  </si>
  <si>
    <t>Summary - 7/22/2025</t>
  </si>
  <si>
    <t>Summary - 7/23/2025</t>
  </si>
  <si>
    <t>67 Entries</t>
  </si>
  <si>
    <t>Summary - 7/24/2025</t>
  </si>
  <si>
    <t>Summary - 7/25/2025</t>
  </si>
  <si>
    <t>Summary - 7/28/2025</t>
  </si>
  <si>
    <t>29 Entries</t>
  </si>
  <si>
    <t>Summary - 7/29/2025</t>
  </si>
  <si>
    <t>Summary - 7/30/2025</t>
  </si>
  <si>
    <t>Summary - 7/31/2025</t>
  </si>
  <si>
    <t>108 Entries</t>
  </si>
  <si>
    <t>Jul 2025 Net Change =</t>
  </si>
  <si>
    <t>Summary - 8/1/2025</t>
  </si>
  <si>
    <t>Summary - 8/4/2025</t>
  </si>
  <si>
    <t>Summary - 8/5/2025</t>
  </si>
  <si>
    <t>Summary - 8/6/2025</t>
  </si>
  <si>
    <t>252 Entries</t>
  </si>
  <si>
    <t>Summary - 8/7/2025</t>
  </si>
  <si>
    <t>Summary - 8/8/2025</t>
  </si>
  <si>
    <t>Summary - 8/11/2025</t>
  </si>
  <si>
    <t>Summary - 8/12/2025</t>
  </si>
  <si>
    <t>Summary - 8/13/2025</t>
  </si>
  <si>
    <t>Summary - 8/14/2025</t>
  </si>
  <si>
    <t>Summary - 8/15/2025</t>
  </si>
  <si>
    <t>1253</t>
  </si>
  <si>
    <t>Samson Bahta</t>
  </si>
  <si>
    <t>Summary - 8/18/2025</t>
  </si>
  <si>
    <t>60 Entries</t>
  </si>
  <si>
    <t>Summary - 8/19/2025</t>
  </si>
  <si>
    <t>Summary - 8/21/2025</t>
  </si>
  <si>
    <t>116 Entries</t>
  </si>
  <si>
    <t>129144406</t>
  </si>
  <si>
    <t>2-1053 - Nathalie Rodriguez</t>
  </si>
  <si>
    <t>Summary - 8/22/2025</t>
  </si>
  <si>
    <t>14 Entries</t>
  </si>
  <si>
    <t>Summary - 8/24/2025</t>
  </si>
  <si>
    <t>1254</t>
  </si>
  <si>
    <t>David Benbourked</t>
  </si>
  <si>
    <t>1255</t>
  </si>
  <si>
    <t>Omar Barbosa, Cindy Us Tec</t>
  </si>
  <si>
    <t>Summary - 8/25/2025</t>
  </si>
  <si>
    <t>xfer to 1-1201</t>
  </si>
  <si>
    <t>Waldina Gomez, Karen Yulissa Gomez</t>
  </si>
  <si>
    <t>Summary - 8/26/2025</t>
  </si>
  <si>
    <t>69 Entries</t>
  </si>
  <si>
    <t>Summary - 8/27/2025</t>
  </si>
  <si>
    <t>53 Entries</t>
  </si>
  <si>
    <t>Summary - 8/28/2025</t>
  </si>
  <si>
    <t>Summary - 8/29/2025</t>
  </si>
  <si>
    <t>148 Entries</t>
  </si>
  <si>
    <t>Summary - 8/31/2025</t>
  </si>
  <si>
    <t>80 Entries</t>
  </si>
  <si>
    <t>Aug 2025 Net Change =</t>
  </si>
  <si>
    <t>Summary - 9/1/2025</t>
  </si>
  <si>
    <t>Summary - 9/2/2025</t>
  </si>
  <si>
    <t>5616</t>
  </si>
  <si>
    <t>Amina Baker</t>
  </si>
  <si>
    <t>5618</t>
  </si>
  <si>
    <t>Apolinario III Dungca</t>
  </si>
  <si>
    <t>5617</t>
  </si>
  <si>
    <t>Jose Luis Alcocer</t>
  </si>
  <si>
    <t>Summary - 9/3/2025</t>
  </si>
  <si>
    <t>5620</t>
  </si>
  <si>
    <t>Alex Lopez</t>
  </si>
  <si>
    <t>Summary - 9/4/2025</t>
  </si>
  <si>
    <t>Summary - 9/7/2025</t>
  </si>
  <si>
    <t>Summary - 9/8/2025</t>
  </si>
  <si>
    <t>Summary - 9/9/2025</t>
  </si>
  <si>
    <t>215 Entries</t>
  </si>
  <si>
    <t>Summary - 9/10/2025</t>
  </si>
  <si>
    <t>Summary - 9/11/2025</t>
  </si>
  <si>
    <t>Summary - 9/12/2025</t>
  </si>
  <si>
    <t>44 Entries</t>
  </si>
  <si>
    <t>5633</t>
  </si>
  <si>
    <t>Jertorrius Glenn</t>
  </si>
  <si>
    <t>Summary - 9/15/2025</t>
  </si>
  <si>
    <t>Summary - 9/16/2025</t>
  </si>
  <si>
    <t>Summary - 9/17/2025</t>
  </si>
  <si>
    <t>77 Entries</t>
  </si>
  <si>
    <t>Summary - 9/18/2025</t>
  </si>
  <si>
    <t>452 Entries</t>
  </si>
  <si>
    <t>Summary - 9/19/2025</t>
  </si>
  <si>
    <t>Summary - 9/22/2025</t>
  </si>
  <si>
    <t>Summary - 9/23/2025</t>
  </si>
  <si>
    <t>146 Entries</t>
  </si>
  <si>
    <t>Summary - 9/24/2025</t>
  </si>
  <si>
    <t>Summary - 9/25/2025</t>
  </si>
  <si>
    <t>Summary - 9/26/2025</t>
  </si>
  <si>
    <t>Summary - 9/30/2025</t>
  </si>
  <si>
    <t>Sep 2025 Net Change =</t>
  </si>
  <si>
    <t>Summary - 10/1/2025</t>
  </si>
  <si>
    <t>Summary - 10/2/2025</t>
  </si>
  <si>
    <t>Summary - 10/3/2025</t>
  </si>
  <si>
    <t>Summary - 10/6/2025</t>
  </si>
  <si>
    <t>46 Entries</t>
  </si>
  <si>
    <t>Summary - 10/7/2025</t>
  </si>
  <si>
    <t>362 Entries</t>
  </si>
  <si>
    <t>Summary - 10/10/2025</t>
  </si>
  <si>
    <t>Summary - 10/13/2025</t>
  </si>
  <si>
    <t>Summary - 10/14/2025</t>
  </si>
  <si>
    <t>136 Entries</t>
  </si>
  <si>
    <t>Summary - 10/15/2025</t>
  </si>
  <si>
    <t>66 Entries</t>
  </si>
  <si>
    <t>Summary - 10/16/2025</t>
  </si>
  <si>
    <t>21 Entries</t>
  </si>
  <si>
    <t>Summary - 10/17/2025</t>
  </si>
  <si>
    <t>Summary - 10/20/2025</t>
  </si>
  <si>
    <t>Summary - 10/21/2025</t>
  </si>
  <si>
    <t>Summary - 10/22/2025</t>
  </si>
  <si>
    <t>Summary - 10/23/2025</t>
  </si>
  <si>
    <t>128 Entries</t>
  </si>
  <si>
    <t>Summary - 10/30/2025</t>
  </si>
  <si>
    <t>Summary - 10/31/2025</t>
  </si>
  <si>
    <t>218 Entries</t>
  </si>
  <si>
    <t>Oct 2025 Net Change =</t>
  </si>
  <si>
    <t>Summary - 11/1/2025</t>
  </si>
  <si>
    <t>Summary - 11/3/2025</t>
  </si>
  <si>
    <t>Summary - 11/4/2025</t>
  </si>
  <si>
    <t>Summary - 11/5/2025</t>
  </si>
  <si>
    <t>49 Entries</t>
  </si>
  <si>
    <t>Summary - 11/6/2025</t>
  </si>
  <si>
    <t>Summary - 11/7/2025</t>
  </si>
  <si>
    <t>Summary - 11/10/2025</t>
  </si>
  <si>
    <t>211 Entries</t>
  </si>
  <si>
    <t>Summary - 11/11/2025</t>
  </si>
  <si>
    <t>Summary - 11/12/2025</t>
  </si>
  <si>
    <t>Summary - 11/13/2025</t>
  </si>
  <si>
    <t>Summary - 11/14/2025</t>
  </si>
  <si>
    <t>Summary - 11/17/2025</t>
  </si>
  <si>
    <t>Summary - 11/18/2025</t>
  </si>
  <si>
    <t>Summary - 11/19/2025</t>
  </si>
  <si>
    <t>145 Entries</t>
  </si>
  <si>
    <t>Summary - 11/20/2025</t>
  </si>
  <si>
    <t>Summary - 11/21/2025</t>
  </si>
  <si>
    <t>Summary - 11/24/2025</t>
  </si>
  <si>
    <t>112525</t>
  </si>
  <si>
    <t>Damien Toney, Joshua Gallegos</t>
  </si>
  <si>
    <t>Processed to VISA CREDIT #7029</t>
  </si>
  <si>
    <t>Summary - 11/25/2025</t>
  </si>
  <si>
    <t>Summary - 11/26/2025</t>
  </si>
  <si>
    <t>Summary - 11/28/2025</t>
  </si>
  <si>
    <t>Summary - 11/30/2025</t>
  </si>
  <si>
    <t>Nov 2025 Net Change =</t>
  </si>
  <si>
    <t>Summary - 12/1/2025</t>
  </si>
  <si>
    <t>Summary - 12/2/2025</t>
  </si>
  <si>
    <t>61 Entries</t>
  </si>
  <si>
    <t>Summary - 12/3/2025</t>
  </si>
  <si>
    <t>227 Entries</t>
  </si>
  <si>
    <t>Summary - 12/4/2025</t>
  </si>
  <si>
    <t>Summary - 12/5/2025</t>
  </si>
  <si>
    <t>Summary - 12/8/2025</t>
  </si>
  <si>
    <t>Summary - 12/9/2025</t>
  </si>
  <si>
    <t>Summary - 12/10/2025</t>
  </si>
  <si>
    <t>5757</t>
  </si>
  <si>
    <t>Janet Adeyeye</t>
  </si>
  <si>
    <t>5751</t>
  </si>
  <si>
    <t>Makenzie Greenwood</t>
  </si>
  <si>
    <t>5756</t>
  </si>
  <si>
    <t>5748</t>
  </si>
  <si>
    <t>Nesar Ahmad Azimi</t>
  </si>
  <si>
    <t>5750</t>
  </si>
  <si>
    <t>Zakirullah Akhtari</t>
  </si>
  <si>
    <t>Summary - 12/11/2025</t>
  </si>
  <si>
    <t>92 Entries</t>
  </si>
  <si>
    <t>Summary - 12/12/2025</t>
  </si>
  <si>
    <t>Summary - 12/14/2025</t>
  </si>
  <si>
    <t>Dec 2025 Net Change =</t>
  </si>
  <si>
    <t>Total 2200-0000 Accounts Payable</t>
  </si>
  <si>
    <t>Net Change =</t>
  </si>
  <si>
    <t>CONFIGURATION &amp; ADMIN</t>
  </si>
  <si>
    <t>Next Draw #:</t>
  </si>
  <si>
    <t>Total Draws:</t>
  </si>
  <si>
    <t>BUDGET CATEGORIES</t>
  </si>
  <si>
    <t>REFERENCE LISTS</t>
  </si>
  <si>
    <t>Quarters</t>
  </si>
  <si>
    <t>Months</t>
  </si>
  <si>
    <t>Submitted</t>
  </si>
  <si>
    <t>Rejected</t>
  </si>
  <si>
    <t>Paid</t>
  </si>
  <si>
    <t>September</t>
  </si>
  <si>
    <t>October</t>
  </si>
  <si>
    <t>November</t>
  </si>
  <si>
    <t>December</t>
  </si>
  <si>
    <t>ADMIN CONTROLS</t>
  </si>
  <si>
    <t>WARNING: Reset clears ALL draw data</t>
  </si>
  <si>
    <t xml:space="preserve">  of which: Registered Draws (DRW-001 thru DRW-015, excl. lien)</t>
  </si>
  <si>
    <t>Reconcile DRW-015 (Franchise Tax Pymt 2/3, $58,621.63) in the Reconciliation.</t>
  </si>
  <si>
    <t>Added DRW-015 to Reconciliation ledger as IN TRANSIT (row 44, #31) — approved 08/04/2026, after the 08/03/2026 bank data. Added 'Less: Draws in transit (DRW-015)' adjustment line to Section 5 (row 85) and wired it into Adjusted Bank Balance (E86). Updated header note A2, draws source label E49, and registered-draws label A77 to DRW-015.</t>
  </si>
  <si>
    <t>Ledger E44=VLOOKUP register ($58,621.63), F44 projected running balance $768,088.70, ✅ MATCH, variance $0. Section 3 untouched — still balanced on cleared activity (D57=$0, bank $826,710.33). Section 5: E85=-E44, E86=E83+E84+E85=$768,088.70 = workbook balance D83. Row inserts auto-shifted all downstream refs (Dashboard, models).</t>
  </si>
  <si>
    <t>✅ Reconciled through 08/03/2026 net of in-transit: Section 5 diff $0, A93 '✅ Fully reconciled', Dashboard M22 '✅ Ties (net of uncleared)'. Open item: when next bank report shows DRW-015 cleared, mark ledger row 44 as cleared (actual date) and remove the Section 5 in-transit line.</t>
  </si>
  <si>
    <t>Withdrawal - AVA DRW-015 Franchise Tax (CPM) Pymt 2/3</t>
  </si>
  <si>
    <t>Aug franchise tax pymt 2/3 — cleared bank; confirmed via 08/12/2026 balance</t>
  </si>
  <si>
    <t>Bank Statement Balance (08/12/2026)</t>
  </si>
  <si>
    <t>DRW-001 thru DRW-015 (excl. DRW-006 lien)</t>
  </si>
  <si>
    <t>ROLL-FORWARD — 07/14/2026 STATEMENT TO 08/12/2026 (POST DRW-015)</t>
  </si>
  <si>
    <t xml:space="preserve">  Less: DRW-015 Franchise Tax Pymt. 2/3 — cleared by 08/12/2026</t>
  </si>
  <si>
    <t>Draw_Register DRW-015 — confirmed via bank balance 08/12/2026</t>
  </si>
  <si>
    <t>Balance per Bank (08/12/2026)</t>
  </si>
  <si>
    <t>Ties to ledger running balance F44 and Section 3 bank balance</t>
  </si>
  <si>
    <t>WaFd Bank Account *7940 | Bank Data as of: 08/12/2026 (after DRW-015 franchise tax draw cleared) | All draws DRW-001 thru DRW-015 cleared</t>
  </si>
  <si>
    <t xml:space="preserve">  Less: Draws in transit (none — DRW-015 cleared 08/12/2026)</t>
  </si>
  <si>
    <t xml:space="preserve">  Adjusted Bank Balance (08/12/2026)</t>
  </si>
  <si>
    <t>Bank Balance as of 08/12/2026</t>
  </si>
  <si>
    <t>Bank Balance (as of 08/12/2026)</t>
  </si>
  <si>
    <t>User provided bank balance screenshot ($768,088.70, WaFd *7940) confirming DRW-015 cleared.</t>
  </si>
  <si>
    <t>Marked DRW-015 as CLEARED: ledger row 44 status → ✅ RECONCILED (description/note updated). Section 3: D49 draws formula extended with +E44, bank balance D55 → $768,088.70 (08/12/2026, source note added). Roll-forward extended with DRW-015 line (row 63) and relabeled through 08/12/2026. Section 5 in-transit adjustment zeroed (E85=0, labels updated). Header A2, E49, A93 refreshed. Labels updated on Expense_Projection_Models A3 and Funding_Summary_Models A12.</t>
  </si>
  <si>
    <t>Bank $768,088.70 = prior balance $826,710.33 − DRW-015 $58,621.63 exactly; no new interest posted. Calculated balance D54 = bank D55 = ledger F44 = roll-forward D64 = Section 5 adjusted bank E86 = $768,088.70. No additional bank transactions between 08/03 and 08/12 per balance match.</t>
  </si>
  <si>
    <t>✅ Fully reconciled through 08/12/2026: Section 3 diff $0 BALANCED, Section 5 WB vs Bank $0, Dashboard M22 ✅ Ties, B7/L22 → $768,089. All draws DRW-001 thru DRW-015 cleared. No open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</si>
</sst>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00_);_(\$* \(#,##0.00\);_(\$* \-??_);_(@_)"/>
    <numFmt numFmtId="166" formatCode="mm/dd/yyyy"/>
    <numFmt numFmtId="167" formatCode="&quot;$&quot;#,##0.00"/>
    <numFmt numFmtId="168" formatCode="&quot;$&quot;#,##0"/>
    <numFmt numFmtId="169" formatCode="&quot;$&quot;#,##0.00;\(&quot;$&quot;#,##0.00\);\-"/>
    <numFmt numFmtId="170" formatCode="&quot;$&quot;#,##0.00;\(&quot;$&quot;#,##0.00\);&quot;$0.00&quot;"/>
    <numFmt numFmtId="171" formatCode="&quot;$&quot;#,##0.00;\(&quot;$&quot;#,##0.00\);&quot;-&quot;"/>
    <numFmt numFmtId="172" formatCode="&quot;$&quot;#,##0.00;\(&quot;$&quot;#,##0.00\)"/>
    <numFmt numFmtId="173" formatCode="&quot;$&quot;#,##0;\(&quot;$&quot;#,##0\);&quot;-&quot;"/>
    <numFmt numFmtId="174" formatCode="0.0%;\(0.0%\);&quot;-&quot;"/>
    <numFmt numFmtId="175" formatCode="_(\$* #,##0_);_(\$* \(#,##0\);_(\$* \-??_);_(@_)"/>
    <numFmt numFmtId="176" formatCode="#,##0.00;[Red]#,##0.00"/>
    <numFmt numFmtId="177" formatCode="#,##0.00;\(#,##0.00\)"/>
    <numFmt numFmtId="178" formatCode="mm/yyyy"/>
    <numFmt numFmtId="179" formatCode="[$-1010409]#,##0.00;\(#,##0.00\)"/>
    <numFmt numFmtId="180" formatCode="yyyy\-mm\-dd"/>
  </numFmts>
  <fonts count="107" x14ac:knownFonts="1">
    <font>
      <sz val="11"/>
      <color theme="1"/>
      <name val="Calibri"/>
      <family val="2"/>
      <charset val="1"/>
    </font>
    <font>
      <sz val="11"/>
      <color theme="1"/>
      <name val="Calibri"/>
      <family val="2"/>
      <scheme val="minor"/>
    </font>
    <font>
      <b/>
      <sz val="20"/>
      <color rgb="FF1F3864"/>
      <name val="Calibri"/>
      <family val="2"/>
    </font>
    <font>
      <b/>
      <sz val="14"/>
      <color rgb="FF2F5496"/>
      <name val="Calibri"/>
      <family val="2"/>
    </font>
    <font>
      <sz val="9"/>
      <color rgb="FF666666"/>
      <name val="Calibri"/>
      <family val="2"/>
    </font>
    <font>
      <b/>
      <sz val="12"/>
      <color rgb="FFFFFFFF"/>
      <name val="Calibri"/>
      <family val="2"/>
    </font>
    <font>
      <b/>
      <sz val="10"/>
      <color rgb="FF000000"/>
      <name val="Calibri"/>
      <family val="2"/>
    </font>
    <font>
      <sz val="10"/>
      <color rgb="FF000000"/>
      <name val="Calibri"/>
      <family val="2"/>
    </font>
    <font>
      <b/>
      <sz val="10"/>
      <color rgb="FFFFFFFF"/>
      <name val="Calibri"/>
      <family val="2"/>
    </font>
    <font>
      <sz val="10"/>
      <color rgb="FF0000CC"/>
      <name val="Calibri"/>
      <family val="2"/>
    </font>
    <font>
      <b/>
      <sz val="14"/>
      <color rgb="FF1F3864"/>
      <name val="Calibri"/>
      <family val="2"/>
    </font>
    <font>
      <b/>
      <sz val="10"/>
      <color rgb="FFCC0000"/>
      <name val="Calibri"/>
      <family val="2"/>
    </font>
    <font>
      <b/>
      <sz val="11"/>
      <name val="Calibri"/>
      <family val="2"/>
    </font>
    <font>
      <b/>
      <sz val="12"/>
      <color rgb="FF1F3864"/>
      <name val="Calibri"/>
      <family val="2"/>
    </font>
    <font>
      <b/>
      <sz val="11"/>
      <color rgb="FFFFFFFF"/>
      <name val="Calibri"/>
      <family val="2"/>
    </font>
    <font>
      <b/>
      <sz val="12"/>
      <color rgb="FF2F5496"/>
      <name val="Calibri"/>
      <family val="2"/>
    </font>
    <font>
      <i/>
      <sz val="9"/>
      <color rgb="FF990000"/>
      <name val="Calibri"/>
      <family val="2"/>
    </font>
    <font>
      <b/>
      <sz val="18"/>
      <color rgb="FF1F3864"/>
      <name val="Calibri"/>
      <family val="2"/>
    </font>
    <font>
      <b/>
      <sz val="12"/>
      <name val="Calibri"/>
      <family val="2"/>
    </font>
    <font>
      <b/>
      <sz val="10"/>
      <color rgb="FFC00000"/>
      <name val="Calibri"/>
      <family val="2"/>
    </font>
    <font>
      <sz val="10"/>
      <color theme="1"/>
      <name val="Calibri"/>
      <family val="2"/>
    </font>
    <font>
      <sz val="8"/>
      <name val="Calibri"/>
      <family val="2"/>
      <charset val="1"/>
    </font>
    <font>
      <u/>
      <sz val="11"/>
      <color theme="10"/>
      <name val="Calibri"/>
      <family val="2"/>
      <charset val="1"/>
    </font>
    <font>
      <u/>
      <sz val="11"/>
      <color rgb="FFC00000"/>
      <name val="Calibri"/>
      <family val="2"/>
      <charset val="1"/>
    </font>
    <font>
      <i/>
      <sz val="10"/>
      <color rgb="FF404040"/>
      <name val="Calibri"/>
      <family val="2"/>
    </font>
    <font>
      <sz val="10"/>
      <color theme="1"/>
      <name val="Calibri"/>
      <family val="2"/>
      <charset val="1"/>
    </font>
    <font>
      <b/>
      <sz val="10"/>
      <color theme="1"/>
      <name val="Calibri"/>
      <family val="2"/>
    </font>
    <font>
      <sz val="10"/>
      <color rgb="FF0000FF"/>
      <name val="Calibri"/>
      <family val="2"/>
    </font>
    <font>
      <i/>
      <sz val="10"/>
      <color rgb="FF808080"/>
      <name val="Calibri"/>
      <family val="2"/>
    </font>
    <font>
      <sz val="10"/>
      <color rgb="FF006100"/>
      <name val="Calibri"/>
      <family val="2"/>
      <charset val="1"/>
    </font>
    <font>
      <sz val="10"/>
      <color rgb="FF006100"/>
      <name val="Calibri"/>
      <family val="2"/>
    </font>
    <font>
      <sz val="10"/>
      <color rgb="FF008000"/>
      <name val="Calibri"/>
      <family val="2"/>
    </font>
    <font>
      <sz val="10"/>
      <color rgb="FF9C0006"/>
      <name val="Calibri"/>
      <family val="2"/>
    </font>
    <font>
      <sz val="10"/>
      <color rgb="FFFF0000"/>
      <name val="Calibri"/>
      <family val="2"/>
    </font>
    <font>
      <b/>
      <sz val="10"/>
      <color rgb="FFFF0000"/>
      <name val="Calibri"/>
      <family val="2"/>
    </font>
    <font>
      <sz val="10"/>
      <color rgb="FF9C6500"/>
      <name val="Calibri"/>
      <family val="2"/>
    </font>
    <font>
      <sz val="9"/>
      <color rgb="FF808080"/>
      <name val="Calibri"/>
      <family val="2"/>
      <charset val="1"/>
    </font>
    <font>
      <sz val="9"/>
      <color rgb="FF808080"/>
      <name val="Calibri"/>
      <family val="2"/>
    </font>
    <font>
      <i/>
      <sz val="9"/>
      <color rgb="FF808080"/>
      <name val="Calibri"/>
      <family val="2"/>
    </font>
    <font>
      <sz val="9"/>
      <color rgb="FFFF0000"/>
      <name val="Calibri"/>
      <family val="2"/>
    </font>
    <font>
      <b/>
      <sz val="9"/>
      <color rgb="FFFF0000"/>
      <name val="Calibri"/>
      <family val="2"/>
    </font>
    <font>
      <b/>
      <sz val="10"/>
      <color rgb="FF0000FF"/>
      <name val="Calibri"/>
      <family val="2"/>
    </font>
    <font>
      <i/>
      <sz val="10"/>
      <color rgb="FFFF0000"/>
      <name val="Calibri"/>
      <family val="2"/>
    </font>
    <font>
      <b/>
      <sz val="11"/>
      <color theme="1"/>
      <name val="Calibri"/>
      <family val="2"/>
    </font>
    <font>
      <sz val="9"/>
      <color theme="1"/>
      <name val="Calibri"/>
      <family val="2"/>
      <charset val="1"/>
    </font>
    <font>
      <sz val="9"/>
      <color theme="1"/>
      <name val="Calibri"/>
      <family val="2"/>
    </font>
    <font>
      <b/>
      <i/>
      <sz val="10"/>
      <color theme="1"/>
      <name val="Calibri"/>
      <family val="2"/>
    </font>
    <font>
      <b/>
      <sz val="9"/>
      <color theme="1"/>
      <name val="Calibri"/>
      <family val="2"/>
    </font>
    <font>
      <b/>
      <sz val="9"/>
      <color rgb="FF006100"/>
      <name val="Calibri"/>
      <family val="2"/>
    </font>
    <font>
      <b/>
      <sz val="10"/>
      <color rgb="FF006100"/>
      <name val="Calibri"/>
      <family val="2"/>
    </font>
    <font>
      <b/>
      <sz val="11"/>
      <color theme="1"/>
      <name val="Calibri"/>
      <family val="2"/>
      <charset val="1"/>
    </font>
    <font>
      <b/>
      <sz val="16"/>
      <color rgb="FF1F3864"/>
      <name val="Calibri"/>
      <family val="2"/>
      <charset val="1"/>
    </font>
    <font>
      <b/>
      <sz val="9"/>
      <color rgb="FF808080"/>
      <name val="Calibri"/>
      <family val="2"/>
      <charset val="1"/>
    </font>
    <font>
      <b/>
      <sz val="18"/>
      <color rgb="FF1F3864"/>
      <name val="Calibri"/>
      <family val="2"/>
      <charset val="1"/>
    </font>
    <font>
      <sz val="8"/>
      <color rgb="FFA0A0A0"/>
      <name val="Calibri"/>
      <family val="2"/>
      <charset val="1"/>
    </font>
    <font>
      <b/>
      <sz val="11"/>
      <color rgb="FF1F3864"/>
      <name val="Calibri"/>
      <family val="2"/>
      <charset val="1"/>
    </font>
    <font>
      <b/>
      <sz val="10"/>
      <color theme="1"/>
      <name val="Calibri"/>
      <family val="2"/>
      <charset val="1"/>
    </font>
    <font>
      <b/>
      <sz val="10"/>
      <color rgb="FFFFFFFF"/>
      <name val="Calibri"/>
      <family val="2"/>
      <charset val="1"/>
    </font>
    <font>
      <sz val="10"/>
      <color rgb="FFA0A0A0"/>
      <name val="Calibri"/>
      <family val="2"/>
      <charset val="1"/>
    </font>
    <font>
      <b/>
      <sz val="10"/>
      <color rgb="FF1F3864"/>
      <name val="Calibri"/>
      <family val="2"/>
      <charset val="1"/>
    </font>
    <font>
      <b/>
      <sz val="18"/>
      <color rgb="FF006100"/>
      <name val="Calibri"/>
      <family val="2"/>
      <charset val="1"/>
    </font>
    <font>
      <b/>
      <sz val="18"/>
      <color rgb="FF0000FF"/>
      <name val="Calibri"/>
      <family val="2"/>
      <charset val="1"/>
    </font>
    <font>
      <sz val="11"/>
      <color rgb="FF242424"/>
      <name val="Aptos Narrow"/>
      <family val="2"/>
    </font>
    <font>
      <b/>
      <sz val="9"/>
      <color indexed="81"/>
      <name val="Tahoma"/>
      <family val="2"/>
    </font>
    <font>
      <sz val="11"/>
      <color rgb="FF000000"/>
      <name val="Calibri"/>
      <family val="2"/>
      <charset val="1"/>
    </font>
    <font>
      <b/>
      <sz val="9"/>
      <color rgb="FF333333"/>
      <name val="Calibri"/>
      <family val="2"/>
    </font>
    <font>
      <sz val="10"/>
      <name val="Calibri"/>
      <family val="2"/>
    </font>
    <font>
      <sz val="11"/>
      <color rgb="FF000000"/>
      <name val="Calibri"/>
    </font>
    <font>
      <sz val="11"/>
      <color rgb="FF000000"/>
      <name val="Calibri"/>
      <family val="2"/>
    </font>
    <font>
      <sz val="8"/>
      <color theme="1"/>
      <name val="Trebuchet MS"/>
      <family val="2"/>
    </font>
    <font>
      <b/>
      <sz val="9"/>
      <color rgb="FF696969"/>
      <name val="Arial"/>
      <family val="2"/>
    </font>
    <font>
      <i/>
      <sz val="8"/>
      <color rgb="FF000000"/>
      <name val="Trebuchet MS"/>
      <family val="2"/>
    </font>
    <font>
      <b/>
      <sz val="8"/>
      <color theme="1"/>
      <name val="Trebuchet MS"/>
      <family val="2"/>
    </font>
    <font>
      <b/>
      <sz val="8"/>
      <color rgb="FF000000"/>
      <name val="Trebuchet MS"/>
      <family val="2"/>
    </font>
    <font>
      <sz val="8"/>
      <color rgb="FF000000"/>
      <name val="Trebuchet MS"/>
      <family val="2"/>
    </font>
    <font>
      <i/>
      <sz val="10"/>
      <color rgb="FF000000"/>
      <name val="Trebuchet MS"/>
      <family val="2"/>
    </font>
    <font>
      <sz val="10"/>
      <color rgb="FF000000"/>
      <name val="Trebuchet MS"/>
      <family val="2"/>
    </font>
    <font>
      <b/>
      <sz val="12"/>
      <color theme="1"/>
      <name val="Trebuchet MS"/>
      <family val="2"/>
    </font>
    <font>
      <b/>
      <sz val="8"/>
      <color rgb="FF696969"/>
      <name val="Arial"/>
    </font>
    <font>
      <b/>
      <sz val="7"/>
      <color rgb="FF000000"/>
      <name val="Trebuchet MS"/>
    </font>
    <font>
      <sz val="7"/>
      <color rgb="FF000000"/>
      <name val="Trebuchet MS"/>
    </font>
    <font>
      <i/>
      <sz val="9"/>
      <color rgb="FF000000"/>
      <name val="Trebuchet MS"/>
    </font>
    <font>
      <sz val="9"/>
      <color rgb="FF000000"/>
      <name val="Trebuchet MS"/>
    </font>
    <font>
      <b/>
      <sz val="11"/>
      <color rgb="FF000000"/>
      <name val="Trebuchet MS"/>
    </font>
    <font>
      <b/>
      <sz val="10"/>
      <color rgb="FF000000"/>
      <name val="Arial"/>
    </font>
    <font>
      <sz val="10"/>
      <color rgb="FF000000"/>
      <name val="Arial"/>
    </font>
    <font>
      <b/>
      <sz val="12"/>
      <color rgb="FF000000"/>
      <name val="Arial"/>
    </font>
    <font>
      <sz val="10"/>
      <color rgb="FF0000FF"/>
      <name val="Calibri"/>
      <family val="2"/>
      <charset val="1"/>
    </font>
    <font>
      <i/>
      <sz val="9"/>
      <color rgb="FF666666"/>
      <name val="Calibri"/>
      <family val="2"/>
      <charset val="1"/>
    </font>
    <font>
      <sz val="9"/>
      <color indexed="81"/>
      <name val="Tahoma"/>
      <charset val="1"/>
    </font>
    <font>
      <b/>
      <sz val="9"/>
      <color indexed="81"/>
      <name val="Tahoma"/>
      <charset val="1"/>
    </font>
    <font>
      <b/>
      <sz val="10"/>
      <color theme="0"/>
      <name val="Calibri"/>
      <family val="2"/>
      <charset val="1"/>
    </font>
    <font>
      <b/>
      <sz val="11"/>
      <color rgb="FFFFFFFF"/>
      <name val="Calibri"/>
      <family val="2"/>
      <charset val="1"/>
    </font>
    <font>
      <b/>
      <sz val="11"/>
      <color rgb="FF000000"/>
      <name val="Calibri"/>
      <family val="2"/>
      <charset val="1"/>
    </font>
    <font>
      <sz val="10"/>
      <color theme="1"/>
      <name val="Calibri"/>
    </font>
    <font>
      <sz val="10"/>
      <name val="Calibri"/>
    </font>
    <font>
      <sz val="10"/>
      <color rgb="FF000000"/>
      <name val="Calibri"/>
    </font>
    <font>
      <sz val="10"/>
      <color rgb="FF006100"/>
      <name val="Calibri"/>
    </font>
    <font>
      <b/>
      <sz val="10"/>
      <color rgb="FFFF0000"/>
      <name val="Calibri"/>
    </font>
    <font>
      <sz val="9"/>
      <color rgb="FF808080"/>
      <name val="Calibri"/>
    </font>
    <font>
      <i/>
      <sz val="10"/>
      <color rgb="FF808080"/>
      <name val="Calibri"/>
      <family val="2"/>
      <charset val="1"/>
    </font>
    <font>
      <sz val="11"/>
      <color rgb="FF008000"/>
      <name val="Calibri"/>
      <family val="2"/>
      <charset val="1"/>
    </font>
    <font>
      <b/>
      <sz val="10"/>
      <color rgb="FF000000"/>
      <name val="Calibri"/>
      <family val="2"/>
      <charset val="1"/>
    </font>
    <font>
      <b/>
      <sz val="9"/>
      <color rgb="FF000000"/>
      <name val="Calibri"/>
      <family val="2"/>
    </font>
    <font>
      <sz val="10"/>
      <color rgb="FF9C0006"/>
      <name val="Calibri"/>
    </font>
    <font>
      <sz val="10"/>
      <color rgb="FF008000"/>
      <name val="Calibri"/>
      <family val="2"/>
      <charset val="1"/>
    </font>
    <font>
      <sz val="9"/>
      <color rgb="FF008000"/>
      <name val="Calibri"/>
      <family val="2"/>
    </font>
  </fonts>
  <fills count="26">
    <fill>
      <patternFill patternType="none"/>
    </fill>
    <fill>
      <patternFill patternType="gray125"/>
    </fill>
    <fill>
      <patternFill patternType="solid">
        <fgColor rgb="FF1F3864"/>
        <bgColor rgb="FF333333"/>
      </patternFill>
    </fill>
    <fill>
      <patternFill patternType="solid">
        <fgColor rgb="FF2F5496"/>
        <bgColor rgb="FF1F3864"/>
      </patternFill>
    </fill>
    <fill>
      <patternFill patternType="solid">
        <fgColor rgb="FFFFF2CC"/>
        <bgColor rgb="FFFFE6E6"/>
      </patternFill>
    </fill>
    <fill>
      <patternFill patternType="solid">
        <fgColor rgb="FFFFE6E6"/>
        <bgColor rgb="FFF2F2F2"/>
      </patternFill>
    </fill>
    <fill>
      <patternFill patternType="solid">
        <fgColor rgb="FFF2F2F2"/>
        <bgColor rgb="FFFFE6E6"/>
      </patternFill>
    </fill>
    <fill>
      <patternFill patternType="solid">
        <fgColor rgb="FFBDD7EE"/>
        <bgColor rgb="FFB4C6E7"/>
      </patternFill>
    </fill>
    <fill>
      <patternFill patternType="solid">
        <fgColor theme="4" tint="-0.499984740745262"/>
        <bgColor indexed="64"/>
      </patternFill>
    </fill>
    <fill>
      <patternFill patternType="solid">
        <fgColor rgb="FFC6EFCE"/>
        <bgColor indexed="64"/>
      </patternFill>
    </fill>
    <fill>
      <patternFill patternType="solid">
        <fgColor rgb="FFFFFFFF"/>
        <bgColor indexed="64"/>
      </patternFill>
    </fill>
    <fill>
      <patternFill patternType="solid">
        <fgColor rgb="FF1F3864"/>
        <bgColor indexed="64"/>
      </patternFill>
    </fill>
    <fill>
      <patternFill patternType="solid">
        <fgColor rgb="FF2F5496"/>
        <bgColor indexed="64"/>
      </patternFill>
    </fill>
    <fill>
      <patternFill patternType="solid">
        <fgColor rgb="FFD6DCE4"/>
        <bgColor indexed="64"/>
      </patternFill>
    </fill>
    <fill>
      <patternFill patternType="solid">
        <fgColor rgb="FFFFC7CE"/>
        <bgColor indexed="64"/>
      </patternFill>
    </fill>
    <fill>
      <patternFill patternType="solid">
        <fgColor rgb="FFFFEB9C"/>
        <bgColor indexed="64"/>
      </patternFill>
    </fill>
    <fill>
      <patternFill patternType="solid">
        <fgColor rgb="FFE2EFDA"/>
        <bgColor indexed="64"/>
      </patternFill>
    </fill>
    <fill>
      <patternFill patternType="solid">
        <fgColor rgb="FFC00000"/>
        <bgColor indexed="64"/>
      </patternFill>
    </fill>
    <fill>
      <patternFill patternType="solid">
        <fgColor rgb="FF548235"/>
        <bgColor indexed="64"/>
      </patternFill>
    </fill>
    <fill>
      <patternFill patternType="solid">
        <fgColor rgb="FFFFF2CC"/>
        <bgColor indexed="64"/>
      </patternFill>
    </fill>
    <fill>
      <patternFill patternType="solid">
        <fgColor rgb="FFF2F2F2"/>
        <bgColor indexed="64"/>
      </patternFill>
    </fill>
    <fill>
      <patternFill patternType="solid">
        <fgColor rgb="FFFFFF00"/>
        <bgColor indexed="64"/>
      </patternFill>
    </fill>
    <fill>
      <patternFill patternType="solid">
        <fgColor theme="0"/>
        <bgColor indexed="64"/>
      </patternFill>
    </fill>
    <fill>
      <patternFill patternType="solid">
        <fgColor rgb="FFBF8F00"/>
        <bgColor indexed="64"/>
      </patternFill>
    </fill>
    <fill>
      <patternFill patternType="solid">
        <fgColor rgb="FFC0C0C0"/>
        <bgColor rgb="FF000000"/>
      </patternFill>
    </fill>
    <fill>
      <patternFill patternType="solid">
        <fgColor rgb="FFF0F0F0"/>
      </patternFill>
    </fill>
  </fills>
  <borders count="76">
    <border>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medium">
        <color rgb="FF1F3864"/>
      </left>
      <right/>
      <top style="medium">
        <color rgb="FF1F3864"/>
      </top>
      <bottom style="medium">
        <color rgb="FF1F3864"/>
      </bottom>
      <diagonal/>
    </border>
    <border>
      <left style="medium">
        <color rgb="FF1F3864"/>
      </left>
      <right style="medium">
        <color rgb="FF1F3864"/>
      </right>
      <top style="medium">
        <color rgb="FF1F3864"/>
      </top>
      <bottom style="medium">
        <color rgb="FF1F3864"/>
      </bottom>
      <diagonal/>
    </border>
    <border>
      <left/>
      <right/>
      <top/>
      <bottom style="thin">
        <color rgb="FFBFBFBF"/>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rgb="FFBFBFBF"/>
      </top>
      <bottom/>
      <diagonal/>
    </border>
    <border>
      <left/>
      <right/>
      <top style="thin">
        <color rgb="FFBFBFBF"/>
      </top>
      <bottom style="thin">
        <color rgb="FFBFBFBF"/>
      </bottom>
      <diagonal/>
    </border>
    <border>
      <left style="thin">
        <color rgb="FFBFBFBF"/>
      </left>
      <right style="thin">
        <color rgb="FFBFBFBF"/>
      </right>
      <top/>
      <bottom/>
      <diagonal/>
    </border>
    <border>
      <left style="thin">
        <color rgb="FFBFBFBF"/>
      </left>
      <right style="thin">
        <color rgb="FFBFBFBF"/>
      </right>
      <top style="thin">
        <color rgb="FFBFBFBF"/>
      </top>
      <bottom/>
      <diagonal/>
    </border>
    <border>
      <left style="thin">
        <color rgb="FFBFBFBF"/>
      </left>
      <right/>
      <top/>
      <bottom/>
      <diagonal/>
    </border>
    <border>
      <left style="thin">
        <color rgb="FFBFBFBF"/>
      </left>
      <right/>
      <top/>
      <bottom style="thin">
        <color rgb="FFBFBFBF"/>
      </bottom>
      <diagonal/>
    </border>
    <border>
      <left style="thin">
        <color rgb="FFBFBFBF"/>
      </left>
      <right style="thin">
        <color rgb="FFBFBFBF"/>
      </right>
      <top/>
      <bottom style="thin">
        <color rgb="FFBFBFBF"/>
      </bottom>
      <diagonal/>
    </border>
    <border>
      <left/>
      <right style="thin">
        <color rgb="FFBFBFBF"/>
      </right>
      <top/>
      <bottom style="thin">
        <color rgb="FFBFBFBF"/>
      </bottom>
      <diagonal/>
    </border>
    <border>
      <left/>
      <right style="thin">
        <color rgb="FFBFBFBF"/>
      </right>
      <top style="thin">
        <color rgb="FFBFBFBF"/>
      </top>
      <bottom style="thin">
        <color rgb="FFBFBFBF"/>
      </bottom>
      <diagonal/>
    </border>
    <border>
      <left style="thin">
        <color rgb="FFBFBFBF"/>
      </left>
      <right style="thin">
        <color rgb="FFBFBFBF"/>
      </right>
      <top style="thin">
        <color auto="1"/>
      </top>
      <bottom style="thin">
        <color rgb="FFBFBFBF"/>
      </bottom>
      <diagonal/>
    </border>
    <border>
      <left/>
      <right style="thin">
        <color rgb="FFBFBFBF"/>
      </right>
      <top style="thin">
        <color rgb="FFBFBFBF"/>
      </top>
      <bottom style="medium">
        <color auto="1"/>
      </bottom>
      <diagonal/>
    </border>
    <border>
      <left style="thin">
        <color rgb="FFBFBFBF"/>
      </left>
      <right style="thin">
        <color rgb="FFBFBFBF"/>
      </right>
      <top style="thin">
        <color rgb="FFBFBFBF"/>
      </top>
      <bottom style="medium">
        <color auto="1"/>
      </bottom>
      <diagonal/>
    </border>
    <border>
      <left style="thin">
        <color rgb="FFBFBFBF"/>
      </left>
      <right/>
      <top style="thin">
        <color rgb="FFBFBFBF"/>
      </top>
      <bottom style="medium">
        <color auto="1"/>
      </bottom>
      <diagonal/>
    </border>
    <border>
      <left style="thin">
        <color auto="1"/>
      </left>
      <right style="thin">
        <color rgb="FFBFBFBF"/>
      </right>
      <top style="thin">
        <color auto="1"/>
      </top>
      <bottom style="thin">
        <color rgb="FFBFBFBF"/>
      </bottom>
      <diagonal/>
    </border>
    <border>
      <left style="thin">
        <color auto="1"/>
      </left>
      <right style="thin">
        <color rgb="FFBFBFBF"/>
      </right>
      <top style="thin">
        <color rgb="FFBFBFBF"/>
      </top>
      <bottom style="thin">
        <color rgb="FFBFBFBF"/>
      </bottom>
      <diagonal/>
    </border>
    <border>
      <left style="thin">
        <color rgb="FFBFBFBF"/>
      </left>
      <right style="thin">
        <color auto="1"/>
      </right>
      <top style="thin">
        <color auto="1"/>
      </top>
      <bottom style="thin">
        <color rgb="FFBFBFBF"/>
      </bottom>
      <diagonal/>
    </border>
    <border>
      <left style="thin">
        <color rgb="FFBFBFBF"/>
      </left>
      <right style="thin">
        <color auto="1"/>
      </right>
      <top style="thin">
        <color rgb="FFBFBFBF"/>
      </top>
      <bottom style="thin">
        <color rgb="FFBFBFBF"/>
      </bottom>
      <diagonal/>
    </border>
    <border>
      <left/>
      <right/>
      <top style="medium">
        <color auto="1"/>
      </top>
      <bottom style="double">
        <color auto="1"/>
      </bottom>
      <diagonal/>
    </border>
    <border>
      <left/>
      <right/>
      <top/>
      <bottom style="thin">
        <color rgb="FFD6DCE4"/>
      </bottom>
      <diagonal/>
    </border>
    <border>
      <left/>
      <right/>
      <top style="medium">
        <color auto="1"/>
      </top>
      <bottom/>
      <diagonal/>
    </border>
    <border>
      <left/>
      <right style="thin">
        <color rgb="FFD6DCE4"/>
      </right>
      <top/>
      <bottom style="thin">
        <color rgb="FFD6DCE4"/>
      </bottom>
      <diagonal/>
    </border>
    <border>
      <left style="thin">
        <color rgb="FFD6DCE4"/>
      </left>
      <right style="thin">
        <color rgb="FFD6DCE4"/>
      </right>
      <top/>
      <bottom style="thin">
        <color rgb="FFD6DCE4"/>
      </bottom>
      <diagonal/>
    </border>
    <border>
      <left style="thin">
        <color rgb="FFD6DCE4"/>
      </left>
      <right/>
      <top/>
      <bottom style="thin">
        <color rgb="FFD6DCE4"/>
      </bottom>
      <diagonal/>
    </border>
    <border>
      <left/>
      <right style="thin">
        <color rgb="FFD6DCE4"/>
      </right>
      <top style="thin">
        <color rgb="FFD6DCE4"/>
      </top>
      <bottom style="thin">
        <color rgb="FFD6DCE4"/>
      </bottom>
      <diagonal/>
    </border>
    <border>
      <left style="thin">
        <color rgb="FFD6DCE4"/>
      </left>
      <right style="thin">
        <color rgb="FFD6DCE4"/>
      </right>
      <top style="thin">
        <color rgb="FFD6DCE4"/>
      </top>
      <bottom style="thin">
        <color rgb="FFD6DCE4"/>
      </bottom>
      <diagonal/>
    </border>
    <border>
      <left style="thin">
        <color rgb="FFD6DCE4"/>
      </left>
      <right/>
      <top style="thin">
        <color rgb="FFD6DCE4"/>
      </top>
      <bottom style="thin">
        <color rgb="FFD6DCE4"/>
      </bottom>
      <diagonal/>
    </border>
    <border>
      <left/>
      <right style="thin">
        <color rgb="FFD6DCE4"/>
      </right>
      <top style="thin">
        <color rgb="FFD6DCE4"/>
      </top>
      <bottom style="double">
        <color auto="1"/>
      </bottom>
      <diagonal/>
    </border>
    <border>
      <left style="thin">
        <color rgb="FFD6DCE4"/>
      </left>
      <right style="thin">
        <color rgb="FFD6DCE4"/>
      </right>
      <top style="thin">
        <color rgb="FFD6DCE4"/>
      </top>
      <bottom style="double">
        <color auto="1"/>
      </bottom>
      <diagonal/>
    </border>
    <border>
      <left style="thin">
        <color rgb="FFD6DCE4"/>
      </left>
      <right/>
      <top style="thin">
        <color rgb="FFD6DCE4"/>
      </top>
      <bottom/>
      <diagonal/>
    </border>
    <border>
      <left/>
      <right style="thin">
        <color rgb="FFD6DCE4"/>
      </right>
      <top style="thin">
        <color rgb="FFD6DCE4"/>
      </top>
      <bottom/>
      <diagonal/>
    </border>
    <border>
      <left style="thin">
        <color rgb="FFD6DCE4"/>
      </left>
      <right style="thin">
        <color rgb="FFD6DCE4"/>
      </right>
      <top style="thin">
        <color rgb="FFD6DCE4"/>
      </top>
      <bottom/>
      <diagonal/>
    </border>
    <border>
      <left style="thin">
        <color rgb="FFD6DCE4"/>
      </left>
      <right/>
      <top style="thin">
        <color rgb="FFD6DCE4"/>
      </top>
      <bottom style="double">
        <color auto="1"/>
      </bottom>
      <diagonal/>
    </border>
    <border>
      <left style="thin">
        <color rgb="FFBFBFBF"/>
      </left>
      <right style="thin">
        <color rgb="FFBFBFBF"/>
      </right>
      <top style="medium">
        <color rgb="FF1F3864"/>
      </top>
      <bottom style="medium">
        <color rgb="FF1F3864"/>
      </bottom>
      <diagonal/>
    </border>
    <border>
      <left style="medium">
        <color theme="1"/>
      </left>
      <right style="medium">
        <color theme="1"/>
      </right>
      <top style="medium">
        <color theme="1"/>
      </top>
      <bottom style="thin">
        <color rgb="FFBFBFBF"/>
      </bottom>
      <diagonal/>
    </border>
    <border>
      <left style="medium">
        <color theme="1"/>
      </left>
      <right style="medium">
        <color theme="1"/>
      </right>
      <top style="thin">
        <color rgb="FFBFBFBF"/>
      </top>
      <bottom style="thin">
        <color rgb="FFBFBFBF"/>
      </bottom>
      <diagonal/>
    </border>
    <border>
      <left style="medium">
        <color theme="1"/>
      </left>
      <right style="medium">
        <color theme="1"/>
      </right>
      <top/>
      <bottom/>
      <diagonal/>
    </border>
    <border>
      <left style="medium">
        <color theme="1"/>
      </left>
      <right style="medium">
        <color theme="1"/>
      </right>
      <top style="medium">
        <color rgb="FF1F3864"/>
      </top>
      <bottom style="medium">
        <color theme="1"/>
      </bottom>
      <diagonal/>
    </border>
    <border>
      <left style="medium">
        <color theme="1"/>
      </left>
      <right/>
      <top style="medium">
        <color theme="1"/>
      </top>
      <bottom style="thin">
        <color rgb="FFBFBFBF"/>
      </bottom>
      <diagonal/>
    </border>
    <border>
      <left style="thin">
        <color rgb="FFBFBFBF"/>
      </left>
      <right/>
      <top style="medium">
        <color theme="1"/>
      </top>
      <bottom style="thin">
        <color rgb="FFBFBFBF"/>
      </bottom>
      <diagonal/>
    </border>
    <border>
      <left style="thin">
        <color rgb="FFBFBFBF"/>
      </left>
      <right style="medium">
        <color theme="1"/>
      </right>
      <top style="medium">
        <color theme="1"/>
      </top>
      <bottom style="thin">
        <color rgb="FFBFBFBF"/>
      </bottom>
      <diagonal/>
    </border>
    <border>
      <left style="medium">
        <color theme="1"/>
      </left>
      <right style="thin">
        <color rgb="FFBFBFBF"/>
      </right>
      <top style="thin">
        <color rgb="FFBFBFBF"/>
      </top>
      <bottom style="thin">
        <color rgb="FFBFBFBF"/>
      </bottom>
      <diagonal/>
    </border>
    <border>
      <left style="thin">
        <color rgb="FFBFBFBF"/>
      </left>
      <right style="medium">
        <color theme="1"/>
      </right>
      <top style="thin">
        <color rgb="FFBFBFBF"/>
      </top>
      <bottom style="thin">
        <color rgb="FFBFBFBF"/>
      </bottom>
      <diagonal/>
    </border>
    <border>
      <left style="medium">
        <color theme="1"/>
      </left>
      <right/>
      <top/>
      <bottom/>
      <diagonal/>
    </border>
    <border>
      <left/>
      <right style="medium">
        <color theme="1"/>
      </right>
      <top/>
      <bottom/>
      <diagonal/>
    </border>
    <border>
      <left style="medium">
        <color theme="1"/>
      </left>
      <right style="medium">
        <color rgb="FF1F3864"/>
      </right>
      <top style="medium">
        <color rgb="FF1F3864"/>
      </top>
      <bottom style="medium">
        <color theme="1"/>
      </bottom>
      <diagonal/>
    </border>
    <border>
      <left style="medium">
        <color rgb="FF1F3864"/>
      </left>
      <right style="medium">
        <color rgb="FF1F3864"/>
      </right>
      <top style="medium">
        <color rgb="FF1F3864"/>
      </top>
      <bottom style="medium">
        <color theme="1"/>
      </bottom>
      <diagonal/>
    </border>
    <border>
      <left style="medium">
        <color rgb="FF1F3864"/>
      </left>
      <right style="medium">
        <color theme="1"/>
      </right>
      <top style="medium">
        <color rgb="FF1F3864"/>
      </top>
      <bottom style="medium">
        <color theme="1"/>
      </bottom>
      <diagonal/>
    </border>
    <border>
      <left style="thin">
        <color auto="1"/>
      </left>
      <right style="thin">
        <color rgb="FFBFBFBF"/>
      </right>
      <top style="thin">
        <color rgb="FFBFBFBF"/>
      </top>
      <bottom/>
      <diagonal/>
    </border>
    <border>
      <left style="thin">
        <color rgb="FFBFBFBF"/>
      </left>
      <right style="thin">
        <color auto="1"/>
      </right>
      <top style="thin">
        <color rgb="FFBFBFBF"/>
      </top>
      <bottom/>
      <diagonal/>
    </border>
    <border>
      <left style="thin">
        <color rgb="FF000000"/>
      </left>
      <right/>
      <top style="thin">
        <color rgb="FFBFBFBF"/>
      </top>
      <bottom/>
      <diagonal/>
    </border>
    <border>
      <left style="thin">
        <color rgb="FFBFBFBF"/>
      </left>
      <right style="thin">
        <color rgb="FF000000"/>
      </right>
      <top style="thin">
        <color rgb="FFBFBFBF"/>
      </top>
      <bottom/>
      <diagonal/>
    </border>
    <border>
      <left style="thin">
        <color rgb="FF000000"/>
      </left>
      <right/>
      <top style="thin">
        <color rgb="FFBFBFBF"/>
      </top>
      <bottom style="medium">
        <color rgb="FF000000"/>
      </bottom>
      <diagonal/>
    </border>
    <border>
      <left style="thin">
        <color rgb="FFBFBFBF"/>
      </left>
      <right/>
      <top style="thin">
        <color rgb="FFBFBFBF"/>
      </top>
      <bottom style="medium">
        <color rgb="FF000000"/>
      </bottom>
      <diagonal/>
    </border>
    <border>
      <left style="thin">
        <color rgb="FFBFBFBF"/>
      </left>
      <right style="thin">
        <color rgb="FF000000"/>
      </right>
      <top style="thin">
        <color rgb="FFBFBFBF"/>
      </top>
      <bottom style="medium">
        <color rgb="FF000000"/>
      </bottom>
      <diagonal/>
    </border>
    <border>
      <left/>
      <right/>
      <top style="thin">
        <color rgb="FF000000"/>
      </top>
      <bottom style="double">
        <color rgb="FF000000"/>
      </bottom>
      <diagonal/>
    </border>
    <border>
      <left/>
      <right/>
      <top style="thin">
        <color rgb="FF000000"/>
      </top>
      <bottom/>
      <diagonal/>
    </border>
    <border>
      <left/>
      <right/>
      <top style="thin">
        <color theme="1"/>
      </top>
      <bottom/>
      <diagonal/>
    </border>
    <border>
      <left/>
      <right/>
      <top/>
      <bottom style="thin">
        <color rgb="FF000000"/>
      </bottom>
      <diagonal/>
    </border>
    <border>
      <left style="thin">
        <color rgb="FF000000"/>
      </left>
      <right/>
      <top style="medium">
        <color rgb="FF000000"/>
      </top>
      <bottom/>
      <diagonal/>
    </border>
    <border>
      <left style="thin">
        <color rgb="FFBFBFBF"/>
      </left>
      <right/>
      <top style="medium">
        <color rgb="FF000000"/>
      </top>
      <bottom/>
      <diagonal/>
    </border>
    <border>
      <left style="thin">
        <color rgb="FFBFBFBF"/>
      </left>
      <right style="thin">
        <color rgb="FF000000"/>
      </right>
      <top style="medium">
        <color rgb="FF000000"/>
      </top>
      <bottom/>
      <diagonal/>
    </border>
    <border>
      <left/>
      <right/>
      <top style="thin">
        <color rgb="FF000000"/>
      </top>
      <bottom style="medium">
        <color rgb="FF000000"/>
      </bottom>
      <diagonal/>
    </border>
    <border>
      <left/>
      <right/>
      <top style="thin">
        <color rgb="FFBFBFBF"/>
      </top>
      <bottom style="medium">
        <color rgb="FF000000"/>
      </bottom>
      <diagonal/>
    </border>
  </borders>
  <cellStyleXfs count="6">
    <xf numFmtId="0" fontId="0" fillId="0" borderId="0"/>
    <xf numFmtId="0" fontId="22" fillId="0" borderId="0" applyNumberFormat="0" applyFill="0" applyBorder="0" applyAlignment="0" applyProtection="0"/>
    <xf numFmtId="0" fontId="67" fillId="0" borderId="0"/>
    <xf numFmtId="0" fontId="68" fillId="0" borderId="0"/>
    <xf numFmtId="0" fontId="69" fillId="0" borderId="0"/>
    <xf numFmtId="0" fontId="1" fillId="0" borderId="0"/>
  </cellStyleXfs>
  <cellXfs count="485">
    <xf numFmtId="0" fontId="0" fillId="0" borderId="0" xfId="0"/>
    <xf numFmtId="0" fontId="7" fillId="0" borderId="1" xfId="0" applyFont="1" applyBorder="1"/>
    <xf numFmtId="0" fontId="7" fillId="0" borderId="0" xfId="0" applyFont="1"/>
    <xf numFmtId="0" fontId="6" fillId="0" borderId="0" xfId="0" applyFont="1"/>
    <xf numFmtId="0" fontId="8" fillId="3" borderId="1" xfId="0" applyFont="1" applyFill="1" applyBorder="1" applyAlignment="1">
      <alignment horizontal="center" vertical="center"/>
    </xf>
    <xf numFmtId="0" fontId="0" fillId="0" borderId="1" xfId="0" applyBorder="1" applyAlignment="1">
      <alignment horizontal="center" vertical="center"/>
    </xf>
    <xf numFmtId="0" fontId="6" fillId="0" borderId="0" xfId="0" applyFont="1" applyAlignment="1">
      <alignment horizontal="right" vertical="center"/>
    </xf>
    <xf numFmtId="0" fontId="0" fillId="6" borderId="1" xfId="0" applyFill="1" applyBorder="1" applyAlignment="1">
      <alignment horizontal="center" vertical="center"/>
    </xf>
    <xf numFmtId="165" fontId="9" fillId="4" borderId="1" xfId="0" applyNumberFormat="1" applyFont="1" applyFill="1" applyBorder="1"/>
    <xf numFmtId="165" fontId="0" fillId="0" borderId="1" xfId="0" applyNumberFormat="1" applyBorder="1"/>
    <xf numFmtId="0" fontId="0" fillId="7" borderId="1" xfId="0" applyFill="1" applyBorder="1"/>
    <xf numFmtId="0" fontId="8" fillId="2" borderId="1" xfId="0" applyFont="1" applyFill="1" applyBorder="1" applyAlignment="1">
      <alignment horizontal="center" vertical="center"/>
    </xf>
    <xf numFmtId="165" fontId="7" fillId="0" borderId="1" xfId="0" applyNumberFormat="1" applyFont="1" applyBorder="1"/>
    <xf numFmtId="164" fontId="7" fillId="0" borderId="1" xfId="0" applyNumberFormat="1" applyFont="1" applyBorder="1"/>
    <xf numFmtId="0" fontId="14" fillId="2" borderId="5" xfId="0" applyFont="1" applyFill="1" applyBorder="1"/>
    <xf numFmtId="0" fontId="15" fillId="0" borderId="0" xfId="0" applyFont="1"/>
    <xf numFmtId="0" fontId="8" fillId="3" borderId="0" xfId="0" applyFont="1" applyFill="1"/>
    <xf numFmtId="0" fontId="7" fillId="0" borderId="6" xfId="0" applyFont="1" applyBorder="1"/>
    <xf numFmtId="0" fontId="0" fillId="0" borderId="1" xfId="0" applyBorder="1"/>
    <xf numFmtId="165" fontId="13" fillId="7" borderId="5" xfId="0" applyNumberFormat="1" applyFont="1" applyFill="1" applyBorder="1"/>
    <xf numFmtId="14" fontId="7" fillId="0" borderId="1" xfId="0" applyNumberFormat="1" applyFont="1" applyBorder="1"/>
    <xf numFmtId="44" fontId="7" fillId="0" borderId="1" xfId="0" applyNumberFormat="1" applyFont="1" applyBorder="1"/>
    <xf numFmtId="14" fontId="7" fillId="0" borderId="6" xfId="0" applyNumberFormat="1" applyFont="1" applyBorder="1" applyAlignment="1">
      <alignment horizontal="left"/>
    </xf>
    <xf numFmtId="0" fontId="7" fillId="0" borderId="1" xfId="0" applyFont="1" applyBorder="1" applyAlignment="1">
      <alignment horizontal="right"/>
    </xf>
    <xf numFmtId="0" fontId="0" fillId="0" borderId="0" xfId="0" applyAlignment="1">
      <alignment horizontal="right"/>
    </xf>
    <xf numFmtId="14" fontId="0" fillId="0" borderId="0" xfId="0" applyNumberFormat="1"/>
    <xf numFmtId="0" fontId="7" fillId="0" borderId="1" xfId="0" applyFont="1" applyBorder="1" applyAlignment="1">
      <alignment horizontal="center"/>
    </xf>
    <xf numFmtId="0" fontId="0" fillId="0" borderId="0" xfId="0" applyAlignment="1">
      <alignment horizontal="center"/>
    </xf>
    <xf numFmtId="0" fontId="0" fillId="10" borderId="0" xfId="0" applyFill="1"/>
    <xf numFmtId="0" fontId="0" fillId="10" borderId="14" xfId="0" applyFill="1" applyBorder="1" applyAlignment="1">
      <alignment horizontal="center"/>
    </xf>
    <xf numFmtId="0" fontId="0" fillId="10" borderId="14" xfId="0" applyFill="1" applyBorder="1"/>
    <xf numFmtId="0" fontId="0" fillId="10" borderId="13" xfId="0" applyFill="1" applyBorder="1" applyAlignment="1">
      <alignment horizontal="center"/>
    </xf>
    <xf numFmtId="0" fontId="0" fillId="10" borderId="13" xfId="0" applyFill="1" applyBorder="1"/>
    <xf numFmtId="167" fontId="7" fillId="0" borderId="1" xfId="0" applyNumberFormat="1" applyFont="1" applyBorder="1" applyAlignment="1">
      <alignment horizontal="right"/>
    </xf>
    <xf numFmtId="167" fontId="7" fillId="0" borderId="1" xfId="0" applyNumberFormat="1" applyFont="1" applyBorder="1"/>
    <xf numFmtId="165" fontId="20" fillId="0" borderId="1" xfId="0" applyNumberFormat="1" applyFont="1" applyBorder="1"/>
    <xf numFmtId="0" fontId="20" fillId="0" borderId="0" xfId="0" applyFont="1"/>
    <xf numFmtId="0" fontId="20" fillId="0" borderId="3" xfId="0" applyFont="1" applyBorder="1" applyAlignment="1">
      <alignment horizontal="center" vertical="center"/>
    </xf>
    <xf numFmtId="0" fontId="22" fillId="0" borderId="0" xfId="1"/>
    <xf numFmtId="0" fontId="23" fillId="0" borderId="0" xfId="0" applyFont="1"/>
    <xf numFmtId="0" fontId="24" fillId="0" borderId="0" xfId="0" applyFont="1"/>
    <xf numFmtId="0" fontId="0" fillId="11" borderId="0" xfId="0" applyFill="1"/>
    <xf numFmtId="0" fontId="25" fillId="0" borderId="0" xfId="0" applyFont="1"/>
    <xf numFmtId="0" fontId="26" fillId="0" borderId="0" xfId="0" applyFont="1"/>
    <xf numFmtId="0" fontId="26" fillId="13" borderId="0" xfId="0" applyFont="1" applyFill="1"/>
    <xf numFmtId="0" fontId="26" fillId="13" borderId="0" xfId="0" applyFont="1" applyFill="1" applyAlignment="1">
      <alignment horizontal="right"/>
    </xf>
    <xf numFmtId="0" fontId="26" fillId="13" borderId="0" xfId="0" applyFont="1" applyFill="1" applyAlignment="1">
      <alignment horizontal="center"/>
    </xf>
    <xf numFmtId="0" fontId="27" fillId="0" borderId="0" xfId="0" applyFont="1"/>
    <xf numFmtId="167" fontId="27" fillId="0" borderId="0" xfId="0" applyNumberFormat="1" applyFont="1"/>
    <xf numFmtId="0" fontId="28" fillId="0" borderId="0" xfId="0" applyFont="1"/>
    <xf numFmtId="0" fontId="30" fillId="9" borderId="0" xfId="0" applyFont="1" applyFill="1" applyAlignment="1">
      <alignment horizontal="center"/>
    </xf>
    <xf numFmtId="167" fontId="31" fillId="0" borderId="0" xfId="0" applyNumberFormat="1" applyFont="1"/>
    <xf numFmtId="167" fontId="33" fillId="0" borderId="0" xfId="0" applyNumberFormat="1" applyFont="1"/>
    <xf numFmtId="167" fontId="34" fillId="0" borderId="0" xfId="0" applyNumberFormat="1" applyFont="1"/>
    <xf numFmtId="0" fontId="35" fillId="15" borderId="0" xfId="0" applyFont="1" applyFill="1" applyAlignment="1">
      <alignment horizontal="center"/>
    </xf>
    <xf numFmtId="0" fontId="36" fillId="0" borderId="0" xfId="0" applyFont="1"/>
    <xf numFmtId="0" fontId="37" fillId="0" borderId="0" xfId="0" applyFont="1"/>
    <xf numFmtId="0" fontId="38" fillId="0" borderId="0" xfId="0" applyFont="1"/>
    <xf numFmtId="167" fontId="20" fillId="0" borderId="0" xfId="0" applyNumberFormat="1" applyFont="1"/>
    <xf numFmtId="0" fontId="39" fillId="0" borderId="0" xfId="0" applyFont="1"/>
    <xf numFmtId="167" fontId="26" fillId="0" borderId="0" xfId="0" applyNumberFormat="1" applyFont="1"/>
    <xf numFmtId="0" fontId="41" fillId="0" borderId="0" xfId="0" applyFont="1"/>
    <xf numFmtId="169" fontId="20" fillId="0" borderId="0" xfId="0" applyNumberFormat="1" applyFont="1"/>
    <xf numFmtId="0" fontId="33" fillId="0" borderId="0" xfId="0" applyFont="1"/>
    <xf numFmtId="0" fontId="34" fillId="0" borderId="0" xfId="0" applyFont="1"/>
    <xf numFmtId="169" fontId="34" fillId="0" borderId="0" xfId="0" applyNumberFormat="1" applyFont="1"/>
    <xf numFmtId="0" fontId="42" fillId="0" borderId="0" xfId="0" applyFont="1"/>
    <xf numFmtId="0" fontId="26" fillId="16" borderId="0" xfId="0" applyFont="1" applyFill="1"/>
    <xf numFmtId="167" fontId="26" fillId="16" borderId="0" xfId="0" applyNumberFormat="1" applyFont="1" applyFill="1"/>
    <xf numFmtId="0" fontId="0" fillId="17" borderId="0" xfId="0" applyFill="1"/>
    <xf numFmtId="0" fontId="44" fillId="0" borderId="0" xfId="0" applyFont="1"/>
    <xf numFmtId="0" fontId="45" fillId="0" borderId="0" xfId="0" applyFont="1"/>
    <xf numFmtId="167" fontId="37" fillId="0" borderId="0" xfId="0" applyNumberFormat="1" applyFont="1"/>
    <xf numFmtId="167" fontId="39" fillId="0" borderId="0" xfId="0" applyNumberFormat="1" applyFont="1"/>
    <xf numFmtId="171" fontId="20" fillId="0" borderId="0" xfId="0" applyNumberFormat="1" applyFont="1"/>
    <xf numFmtId="0" fontId="43" fillId="16" borderId="0" xfId="0" applyFont="1" applyFill="1"/>
    <xf numFmtId="167" fontId="43" fillId="16" borderId="0" xfId="0" applyNumberFormat="1" applyFont="1" applyFill="1"/>
    <xf numFmtId="0" fontId="26" fillId="14" borderId="0" xfId="0" applyFont="1" applyFill="1"/>
    <xf numFmtId="170" fontId="26" fillId="14" borderId="0" xfId="0" applyNumberFormat="1" applyFont="1" applyFill="1"/>
    <xf numFmtId="0" fontId="46" fillId="19" borderId="0" xfId="0" applyFont="1" applyFill="1"/>
    <xf numFmtId="0" fontId="47" fillId="0" borderId="0" xfId="0" applyFont="1"/>
    <xf numFmtId="0" fontId="47" fillId="19" borderId="0" xfId="0" applyFont="1" applyFill="1" applyAlignment="1">
      <alignment horizontal="right"/>
    </xf>
    <xf numFmtId="172" fontId="45" fillId="0" borderId="0" xfId="0" applyNumberFormat="1" applyFont="1"/>
    <xf numFmtId="172" fontId="47" fillId="0" borderId="0" xfId="0" applyNumberFormat="1" applyFont="1"/>
    <xf numFmtId="0" fontId="48" fillId="0" borderId="0" xfId="0" applyFont="1"/>
    <xf numFmtId="0" fontId="26" fillId="13" borderId="20" xfId="0" applyFont="1" applyFill="1" applyBorder="1" applyAlignment="1">
      <alignment horizontal="center"/>
    </xf>
    <xf numFmtId="0" fontId="26" fillId="13" borderId="19" xfId="0" applyFont="1" applyFill="1" applyBorder="1" applyAlignment="1">
      <alignment horizontal="center"/>
    </xf>
    <xf numFmtId="0" fontId="26" fillId="13" borderId="19" xfId="0" applyFont="1" applyFill="1" applyBorder="1"/>
    <xf numFmtId="0" fontId="26" fillId="13" borderId="19" xfId="0" applyFont="1" applyFill="1" applyBorder="1" applyAlignment="1">
      <alignment horizontal="right"/>
    </xf>
    <xf numFmtId="0" fontId="20" fillId="0" borderId="21" xfId="0" applyFont="1" applyBorder="1" applyAlignment="1">
      <alignment horizontal="center"/>
    </xf>
    <xf numFmtId="166" fontId="20" fillId="0" borderId="1" xfId="0" applyNumberFormat="1" applyFont="1" applyBorder="1" applyAlignment="1">
      <alignment horizontal="center"/>
    </xf>
    <xf numFmtId="0" fontId="20" fillId="0" borderId="1" xfId="0" applyFont="1" applyBorder="1"/>
    <xf numFmtId="167" fontId="20" fillId="0" borderId="1" xfId="0" applyNumberFormat="1" applyFont="1" applyBorder="1"/>
    <xf numFmtId="0" fontId="26" fillId="0" borderId="1" xfId="0" applyFont="1" applyBorder="1" applyAlignment="1">
      <alignment horizontal="center"/>
    </xf>
    <xf numFmtId="0" fontId="20" fillId="0" borderId="1" xfId="0" applyFont="1" applyBorder="1" applyAlignment="1">
      <alignment horizontal="center"/>
    </xf>
    <xf numFmtId="0" fontId="35" fillId="15" borderId="1" xfId="0" applyFont="1" applyFill="1" applyBorder="1" applyAlignment="1">
      <alignment horizontal="center"/>
    </xf>
    <xf numFmtId="0" fontId="30" fillId="9" borderId="1" xfId="0" applyFont="1" applyFill="1" applyBorder="1" applyAlignment="1">
      <alignment horizontal="center"/>
    </xf>
    <xf numFmtId="0" fontId="32" fillId="14" borderId="1" xfId="0" applyFont="1" applyFill="1" applyBorder="1" applyAlignment="1">
      <alignment horizontal="center"/>
    </xf>
    <xf numFmtId="0" fontId="26" fillId="13" borderId="22" xfId="0" applyFont="1" applyFill="1" applyBorder="1" applyAlignment="1">
      <alignment horizontal="center"/>
    </xf>
    <xf numFmtId="0" fontId="26" fillId="13" borderId="22" xfId="0" applyFont="1" applyFill="1" applyBorder="1"/>
    <xf numFmtId="0" fontId="26" fillId="13" borderId="22" xfId="0" applyFont="1" applyFill="1" applyBorder="1" applyAlignment="1">
      <alignment horizontal="right"/>
    </xf>
    <xf numFmtId="0" fontId="20" fillId="0" borderId="23" xfId="0" applyFont="1" applyBorder="1" applyAlignment="1">
      <alignment horizontal="center"/>
    </xf>
    <xf numFmtId="0" fontId="26" fillId="0" borderId="24" xfId="0" applyFont="1" applyBorder="1"/>
    <xf numFmtId="0" fontId="26" fillId="13" borderId="26" xfId="0" applyFont="1" applyFill="1" applyBorder="1" applyAlignment="1">
      <alignment horizontal="center"/>
    </xf>
    <xf numFmtId="0" fontId="20" fillId="0" borderId="27" xfId="0" applyFont="1" applyBorder="1" applyAlignment="1">
      <alignment horizontal="center"/>
    </xf>
    <xf numFmtId="0" fontId="26" fillId="13" borderId="28" xfId="0" applyFont="1" applyFill="1" applyBorder="1" applyAlignment="1">
      <alignment horizontal="center"/>
    </xf>
    <xf numFmtId="0" fontId="40" fillId="0" borderId="29" xfId="0" applyFont="1" applyBorder="1"/>
    <xf numFmtId="0" fontId="37" fillId="0" borderId="29" xfId="0" applyFont="1" applyBorder="1"/>
    <xf numFmtId="0" fontId="43" fillId="13" borderId="30" xfId="0" applyFont="1" applyFill="1" applyBorder="1"/>
    <xf numFmtId="0" fontId="0" fillId="0" borderId="30" xfId="0" applyBorder="1"/>
    <xf numFmtId="170" fontId="43" fillId="13" borderId="30" xfId="0" applyNumberFormat="1" applyFont="1" applyFill="1" applyBorder="1"/>
    <xf numFmtId="0" fontId="0" fillId="0" borderId="19" xfId="0" applyBorder="1"/>
    <xf numFmtId="0" fontId="0" fillId="0" borderId="18" xfId="0" applyBorder="1"/>
    <xf numFmtId="0" fontId="26" fillId="0" borderId="1" xfId="0" applyFont="1" applyBorder="1"/>
    <xf numFmtId="0" fontId="45" fillId="0" borderId="1" xfId="0" applyFont="1" applyBorder="1"/>
    <xf numFmtId="0" fontId="0" fillId="0" borderId="3" xfId="0" applyBorder="1"/>
    <xf numFmtId="0" fontId="20" fillId="0" borderId="24" xfId="0" applyFont="1" applyBorder="1"/>
    <xf numFmtId="0" fontId="45" fillId="0" borderId="24" xfId="0" applyFont="1" applyBorder="1"/>
    <xf numFmtId="0" fontId="0" fillId="0" borderId="24" xfId="0" applyBorder="1"/>
    <xf numFmtId="0" fontId="0" fillId="0" borderId="25" xfId="0" applyBorder="1"/>
    <xf numFmtId="0" fontId="48" fillId="0" borderId="29" xfId="0" applyFont="1" applyBorder="1"/>
    <xf numFmtId="0" fontId="49" fillId="0" borderId="1" xfId="0" applyFont="1" applyBorder="1"/>
    <xf numFmtId="0" fontId="50" fillId="0" borderId="0" xfId="0" applyFont="1"/>
    <xf numFmtId="0" fontId="51" fillId="0" borderId="0" xfId="0" applyFont="1"/>
    <xf numFmtId="166" fontId="36" fillId="0" borderId="0" xfId="0" applyNumberFormat="1" applyFont="1"/>
    <xf numFmtId="0" fontId="52" fillId="0" borderId="0" xfId="0" applyFont="1"/>
    <xf numFmtId="0" fontId="53" fillId="0" borderId="0" xfId="0" applyFont="1"/>
    <xf numFmtId="168" fontId="53" fillId="0" borderId="0" xfId="0" applyNumberFormat="1" applyFont="1"/>
    <xf numFmtId="0" fontId="54" fillId="0" borderId="0" xfId="0" applyFont="1"/>
    <xf numFmtId="168" fontId="50" fillId="0" borderId="0" xfId="0" applyNumberFormat="1" applyFont="1"/>
    <xf numFmtId="1" fontId="50" fillId="0" borderId="0" xfId="0" applyNumberFormat="1" applyFont="1"/>
    <xf numFmtId="164" fontId="50" fillId="0" borderId="0" xfId="0" applyNumberFormat="1" applyFont="1"/>
    <xf numFmtId="0" fontId="0" fillId="0" borderId="31" xfId="0" applyBorder="1"/>
    <xf numFmtId="0" fontId="55" fillId="0" borderId="0" xfId="0" applyFont="1"/>
    <xf numFmtId="0" fontId="56" fillId="0" borderId="32" xfId="0" applyFont="1" applyBorder="1"/>
    <xf numFmtId="168" fontId="25" fillId="0" borderId="0" xfId="0" applyNumberFormat="1" applyFont="1"/>
    <xf numFmtId="168" fontId="59" fillId="0" borderId="32" xfId="0" applyNumberFormat="1" applyFont="1" applyBorder="1"/>
    <xf numFmtId="164" fontId="60" fillId="0" borderId="0" xfId="0" applyNumberFormat="1" applyFont="1"/>
    <xf numFmtId="0" fontId="57" fillId="11" borderId="34" xfId="0" applyFont="1" applyFill="1" applyBorder="1" applyAlignment="1">
      <alignment horizontal="center"/>
    </xf>
    <xf numFmtId="0" fontId="57" fillId="11" borderId="35" xfId="0" applyFont="1" applyFill="1" applyBorder="1" applyAlignment="1">
      <alignment horizontal="center"/>
    </xf>
    <xf numFmtId="0" fontId="25" fillId="20" borderId="36" xfId="0" applyFont="1" applyFill="1" applyBorder="1"/>
    <xf numFmtId="173" fontId="25" fillId="20" borderId="37" xfId="0" applyNumberFormat="1" applyFont="1" applyFill="1" applyBorder="1"/>
    <xf numFmtId="174" fontId="25" fillId="20" borderId="37" xfId="0" applyNumberFormat="1" applyFont="1" applyFill="1" applyBorder="1" applyAlignment="1">
      <alignment horizontal="center"/>
    </xf>
    <xf numFmtId="0" fontId="25" fillId="20" borderId="38" xfId="0" applyFont="1" applyFill="1" applyBorder="1" applyAlignment="1">
      <alignment horizontal="center"/>
    </xf>
    <xf numFmtId="0" fontId="25" fillId="0" borderId="36" xfId="0" applyFont="1" applyBorder="1"/>
    <xf numFmtId="173" fontId="25" fillId="0" borderId="37" xfId="0" applyNumberFormat="1" applyFont="1" applyBorder="1"/>
    <xf numFmtId="174" fontId="25" fillId="0" borderId="37" xfId="0" applyNumberFormat="1" applyFont="1" applyBorder="1" applyAlignment="1">
      <alignment horizontal="center"/>
    </xf>
    <xf numFmtId="0" fontId="25" fillId="0" borderId="38" xfId="0" applyFont="1" applyBorder="1" applyAlignment="1">
      <alignment horizontal="center"/>
    </xf>
    <xf numFmtId="0" fontId="56" fillId="0" borderId="39" xfId="0" applyFont="1" applyBorder="1"/>
    <xf numFmtId="173" fontId="56" fillId="0" borderId="40" xfId="0" applyNumberFormat="1" applyFont="1" applyBorder="1"/>
    <xf numFmtId="164" fontId="56" fillId="0" borderId="40" xfId="0" applyNumberFormat="1" applyFont="1" applyBorder="1" applyAlignment="1">
      <alignment horizontal="center"/>
    </xf>
    <xf numFmtId="0" fontId="58" fillId="0" borderId="36" xfId="0" applyFont="1" applyBorder="1"/>
    <xf numFmtId="173" fontId="58" fillId="0" borderId="37" xfId="0" applyNumberFormat="1" applyFont="1" applyBorder="1"/>
    <xf numFmtId="0" fontId="58" fillId="0" borderId="42" xfId="0" applyFont="1" applyBorder="1"/>
    <xf numFmtId="173" fontId="58" fillId="0" borderId="43" xfId="0" applyNumberFormat="1" applyFont="1" applyBorder="1"/>
    <xf numFmtId="0" fontId="58" fillId="0" borderId="41" xfId="0" applyFont="1" applyBorder="1" applyAlignment="1">
      <alignment horizontal="center"/>
    </xf>
    <xf numFmtId="0" fontId="57" fillId="11" borderId="33" xfId="0" applyFont="1" applyFill="1" applyBorder="1" applyAlignment="1">
      <alignment horizontal="left"/>
    </xf>
    <xf numFmtId="0" fontId="56" fillId="0" borderId="44" xfId="0" applyFont="1" applyBorder="1"/>
    <xf numFmtId="0" fontId="29" fillId="20" borderId="38" xfId="0" applyFont="1" applyFill="1" applyBorder="1" applyAlignment="1">
      <alignment horizontal="center"/>
    </xf>
    <xf numFmtId="168" fontId="61" fillId="0" borderId="0" xfId="0" applyNumberFormat="1" applyFont="1"/>
    <xf numFmtId="165" fontId="7" fillId="21" borderId="1" xfId="0" applyNumberFormat="1" applyFont="1" applyFill="1" applyBorder="1"/>
    <xf numFmtId="0" fontId="7" fillId="0" borderId="1" xfId="0" applyFont="1" applyBorder="1" applyAlignment="1">
      <alignment horizontal="right" wrapText="1"/>
    </xf>
    <xf numFmtId="0" fontId="8" fillId="11" borderId="0" xfId="0" applyFont="1" applyFill="1"/>
    <xf numFmtId="0" fontId="10" fillId="0" borderId="0" xfId="0" applyFont="1"/>
    <xf numFmtId="0" fontId="14" fillId="11" borderId="0" xfId="0" applyFont="1" applyFill="1"/>
    <xf numFmtId="0" fontId="14" fillId="17" borderId="0" xfId="0" applyFont="1" applyFill="1"/>
    <xf numFmtId="0" fontId="8" fillId="18" borderId="1" xfId="0" applyFont="1" applyFill="1" applyBorder="1" applyAlignment="1">
      <alignment horizontal="center" vertical="center"/>
    </xf>
    <xf numFmtId="0" fontId="8" fillId="17" borderId="1" xfId="0" applyFont="1" applyFill="1" applyBorder="1" applyAlignment="1">
      <alignment horizontal="center" vertical="center"/>
    </xf>
    <xf numFmtId="0" fontId="6" fillId="15" borderId="1" xfId="0" applyFont="1" applyFill="1" applyBorder="1" applyAlignment="1">
      <alignment horizontal="center" vertical="center"/>
    </xf>
    <xf numFmtId="0" fontId="8" fillId="18" borderId="24" xfId="0" applyFont="1" applyFill="1" applyBorder="1" applyAlignment="1">
      <alignment horizontal="center" vertical="center"/>
    </xf>
    <xf numFmtId="0" fontId="2" fillId="10" borderId="0" xfId="0" applyFont="1" applyFill="1" applyAlignment="1">
      <alignment horizontal="center"/>
    </xf>
    <xf numFmtId="0" fontId="4" fillId="10" borderId="0" xfId="0" applyFont="1" applyFill="1" applyAlignment="1">
      <alignment horizontal="center"/>
    </xf>
    <xf numFmtId="0" fontId="8" fillId="11" borderId="2" xfId="0" applyFont="1" applyFill="1" applyBorder="1" applyAlignment="1">
      <alignment horizontal="center"/>
    </xf>
    <xf numFmtId="0" fontId="8" fillId="11" borderId="16" xfId="0" applyFont="1" applyFill="1" applyBorder="1" applyAlignment="1">
      <alignment horizontal="center"/>
    </xf>
    <xf numFmtId="0" fontId="7" fillId="10" borderId="2" xfId="0" applyFont="1" applyFill="1" applyBorder="1"/>
    <xf numFmtId="166" fontId="7" fillId="10" borderId="2" xfId="0" applyNumberFormat="1" applyFont="1" applyFill="1" applyBorder="1"/>
    <xf numFmtId="167" fontId="7" fillId="10" borderId="2" xfId="0" applyNumberFormat="1" applyFont="1" applyFill="1" applyBorder="1"/>
    <xf numFmtId="0" fontId="7" fillId="9" borderId="2" xfId="0" applyFont="1" applyFill="1" applyBorder="1"/>
    <xf numFmtId="0" fontId="7" fillId="10" borderId="2" xfId="0" applyFont="1" applyFill="1" applyBorder="1" applyAlignment="1">
      <alignment horizontal="center"/>
    </xf>
    <xf numFmtId="166" fontId="7" fillId="10" borderId="16" xfId="0" applyNumberFormat="1" applyFont="1" applyFill="1" applyBorder="1"/>
    <xf numFmtId="0" fontId="7" fillId="10" borderId="3" xfId="0" applyFont="1" applyFill="1" applyBorder="1"/>
    <xf numFmtId="14" fontId="7" fillId="10" borderId="3" xfId="0" applyNumberFormat="1" applyFont="1" applyFill="1" applyBorder="1"/>
    <xf numFmtId="167" fontId="7" fillId="10" borderId="3" xfId="0" applyNumberFormat="1" applyFont="1" applyFill="1" applyBorder="1"/>
    <xf numFmtId="0" fontId="7" fillId="9" borderId="3" xfId="0" applyFont="1" applyFill="1" applyBorder="1"/>
    <xf numFmtId="0" fontId="7" fillId="10" borderId="3" xfId="0" applyFont="1" applyFill="1" applyBorder="1" applyAlignment="1">
      <alignment horizontal="center"/>
    </xf>
    <xf numFmtId="14" fontId="7" fillId="10" borderId="1" xfId="0" applyNumberFormat="1" applyFont="1" applyFill="1" applyBorder="1"/>
    <xf numFmtId="0" fontId="8" fillId="11" borderId="16" xfId="0" applyFont="1" applyFill="1" applyBorder="1" applyAlignment="1">
      <alignment horizontal="center" vertical="center"/>
    </xf>
    <xf numFmtId="0" fontId="8" fillId="12" borderId="2" xfId="0" applyFont="1" applyFill="1" applyBorder="1" applyAlignment="1">
      <alignment horizontal="center"/>
    </xf>
    <xf numFmtId="0" fontId="8" fillId="12" borderId="16" xfId="0" applyFont="1" applyFill="1" applyBorder="1"/>
    <xf numFmtId="167" fontId="7" fillId="10" borderId="17" xfId="0" applyNumberFormat="1" applyFont="1" applyFill="1" applyBorder="1" applyAlignment="1">
      <alignment horizontal="right"/>
    </xf>
    <xf numFmtId="167" fontId="7" fillId="10" borderId="15" xfId="0" applyNumberFormat="1" applyFont="1" applyFill="1" applyBorder="1"/>
    <xf numFmtId="167" fontId="7" fillId="10" borderId="3" xfId="0" applyNumberFormat="1" applyFont="1" applyFill="1" applyBorder="1" applyAlignment="1">
      <alignment horizontal="right"/>
    </xf>
    <xf numFmtId="167" fontId="7" fillId="10" borderId="1" xfId="0" applyNumberFormat="1" applyFont="1" applyFill="1" applyBorder="1"/>
    <xf numFmtId="0" fontId="8" fillId="12" borderId="17" xfId="0" applyFont="1" applyFill="1" applyBorder="1" applyAlignment="1">
      <alignment horizontal="center"/>
    </xf>
    <xf numFmtId="0" fontId="8" fillId="12" borderId="15" xfId="0" applyFont="1" applyFill="1" applyBorder="1"/>
    <xf numFmtId="167" fontId="7" fillId="10" borderId="18" xfId="0" applyNumberFormat="1" applyFont="1" applyFill="1" applyBorder="1" applyAlignment="1">
      <alignment horizontal="right"/>
    </xf>
    <xf numFmtId="167" fontId="7" fillId="10" borderId="19" xfId="0" applyNumberFormat="1" applyFont="1" applyFill="1" applyBorder="1"/>
    <xf numFmtId="167" fontId="7" fillId="10" borderId="2" xfId="0" applyNumberFormat="1" applyFont="1" applyFill="1" applyBorder="1" applyAlignment="1">
      <alignment horizontal="right"/>
    </xf>
    <xf numFmtId="167" fontId="7" fillId="10" borderId="16" xfId="0" applyNumberFormat="1" applyFont="1" applyFill="1" applyBorder="1"/>
    <xf numFmtId="165" fontId="8" fillId="2" borderId="5" xfId="0" applyNumberFormat="1" applyFont="1" applyFill="1" applyBorder="1"/>
    <xf numFmtId="164" fontId="8" fillId="2" borderId="5" xfId="0" applyNumberFormat="1" applyFont="1" applyFill="1" applyBorder="1"/>
    <xf numFmtId="167" fontId="8" fillId="11" borderId="4" xfId="0" applyNumberFormat="1" applyFont="1" applyFill="1" applyBorder="1" applyAlignment="1">
      <alignment horizontal="right"/>
    </xf>
    <xf numFmtId="167" fontId="8" fillId="11" borderId="5" xfId="0" applyNumberFormat="1" applyFont="1" applyFill="1" applyBorder="1"/>
    <xf numFmtId="0" fontId="0" fillId="0" borderId="0" xfId="0" applyAlignment="1">
      <alignment vertical="top" wrapText="1"/>
    </xf>
    <xf numFmtId="14" fontId="0" fillId="0" borderId="0" xfId="0" applyNumberFormat="1" applyAlignment="1">
      <alignment vertical="top" wrapText="1"/>
    </xf>
    <xf numFmtId="165" fontId="8" fillId="2" borderId="4" xfId="0" applyNumberFormat="1" applyFont="1" applyFill="1" applyBorder="1"/>
    <xf numFmtId="0" fontId="8" fillId="2" borderId="3" xfId="0" applyFont="1" applyFill="1" applyBorder="1" applyAlignment="1">
      <alignment horizontal="center" vertical="center"/>
    </xf>
    <xf numFmtId="165" fontId="7" fillId="0" borderId="3" xfId="0" applyNumberFormat="1" applyFont="1" applyBorder="1"/>
    <xf numFmtId="165" fontId="7" fillId="22" borderId="3" xfId="0" applyNumberFormat="1" applyFont="1" applyFill="1" applyBorder="1"/>
    <xf numFmtId="0" fontId="64" fillId="10" borderId="0" xfId="0" applyFont="1" applyFill="1" applyAlignment="1">
      <alignment horizontal="right"/>
    </xf>
    <xf numFmtId="0" fontId="7" fillId="0" borderId="19" xfId="0" applyFont="1" applyBorder="1"/>
    <xf numFmtId="165" fontId="20" fillId="0" borderId="19" xfId="0" applyNumberFormat="1" applyFont="1" applyBorder="1"/>
    <xf numFmtId="0" fontId="8" fillId="2" borderId="21" xfId="0" applyFont="1" applyFill="1" applyBorder="1" applyAlignment="1">
      <alignment horizontal="center" vertical="center"/>
    </xf>
    <xf numFmtId="165" fontId="20" fillId="0" borderId="21" xfId="0" applyNumberFormat="1" applyFont="1" applyBorder="1"/>
    <xf numFmtId="165" fontId="7" fillId="0" borderId="18" xfId="0" applyNumberFormat="1" applyFont="1" applyBorder="1"/>
    <xf numFmtId="0" fontId="7" fillId="0" borderId="15" xfId="0" applyFont="1" applyBorder="1"/>
    <xf numFmtId="165" fontId="20" fillId="0" borderId="15" xfId="0" applyNumberFormat="1" applyFont="1" applyBorder="1"/>
    <xf numFmtId="165" fontId="20" fillId="0" borderId="16" xfId="0" applyNumberFormat="1" applyFont="1" applyBorder="1"/>
    <xf numFmtId="165" fontId="7" fillId="0" borderId="2" xfId="0" applyNumberFormat="1" applyFont="1" applyBorder="1"/>
    <xf numFmtId="165" fontId="7" fillId="0" borderId="14" xfId="0" applyNumberFormat="1" applyFont="1" applyBorder="1"/>
    <xf numFmtId="0" fontId="65" fillId="0" borderId="0" xfId="0" applyFont="1"/>
    <xf numFmtId="0" fontId="7" fillId="0" borderId="16" xfId="0" applyFont="1" applyBorder="1"/>
    <xf numFmtId="165" fontId="7" fillId="22" borderId="2" xfId="0" applyNumberFormat="1" applyFont="1" applyFill="1" applyBorder="1"/>
    <xf numFmtId="0" fontId="0" fillId="11" borderId="1" xfId="0" applyFill="1" applyBorder="1"/>
    <xf numFmtId="0" fontId="64" fillId="10" borderId="48" xfId="0" applyFont="1" applyFill="1" applyBorder="1" applyAlignment="1">
      <alignment horizontal="right"/>
    </xf>
    <xf numFmtId="0" fontId="8" fillId="18" borderId="46" xfId="0" applyFont="1" applyFill="1" applyBorder="1" applyAlignment="1">
      <alignment horizontal="center" vertical="center"/>
    </xf>
    <xf numFmtId="0" fontId="8" fillId="23" borderId="46" xfId="0" applyFont="1" applyFill="1" applyBorder="1" applyAlignment="1">
      <alignment horizontal="center" vertical="center"/>
    </xf>
    <xf numFmtId="0" fontId="8" fillId="17" borderId="46" xfId="0" applyFont="1" applyFill="1" applyBorder="1" applyAlignment="1">
      <alignment horizontal="center" vertical="center"/>
    </xf>
    <xf numFmtId="0" fontId="8" fillId="18" borderId="1" xfId="0" applyFont="1" applyFill="1" applyBorder="1" applyAlignment="1">
      <alignment horizontal="center" wrapText="1"/>
    </xf>
    <xf numFmtId="0" fontId="8" fillId="23" borderId="1" xfId="0" applyFont="1" applyFill="1" applyBorder="1" applyAlignment="1">
      <alignment horizontal="center" wrapText="1"/>
    </xf>
    <xf numFmtId="0" fontId="8" fillId="17" borderId="1" xfId="0" applyFont="1" applyFill="1" applyBorder="1" applyAlignment="1">
      <alignment horizontal="center" wrapText="1"/>
    </xf>
    <xf numFmtId="0" fontId="8" fillId="2" borderId="50" xfId="0" applyFont="1" applyFill="1" applyBorder="1" applyAlignment="1">
      <alignment horizontal="center" vertical="center"/>
    </xf>
    <xf numFmtId="0" fontId="8" fillId="2" borderId="51" xfId="0" applyFont="1" applyFill="1" applyBorder="1" applyAlignment="1">
      <alignment horizontal="center" vertical="center"/>
    </xf>
    <xf numFmtId="0" fontId="8" fillId="2" borderId="52" xfId="0" applyFont="1" applyFill="1" applyBorder="1" applyAlignment="1">
      <alignment horizontal="center" vertical="center"/>
    </xf>
    <xf numFmtId="0" fontId="64" fillId="10" borderId="55" xfId="0" applyFont="1" applyFill="1" applyBorder="1" applyAlignment="1">
      <alignment horizontal="right"/>
    </xf>
    <xf numFmtId="0" fontId="64" fillId="10" borderId="56" xfId="0" applyFont="1" applyFill="1" applyBorder="1" applyAlignment="1">
      <alignment horizontal="right"/>
    </xf>
    <xf numFmtId="165" fontId="20" fillId="21" borderId="1" xfId="0" applyNumberFormat="1" applyFont="1" applyFill="1" applyBorder="1"/>
    <xf numFmtId="43" fontId="0" fillId="0" borderId="0" xfId="0" applyNumberFormat="1"/>
    <xf numFmtId="0" fontId="8" fillId="12" borderId="53" xfId="0" applyFont="1" applyFill="1" applyBorder="1" applyAlignment="1">
      <alignment horizontal="right"/>
    </xf>
    <xf numFmtId="0" fontId="8" fillId="12" borderId="1" xfId="0" applyFont="1" applyFill="1" applyBorder="1" applyAlignment="1">
      <alignment horizontal="right"/>
    </xf>
    <xf numFmtId="0" fontId="8" fillId="12" borderId="54" xfId="0" applyFont="1" applyFill="1" applyBorder="1" applyAlignment="1">
      <alignment horizontal="right"/>
    </xf>
    <xf numFmtId="0" fontId="8" fillId="12" borderId="47" xfId="0" applyFont="1" applyFill="1" applyBorder="1" applyAlignment="1">
      <alignment horizontal="right"/>
    </xf>
    <xf numFmtId="165" fontId="7" fillId="10" borderId="53" xfId="0" applyNumberFormat="1" applyFont="1" applyFill="1" applyBorder="1" applyAlignment="1">
      <alignment horizontal="right"/>
    </xf>
    <xf numFmtId="165" fontId="7" fillId="10" borderId="1" xfId="0" applyNumberFormat="1" applyFont="1" applyFill="1" applyBorder="1" applyAlignment="1">
      <alignment horizontal="right"/>
    </xf>
    <xf numFmtId="165" fontId="7" fillId="10" borderId="54" xfId="0" applyNumberFormat="1" applyFont="1" applyFill="1" applyBorder="1" applyAlignment="1">
      <alignment horizontal="right"/>
    </xf>
    <xf numFmtId="165" fontId="7" fillId="10" borderId="47" xfId="0" applyNumberFormat="1" applyFont="1" applyFill="1" applyBorder="1" applyAlignment="1">
      <alignment horizontal="right"/>
    </xf>
    <xf numFmtId="0" fontId="7" fillId="10" borderId="55" xfId="0" applyFont="1" applyFill="1" applyBorder="1" applyAlignment="1">
      <alignment horizontal="right"/>
    </xf>
    <xf numFmtId="0" fontId="7" fillId="10" borderId="0" xfId="0" applyFont="1" applyFill="1" applyAlignment="1">
      <alignment horizontal="right"/>
    </xf>
    <xf numFmtId="0" fontId="7" fillId="10" borderId="56" xfId="0" applyFont="1" applyFill="1" applyBorder="1" applyAlignment="1">
      <alignment horizontal="right"/>
    </xf>
    <xf numFmtId="0" fontId="7" fillId="10" borderId="48" xfId="0" applyFont="1" applyFill="1" applyBorder="1" applyAlignment="1">
      <alignment horizontal="right"/>
    </xf>
    <xf numFmtId="165" fontId="8" fillId="11" borderId="57" xfId="0" applyNumberFormat="1" applyFont="1" applyFill="1" applyBorder="1" applyAlignment="1">
      <alignment horizontal="right"/>
    </xf>
    <xf numFmtId="165" fontId="8" fillId="11" borderId="58" xfId="0" applyNumberFormat="1" applyFont="1" applyFill="1" applyBorder="1" applyAlignment="1">
      <alignment horizontal="right"/>
    </xf>
    <xf numFmtId="165" fontId="8" fillId="11" borderId="59" xfId="0" applyNumberFormat="1" applyFont="1" applyFill="1" applyBorder="1" applyAlignment="1">
      <alignment horizontal="right"/>
    </xf>
    <xf numFmtId="165" fontId="8" fillId="11" borderId="49" xfId="0" applyNumberFormat="1" applyFont="1" applyFill="1" applyBorder="1" applyAlignment="1">
      <alignment horizontal="right"/>
    </xf>
    <xf numFmtId="0" fontId="2" fillId="0" borderId="0" xfId="0" applyFont="1"/>
    <xf numFmtId="0" fontId="4" fillId="0" borderId="0" xfId="0" applyFont="1"/>
    <xf numFmtId="0" fontId="8" fillId="11" borderId="1" xfId="0" applyFont="1" applyFill="1" applyBorder="1"/>
    <xf numFmtId="175" fontId="20" fillId="0" borderId="1" xfId="0" applyNumberFormat="1" applyFont="1" applyBorder="1"/>
    <xf numFmtId="175" fontId="26" fillId="0" borderId="1" xfId="0" applyNumberFormat="1" applyFont="1" applyBorder="1"/>
    <xf numFmtId="0" fontId="8" fillId="11" borderId="1" xfId="0" applyFont="1" applyFill="1" applyBorder="1" applyAlignment="1">
      <alignment horizontal="center"/>
    </xf>
    <xf numFmtId="0" fontId="8" fillId="11" borderId="1" xfId="0" applyFont="1" applyFill="1" applyBorder="1" applyAlignment="1">
      <alignment horizontal="center" wrapText="1"/>
    </xf>
    <xf numFmtId="164" fontId="20" fillId="0" borderId="1" xfId="0" applyNumberFormat="1" applyFont="1" applyBorder="1" applyAlignment="1">
      <alignment horizontal="center"/>
    </xf>
    <xf numFmtId="0" fontId="20" fillId="0" borderId="16" xfId="0" applyFont="1" applyBorder="1"/>
    <xf numFmtId="175" fontId="20" fillId="0" borderId="16" xfId="0" applyNumberFormat="1" applyFont="1" applyBorder="1"/>
    <xf numFmtId="164" fontId="20" fillId="0" borderId="16" xfId="0" applyNumberFormat="1" applyFont="1" applyBorder="1" applyAlignment="1">
      <alignment horizontal="center"/>
    </xf>
    <xf numFmtId="0" fontId="8" fillId="11" borderId="45" xfId="0" applyFont="1" applyFill="1" applyBorder="1"/>
    <xf numFmtId="175" fontId="8" fillId="11" borderId="45" xfId="0" applyNumberFormat="1" applyFont="1" applyFill="1" applyBorder="1"/>
    <xf numFmtId="164" fontId="8" fillId="11" borderId="45" xfId="0" applyNumberFormat="1" applyFont="1" applyFill="1" applyBorder="1" applyAlignment="1">
      <alignment horizontal="center"/>
    </xf>
    <xf numFmtId="0" fontId="8" fillId="11" borderId="16" xfId="0" applyFont="1" applyFill="1" applyBorder="1" applyAlignment="1">
      <alignment horizontal="center" vertical="center" wrapText="1"/>
    </xf>
    <xf numFmtId="0" fontId="20" fillId="0" borderId="60" xfId="0" applyFont="1" applyBorder="1" applyAlignment="1">
      <alignment horizontal="center"/>
    </xf>
    <xf numFmtId="166" fontId="20" fillId="0" borderId="16" xfId="0" applyNumberFormat="1" applyFont="1" applyBorder="1" applyAlignment="1">
      <alignment horizontal="center"/>
    </xf>
    <xf numFmtId="167" fontId="20" fillId="0" borderId="16" xfId="0" applyNumberFormat="1" applyFont="1" applyBorder="1"/>
    <xf numFmtId="0" fontId="20" fillId="0" borderId="16" xfId="0" applyFont="1" applyBorder="1" applyAlignment="1">
      <alignment horizontal="center"/>
    </xf>
    <xf numFmtId="0" fontId="30" fillId="9" borderId="16" xfId="0" applyFont="1" applyFill="1" applyBorder="1" applyAlignment="1">
      <alignment horizontal="center"/>
    </xf>
    <xf numFmtId="0" fontId="37" fillId="0" borderId="61" xfId="0" applyFont="1" applyBorder="1"/>
    <xf numFmtId="0" fontId="66" fillId="0" borderId="16" xfId="0" applyFont="1" applyBorder="1"/>
    <xf numFmtId="167" fontId="66" fillId="0" borderId="16" xfId="0" applyNumberFormat="1" applyFont="1" applyBorder="1"/>
    <xf numFmtId="167" fontId="34" fillId="0" borderId="16" xfId="0" applyNumberFormat="1" applyFont="1" applyBorder="1"/>
    <xf numFmtId="0" fontId="40" fillId="0" borderId="61" xfId="0" applyFont="1" applyBorder="1"/>
    <xf numFmtId="0" fontId="66" fillId="0" borderId="16" xfId="0" applyFont="1" applyBorder="1" applyAlignment="1">
      <alignment horizontal="center"/>
    </xf>
    <xf numFmtId="0" fontId="32" fillId="14" borderId="16" xfId="0" applyFont="1" applyFill="1" applyBorder="1" applyAlignment="1">
      <alignment horizontal="center"/>
    </xf>
    <xf numFmtId="0" fontId="20" fillId="0" borderId="62" xfId="0" applyFont="1" applyBorder="1" applyAlignment="1">
      <alignment horizontal="center"/>
    </xf>
    <xf numFmtId="166" fontId="20" fillId="0" borderId="2" xfId="0" applyNumberFormat="1" applyFont="1" applyBorder="1" applyAlignment="1">
      <alignment horizontal="center"/>
    </xf>
    <xf numFmtId="0" fontId="66" fillId="0" borderId="2" xfId="0" applyFont="1" applyBorder="1"/>
    <xf numFmtId="167" fontId="66" fillId="0" borderId="2" xfId="0" applyNumberFormat="1" applyFont="1" applyBorder="1"/>
    <xf numFmtId="0" fontId="66" fillId="0" borderId="2" xfId="0" applyFont="1" applyBorder="1" applyAlignment="1">
      <alignment horizontal="center"/>
    </xf>
    <xf numFmtId="0" fontId="32" fillId="14" borderId="2" xfId="0" applyFont="1" applyFill="1" applyBorder="1" applyAlignment="1">
      <alignment horizontal="center"/>
    </xf>
    <xf numFmtId="167" fontId="34" fillId="0" borderId="2" xfId="0" applyNumberFormat="1" applyFont="1" applyBorder="1"/>
    <xf numFmtId="0" fontId="40" fillId="0" borderId="63" xfId="0" applyFont="1" applyBorder="1"/>
    <xf numFmtId="0" fontId="20" fillId="0" borderId="64" xfId="0" applyFont="1" applyBorder="1" applyAlignment="1">
      <alignment horizontal="center"/>
    </xf>
    <xf numFmtId="166" fontId="20" fillId="0" borderId="65" xfId="0" applyNumberFormat="1" applyFont="1" applyBorder="1" applyAlignment="1">
      <alignment horizontal="center"/>
    </xf>
    <xf numFmtId="0" fontId="66" fillId="0" borderId="65" xfId="0" applyFont="1" applyBorder="1"/>
    <xf numFmtId="167" fontId="66" fillId="0" borderId="65" xfId="0" applyNumberFormat="1" applyFont="1" applyBorder="1"/>
    <xf numFmtId="0" fontId="7" fillId="0" borderId="65" xfId="0" applyFont="1" applyBorder="1" applyAlignment="1">
      <alignment horizontal="center"/>
    </xf>
    <xf numFmtId="0" fontId="30" fillId="9" borderId="65" xfId="0" applyFont="1" applyFill="1" applyBorder="1" applyAlignment="1">
      <alignment horizontal="center"/>
    </xf>
    <xf numFmtId="167" fontId="34" fillId="0" borderId="65" xfId="0" applyNumberFormat="1" applyFont="1" applyBorder="1"/>
    <xf numFmtId="0" fontId="37" fillId="0" borderId="66" xfId="0" applyFont="1" applyBorder="1"/>
    <xf numFmtId="0" fontId="69" fillId="0" borderId="0" xfId="4"/>
    <xf numFmtId="0" fontId="69" fillId="0" borderId="0" xfId="4" applyAlignment="1">
      <alignment vertical="center"/>
    </xf>
    <xf numFmtId="177" fontId="72" fillId="0" borderId="69" xfId="4" applyNumberFormat="1" applyFont="1" applyBorder="1" applyAlignment="1">
      <alignment horizontal="right" vertical="center"/>
    </xf>
    <xf numFmtId="0" fontId="69" fillId="0" borderId="0" xfId="4" applyAlignment="1">
      <alignment horizontal="right" vertical="center"/>
    </xf>
    <xf numFmtId="0" fontId="69" fillId="25" borderId="0" xfId="4" applyFill="1" applyAlignment="1">
      <alignment vertical="center"/>
    </xf>
    <xf numFmtId="177" fontId="69" fillId="25" borderId="0" xfId="4" applyNumberFormat="1" applyFill="1" applyAlignment="1">
      <alignment horizontal="right" vertical="center"/>
    </xf>
    <xf numFmtId="177" fontId="69" fillId="0" borderId="0" xfId="4" applyNumberFormat="1" applyAlignment="1">
      <alignment horizontal="right" vertical="center"/>
    </xf>
    <xf numFmtId="0" fontId="73" fillId="0" borderId="70" xfId="4" applyFont="1" applyBorder="1" applyAlignment="1">
      <alignment horizontal="right" vertical="center" wrapText="1"/>
    </xf>
    <xf numFmtId="0" fontId="1" fillId="0" borderId="0" xfId="5"/>
    <xf numFmtId="179" fontId="79" fillId="0" borderId="0" xfId="5" applyNumberFormat="1" applyFont="1" applyAlignment="1">
      <alignment horizontal="right" vertical="top" wrapText="1" shrinkToFit="1" readingOrder="1"/>
    </xf>
    <xf numFmtId="179" fontId="79" fillId="0" borderId="0" xfId="5" applyNumberFormat="1" applyFont="1" applyAlignment="1">
      <alignment horizontal="left" vertical="top" wrapText="1" shrinkToFit="1" readingOrder="1"/>
    </xf>
    <xf numFmtId="0" fontId="79" fillId="0" borderId="0" xfId="5" applyFont="1" applyAlignment="1">
      <alignment horizontal="right" vertical="top" wrapText="1" shrinkToFit="1" readingOrder="1"/>
    </xf>
    <xf numFmtId="179" fontId="80" fillId="0" borderId="0" xfId="5" applyNumberFormat="1" applyFont="1" applyAlignment="1">
      <alignment horizontal="right" vertical="center" wrapText="1" shrinkToFit="1" readingOrder="1"/>
    </xf>
    <xf numFmtId="49" fontId="80" fillId="0" borderId="0" xfId="5" applyNumberFormat="1" applyFont="1" applyAlignment="1">
      <alignment horizontal="left" vertical="center" readingOrder="1"/>
    </xf>
    <xf numFmtId="49" fontId="80" fillId="0" borderId="0" xfId="5" applyNumberFormat="1" applyFont="1" applyAlignment="1">
      <alignment horizontal="center" vertical="center" wrapText="1" shrinkToFit="1" readingOrder="1"/>
    </xf>
    <xf numFmtId="0" fontId="80" fillId="0" borderId="0" xfId="5" applyFont="1" applyAlignment="1">
      <alignment horizontal="left" vertical="center" readingOrder="1"/>
    </xf>
    <xf numFmtId="166" fontId="80" fillId="0" borderId="0" xfId="5" applyNumberFormat="1" applyFont="1" applyAlignment="1">
      <alignment horizontal="left" vertical="center" wrapText="1" shrinkToFit="1" readingOrder="1"/>
    </xf>
    <xf numFmtId="179" fontId="80" fillId="25" borderId="0" xfId="5" applyNumberFormat="1" applyFont="1" applyFill="1" applyAlignment="1">
      <alignment horizontal="right" vertical="center" wrapText="1" shrinkToFit="1" readingOrder="1"/>
    </xf>
    <xf numFmtId="49" fontId="80" fillId="25" borderId="0" xfId="5" applyNumberFormat="1" applyFont="1" applyFill="1" applyAlignment="1">
      <alignment horizontal="left" vertical="center" readingOrder="1"/>
    </xf>
    <xf numFmtId="49" fontId="80" fillId="25" borderId="0" xfId="5" applyNumberFormat="1" applyFont="1" applyFill="1" applyAlignment="1">
      <alignment horizontal="center" vertical="center" wrapText="1" shrinkToFit="1" readingOrder="1"/>
    </xf>
    <xf numFmtId="0" fontId="80" fillId="25" borderId="0" xfId="5" applyFont="1" applyFill="1" applyAlignment="1">
      <alignment horizontal="left" vertical="center" readingOrder="1"/>
    </xf>
    <xf numFmtId="166" fontId="80" fillId="25" borderId="0" xfId="5" applyNumberFormat="1" applyFont="1" applyFill="1" applyAlignment="1">
      <alignment horizontal="left" vertical="center" wrapText="1" shrinkToFit="1" readingOrder="1"/>
    </xf>
    <xf numFmtId="0" fontId="79" fillId="0" borderId="70" xfId="5" applyFont="1" applyBorder="1" applyAlignment="1">
      <alignment horizontal="right" vertical="center" wrapText="1" shrinkToFit="1" readingOrder="1"/>
    </xf>
    <xf numFmtId="0" fontId="79" fillId="0" borderId="70" xfId="5" applyFont="1" applyBorder="1" applyAlignment="1">
      <alignment horizontal="right" wrapText="1" shrinkToFit="1" readingOrder="1"/>
    </xf>
    <xf numFmtId="0" fontId="79" fillId="0" borderId="70" xfId="5" applyFont="1" applyBorder="1" applyAlignment="1">
      <alignment horizontal="left" wrapText="1" shrinkToFit="1" readingOrder="1"/>
    </xf>
    <xf numFmtId="0" fontId="79" fillId="0" borderId="70" xfId="5" applyFont="1" applyBorder="1" applyAlignment="1">
      <alignment horizontal="center" wrapText="1" shrinkToFit="1" readingOrder="1"/>
    </xf>
    <xf numFmtId="0" fontId="8" fillId="12" borderId="0" xfId="0" applyFont="1" applyFill="1"/>
    <xf numFmtId="0" fontId="0" fillId="12" borderId="0" xfId="0" applyFill="1"/>
    <xf numFmtId="0" fontId="88" fillId="0" borderId="0" xfId="0" applyFont="1"/>
    <xf numFmtId="0" fontId="87" fillId="0" borderId="0" xfId="0" applyFont="1" applyAlignment="1">
      <alignment horizontal="center"/>
    </xf>
    <xf numFmtId="175" fontId="91" fillId="17" borderId="0" xfId="0" applyNumberFormat="1" applyFont="1" applyFill="1"/>
    <xf numFmtId="175" fontId="0" fillId="0" borderId="0" xfId="0" applyNumberFormat="1"/>
    <xf numFmtId="0" fontId="7" fillId="0" borderId="2" xfId="0" applyFont="1" applyBorder="1" applyAlignment="1">
      <alignment horizontal="center"/>
    </xf>
    <xf numFmtId="0" fontId="30" fillId="9" borderId="2" xfId="0" applyFont="1" applyFill="1" applyBorder="1" applyAlignment="1">
      <alignment horizontal="center"/>
    </xf>
    <xf numFmtId="0" fontId="37" fillId="0" borderId="63" xfId="0" applyFont="1" applyBorder="1"/>
    <xf numFmtId="0" fontId="92" fillId="11" borderId="0" xfId="0" applyFont="1" applyFill="1"/>
    <xf numFmtId="0" fontId="93" fillId="13" borderId="0" xfId="0" applyFont="1" applyFill="1"/>
    <xf numFmtId="0" fontId="93" fillId="13" borderId="0" xfId="0" applyFont="1" applyFill="1" applyAlignment="1">
      <alignment horizontal="right"/>
    </xf>
    <xf numFmtId="0" fontId="93" fillId="13" borderId="0" xfId="0" applyFont="1" applyFill="1" applyAlignment="1">
      <alignment horizontal="center"/>
    </xf>
    <xf numFmtId="169" fontId="41" fillId="16" borderId="0" xfId="0" applyNumberFormat="1" applyFont="1" applyFill="1"/>
    <xf numFmtId="180" fontId="0" fillId="0" borderId="0" xfId="0" applyNumberFormat="1"/>
    <xf numFmtId="168" fontId="25" fillId="20" borderId="37" xfId="0" applyNumberFormat="1" applyFont="1" applyFill="1" applyBorder="1"/>
    <xf numFmtId="49" fontId="86" fillId="0" borderId="0" xfId="0" applyNumberFormat="1" applyFont="1" applyAlignment="1">
      <alignment horizontal="left" vertical="center"/>
    </xf>
    <xf numFmtId="49" fontId="85" fillId="0" borderId="0" xfId="0" applyNumberFormat="1" applyFont="1" applyAlignment="1">
      <alignment horizontal="left" vertical="center"/>
    </xf>
    <xf numFmtId="49" fontId="84" fillId="24" borderId="0" xfId="0" applyNumberFormat="1" applyFont="1" applyFill="1" applyAlignment="1">
      <alignment horizontal="left" vertical="center" wrapText="1"/>
    </xf>
    <xf numFmtId="177" fontId="84" fillId="24" borderId="0" xfId="0" applyNumberFormat="1" applyFont="1" applyFill="1" applyAlignment="1">
      <alignment horizontal="right" vertical="center" wrapText="1"/>
    </xf>
    <xf numFmtId="177" fontId="85" fillId="0" borderId="0" xfId="0" applyNumberFormat="1" applyFont="1" applyAlignment="1">
      <alignment horizontal="right" vertical="center"/>
    </xf>
    <xf numFmtId="49" fontId="84" fillId="0" borderId="0" xfId="0" applyNumberFormat="1" applyFont="1" applyAlignment="1">
      <alignment horizontal="right" vertical="center"/>
    </xf>
    <xf numFmtId="177" fontId="84" fillId="0" borderId="67" xfId="0" applyNumberFormat="1" applyFont="1" applyBorder="1" applyAlignment="1">
      <alignment horizontal="right" vertical="center"/>
    </xf>
    <xf numFmtId="14" fontId="84" fillId="24" borderId="0" xfId="0" applyNumberFormat="1" applyFont="1" applyFill="1" applyAlignment="1">
      <alignment vertical="center" wrapText="1"/>
    </xf>
    <xf numFmtId="178" fontId="84" fillId="24" borderId="0" xfId="0" applyNumberFormat="1" applyFont="1" applyFill="1" applyAlignment="1">
      <alignment vertical="center" wrapText="1"/>
    </xf>
    <xf numFmtId="177" fontId="84" fillId="24" borderId="0" xfId="0" applyNumberFormat="1" applyFont="1" applyFill="1" applyAlignment="1">
      <alignment horizontal="right" vertical="center"/>
    </xf>
    <xf numFmtId="49" fontId="84" fillId="0" borderId="0" xfId="0" applyNumberFormat="1" applyFont="1" applyAlignment="1">
      <alignment horizontal="left" vertical="center"/>
    </xf>
    <xf numFmtId="14" fontId="85" fillId="0" borderId="0" xfId="0" applyNumberFormat="1" applyFont="1" applyAlignment="1">
      <alignment horizontal="left" vertical="center"/>
    </xf>
    <xf numFmtId="178" fontId="85" fillId="0" borderId="0" xfId="0" applyNumberFormat="1" applyFont="1" applyAlignment="1">
      <alignment horizontal="left" vertical="center"/>
    </xf>
    <xf numFmtId="177" fontId="84" fillId="0" borderId="68" xfId="0" applyNumberFormat="1" applyFont="1" applyBorder="1" applyAlignment="1">
      <alignment horizontal="right" vertical="center"/>
    </xf>
    <xf numFmtId="176" fontId="84" fillId="24" borderId="0" xfId="0" applyNumberFormat="1" applyFont="1" applyFill="1" applyAlignment="1">
      <alignment horizontal="right" vertical="center"/>
    </xf>
    <xf numFmtId="49" fontId="84" fillId="24" borderId="0" xfId="0" applyNumberFormat="1" applyFont="1" applyFill="1" applyAlignment="1">
      <alignment horizontal="left" vertical="center"/>
    </xf>
    <xf numFmtId="49" fontId="84" fillId="0" borderId="0" xfId="0" applyNumberFormat="1" applyFont="1" applyAlignment="1">
      <alignment horizontal="left" vertical="center" indent="1"/>
    </xf>
    <xf numFmtId="49" fontId="84" fillId="0" borderId="0" xfId="0" applyNumberFormat="1" applyFont="1" applyAlignment="1">
      <alignment horizontal="left" vertical="center" indent="2"/>
    </xf>
    <xf numFmtId="49" fontId="85" fillId="0" borderId="0" xfId="0" applyNumberFormat="1" applyFont="1" applyAlignment="1">
      <alignment horizontal="left" vertical="center" indent="3"/>
    </xf>
    <xf numFmtId="176" fontId="85" fillId="0" borderId="0" xfId="0" applyNumberFormat="1" applyFont="1" applyAlignment="1">
      <alignment horizontal="right" vertical="center"/>
    </xf>
    <xf numFmtId="176" fontId="84" fillId="0" borderId="68" xfId="0" applyNumberFormat="1" applyFont="1" applyBorder="1" applyAlignment="1">
      <alignment horizontal="right" vertical="center"/>
    </xf>
    <xf numFmtId="49" fontId="85" fillId="0" borderId="0" xfId="0" applyNumberFormat="1" applyFont="1" applyAlignment="1">
      <alignment horizontal="left" vertical="center" indent="2"/>
    </xf>
    <xf numFmtId="176" fontId="84" fillId="0" borderId="67" xfId="0" applyNumberFormat="1" applyFont="1" applyBorder="1" applyAlignment="1">
      <alignment horizontal="right" vertical="center"/>
    </xf>
    <xf numFmtId="0" fontId="7" fillId="9" borderId="17" xfId="0" applyFont="1" applyFill="1" applyBorder="1"/>
    <xf numFmtId="0" fontId="20" fillId="0" borderId="0" xfId="0" applyFont="1" applyAlignment="1">
      <alignment horizontal="center"/>
    </xf>
    <xf numFmtId="166" fontId="20" fillId="0" borderId="0" xfId="0" applyNumberFormat="1" applyFont="1" applyAlignment="1">
      <alignment horizontal="center"/>
    </xf>
    <xf numFmtId="0" fontId="66" fillId="0" borderId="0" xfId="0" applyFont="1"/>
    <xf numFmtId="167" fontId="66" fillId="0" borderId="0" xfId="0" applyNumberFormat="1" applyFont="1"/>
    <xf numFmtId="169" fontId="66" fillId="0" borderId="0" xfId="0" applyNumberFormat="1" applyFont="1"/>
    <xf numFmtId="0" fontId="7" fillId="0" borderId="0" xfId="0" applyFont="1" applyAlignment="1">
      <alignment horizontal="center"/>
    </xf>
    <xf numFmtId="169" fontId="66" fillId="0" borderId="2" xfId="0" applyNumberFormat="1" applyFont="1" applyBorder="1"/>
    <xf numFmtId="0" fontId="20" fillId="0" borderId="71" xfId="0" applyFont="1" applyBorder="1" applyAlignment="1">
      <alignment horizontal="center"/>
    </xf>
    <xf numFmtId="166" fontId="20" fillId="0" borderId="72" xfId="0" applyNumberFormat="1" applyFont="1" applyBorder="1" applyAlignment="1">
      <alignment horizontal="center"/>
    </xf>
    <xf numFmtId="0" fontId="66" fillId="0" borderId="72" xfId="0" applyFont="1" applyBorder="1"/>
    <xf numFmtId="167" fontId="66" fillId="0" borderId="72" xfId="0" applyNumberFormat="1" applyFont="1" applyBorder="1"/>
    <xf numFmtId="169" fontId="66" fillId="0" borderId="72" xfId="0" applyNumberFormat="1" applyFont="1" applyBorder="1"/>
    <xf numFmtId="0" fontId="7" fillId="0" borderId="72" xfId="0" applyFont="1" applyBorder="1" applyAlignment="1">
      <alignment horizontal="center"/>
    </xf>
    <xf numFmtId="0" fontId="30" fillId="9" borderId="72" xfId="0" applyFont="1" applyFill="1" applyBorder="1" applyAlignment="1">
      <alignment horizontal="center"/>
    </xf>
    <xf numFmtId="169" fontId="34" fillId="0" borderId="72" xfId="0" applyNumberFormat="1" applyFont="1" applyBorder="1"/>
    <xf numFmtId="0" fontId="37" fillId="0" borderId="73" xfId="0" applyFont="1" applyBorder="1"/>
    <xf numFmtId="167" fontId="64" fillId="0" borderId="0" xfId="0" applyNumberFormat="1" applyFont="1"/>
    <xf numFmtId="0" fontId="100" fillId="0" borderId="0" xfId="0" applyFont="1"/>
    <xf numFmtId="169" fontId="101" fillId="0" borderId="0" xfId="0" applyNumberFormat="1" applyFont="1"/>
    <xf numFmtId="0" fontId="56" fillId="16" borderId="0" xfId="0" applyFont="1" applyFill="1"/>
    <xf numFmtId="167" fontId="102" fillId="16" borderId="0" xfId="0" applyNumberFormat="1" applyFont="1" applyFill="1"/>
    <xf numFmtId="0" fontId="100" fillId="16" borderId="0" xfId="0" applyFont="1" applyFill="1"/>
    <xf numFmtId="0" fontId="56" fillId="16" borderId="74" xfId="0" applyFont="1" applyFill="1" applyBorder="1"/>
    <xf numFmtId="0" fontId="0" fillId="0" borderId="74" xfId="0" applyBorder="1"/>
    <xf numFmtId="167" fontId="102" fillId="16" borderId="74" xfId="0" applyNumberFormat="1" applyFont="1" applyFill="1" applyBorder="1"/>
    <xf numFmtId="0" fontId="100" fillId="16" borderId="74" xfId="0" applyFont="1" applyFill="1" applyBorder="1"/>
    <xf numFmtId="0" fontId="94" fillId="0" borderId="13" xfId="0" applyFont="1" applyBorder="1" applyAlignment="1">
      <alignment horizontal="center"/>
    </xf>
    <xf numFmtId="166" fontId="94" fillId="0" borderId="13" xfId="0" applyNumberFormat="1" applyFont="1" applyBorder="1" applyAlignment="1">
      <alignment horizontal="center"/>
    </xf>
    <xf numFmtId="0" fontId="95" fillId="0" borderId="13" xfId="0" applyFont="1" applyBorder="1"/>
    <xf numFmtId="167" fontId="95" fillId="0" borderId="13" xfId="0" applyNumberFormat="1" applyFont="1" applyBorder="1"/>
    <xf numFmtId="169" fontId="95" fillId="0" borderId="13" xfId="0" applyNumberFormat="1" applyFont="1" applyBorder="1"/>
    <xf numFmtId="0" fontId="96" fillId="0" borderId="13" xfId="0" applyFont="1" applyBorder="1" applyAlignment="1">
      <alignment horizontal="center"/>
    </xf>
    <xf numFmtId="0" fontId="97" fillId="9" borderId="13" xfId="0" applyFont="1" applyFill="1" applyBorder="1" applyAlignment="1">
      <alignment horizontal="center"/>
    </xf>
    <xf numFmtId="169" fontId="98" fillId="0" borderId="13" xfId="0" applyNumberFormat="1" applyFont="1" applyBorder="1"/>
    <xf numFmtId="0" fontId="99" fillId="0" borderId="13" xfId="0" applyFont="1" applyBorder="1"/>
    <xf numFmtId="167" fontId="7" fillId="0" borderId="0" xfId="0" applyNumberFormat="1" applyFont="1"/>
    <xf numFmtId="167" fontId="103" fillId="0" borderId="0" xfId="0" applyNumberFormat="1" applyFont="1"/>
    <xf numFmtId="0" fontId="29" fillId="0" borderId="38" xfId="0" applyFont="1" applyBorder="1" applyAlignment="1">
      <alignment horizontal="center"/>
    </xf>
    <xf numFmtId="0" fontId="104" fillId="14" borderId="13" xfId="0" applyFont="1" applyFill="1" applyBorder="1" applyAlignment="1">
      <alignment horizontal="center"/>
    </xf>
    <xf numFmtId="8" fontId="0" fillId="0" borderId="0" xfId="0" applyNumberFormat="1"/>
    <xf numFmtId="0" fontId="105" fillId="0" borderId="0" xfId="0" applyFont="1"/>
    <xf numFmtId="169" fontId="105" fillId="0" borderId="0" xfId="0" applyNumberFormat="1" applyFont="1"/>
    <xf numFmtId="0" fontId="106" fillId="0" borderId="0" xfId="0" applyFont="1"/>
    <xf numFmtId="169" fontId="106" fillId="0" borderId="0" xfId="0" applyNumberFormat="1" applyFont="1"/>
    <xf numFmtId="0" fontId="94" fillId="0" borderId="62" xfId="0" applyFont="1" applyBorder="1" applyAlignment="1">
      <alignment horizontal="center"/>
    </xf>
    <xf numFmtId="166" fontId="94" fillId="0" borderId="2" xfId="0" applyNumberFormat="1" applyFont="1" applyBorder="1" applyAlignment="1">
      <alignment horizontal="center"/>
    </xf>
    <xf numFmtId="0" fontId="95" fillId="0" borderId="2" xfId="0" applyFont="1" applyBorder="1"/>
    <xf numFmtId="169" fontId="95" fillId="0" borderId="2" xfId="0" applyNumberFormat="1" applyFont="1" applyBorder="1"/>
    <xf numFmtId="0" fontId="96" fillId="0" borderId="2" xfId="0" applyFont="1" applyBorder="1" applyAlignment="1">
      <alignment horizontal="center"/>
    </xf>
    <xf numFmtId="0" fontId="97" fillId="9" borderId="2" xfId="0" applyFont="1" applyFill="1" applyBorder="1" applyAlignment="1">
      <alignment horizontal="center"/>
    </xf>
    <xf numFmtId="169" fontId="98" fillId="0" borderId="2" xfId="0" applyNumberFormat="1" applyFont="1" applyBorder="1"/>
    <xf numFmtId="0" fontId="99" fillId="0" borderId="63" xfId="0" applyFont="1" applyBorder="1"/>
    <xf numFmtId="0" fontId="2" fillId="0" borderId="0" xfId="0" applyFont="1" applyAlignment="1">
      <alignment horizontal="center" vertical="center"/>
    </xf>
    <xf numFmtId="0" fontId="4" fillId="0" borderId="0" xfId="0" applyFont="1" applyAlignment="1">
      <alignment horizontal="center" vertical="center"/>
    </xf>
    <xf numFmtId="0" fontId="7" fillId="0" borderId="0" xfId="0" applyFont="1"/>
    <xf numFmtId="0" fontId="5" fillId="3" borderId="0" xfId="0" applyFont="1" applyFill="1" applyAlignment="1">
      <alignment horizontal="center" vertical="center"/>
    </xf>
    <xf numFmtId="0" fontId="7" fillId="8" borderId="0" xfId="0" applyFont="1" applyFill="1"/>
    <xf numFmtId="0" fontId="6" fillId="0" borderId="0" xfId="0" applyFont="1"/>
    <xf numFmtId="0" fontId="3" fillId="0" borderId="0" xfId="0" applyFont="1" applyAlignment="1">
      <alignment horizontal="center" vertical="center"/>
    </xf>
    <xf numFmtId="0" fontId="5" fillId="2" borderId="0" xfId="0" applyFont="1" applyFill="1" applyAlignment="1">
      <alignment horizontal="center" vertical="center"/>
    </xf>
    <xf numFmtId="0" fontId="12" fillId="7" borderId="3" xfId="0" applyFont="1" applyFill="1" applyBorder="1" applyAlignment="1">
      <alignment horizontal="right" vertical="center"/>
    </xf>
    <xf numFmtId="165" fontId="13" fillId="7" borderId="4" xfId="0" applyNumberFormat="1" applyFont="1" applyFill="1" applyBorder="1"/>
    <xf numFmtId="0" fontId="0" fillId="4" borderId="1" xfId="0" applyFill="1" applyBorder="1"/>
    <xf numFmtId="0" fontId="0" fillId="4" borderId="3" xfId="0" applyFill="1" applyBorder="1" applyAlignment="1">
      <alignment wrapText="1"/>
    </xf>
    <xf numFmtId="0" fontId="0" fillId="4" borderId="21" xfId="0" applyFill="1" applyBorder="1"/>
    <xf numFmtId="0" fontId="0" fillId="4" borderId="3" xfId="0" applyFill="1" applyBorder="1"/>
    <xf numFmtId="0" fontId="8" fillId="3" borderId="1" xfId="0" applyFont="1" applyFill="1" applyBorder="1" applyAlignment="1">
      <alignment horizontal="center" vertical="center"/>
    </xf>
    <xf numFmtId="13" fontId="0" fillId="4" borderId="1" xfId="0" applyNumberFormat="1" applyFill="1" applyBorder="1"/>
    <xf numFmtId="14" fontId="9" fillId="4" borderId="1" xfId="0" applyNumberFormat="1" applyFont="1" applyFill="1" applyBorder="1"/>
    <xf numFmtId="0" fontId="9" fillId="4" borderId="1" xfId="0" applyFont="1" applyFill="1" applyBorder="1"/>
    <xf numFmtId="0" fontId="11" fillId="5" borderId="0" xfId="0" applyFont="1" applyFill="1" applyAlignment="1">
      <alignment horizontal="center" vertical="center"/>
    </xf>
    <xf numFmtId="0" fontId="0" fillId="4" borderId="2" xfId="0" applyFill="1" applyBorder="1" applyAlignment="1">
      <alignment horizontal="left" vertical="top" wrapText="1"/>
    </xf>
    <xf numFmtId="0" fontId="62" fillId="4" borderId="1" xfId="0" applyFont="1" applyFill="1" applyBorder="1"/>
    <xf numFmtId="166" fontId="9" fillId="4" borderId="1" xfId="0" applyNumberFormat="1" applyFont="1" applyFill="1" applyBorder="1"/>
    <xf numFmtId="165" fontId="10" fillId="0" borderId="1" xfId="0" applyNumberFormat="1" applyFont="1" applyBorder="1"/>
    <xf numFmtId="0" fontId="7" fillId="0" borderId="1" xfId="0" applyFont="1" applyBorder="1"/>
    <xf numFmtId="0" fontId="8" fillId="3" borderId="1" xfId="0" applyFont="1" applyFill="1" applyBorder="1"/>
    <xf numFmtId="0" fontId="8" fillId="3" borderId="3" xfId="0" applyFont="1" applyFill="1" applyBorder="1"/>
    <xf numFmtId="0" fontId="18" fillId="7" borderId="0" xfId="0" applyFont="1" applyFill="1" applyAlignment="1">
      <alignment horizontal="right" vertical="center"/>
    </xf>
    <xf numFmtId="0" fontId="5" fillId="2" borderId="0" xfId="0" applyFont="1" applyFill="1"/>
    <xf numFmtId="0" fontId="0" fillId="0" borderId="1" xfId="0" applyBorder="1"/>
    <xf numFmtId="0" fontId="17" fillId="0" borderId="0" xfId="0" applyFont="1" applyAlignment="1">
      <alignment horizontal="center" vertical="center"/>
    </xf>
    <xf numFmtId="0" fontId="7" fillId="0" borderId="7" xfId="0" applyFont="1" applyBorder="1" applyAlignment="1">
      <alignment wrapText="1"/>
    </xf>
    <xf numFmtId="0" fontId="7" fillId="0" borderId="8" xfId="0" applyFont="1" applyBorder="1" applyAlignment="1">
      <alignment wrapText="1"/>
    </xf>
    <xf numFmtId="0" fontId="7" fillId="0" borderId="9" xfId="0" applyFont="1" applyBorder="1" applyAlignment="1">
      <alignment wrapText="1"/>
    </xf>
    <xf numFmtId="0" fontId="7" fillId="0" borderId="10" xfId="0" applyFont="1" applyBorder="1" applyAlignment="1">
      <alignment wrapText="1"/>
    </xf>
    <xf numFmtId="0" fontId="7" fillId="0" borderId="11" xfId="0" applyFont="1" applyBorder="1" applyAlignment="1">
      <alignment wrapText="1"/>
    </xf>
    <xf numFmtId="0" fontId="7" fillId="0" borderId="12" xfId="0" applyFont="1" applyBorder="1" applyAlignment="1">
      <alignment wrapText="1"/>
    </xf>
    <xf numFmtId="0" fontId="8" fillId="3" borderId="21" xfId="0" applyFont="1" applyFill="1" applyBorder="1"/>
    <xf numFmtId="0" fontId="8" fillId="3" borderId="14" xfId="0" applyFont="1" applyFill="1" applyBorder="1"/>
    <xf numFmtId="0" fontId="77" fillId="0" borderId="0" xfId="4" applyFont="1" applyAlignment="1">
      <alignment horizontal="center" vertical="center" wrapText="1"/>
    </xf>
    <xf numFmtId="0" fontId="76" fillId="0" borderId="0" xfId="4" applyFont="1" applyAlignment="1">
      <alignment horizontal="center" vertical="top" wrapText="1"/>
    </xf>
    <xf numFmtId="0" fontId="75" fillId="0" borderId="0" xfId="4" applyFont="1" applyAlignment="1">
      <alignment horizontal="center" vertical="top" wrapText="1"/>
    </xf>
    <xf numFmtId="0" fontId="74" fillId="0" borderId="70" xfId="4" applyFont="1" applyBorder="1" applyAlignment="1">
      <alignment horizontal="left" wrapText="1"/>
    </xf>
    <xf numFmtId="0" fontId="73" fillId="0" borderId="70" xfId="4" applyFont="1" applyBorder="1" applyAlignment="1">
      <alignment horizontal="left" vertical="center" wrapText="1"/>
    </xf>
    <xf numFmtId="0" fontId="72" fillId="0" borderId="0" xfId="4" applyFont="1" applyAlignment="1">
      <alignment vertical="center"/>
    </xf>
    <xf numFmtId="0" fontId="69" fillId="25" borderId="0" xfId="4" applyFill="1" applyAlignment="1">
      <alignment vertical="center"/>
    </xf>
    <xf numFmtId="0" fontId="69" fillId="0" borderId="0" xfId="4" applyAlignment="1">
      <alignment vertical="center"/>
    </xf>
    <xf numFmtId="0" fontId="71" fillId="0" borderId="0" xfId="4" applyFont="1" applyAlignment="1">
      <alignment horizontal="center" vertical="top" wrapText="1"/>
    </xf>
    <xf numFmtId="0" fontId="70" fillId="0" borderId="0" xfId="4" applyFont="1" applyAlignment="1">
      <alignment horizontal="right"/>
    </xf>
    <xf numFmtId="0" fontId="83" fillId="0" borderId="0" xfId="5" applyFont="1" applyAlignment="1">
      <alignment horizontal="center" vertical="top" wrapText="1" shrinkToFit="1" readingOrder="1"/>
    </xf>
    <xf numFmtId="0" fontId="82" fillId="0" borderId="0" xfId="5" applyFont="1" applyAlignment="1">
      <alignment horizontal="center" vertical="top" wrapText="1" shrinkToFit="1" readingOrder="1"/>
    </xf>
    <xf numFmtId="0" fontId="81" fillId="0" borderId="0" xfId="5" applyFont="1" applyAlignment="1">
      <alignment horizontal="center" vertical="top" wrapText="1" shrinkToFit="1" readingOrder="1"/>
    </xf>
    <xf numFmtId="0" fontId="80" fillId="0" borderId="70" xfId="5" applyFont="1" applyBorder="1" applyAlignment="1">
      <alignment horizontal="left" vertical="top" wrapText="1" shrinkToFit="1" readingOrder="1"/>
    </xf>
    <xf numFmtId="0" fontId="79" fillId="0" borderId="70" xfId="5" applyFont="1" applyBorder="1" applyAlignment="1">
      <alignment horizontal="right" wrapText="1" shrinkToFit="1" readingOrder="1"/>
    </xf>
    <xf numFmtId="0" fontId="79" fillId="0" borderId="70" xfId="5" applyFont="1" applyBorder="1" applyAlignment="1">
      <alignment horizontal="left" vertical="center" wrapText="1" shrinkToFit="1" readingOrder="1"/>
    </xf>
    <xf numFmtId="179" fontId="80" fillId="25" borderId="0" xfId="5" applyNumberFormat="1" applyFont="1" applyFill="1" applyAlignment="1">
      <alignment horizontal="right" vertical="center" wrapText="1" shrinkToFit="1" readingOrder="1"/>
    </xf>
    <xf numFmtId="179" fontId="80" fillId="0" borderId="0" xfId="5" applyNumberFormat="1" applyFont="1" applyAlignment="1">
      <alignment horizontal="right" vertical="center" wrapText="1" shrinkToFit="1" readingOrder="1"/>
    </xf>
    <xf numFmtId="0" fontId="79" fillId="0" borderId="70" xfId="5" applyFont="1" applyBorder="1" applyAlignment="1">
      <alignment horizontal="right" vertical="center" wrapText="1" shrinkToFit="1" readingOrder="1"/>
    </xf>
    <xf numFmtId="0" fontId="79" fillId="0" borderId="0" xfId="5" applyFont="1" applyAlignment="1">
      <alignment horizontal="left" vertical="top" wrapText="1" shrinkToFit="1" readingOrder="1"/>
    </xf>
    <xf numFmtId="179" fontId="79" fillId="0" borderId="0" xfId="5" applyNumberFormat="1" applyFont="1" applyAlignment="1">
      <alignment horizontal="right" vertical="top" wrapText="1" shrinkToFit="1" readingOrder="1"/>
    </xf>
    <xf numFmtId="0" fontId="78" fillId="0" borderId="0" xfId="5" applyFont="1" applyAlignment="1">
      <alignment horizontal="right" vertical="center" wrapText="1" shrinkToFit="1" readingOrder="1"/>
    </xf>
    <xf numFmtId="0" fontId="16" fillId="0" borderId="0" xfId="0" applyFont="1"/>
    <xf numFmtId="0" fontId="94" fillId="0" borderId="75" xfId="0" applyFont="1" applyBorder="1" applyAlignment="1">
      <alignment horizontal="center"/>
    </xf>
    <xf numFmtId="166" fontId="94" fillId="0" borderId="75" xfId="0" applyNumberFormat="1" applyFont="1" applyBorder="1" applyAlignment="1">
      <alignment horizontal="center"/>
    </xf>
    <xf numFmtId="0" fontId="95" fillId="0" borderId="75" xfId="0" applyFont="1" applyBorder="1"/>
    <xf numFmtId="169" fontId="95" fillId="0" borderId="75" xfId="0" applyNumberFormat="1" applyFont="1" applyBorder="1"/>
    <xf numFmtId="0" fontId="96" fillId="0" borderId="75" xfId="0" applyFont="1" applyBorder="1" applyAlignment="1">
      <alignment horizontal="center"/>
    </xf>
    <xf numFmtId="0" fontId="97" fillId="9" borderId="75" xfId="0" applyFont="1" applyFill="1" applyBorder="1" applyAlignment="1">
      <alignment horizontal="center"/>
    </xf>
    <xf numFmtId="169" fontId="98" fillId="0" borderId="75" xfId="0" applyNumberFormat="1" applyFont="1" applyBorder="1"/>
    <xf numFmtId="0" fontId="99" fillId="0" borderId="75" xfId="0" applyFont="1" applyBorder="1"/>
    <xf numFmtId="169" fontId="39" fillId="0" borderId="0" xfId="0" applyNumberFormat="1" applyFont="1"/>
  </cellXfs>
  <cellStyles count="6">
    <cellStyle name="Hyperlink" xfId="1" builtinId="8"/>
    <cellStyle name="Normal" xfId="0" builtinId="0"/>
    <cellStyle name="Normal 2" xfId="2" xr:uid="{404936ED-5DD9-4B67-8692-CC42DC5C88B2}"/>
    <cellStyle name="Normal 2 2" xfId="3" xr:uid="{9F465947-69A3-4BCD-9D07-4B9CDF852867}"/>
    <cellStyle name="Normal 3" xfId="4" xr:uid="{F839B96C-33F4-454F-AE5D-031D0152BFB0}"/>
    <cellStyle name="Normal 4" xfId="5" xr:uid="{535453B1-0F02-4746-86F3-1A5D4B7A1994}"/>
  </cellStyles>
  <dxfs count="3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EB9C"/>
        </patternFill>
      </fill>
    </dxf>
    <dxf>
      <fill>
        <patternFill>
          <bgColor rgb="FFFFC7CE"/>
        </patternFill>
      </fill>
    </dxf>
    <dxf>
      <fill>
        <patternFill>
          <bgColor rgb="FFFFC7CE"/>
        </patternFill>
      </fill>
    </dxf>
    <dxf>
      <fill>
        <patternFill>
          <bgColor rgb="FFB4C6E7"/>
        </patternFill>
      </fill>
    </dxf>
    <dxf>
      <fill>
        <patternFill>
          <bgColor rgb="FFFFEB9C"/>
        </patternFill>
      </fill>
    </dxf>
    <dxf>
      <fill>
        <patternFill>
          <bgColor rgb="FFFFC7CE"/>
        </patternFill>
      </fill>
    </dxf>
    <dxf>
      <fill>
        <patternFill>
          <bgColor rgb="FFC6EFCE"/>
        </patternFill>
      </fill>
    </dxf>
    <dxf>
      <font>
        <b/>
        <color rgb="FF990000"/>
      </font>
      <fill>
        <patternFill>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b/>
        <i val="0"/>
        <color rgb="FFFFFFFF"/>
      </font>
      <fill>
        <patternFill patternType="solid">
          <fgColor indexed="64"/>
          <bgColor rgb="FF548235"/>
        </patternFill>
      </fill>
    </dxf>
    <dxf>
      <font>
        <b/>
        <i val="0"/>
        <color rgb="FF000000"/>
      </font>
      <fill>
        <patternFill patternType="solid">
          <fgColor indexed="64"/>
          <bgColor rgb="FFFFEB9C"/>
        </patternFill>
      </fill>
    </dxf>
    <dxf>
      <font>
        <b/>
        <i val="0"/>
        <color rgb="FFFFFFFF"/>
      </font>
      <fill>
        <patternFill patternType="solid">
          <fgColor indexed="64"/>
          <bgColor rgb="FF548235"/>
        </patternFill>
      </fill>
    </dxf>
    <dxf>
      <font>
        <b/>
        <i val="0"/>
        <color rgb="FFFFFFFF"/>
      </font>
      <fill>
        <patternFill patternType="solid">
          <fgColor indexed="64"/>
          <bgColor rgb="FFC00000"/>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9C0006"/>
      </font>
      <fill>
        <patternFill patternType="solid">
          <fgColor indexed="64"/>
          <bgColor rgb="FFFFC7CE"/>
        </patternFill>
      </fill>
    </dxf>
  </dxfs>
  <tableStyles count="0" defaultTableStyle="TableStyleMedium2" defaultPivotStyle="PivotStyleLight16"/>
  <colors>
    <indexedColors>
      <rgbColor rgb="FF000000"/>
      <rgbColor rgb="FFFFFFFF"/>
      <rgbColor rgb="FFCC0000"/>
      <rgbColor rgb="FF00FF00"/>
      <rgbColor rgb="FF0000CC"/>
      <rgbColor rgb="FFFFFF00"/>
      <rgbColor rgb="FFFF00FF"/>
      <rgbColor rgb="FF00FFFF"/>
      <rgbColor rgb="FF990000"/>
      <rgbColor rgb="FF008000"/>
      <rgbColor rgb="FF000080"/>
      <rgbColor rgb="FF808000"/>
      <rgbColor rgb="FF800080"/>
      <rgbColor rgb="FF008080"/>
      <rgbColor rgb="FFBFBFBF"/>
      <rgbColor rgb="FF808080"/>
      <rgbColor rgb="FF9999FF"/>
      <rgbColor rgb="FFC62828"/>
      <rgbColor rgb="FFFFF2CC"/>
      <rgbColor rgb="FFF2F2F2"/>
      <rgbColor rgb="FF660066"/>
      <rgbColor rgb="FFFF8080"/>
      <rgbColor rgb="FF0066CC"/>
      <rgbColor rgb="FFBDD7EE"/>
      <rgbColor rgb="FF000080"/>
      <rgbColor rgb="FFFF00FF"/>
      <rgbColor rgb="FFFFFF00"/>
      <rgbColor rgb="FF00FFFF"/>
      <rgbColor rgb="FF800080"/>
      <rgbColor rgb="FF800000"/>
      <rgbColor rgb="FF008080"/>
      <rgbColor rgb="FF0000FF"/>
      <rgbColor rgb="FF00CCFF"/>
      <rgbColor rgb="FFD6DCE5"/>
      <rgbColor rgb="FFC6EFCE"/>
      <rgbColor rgb="FFFFEB9C"/>
      <rgbColor rgb="FFB4C6E7"/>
      <rgbColor rgb="FFFFE6E6"/>
      <rgbColor rgb="FFCC99FF"/>
      <rgbColor rgb="FFFFC7CE"/>
      <rgbColor rgb="FF3366FF"/>
      <rgbColor rgb="FF33CCCC"/>
      <rgbColor rgb="FF99CC00"/>
      <rgbColor rgb="FFFFCC00"/>
      <rgbColor rgb="FFFF9900"/>
      <rgbColor rgb="FFFF6600"/>
      <rgbColor rgb="FF666666"/>
      <rgbColor rgb="FF969696"/>
      <rgbColor rgb="FF1F3864"/>
      <rgbColor rgb="FF2E7D32"/>
      <rgbColor rgb="FF003300"/>
      <rgbColor rgb="FF333300"/>
      <rgbColor rgb="FFB71C1C"/>
      <rgbColor rgb="FF993366"/>
      <rgbColor rgb="FF2F5496"/>
      <rgbColor rgb="FF333333"/>
      <rgbColor rgb="00003366"/>
      <rgbColor rgb="00339966"/>
      <rgbColor rgb="00003300"/>
      <rgbColor rgb="00333300"/>
      <rgbColor rgb="00993300"/>
      <rgbColor rgb="00993366"/>
      <rgbColor rgb="00333399"/>
      <rgbColor rgb="00333333"/>
    </indexed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1F3864"/>
                </a:solidFill>
                <a:latin typeface="Calibri"/>
                <a:ea typeface="Calibri"/>
                <a:cs typeface="Calibri"/>
              </a:defRPr>
            </a:pPr>
            <a:r>
              <a:rPr lang="en-US"/>
              <a:t>Quarterly Projected Draws by Scenario</a:t>
            </a: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1F3864"/>
              </a:solidFill>
              <a:latin typeface="Calibri"/>
              <a:ea typeface="Calibri"/>
              <a:cs typeface="Calibri"/>
            </a:defRPr>
          </a:pPr>
          <a:endParaRPr lang="en-US"/>
        </a:p>
      </c:txPr>
    </c:title>
    <c:autoTitleDeleted val="0"/>
    <c:plotArea>
      <c:layout/>
      <c:barChart>
        <c:barDir val="col"/>
        <c:grouping val="clustered"/>
        <c:varyColors val="0"/>
        <c:ser>
          <c:idx val="0"/>
          <c:order val="0"/>
          <c:tx>
            <c:strRef>
              <c:f>Funding_Summary_Models!$I$55</c:f>
              <c:strCache>
                <c:ptCount val="1"/>
                <c:pt idx="0">
                  <c:v>Base</c:v>
                </c:pt>
              </c:strCache>
            </c:strRef>
          </c:tx>
          <c:spPr>
            <a:solidFill>
              <a:schemeClr val="accent1"/>
            </a:solidFill>
            <a:ln>
              <a:noFill/>
            </a:ln>
            <a:effectLst/>
          </c:spPr>
          <c:invertIfNegative val="0"/>
          <c:val>
            <c:numRef>
              <c:f>Funding_Summary_Models!$I$56:$I$59</c:f>
            </c:numRef>
          </c:val>
          <c:extLst>
            <c:ext xmlns:c15="http://schemas.microsoft.com/office/drawing/2012/chart" uri="{02D57815-91ED-43cb-92C2-25804820EDAC}">
              <c15:filteredCategoryTitle>
                <c15:cat>
                  <c:multiLvlStrRef>
                    <c:extLst>
                      <c:ext uri="{02D57815-91ED-43cb-92C2-25804820EDAC}">
                        <c15:formulaRef>
                          <c15:sqref>Funding_Summary_Models!$H$56:$H$59</c15:sqref>
                        </c15:formulaRef>
                      </c:ext>
                    </c:extLst>
                  </c:multiLvlStrRef>
                </c15:cat>
              </c15:filteredCategoryTitle>
            </c:ext>
            <c:ext xmlns:c16="http://schemas.microsoft.com/office/drawing/2014/chart" uri="{C3380CC4-5D6E-409C-BE32-E72D297353CC}">
              <c16:uniqueId val="{00000000-CA04-4378-B663-6DEBDE29A1B0}"/>
            </c:ext>
          </c:extLst>
        </c:ser>
        <c:ser>
          <c:idx val="1"/>
          <c:order val="1"/>
          <c:tx>
            <c:strRef>
              <c:f>Funding_Summary_Models!$J$55</c:f>
              <c:strCache>
                <c:ptCount val="1"/>
                <c:pt idx="0">
                  <c:v>Middle</c:v>
                </c:pt>
              </c:strCache>
            </c:strRef>
          </c:tx>
          <c:spPr>
            <a:solidFill>
              <a:schemeClr val="accent2"/>
            </a:solidFill>
            <a:ln>
              <a:noFill/>
            </a:ln>
            <a:effectLst/>
          </c:spPr>
          <c:invertIfNegative val="0"/>
          <c:val>
            <c:numRef>
              <c:f>Funding_Summary_Models!$J$56:$J$59</c:f>
            </c:numRef>
          </c:val>
          <c:extLst>
            <c:ext xmlns:c15="http://schemas.microsoft.com/office/drawing/2012/chart" uri="{02D57815-91ED-43cb-92C2-25804820EDAC}">
              <c15:filteredCategoryTitle>
                <c15:cat>
                  <c:multiLvlStrRef>
                    <c:extLst>
                      <c:ext uri="{02D57815-91ED-43cb-92C2-25804820EDAC}">
                        <c15:formulaRef>
                          <c15:sqref>Funding_Summary_Models!$H$56:$H$59</c15:sqref>
                        </c15:formulaRef>
                      </c:ext>
                    </c:extLst>
                  </c:multiLvlStrRef>
                </c15:cat>
              </c15:filteredCategoryTitle>
            </c:ext>
            <c:ext xmlns:c16="http://schemas.microsoft.com/office/drawing/2014/chart" uri="{C3380CC4-5D6E-409C-BE32-E72D297353CC}">
              <c16:uniqueId val="{00000001-CA04-4378-B663-6DEBDE29A1B0}"/>
            </c:ext>
          </c:extLst>
        </c:ser>
        <c:ser>
          <c:idx val="2"/>
          <c:order val="2"/>
          <c:tx>
            <c:strRef>
              <c:f>Funding_Summary_Models!$K$55</c:f>
              <c:strCache>
                <c:ptCount val="1"/>
                <c:pt idx="0">
                  <c:v>High</c:v>
                </c:pt>
              </c:strCache>
            </c:strRef>
          </c:tx>
          <c:spPr>
            <a:solidFill>
              <a:schemeClr val="accent3"/>
            </a:solidFill>
            <a:ln>
              <a:noFill/>
            </a:ln>
            <a:effectLst/>
          </c:spPr>
          <c:invertIfNegative val="0"/>
          <c:val>
            <c:numRef>
              <c:f>Funding_Summary_Models!$K$56:$K$59</c:f>
            </c:numRef>
          </c:val>
          <c:extLst>
            <c:ext xmlns:c15="http://schemas.microsoft.com/office/drawing/2012/chart" uri="{02D57815-91ED-43cb-92C2-25804820EDAC}">
              <c15:filteredCategoryTitle>
                <c15:cat>
                  <c:multiLvlStrRef>
                    <c:extLst>
                      <c:ext uri="{02D57815-91ED-43cb-92C2-25804820EDAC}">
                        <c15:formulaRef>
                          <c15:sqref>Funding_Summary_Models!$H$56:$H$59</c15:sqref>
                        </c15:formulaRef>
                      </c:ext>
                    </c:extLst>
                  </c:multiLvlStrRef>
                </c15:cat>
              </c15:filteredCategoryTitle>
            </c:ext>
            <c:ext xmlns:c16="http://schemas.microsoft.com/office/drawing/2014/chart" uri="{C3380CC4-5D6E-409C-BE32-E72D297353CC}">
              <c16:uniqueId val="{00000002-CA04-4378-B663-6DEBDE29A1B0}"/>
            </c:ext>
          </c:extLst>
        </c:ser>
        <c:dLbls>
          <c:showLegendKey val="0"/>
          <c:showVal val="0"/>
          <c:showCatName val="0"/>
          <c:showSerName val="0"/>
          <c:showPercent val="0"/>
          <c:showBubbleSize val="0"/>
        </c:dLbls>
        <c:gapWidth val="219"/>
        <c:overlap val="-27"/>
        <c:axId val="2078196927"/>
        <c:axId val="2078201247"/>
      </c:barChart>
      <c:catAx>
        <c:axId val="207819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333333"/>
                </a:solidFill>
                <a:latin typeface="+mn-lt"/>
                <a:ea typeface="+mn-ea"/>
                <a:cs typeface="+mn-cs"/>
              </a:defRPr>
            </a:pPr>
            <a:endParaRPr lang="en-US"/>
          </a:p>
        </c:txPr>
        <c:crossAx val="2078201247"/>
        <c:crosses val="autoZero"/>
        <c:auto val="1"/>
        <c:lblAlgn val="ctr"/>
        <c:lblOffset val="100"/>
        <c:noMultiLvlLbl val="0"/>
      </c:catAx>
      <c:valAx>
        <c:axId val="2078201247"/>
        <c:scaling>
          <c:orientation val="minMax"/>
        </c:scaling>
        <c:delete val="0"/>
        <c:axPos val="l"/>
        <c:majorGridlines>
          <c:spPr>
            <a:ln w="9525" cap="flat" cmpd="sng" algn="ctr">
              <a:solidFill>
                <a:srgbClr val="E0E0E0"/>
              </a:solidFill>
              <a:prstDash val="solid"/>
              <a:round/>
            </a:ln>
            <a:effectLst/>
          </c:spPr>
        </c:majorGridlines>
        <c:numFmt formatCode="&quot;$&quot;#,##0,\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66666"/>
                </a:solidFill>
                <a:latin typeface="+mn-lt"/>
                <a:ea typeface="+mn-ea"/>
                <a:cs typeface="+mn-cs"/>
              </a:defRPr>
            </a:pPr>
            <a:endParaRPr lang="en-US"/>
          </a:p>
        </c:txPr>
        <c:crossAx val="20781969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1F3864"/>
                </a:solidFill>
                <a:latin typeface="Calibri"/>
                <a:ea typeface="Calibri"/>
                <a:cs typeface="Calibri"/>
              </a:defRPr>
            </a:pPr>
            <a:r>
              <a:rPr lang="en-US"/>
              <a:t>Running Balance (Without Additional Funding)</a:t>
            </a: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1F3864"/>
              </a:solidFill>
              <a:latin typeface="Calibri"/>
              <a:ea typeface="Calibri"/>
              <a:cs typeface="Calibri"/>
            </a:defRPr>
          </a:pPr>
          <a:endParaRPr lang="en-US"/>
        </a:p>
      </c:txPr>
    </c:title>
    <c:autoTitleDeleted val="0"/>
    <c:plotArea>
      <c:layout/>
      <c:lineChart>
        <c:grouping val="standard"/>
        <c:varyColors val="0"/>
        <c:ser>
          <c:idx val="0"/>
          <c:order val="0"/>
          <c:tx>
            <c:strRef>
              <c:f>Funding_Summary_Models!$I$62</c:f>
              <c:strCache>
                <c:ptCount val="1"/>
                <c:pt idx="0">
                  <c:v>Base</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val>
            <c:numRef>
              <c:f>Funding_Summary_Models!$I$63:$I$66</c:f>
            </c:numRef>
          </c:val>
          <c:smooth val="0"/>
          <c:extLst>
            <c:ext xmlns:c15="http://schemas.microsoft.com/office/drawing/2012/chart" uri="{02D57815-91ED-43cb-92C2-25804820EDAC}">
              <c15:filteredCategoryTitle>
                <c15:cat>
                  <c:multiLvlStrRef>
                    <c:extLst>
                      <c:ext uri="{02D57815-91ED-43cb-92C2-25804820EDAC}">
                        <c15:formulaRef>
                          <c15:sqref>Funding_Summary_Models!$H$63:$H$66</c15:sqref>
                        </c15:formulaRef>
                      </c:ext>
                    </c:extLst>
                  </c:multiLvlStrRef>
                </c15:cat>
              </c15:filteredCategoryTitle>
            </c:ext>
            <c:ext xmlns:c16="http://schemas.microsoft.com/office/drawing/2014/chart" uri="{C3380CC4-5D6E-409C-BE32-E72D297353CC}">
              <c16:uniqueId val="{00000000-ED88-4D05-AF71-CA7F4BD04C6E}"/>
            </c:ext>
          </c:extLst>
        </c:ser>
        <c:ser>
          <c:idx val="1"/>
          <c:order val="1"/>
          <c:tx>
            <c:strRef>
              <c:f>Funding_Summary_Models!$J$62</c:f>
              <c:strCache>
                <c:ptCount val="1"/>
                <c:pt idx="0">
                  <c:v>Middle</c:v>
                </c:pt>
              </c:strCache>
            </c:strRef>
          </c:tx>
          <c:spPr>
            <a:ln w="28575" cap="rnd">
              <a:solidFill>
                <a:schemeClr val="accent2"/>
              </a:solidFill>
              <a:round/>
            </a:ln>
            <a:effectLst/>
          </c:spPr>
          <c:marker>
            <c:symbol val="square"/>
            <c:size val="8"/>
            <c:spPr>
              <a:solidFill>
                <a:schemeClr val="accent2"/>
              </a:solidFill>
              <a:ln w="9525">
                <a:solidFill>
                  <a:schemeClr val="accent2"/>
                </a:solidFill>
              </a:ln>
              <a:effectLst/>
            </c:spPr>
          </c:marker>
          <c:val>
            <c:numRef>
              <c:f>Funding_Summary_Models!$J$63:$J$66</c:f>
            </c:numRef>
          </c:val>
          <c:smooth val="0"/>
          <c:extLst>
            <c:ext xmlns:c15="http://schemas.microsoft.com/office/drawing/2012/chart" uri="{02D57815-91ED-43cb-92C2-25804820EDAC}">
              <c15:filteredCategoryTitle>
                <c15:cat>
                  <c:multiLvlStrRef>
                    <c:extLst>
                      <c:ext uri="{02D57815-91ED-43cb-92C2-25804820EDAC}">
                        <c15:formulaRef>
                          <c15:sqref>Funding_Summary_Models!$H$63:$H$66</c15:sqref>
                        </c15:formulaRef>
                      </c:ext>
                    </c:extLst>
                  </c:multiLvlStrRef>
                </c15:cat>
              </c15:filteredCategoryTitle>
            </c:ext>
            <c:ext xmlns:c16="http://schemas.microsoft.com/office/drawing/2014/chart" uri="{C3380CC4-5D6E-409C-BE32-E72D297353CC}">
              <c16:uniqueId val="{00000001-ED88-4D05-AF71-CA7F4BD04C6E}"/>
            </c:ext>
          </c:extLst>
        </c:ser>
        <c:ser>
          <c:idx val="2"/>
          <c:order val="2"/>
          <c:tx>
            <c:strRef>
              <c:f>Funding_Summary_Models!$K$62</c:f>
              <c:strCache>
                <c:ptCount val="1"/>
                <c:pt idx="0">
                  <c:v>High</c:v>
                </c:pt>
              </c:strCache>
            </c:strRef>
          </c:tx>
          <c:spPr>
            <a:ln w="28575" cap="rnd">
              <a:solidFill>
                <a:schemeClr val="accent3"/>
              </a:solidFill>
              <a:round/>
            </a:ln>
            <a:effectLst/>
          </c:spPr>
          <c:marker>
            <c:symbol val="triangle"/>
            <c:size val="8"/>
            <c:spPr>
              <a:solidFill>
                <a:schemeClr val="accent3"/>
              </a:solidFill>
              <a:ln w="9525">
                <a:solidFill>
                  <a:schemeClr val="accent3"/>
                </a:solidFill>
              </a:ln>
              <a:effectLst/>
            </c:spPr>
          </c:marker>
          <c:val>
            <c:numRef>
              <c:f>Funding_Summary_Models!$K$63:$K$66</c:f>
            </c:numRef>
          </c:val>
          <c:smooth val="0"/>
          <c:extLst>
            <c:ext xmlns:c15="http://schemas.microsoft.com/office/drawing/2012/chart" uri="{02D57815-91ED-43cb-92C2-25804820EDAC}">
              <c15:filteredCategoryTitle>
                <c15:cat>
                  <c:multiLvlStrRef>
                    <c:extLst>
                      <c:ext uri="{02D57815-91ED-43cb-92C2-25804820EDAC}">
                        <c15:formulaRef>
                          <c15:sqref>Funding_Summary_Models!$H$63:$H$66</c15:sqref>
                        </c15:formulaRef>
                      </c:ext>
                    </c:extLst>
                  </c:multiLvlStrRef>
                </c15:cat>
              </c15:filteredCategoryTitle>
            </c:ext>
            <c:ext xmlns:c16="http://schemas.microsoft.com/office/drawing/2014/chart" uri="{C3380CC4-5D6E-409C-BE32-E72D297353CC}">
              <c16:uniqueId val="{00000002-ED88-4D05-AF71-CA7F4BD04C6E}"/>
            </c:ext>
          </c:extLst>
        </c:ser>
        <c:dLbls>
          <c:showLegendKey val="0"/>
          <c:showVal val="0"/>
          <c:showCatName val="0"/>
          <c:showSerName val="0"/>
          <c:showPercent val="0"/>
          <c:showBubbleSize val="0"/>
        </c:dLbls>
        <c:marker val="1"/>
        <c:smooth val="0"/>
        <c:axId val="2078209887"/>
        <c:axId val="2078193567"/>
      </c:lineChart>
      <c:catAx>
        <c:axId val="2078209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333333"/>
                </a:solidFill>
                <a:latin typeface="+mn-lt"/>
                <a:ea typeface="+mn-ea"/>
                <a:cs typeface="+mn-cs"/>
              </a:defRPr>
            </a:pPr>
            <a:endParaRPr lang="en-US"/>
          </a:p>
        </c:txPr>
        <c:crossAx val="2078193567"/>
        <c:crosses val="autoZero"/>
        <c:auto val="1"/>
        <c:lblAlgn val="ctr"/>
        <c:lblOffset val="100"/>
        <c:noMultiLvlLbl val="0"/>
      </c:catAx>
      <c:valAx>
        <c:axId val="2078193567"/>
        <c:scaling>
          <c:orientation val="minMax"/>
        </c:scaling>
        <c:delete val="0"/>
        <c:axPos val="l"/>
        <c:majorGridlines>
          <c:spPr>
            <a:ln w="9525" cap="flat" cmpd="sng" algn="ctr">
              <a:solidFill>
                <a:srgbClr val="E0E0E0"/>
              </a:solidFill>
              <a:prstDash val="solid"/>
              <a:round/>
            </a:ln>
            <a:effectLst/>
          </c:spPr>
        </c:majorGridlines>
        <c:numFmt formatCode="&quot;$&quot;#,##0,\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66666"/>
                </a:solidFill>
                <a:latin typeface="+mn-lt"/>
                <a:ea typeface="+mn-ea"/>
                <a:cs typeface="+mn-cs"/>
              </a:defRPr>
            </a:pPr>
            <a:endParaRPr lang="en-US"/>
          </a:p>
        </c:txPr>
        <c:crossAx val="2078209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1F3864"/>
                </a:solidFill>
                <a:latin typeface="Calibri"/>
                <a:ea typeface="Calibri"/>
                <a:cs typeface="Calibri"/>
              </a:defRPr>
            </a:pPr>
            <a:r>
              <a:rPr lang="en-US"/>
              <a:t>Additional Funding Required (Q2–Q4)</a:t>
            </a: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1F3864"/>
              </a:solidFill>
              <a:latin typeface="Calibri"/>
              <a:ea typeface="Calibri"/>
              <a:cs typeface="Calibri"/>
            </a:defRPr>
          </a:pPr>
          <a:endParaRPr lang="en-US"/>
        </a:p>
      </c:txPr>
    </c:title>
    <c:autoTitleDeleted val="0"/>
    <c:plotArea>
      <c:layout/>
      <c:barChart>
        <c:barDir val="bar"/>
        <c:grouping val="clustered"/>
        <c:varyColors val="0"/>
        <c:ser>
          <c:idx val="0"/>
          <c:order val="0"/>
          <c:tx>
            <c:strRef>
              <c:f>Funding_Summary_Models!$I$69</c:f>
              <c:strCache>
                <c:ptCount val="1"/>
                <c:pt idx="0">
                  <c:v>Additional Funding Needed</c:v>
                </c:pt>
              </c:strCache>
            </c:strRef>
          </c:tx>
          <c:spPr>
            <a:solidFill>
              <a:schemeClr val="accent1"/>
            </a:solidFill>
            <a:ln>
              <a:noFill/>
            </a:ln>
            <a:effectLst/>
          </c:spPr>
          <c:invertIfNegative val="0"/>
          <c:dLbls>
            <c:numFmt formatCode="&quot;$&quot;#,##0,\K"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Funding_Summary_Models!$I$70:$I$72</c:f>
            </c:numRef>
          </c:val>
          <c:extLst>
            <c:ext xmlns:c15="http://schemas.microsoft.com/office/drawing/2012/chart" uri="{02D57815-91ED-43cb-92C2-25804820EDAC}">
              <c15:filteredCategoryTitle>
                <c15:cat>
                  <c:multiLvlStrRef>
                    <c:extLst>
                      <c:ext uri="{02D57815-91ED-43cb-92C2-25804820EDAC}">
                        <c15:formulaRef>
                          <c15:sqref>Funding_Summary_Models!$H$70:$H$72</c15:sqref>
                        </c15:formulaRef>
                      </c:ext>
                    </c:extLst>
                  </c:multiLvlStrRef>
                </c15:cat>
              </c15:filteredCategoryTitle>
            </c:ext>
            <c:ext xmlns:c16="http://schemas.microsoft.com/office/drawing/2014/chart" uri="{C3380CC4-5D6E-409C-BE32-E72D297353CC}">
              <c16:uniqueId val="{00000000-5242-4654-ACCC-AD38B8CC4F28}"/>
            </c:ext>
          </c:extLst>
        </c:ser>
        <c:dLbls>
          <c:showLegendKey val="0"/>
          <c:showVal val="0"/>
          <c:showCatName val="0"/>
          <c:showSerName val="0"/>
          <c:showPercent val="0"/>
          <c:showBubbleSize val="0"/>
        </c:dLbls>
        <c:gapWidth val="182"/>
        <c:axId val="2078213727"/>
        <c:axId val="2078220447"/>
      </c:barChart>
      <c:catAx>
        <c:axId val="2078213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333333"/>
                </a:solidFill>
                <a:latin typeface="+mn-lt"/>
                <a:ea typeface="+mn-ea"/>
                <a:cs typeface="+mn-cs"/>
              </a:defRPr>
            </a:pPr>
            <a:endParaRPr lang="en-US"/>
          </a:p>
        </c:txPr>
        <c:crossAx val="2078220447"/>
        <c:crosses val="autoZero"/>
        <c:auto val="1"/>
        <c:lblAlgn val="ctr"/>
        <c:lblOffset val="100"/>
        <c:noMultiLvlLbl val="0"/>
      </c:catAx>
      <c:valAx>
        <c:axId val="2078220447"/>
        <c:scaling>
          <c:orientation val="minMax"/>
        </c:scaling>
        <c:delete val="0"/>
        <c:axPos val="b"/>
        <c:majorGridlines>
          <c:spPr>
            <a:ln w="9525" cap="flat" cmpd="sng" algn="ctr">
              <a:solidFill>
                <a:srgbClr val="E0E0E0"/>
              </a:solidFill>
              <a:prstDash val="solid"/>
              <a:round/>
            </a:ln>
            <a:effectLst/>
          </c:spPr>
        </c:majorGridlines>
        <c:numFmt formatCode="&quot;$&quot;#,##0,\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66666"/>
                </a:solidFill>
                <a:latin typeface="+mn-lt"/>
                <a:ea typeface="+mn-ea"/>
                <a:cs typeface="+mn-cs"/>
              </a:defRPr>
            </a:pPr>
            <a:endParaRPr lang="en-US"/>
          </a:p>
        </c:txPr>
        <c:crossAx val="2078213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34</xdr:row>
      <xdr:rowOff>95250</xdr:rowOff>
    </xdr:from>
    <xdr:to>
      <xdr:col>2</xdr:col>
      <xdr:colOff>819150</xdr:colOff>
      <xdr:row>36</xdr:row>
      <xdr:rowOff>95250</xdr:rowOff>
    </xdr:to>
    <xdr:sp macro="[0]!DrawMacros.RecordDraw" textlink="">
      <xdr:nvSpPr>
        <xdr:cNvPr id="2" name="Rectangle 1">
          <a:extLst>
            <a:ext uri="{FF2B5EF4-FFF2-40B4-BE49-F238E27FC236}">
              <a16:creationId xmlns:a16="http://schemas.microsoft.com/office/drawing/2014/main" id="{515889D1-577E-84C8-454F-998565D90F7F}"/>
            </a:ext>
          </a:extLst>
        </xdr:cNvPr>
        <xdr:cNvSpPr/>
      </xdr:nvSpPr>
      <xdr:spPr>
        <a:xfrm>
          <a:off x="209550" y="6927850"/>
          <a:ext cx="1809750" cy="368300"/>
        </a:xfrm>
        <a:prstGeom prst="rect">
          <a:avLst/>
        </a:prstGeom>
        <a:solidFill>
          <a:srgbClr val="009900"/>
        </a:solidFill>
        <a:ln>
          <a:solidFill>
            <a:schemeClr val="accent3">
              <a:lumMod val="75000"/>
            </a:schemeClr>
          </a:solidFill>
        </a:ln>
        <a:effectLst>
          <a:outerShdw blurRad="50800" dist="50800" dir="5400000" algn="ctr" rotWithShape="0">
            <a:schemeClr val="bg1">
              <a:lumMod val="6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Record </a:t>
          </a:r>
          <a:r>
            <a:rPr lang="en-US" sz="1100" baseline="0"/>
            <a:t>Draw</a:t>
          </a:r>
        </a:p>
      </xdr:txBody>
    </xdr:sp>
    <xdr:clientData/>
  </xdr:twoCellAnchor>
  <xdr:twoCellAnchor>
    <xdr:from>
      <xdr:col>0</xdr:col>
      <xdr:colOff>203200</xdr:colOff>
      <xdr:row>37</xdr:row>
      <xdr:rowOff>0</xdr:rowOff>
    </xdr:from>
    <xdr:to>
      <xdr:col>2</xdr:col>
      <xdr:colOff>813562</xdr:colOff>
      <xdr:row>38</xdr:row>
      <xdr:rowOff>181610</xdr:rowOff>
    </xdr:to>
    <xdr:sp macro="[0]!DrawMacros.ClearDrawForm" textlink="">
      <xdr:nvSpPr>
        <xdr:cNvPr id="3" name="Rectangle 2">
          <a:extLst>
            <a:ext uri="{FF2B5EF4-FFF2-40B4-BE49-F238E27FC236}">
              <a16:creationId xmlns:a16="http://schemas.microsoft.com/office/drawing/2014/main" id="{417C4CD3-6C5C-FA7F-2559-72976ADF9D46}"/>
            </a:ext>
          </a:extLst>
        </xdr:cNvPr>
        <xdr:cNvSpPr/>
      </xdr:nvSpPr>
      <xdr:spPr>
        <a:xfrm>
          <a:off x="203200" y="7385050"/>
          <a:ext cx="1810512" cy="365760"/>
        </a:xfrm>
        <a:prstGeom prst="rect">
          <a:avLst/>
        </a:prstGeom>
        <a:solidFill>
          <a:srgbClr val="C00000"/>
        </a:solidFill>
        <a:ln>
          <a:solidFill>
            <a:schemeClr val="accent2">
              <a:lumMod val="60000"/>
              <a:lumOff val="40000"/>
            </a:schemeClr>
          </a:solidFill>
        </a:ln>
        <a:effectLst>
          <a:outerShdw blurRad="50800" dist="50800" dir="5400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Form</a:t>
          </a:r>
        </a:p>
      </xdr:txBody>
    </xdr:sp>
    <xdr:clientData/>
  </xdr:twoCellAnchor>
  <xdr:twoCellAnchor>
    <xdr:from>
      <xdr:col>0</xdr:col>
      <xdr:colOff>203200</xdr:colOff>
      <xdr:row>39</xdr:row>
      <xdr:rowOff>107950</xdr:rowOff>
    </xdr:from>
    <xdr:to>
      <xdr:col>2</xdr:col>
      <xdr:colOff>813562</xdr:colOff>
      <xdr:row>41</xdr:row>
      <xdr:rowOff>101600</xdr:rowOff>
    </xdr:to>
    <xdr:sp macro="[0]!DrawMacros.ShowPrintPreview" textlink="">
      <xdr:nvSpPr>
        <xdr:cNvPr id="5" name="Rectangle 3">
          <a:extLst>
            <a:ext uri="{FF2B5EF4-FFF2-40B4-BE49-F238E27FC236}">
              <a16:creationId xmlns:a16="http://schemas.microsoft.com/office/drawing/2014/main" id="{66CE57BB-B4DC-7F9A-D7A7-F230EF7AA265}"/>
            </a:ext>
            <a:ext uri="{147F2762-F138-4A5C-976F-8EAC2B608ADB}">
              <a16:predDERef xmlns:a16="http://schemas.microsoft.com/office/drawing/2014/main" pred="{417C4CD3-6C5C-FA7F-2559-72976ADF9D46}"/>
            </a:ext>
          </a:extLst>
        </xdr:cNvPr>
        <xdr:cNvSpPr/>
      </xdr:nvSpPr>
      <xdr:spPr>
        <a:xfrm>
          <a:off x="203200" y="7861300"/>
          <a:ext cx="1810512" cy="361950"/>
        </a:xfrm>
        <a:prstGeom prst="rect">
          <a:avLst/>
        </a:prstGeom>
        <a:ln>
          <a:solidFill>
            <a:schemeClr val="accent1">
              <a:lumMod val="40000"/>
              <a:lumOff val="60000"/>
            </a:schemeClr>
          </a:solidFill>
        </a:ln>
        <a:effectLst>
          <a:outerShdw blurRad="50800" dist="50800" dir="5400000" algn="ctr" rotWithShape="0">
            <a:schemeClr val="bg1">
              <a:lumMod val="7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Print Preview</a:t>
          </a:r>
        </a:p>
        <a:p>
          <a:pPr marL="0" indent="0" algn="ctr"/>
          <a:endParaRPr lang="en-US" sz="1100">
            <a:solidFill>
              <a:schemeClr val="lt1"/>
            </a:solidFill>
            <a:latin typeface="+mn-lt"/>
            <a:ea typeface="+mn-lt"/>
            <a:cs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54</xdr:row>
      <xdr:rowOff>0</xdr:rowOff>
    </xdr:from>
    <xdr:to>
      <xdr:col>6</xdr:col>
      <xdr:colOff>0</xdr:colOff>
      <xdr:row>71</xdr:row>
      <xdr:rowOff>0</xdr:rowOff>
    </xdr:to>
    <xdr:graphicFrame macro="">
      <xdr:nvGraphicFramePr>
        <xdr:cNvPr id="6" name="Chart 5">
          <a:extLst>
            <a:ext uri="{FF2B5EF4-FFF2-40B4-BE49-F238E27FC236}">
              <a16:creationId xmlns:a16="http://schemas.microsoft.com/office/drawing/2014/main" id="{6E48E800-092D-DB8C-C6C2-E369305EC9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72</xdr:row>
      <xdr:rowOff>0</xdr:rowOff>
    </xdr:from>
    <xdr:to>
      <xdr:col>6</xdr:col>
      <xdr:colOff>0</xdr:colOff>
      <xdr:row>89</xdr:row>
      <xdr:rowOff>0</xdr:rowOff>
    </xdr:to>
    <xdr:graphicFrame macro="">
      <xdr:nvGraphicFramePr>
        <xdr:cNvPr id="7" name="Chart 6">
          <a:extLst>
            <a:ext uri="{FF2B5EF4-FFF2-40B4-BE49-F238E27FC236}">
              <a16:creationId xmlns:a16="http://schemas.microsoft.com/office/drawing/2014/main" id="{0A4E7A9C-7820-0992-202F-493C3C6A66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90</xdr:row>
      <xdr:rowOff>0</xdr:rowOff>
    </xdr:from>
    <xdr:to>
      <xdr:col>6</xdr:col>
      <xdr:colOff>0</xdr:colOff>
      <xdr:row>103</xdr:row>
      <xdr:rowOff>0</xdr:rowOff>
    </xdr:to>
    <xdr:graphicFrame macro="">
      <xdr:nvGraphicFramePr>
        <xdr:cNvPr id="8" name="Chart 7">
          <a:extLst>
            <a:ext uri="{FF2B5EF4-FFF2-40B4-BE49-F238E27FC236}">
              <a16:creationId xmlns:a16="http://schemas.microsoft.com/office/drawing/2014/main" id="{0D84DD3E-743E-6672-7266-1DB0CA18CE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342900</xdr:colOff>
      <xdr:row>21</xdr:row>
      <xdr:rowOff>12700</xdr:rowOff>
    </xdr:from>
    <xdr:to>
      <xdr:col>6</xdr:col>
      <xdr:colOff>0</xdr:colOff>
      <xdr:row>23</xdr:row>
      <xdr:rowOff>6350</xdr:rowOff>
    </xdr:to>
    <xdr:sp macro="[0]!DrawMacros.ResetAllDraws" textlink="">
      <xdr:nvSpPr>
        <xdr:cNvPr id="2" name="Rectangle 1">
          <a:extLst>
            <a:ext uri="{FF2B5EF4-FFF2-40B4-BE49-F238E27FC236}">
              <a16:creationId xmlns:a16="http://schemas.microsoft.com/office/drawing/2014/main" id="{1D079CCA-1621-8D84-B1B5-876FD3D2CD72}"/>
            </a:ext>
          </a:extLst>
        </xdr:cNvPr>
        <xdr:cNvSpPr/>
      </xdr:nvSpPr>
      <xdr:spPr>
        <a:xfrm>
          <a:off x="4184650" y="4121150"/>
          <a:ext cx="3149600" cy="37465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Reset All</a:t>
          </a:r>
          <a:r>
            <a:rPr lang="en-US" sz="1100" baseline="0"/>
            <a:t> Draws</a:t>
          </a:r>
        </a:p>
        <a:p>
          <a:pPr algn="ctr"/>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Sergio Chidichimo" id="{BDEA3D30-023C-4395-827D-CF83200B788A}" userId="S::sergio@arlast.com::3b3bb5f9-d888-4b58-a88d-2d4f79871482" providerId="AD"/>
</personList>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5" dT="2026-03-30T18:54:11.06" personId="{BDEA3D30-023C-4395-827D-CF83200B788A}" id="{FBC964CE-F678-4003-B40B-D9190532A3DB}">
    <text>Actual Pennybacker funding per WaFd Bank acct *7940, deposit 01/26/2026. Previously on Dashboard!H8. Source: WaFd bank statement dated 03/30/2026.</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7D552B2-DF48-4AC1-B25D-2773D4173BA0}">
  <we:reference id="WA200009404" version="1.0.0.5" store="Omex" storeType="OMEX"/>
  <we:alternateReferences>
    <we:reference id="WA200009404" version="1.0.0.5" store="WA200009404" storeType="OMEX"/>
  </we:alternateReferences>
  <we:properties>
    <we:property name="claude.fileId" value="&quot;932d8b6a-0457-4825-9137-6d9a838c1aaa&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arlast.sharepoint.com/:f:/s/ArdisiaResidential/IgANR1XQTflIRYwaiXE6Cbi1AX1AuaXcvoXGCfXKtSvtgvs?e=ZiZDil" TargetMode="Externa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26BA7-9500-4ACA-9049-4535E500CE81}">
  <dimension ref="A1:F55"/>
  <sheetViews>
    <sheetView workbookViewId="0"/>
  </sheetViews>
  <sheetFormatPr defaultRowHeight="14.4" x14ac:dyDescent="0.3"/>
  <cols>
    <col min="2" max="2" width="9.5546875" bestFit="1" customWidth="1"/>
    <col min="3" max="6" width="54.5546875" customWidth="1"/>
  </cols>
  <sheetData>
    <row r="1" spans="1:6" x14ac:dyDescent="0.3">
      <c r="A1" s="162" t="s">
        <v>0</v>
      </c>
      <c r="B1" s="162" t="s">
        <v>1</v>
      </c>
      <c r="C1" s="162" t="s">
        <v>2</v>
      </c>
      <c r="D1" s="162" t="s">
        <v>3</v>
      </c>
      <c r="E1" s="162" t="s">
        <v>4</v>
      </c>
      <c r="F1" s="162" t="s">
        <v>5</v>
      </c>
    </row>
    <row r="2" spans="1:6" x14ac:dyDescent="0.3">
      <c r="A2">
        <v>1</v>
      </c>
      <c r="B2" s="25">
        <v>46162</v>
      </c>
      <c r="C2" t="s">
        <v>6</v>
      </c>
      <c r="D2" t="s">
        <v>7</v>
      </c>
      <c r="E2" t="s">
        <v>8</v>
      </c>
      <c r="F2" t="s">
        <v>9</v>
      </c>
    </row>
    <row r="3" spans="1:6" x14ac:dyDescent="0.3">
      <c r="A3">
        <v>3</v>
      </c>
      <c r="B3" s="25">
        <v>46162</v>
      </c>
      <c r="C3" t="s">
        <v>10</v>
      </c>
      <c r="D3" t="s">
        <v>11</v>
      </c>
      <c r="E3" t="s">
        <v>12</v>
      </c>
      <c r="F3" t="s">
        <v>13</v>
      </c>
    </row>
    <row r="4" spans="1:6" x14ac:dyDescent="0.3">
      <c r="A4">
        <v>3</v>
      </c>
      <c r="B4" s="25">
        <v>46111</v>
      </c>
      <c r="C4" t="s">
        <v>14</v>
      </c>
      <c r="D4" t="s">
        <v>15</v>
      </c>
      <c r="E4" t="s">
        <v>16</v>
      </c>
      <c r="F4" t="s">
        <v>17</v>
      </c>
    </row>
    <row r="5" spans="1:6" x14ac:dyDescent="0.3">
      <c r="A5">
        <v>4</v>
      </c>
      <c r="B5" s="25">
        <v>46111</v>
      </c>
      <c r="C5" t="s">
        <v>18</v>
      </c>
      <c r="D5" t="s">
        <v>19</v>
      </c>
      <c r="E5" t="s">
        <v>20</v>
      </c>
      <c r="F5" t="s">
        <v>21</v>
      </c>
    </row>
    <row r="6" spans="1:6" x14ac:dyDescent="0.3">
      <c r="A6">
        <v>5</v>
      </c>
      <c r="B6" s="25">
        <v>46162</v>
      </c>
      <c r="C6" t="s">
        <v>22</v>
      </c>
      <c r="D6" t="s">
        <v>23</v>
      </c>
      <c r="E6" t="s">
        <v>24</v>
      </c>
      <c r="F6" t="s">
        <v>25</v>
      </c>
    </row>
    <row r="7" spans="1:6" x14ac:dyDescent="0.3">
      <c r="A7">
        <v>6</v>
      </c>
      <c r="B7" s="25">
        <v>46111</v>
      </c>
      <c r="C7" t="s">
        <v>26</v>
      </c>
      <c r="D7" t="s">
        <v>27</v>
      </c>
      <c r="E7" t="s">
        <v>28</v>
      </c>
      <c r="F7" t="s">
        <v>29</v>
      </c>
    </row>
    <row r="8" spans="1:6" x14ac:dyDescent="0.3">
      <c r="A8">
        <v>7</v>
      </c>
      <c r="B8" s="25">
        <v>46111</v>
      </c>
      <c r="C8" t="s">
        <v>30</v>
      </c>
      <c r="D8" t="s">
        <v>31</v>
      </c>
      <c r="E8" t="s">
        <v>32</v>
      </c>
      <c r="F8" t="s">
        <v>33</v>
      </c>
    </row>
    <row r="9" spans="1:6" x14ac:dyDescent="0.3">
      <c r="A9">
        <v>8</v>
      </c>
      <c r="B9" s="25">
        <v>46111</v>
      </c>
      <c r="C9" t="s">
        <v>34</v>
      </c>
      <c r="D9" t="s">
        <v>35</v>
      </c>
      <c r="E9" t="s">
        <v>36</v>
      </c>
      <c r="F9" t="s">
        <v>37</v>
      </c>
    </row>
    <row r="10" spans="1:6" x14ac:dyDescent="0.3">
      <c r="A10">
        <v>9</v>
      </c>
      <c r="B10" s="25">
        <v>46111</v>
      </c>
      <c r="C10" t="s">
        <v>38</v>
      </c>
      <c r="D10" t="s">
        <v>39</v>
      </c>
      <c r="E10" t="s">
        <v>40</v>
      </c>
      <c r="F10" t="s">
        <v>41</v>
      </c>
    </row>
    <row r="11" spans="1:6" ht="86.4" x14ac:dyDescent="0.3">
      <c r="A11" s="203">
        <v>10</v>
      </c>
      <c r="B11" s="204">
        <v>46117</v>
      </c>
      <c r="C11" s="203" t="s">
        <v>42</v>
      </c>
      <c r="D11" s="203" t="s">
        <v>43</v>
      </c>
      <c r="E11" s="203" t="s">
        <v>44</v>
      </c>
      <c r="F11" s="203" t="s">
        <v>45</v>
      </c>
    </row>
    <row r="12" spans="1:6" ht="43.2" x14ac:dyDescent="0.3">
      <c r="A12" s="203">
        <v>11</v>
      </c>
      <c r="B12" s="204">
        <v>46117</v>
      </c>
      <c r="C12" s="203" t="s">
        <v>46</v>
      </c>
      <c r="D12" s="203" t="s">
        <v>47</v>
      </c>
      <c r="E12" s="203" t="s">
        <v>48</v>
      </c>
      <c r="F12" s="203" t="s">
        <v>49</v>
      </c>
    </row>
    <row r="13" spans="1:6" x14ac:dyDescent="0.3">
      <c r="A13">
        <v>4</v>
      </c>
      <c r="B13" s="25">
        <v>46117</v>
      </c>
      <c r="C13" t="s">
        <v>50</v>
      </c>
      <c r="D13" t="s">
        <v>51</v>
      </c>
      <c r="E13" t="s">
        <v>52</v>
      </c>
      <c r="F13" t="s">
        <v>53</v>
      </c>
    </row>
    <row r="14" spans="1:6" x14ac:dyDescent="0.3">
      <c r="A14">
        <v>5</v>
      </c>
      <c r="B14" s="25">
        <v>46117</v>
      </c>
      <c r="C14" t="s">
        <v>54</v>
      </c>
      <c r="D14" t="s">
        <v>55</v>
      </c>
      <c r="E14" t="s">
        <v>56</v>
      </c>
      <c r="F14" t="s">
        <v>57</v>
      </c>
    </row>
    <row r="15" spans="1:6" x14ac:dyDescent="0.3">
      <c r="A15">
        <v>6</v>
      </c>
      <c r="B15" s="25">
        <v>46117</v>
      </c>
      <c r="C15" t="s">
        <v>58</v>
      </c>
      <c r="D15" t="s">
        <v>59</v>
      </c>
      <c r="E15" t="s">
        <v>60</v>
      </c>
      <c r="F15" t="s">
        <v>61</v>
      </c>
    </row>
    <row r="16" spans="1:6" x14ac:dyDescent="0.3">
      <c r="A16">
        <v>7</v>
      </c>
      <c r="B16" s="25">
        <v>46117</v>
      </c>
      <c r="C16" t="s">
        <v>62</v>
      </c>
      <c r="D16" t="s">
        <v>63</v>
      </c>
      <c r="E16" t="s">
        <v>64</v>
      </c>
      <c r="F16" t="s">
        <v>65</v>
      </c>
    </row>
    <row r="17" spans="1:6" x14ac:dyDescent="0.3">
      <c r="A17">
        <v>8</v>
      </c>
      <c r="B17" s="25">
        <v>46117</v>
      </c>
      <c r="C17" t="s">
        <v>66</v>
      </c>
      <c r="D17" t="s">
        <v>67</v>
      </c>
      <c r="E17" t="s">
        <v>68</v>
      </c>
      <c r="F17" t="s">
        <v>69</v>
      </c>
    </row>
    <row r="18" spans="1:6" x14ac:dyDescent="0.3">
      <c r="A18">
        <v>8</v>
      </c>
      <c r="B18" s="25">
        <v>46117</v>
      </c>
      <c r="C18" t="s">
        <v>70</v>
      </c>
      <c r="D18" t="s">
        <v>71</v>
      </c>
      <c r="E18" t="s">
        <v>72</v>
      </c>
      <c r="F18" t="s">
        <v>73</v>
      </c>
    </row>
    <row r="19" spans="1:6" x14ac:dyDescent="0.3">
      <c r="A19">
        <v>9</v>
      </c>
      <c r="B19" s="25">
        <v>46117</v>
      </c>
      <c r="C19" t="s">
        <v>74</v>
      </c>
      <c r="D19" t="s">
        <v>75</v>
      </c>
      <c r="E19" t="s">
        <v>76</v>
      </c>
      <c r="F19" t="s">
        <v>77</v>
      </c>
    </row>
    <row r="20" spans="1:6" x14ac:dyDescent="0.3">
      <c r="A20">
        <v>10</v>
      </c>
      <c r="B20" s="25">
        <v>46117</v>
      </c>
      <c r="C20" t="s">
        <v>78</v>
      </c>
      <c r="D20" t="s">
        <v>79</v>
      </c>
      <c r="E20" t="s">
        <v>80</v>
      </c>
      <c r="F20" t="s">
        <v>81</v>
      </c>
    </row>
    <row r="21" spans="1:6" x14ac:dyDescent="0.3">
      <c r="A21">
        <v>10</v>
      </c>
      <c r="B21" s="25">
        <v>46117</v>
      </c>
      <c r="C21" t="s">
        <v>82</v>
      </c>
      <c r="D21" t="s">
        <v>83</v>
      </c>
      <c r="E21" t="s">
        <v>84</v>
      </c>
      <c r="F21" t="s">
        <v>85</v>
      </c>
    </row>
    <row r="22" spans="1:6" x14ac:dyDescent="0.3">
      <c r="A22">
        <v>11</v>
      </c>
      <c r="B22" s="25">
        <v>46117</v>
      </c>
      <c r="C22" t="s">
        <v>86</v>
      </c>
      <c r="D22" t="s">
        <v>87</v>
      </c>
      <c r="E22" t="s">
        <v>88</v>
      </c>
      <c r="F22" t="s">
        <v>89</v>
      </c>
    </row>
    <row r="23" spans="1:6" x14ac:dyDescent="0.3">
      <c r="A23">
        <v>12</v>
      </c>
      <c r="B23" s="25">
        <v>46117</v>
      </c>
      <c r="C23" t="s">
        <v>90</v>
      </c>
      <c r="D23" t="s">
        <v>91</v>
      </c>
      <c r="E23" t="s">
        <v>92</v>
      </c>
      <c r="F23" t="s">
        <v>93</v>
      </c>
    </row>
    <row r="24" spans="1:6" x14ac:dyDescent="0.3">
      <c r="A24">
        <v>13</v>
      </c>
      <c r="B24" s="25">
        <v>46119</v>
      </c>
      <c r="C24" t="s">
        <v>94</v>
      </c>
      <c r="D24" t="s">
        <v>95</v>
      </c>
      <c r="E24" t="s">
        <v>96</v>
      </c>
      <c r="F24" t="s">
        <v>97</v>
      </c>
    </row>
    <row r="25" spans="1:6" x14ac:dyDescent="0.3">
      <c r="A25">
        <v>14</v>
      </c>
      <c r="B25" s="25">
        <v>46119</v>
      </c>
      <c r="C25" t="s">
        <v>98</v>
      </c>
      <c r="D25" t="s">
        <v>99</v>
      </c>
      <c r="E25" t="s">
        <v>100</v>
      </c>
      <c r="F25" t="s">
        <v>101</v>
      </c>
    </row>
    <row r="26" spans="1:6" x14ac:dyDescent="0.3">
      <c r="A26">
        <v>15</v>
      </c>
      <c r="B26" s="25">
        <v>46119</v>
      </c>
      <c r="C26" t="s">
        <v>102</v>
      </c>
      <c r="D26" t="s">
        <v>103</v>
      </c>
      <c r="E26" t="s">
        <v>104</v>
      </c>
      <c r="F26" t="s">
        <v>105</v>
      </c>
    </row>
    <row r="27" spans="1:6" x14ac:dyDescent="0.3">
      <c r="A27">
        <v>16</v>
      </c>
      <c r="B27" s="25">
        <v>46119</v>
      </c>
      <c r="C27" t="s">
        <v>106</v>
      </c>
      <c r="D27" t="s">
        <v>107</v>
      </c>
      <c r="E27" t="s">
        <v>108</v>
      </c>
      <c r="F27" t="s">
        <v>109</v>
      </c>
    </row>
    <row r="28" spans="1:6" x14ac:dyDescent="0.3">
      <c r="A28">
        <v>27</v>
      </c>
      <c r="B28" s="25">
        <v>46125</v>
      </c>
      <c r="C28" t="s">
        <v>110</v>
      </c>
      <c r="D28" t="s">
        <v>111</v>
      </c>
      <c r="E28" t="s">
        <v>112</v>
      </c>
      <c r="F28" t="s">
        <v>113</v>
      </c>
    </row>
    <row r="29" spans="1:6" x14ac:dyDescent="0.3">
      <c r="A29">
        <v>28</v>
      </c>
      <c r="B29" s="25">
        <v>46125</v>
      </c>
      <c r="C29" t="s">
        <v>114</v>
      </c>
      <c r="D29" t="s">
        <v>115</v>
      </c>
      <c r="E29" t="s">
        <v>116</v>
      </c>
      <c r="F29" t="s">
        <v>117</v>
      </c>
    </row>
    <row r="30" spans="1:6" x14ac:dyDescent="0.3">
      <c r="A30">
        <v>29</v>
      </c>
      <c r="B30" s="25">
        <v>46125</v>
      </c>
      <c r="C30" t="s">
        <v>118</v>
      </c>
      <c r="D30" t="s">
        <v>119</v>
      </c>
      <c r="E30" t="s">
        <v>120</v>
      </c>
      <c r="F30" t="s">
        <v>121</v>
      </c>
    </row>
    <row r="31" spans="1:6" x14ac:dyDescent="0.3">
      <c r="A31">
        <v>30</v>
      </c>
      <c r="B31" s="25">
        <v>46125</v>
      </c>
      <c r="C31" t="s">
        <v>122</v>
      </c>
      <c r="D31" t="s">
        <v>123</v>
      </c>
      <c r="E31" t="s">
        <v>124</v>
      </c>
      <c r="F31" t="s">
        <v>125</v>
      </c>
    </row>
    <row r="32" spans="1:6" x14ac:dyDescent="0.3">
      <c r="A32">
        <v>31</v>
      </c>
      <c r="B32" s="25">
        <v>46125</v>
      </c>
      <c r="C32" t="s">
        <v>126</v>
      </c>
      <c r="D32" t="s">
        <v>127</v>
      </c>
      <c r="E32" t="s">
        <v>128</v>
      </c>
      <c r="F32" t="s">
        <v>129</v>
      </c>
    </row>
    <row r="33" spans="1:6" x14ac:dyDescent="0.3">
      <c r="A33">
        <v>32</v>
      </c>
      <c r="B33" s="25">
        <v>46125</v>
      </c>
      <c r="C33" t="s">
        <v>130</v>
      </c>
      <c r="D33" t="s">
        <v>131</v>
      </c>
      <c r="E33" t="s">
        <v>132</v>
      </c>
      <c r="F33" t="s">
        <v>133</v>
      </c>
    </row>
    <row r="34" spans="1:6" x14ac:dyDescent="0.3">
      <c r="A34">
        <v>33</v>
      </c>
      <c r="B34" s="25">
        <v>46125</v>
      </c>
      <c r="C34" t="s">
        <v>134</v>
      </c>
      <c r="D34" t="s">
        <v>135</v>
      </c>
      <c r="E34" t="s">
        <v>136</v>
      </c>
      <c r="F34" t="s">
        <v>137</v>
      </c>
    </row>
    <row r="35" spans="1:6" x14ac:dyDescent="0.3">
      <c r="A35">
        <v>34</v>
      </c>
      <c r="B35" s="25">
        <v>46125</v>
      </c>
      <c r="C35" t="s">
        <v>138</v>
      </c>
      <c r="D35" t="s">
        <v>139</v>
      </c>
      <c r="E35" t="s">
        <v>140</v>
      </c>
      <c r="F35" t="s">
        <v>141</v>
      </c>
    </row>
    <row r="36" spans="1:6" x14ac:dyDescent="0.3">
      <c r="A36">
        <v>35</v>
      </c>
      <c r="B36" s="25">
        <v>46125</v>
      </c>
      <c r="C36" t="s">
        <v>142</v>
      </c>
      <c r="D36" t="s">
        <v>143</v>
      </c>
      <c r="E36" t="s">
        <v>144</v>
      </c>
      <c r="F36" t="s">
        <v>145</v>
      </c>
    </row>
    <row r="37" spans="1:6" x14ac:dyDescent="0.3">
      <c r="A37">
        <v>36</v>
      </c>
      <c r="B37" s="25">
        <v>46125</v>
      </c>
      <c r="C37" t="s">
        <v>146</v>
      </c>
      <c r="D37" t="s">
        <v>147</v>
      </c>
      <c r="E37" t="s">
        <v>148</v>
      </c>
      <c r="F37" t="s">
        <v>149</v>
      </c>
    </row>
    <row r="38" spans="1:6" x14ac:dyDescent="0.3">
      <c r="A38">
        <v>37</v>
      </c>
      <c r="B38" s="25">
        <v>46125</v>
      </c>
      <c r="C38" t="s">
        <v>150</v>
      </c>
      <c r="D38" t="s">
        <v>151</v>
      </c>
      <c r="E38" t="s">
        <v>152</v>
      </c>
      <c r="F38" t="s">
        <v>153</v>
      </c>
    </row>
    <row r="39" spans="1:6" x14ac:dyDescent="0.3">
      <c r="A39">
        <v>38</v>
      </c>
      <c r="B39" s="25">
        <v>46125</v>
      </c>
      <c r="C39" t="s">
        <v>154</v>
      </c>
      <c r="D39" t="s">
        <v>155</v>
      </c>
      <c r="E39" t="s">
        <v>156</v>
      </c>
      <c r="F39" t="s">
        <v>157</v>
      </c>
    </row>
    <row r="40" spans="1:6" x14ac:dyDescent="0.3">
      <c r="A40">
        <v>39</v>
      </c>
      <c r="B40" s="25">
        <v>46125</v>
      </c>
      <c r="C40" t="s">
        <v>158</v>
      </c>
      <c r="D40" t="s">
        <v>159</v>
      </c>
      <c r="E40" t="s">
        <v>160</v>
      </c>
      <c r="F40" t="s">
        <v>161</v>
      </c>
    </row>
    <row r="41" spans="1:6" x14ac:dyDescent="0.3">
      <c r="A41">
        <v>40</v>
      </c>
      <c r="B41" s="25">
        <v>46125</v>
      </c>
      <c r="C41" t="s">
        <v>162</v>
      </c>
      <c r="D41" t="s">
        <v>163</v>
      </c>
      <c r="E41" t="s">
        <v>164</v>
      </c>
      <c r="F41" t="s">
        <v>165</v>
      </c>
    </row>
    <row r="42" spans="1:6" x14ac:dyDescent="0.3">
      <c r="A42">
        <v>41</v>
      </c>
      <c r="B42" s="25">
        <v>46126</v>
      </c>
      <c r="C42" t="s">
        <v>166</v>
      </c>
      <c r="D42" t="s">
        <v>167</v>
      </c>
      <c r="E42" t="s">
        <v>168</v>
      </c>
      <c r="F42" t="s">
        <v>169</v>
      </c>
    </row>
    <row r="43" spans="1:6" x14ac:dyDescent="0.3">
      <c r="A43">
        <v>42</v>
      </c>
      <c r="B43" s="25">
        <v>46126</v>
      </c>
      <c r="C43" t="s">
        <v>170</v>
      </c>
      <c r="D43" t="s">
        <v>171</v>
      </c>
      <c r="E43" t="s">
        <v>172</v>
      </c>
      <c r="F43" t="s">
        <v>173</v>
      </c>
    </row>
    <row r="44" spans="1:6" x14ac:dyDescent="0.3">
      <c r="A44">
        <v>43</v>
      </c>
      <c r="B44" s="25">
        <v>46140</v>
      </c>
      <c r="C44" t="s">
        <v>174</v>
      </c>
      <c r="D44" t="s">
        <v>175</v>
      </c>
      <c r="E44" t="s">
        <v>176</v>
      </c>
      <c r="F44" t="s">
        <v>177</v>
      </c>
    </row>
    <row r="45" spans="1:6" x14ac:dyDescent="0.3">
      <c r="A45">
        <v>44</v>
      </c>
      <c r="B45" s="25">
        <v>46140</v>
      </c>
      <c r="C45" t="s">
        <v>178</v>
      </c>
      <c r="D45" t="s">
        <v>179</v>
      </c>
      <c r="E45" t="s">
        <v>180</v>
      </c>
      <c r="F45" t="s">
        <v>181</v>
      </c>
    </row>
    <row r="46" spans="1:6" x14ac:dyDescent="0.3">
      <c r="A46">
        <v>45</v>
      </c>
      <c r="B46" s="337">
        <v>46155</v>
      </c>
      <c r="C46" t="s">
        <v>182</v>
      </c>
      <c r="D46" t="s">
        <v>183</v>
      </c>
      <c r="E46" t="s">
        <v>184</v>
      </c>
      <c r="F46" t="s">
        <v>185</v>
      </c>
    </row>
    <row r="47" spans="1:6" x14ac:dyDescent="0.3">
      <c r="A47">
        <v>46</v>
      </c>
      <c r="B47" s="337">
        <v>46155</v>
      </c>
      <c r="C47" t="s">
        <v>186</v>
      </c>
      <c r="D47" t="s">
        <v>187</v>
      </c>
      <c r="E47" t="s">
        <v>188</v>
      </c>
      <c r="F47" t="s">
        <v>189</v>
      </c>
    </row>
    <row r="48" spans="1:6" x14ac:dyDescent="0.3">
      <c r="A48">
        <v>47</v>
      </c>
      <c r="B48" s="25">
        <v>46177</v>
      </c>
      <c r="C48" t="s">
        <v>190</v>
      </c>
      <c r="D48" t="s">
        <v>191</v>
      </c>
      <c r="E48" t="s">
        <v>192</v>
      </c>
      <c r="F48" t="s">
        <v>193</v>
      </c>
    </row>
    <row r="49" spans="1:6" x14ac:dyDescent="0.3">
      <c r="A49">
        <v>48</v>
      </c>
      <c r="B49" s="25">
        <v>46177</v>
      </c>
      <c r="C49" t="s">
        <v>194</v>
      </c>
      <c r="D49" t="s">
        <v>195</v>
      </c>
      <c r="E49" t="s">
        <v>196</v>
      </c>
      <c r="F49" t="s">
        <v>197</v>
      </c>
    </row>
    <row r="50" spans="1:6" x14ac:dyDescent="0.3">
      <c r="A50">
        <v>49</v>
      </c>
      <c r="B50" s="25">
        <v>46211</v>
      </c>
      <c r="C50" t="s">
        <v>198</v>
      </c>
      <c r="D50" t="s">
        <v>199</v>
      </c>
      <c r="E50" t="s">
        <v>200</v>
      </c>
      <c r="F50" t="s">
        <v>201</v>
      </c>
    </row>
    <row r="51" spans="1:6" x14ac:dyDescent="0.3">
      <c r="A51">
        <v>50</v>
      </c>
      <c r="B51" s="25">
        <v>46211</v>
      </c>
      <c r="C51" t="s">
        <v>202</v>
      </c>
      <c r="D51" t="s">
        <v>203</v>
      </c>
      <c r="E51" t="s">
        <v>204</v>
      </c>
      <c r="F51" t="s">
        <v>205</v>
      </c>
    </row>
    <row r="52" spans="1:6" x14ac:dyDescent="0.3">
      <c r="A52">
        <v>51</v>
      </c>
      <c r="B52" s="25">
        <v>46212</v>
      </c>
      <c r="C52" t="s">
        <v>206</v>
      </c>
      <c r="D52" t="s">
        <v>207</v>
      </c>
      <c r="E52" t="s">
        <v>208</v>
      </c>
      <c r="F52" t="s">
        <v>209</v>
      </c>
    </row>
    <row r="53" spans="1:6" x14ac:dyDescent="0.3">
      <c r="A53">
        <v>52</v>
      </c>
      <c r="B53" s="337">
        <v>46226</v>
      </c>
      <c r="C53" t="s">
        <v>210</v>
      </c>
      <c r="D53" t="s">
        <v>211</v>
      </c>
      <c r="E53" t="s">
        <v>212</v>
      </c>
      <c r="F53" t="s">
        <v>213</v>
      </c>
    </row>
    <row r="54" spans="1:6" x14ac:dyDescent="0.3">
      <c r="A54">
        <v>53</v>
      </c>
      <c r="B54" s="25">
        <v>46246</v>
      </c>
      <c r="C54" t="s">
        <v>4186</v>
      </c>
      <c r="D54" t="s">
        <v>4187</v>
      </c>
      <c r="E54" t="s">
        <v>4188</v>
      </c>
      <c r="F54" t="s">
        <v>4189</v>
      </c>
    </row>
    <row r="55" spans="1:6" x14ac:dyDescent="0.3">
      <c r="A55">
        <v>54</v>
      </c>
      <c r="B55" s="25">
        <v>46246</v>
      </c>
      <c r="C55" t="s">
        <v>4204</v>
      </c>
      <c r="D55" t="s">
        <v>4205</v>
      </c>
      <c r="E55" t="s">
        <v>4206</v>
      </c>
      <c r="F55" t="s">
        <v>4207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J33"/>
  <sheetViews>
    <sheetView showGridLines="0" topLeftCell="B1" zoomScaleNormal="100" workbookViewId="0">
      <selection activeCell="B17" sqref="B17:J17"/>
    </sheetView>
  </sheetViews>
  <sheetFormatPr defaultColWidth="8.5546875" defaultRowHeight="14.4" x14ac:dyDescent="0.3"/>
  <cols>
    <col min="1" max="1" width="3" customWidth="1"/>
    <col min="2" max="2" width="18" customWidth="1"/>
    <col min="3" max="3" width="20" customWidth="1"/>
    <col min="4" max="4" width="12" customWidth="1"/>
    <col min="5" max="5" width="3" customWidth="1"/>
    <col min="6" max="7" width="15" customWidth="1"/>
    <col min="8" max="10" width="12" customWidth="1"/>
  </cols>
  <sheetData>
    <row r="2" spans="2:10" ht="24" customHeight="1" x14ac:dyDescent="0.3">
      <c r="B2" s="415" t="s">
        <v>214</v>
      </c>
      <c r="C2" s="415"/>
      <c r="D2" s="415"/>
      <c r="E2" s="415"/>
      <c r="F2" s="415"/>
      <c r="G2" s="415"/>
      <c r="H2" s="415"/>
      <c r="I2" s="415"/>
      <c r="J2" s="415"/>
    </row>
    <row r="3" spans="2:10" ht="17.25" customHeight="1" x14ac:dyDescent="0.3">
      <c r="B3" s="421" t="s">
        <v>215</v>
      </c>
      <c r="C3" s="421"/>
      <c r="D3" s="421"/>
      <c r="E3" s="421"/>
      <c r="F3" s="421"/>
      <c r="G3" s="421"/>
      <c r="H3" s="421"/>
      <c r="I3" s="421"/>
      <c r="J3" s="421"/>
    </row>
    <row r="4" spans="2:10" ht="15" customHeight="1" x14ac:dyDescent="0.3">
      <c r="B4" s="416" t="s">
        <v>216</v>
      </c>
      <c r="C4" s="416"/>
      <c r="D4" s="416"/>
      <c r="E4" s="416"/>
      <c r="F4" s="416"/>
      <c r="G4" s="416"/>
      <c r="H4" s="416"/>
      <c r="I4" s="416"/>
      <c r="J4" s="416"/>
    </row>
    <row r="6" spans="2:10" ht="15" customHeight="1" x14ac:dyDescent="0.3">
      <c r="B6" s="422" t="s">
        <v>217</v>
      </c>
      <c r="C6" s="422"/>
      <c r="D6" s="422"/>
      <c r="F6" s="422" t="s">
        <v>218</v>
      </c>
      <c r="G6" s="422"/>
      <c r="H6" s="422"/>
      <c r="I6" s="422"/>
      <c r="J6" s="422"/>
    </row>
    <row r="7" spans="2:10" ht="15" customHeight="1" x14ac:dyDescent="0.3">
      <c r="B7" s="3" t="s">
        <v>219</v>
      </c>
      <c r="C7" s="2" t="s">
        <v>220</v>
      </c>
      <c r="F7" s="3" t="s">
        <v>221</v>
      </c>
      <c r="G7" s="417" t="s">
        <v>222</v>
      </c>
      <c r="H7" s="417"/>
      <c r="I7" s="417"/>
      <c r="J7" s="417"/>
    </row>
    <row r="8" spans="2:10" ht="15" customHeight="1" x14ac:dyDescent="0.3">
      <c r="B8" s="3" t="s">
        <v>223</v>
      </c>
      <c r="C8" s="2" t="s">
        <v>224</v>
      </c>
      <c r="F8" s="3" t="s">
        <v>225</v>
      </c>
      <c r="G8" s="417" t="s">
        <v>226</v>
      </c>
      <c r="H8" s="417"/>
      <c r="I8" s="417"/>
      <c r="J8" s="417"/>
    </row>
    <row r="9" spans="2:10" ht="15" customHeight="1" x14ac:dyDescent="0.3">
      <c r="B9" s="3" t="s">
        <v>227</v>
      </c>
      <c r="C9" s="2" t="s">
        <v>228</v>
      </c>
      <c r="F9" s="3" t="s">
        <v>229</v>
      </c>
      <c r="G9" s="417" t="s">
        <v>230</v>
      </c>
      <c r="H9" s="417"/>
      <c r="I9" s="417"/>
      <c r="J9" s="417"/>
    </row>
    <row r="10" spans="2:10" ht="15" customHeight="1" x14ac:dyDescent="0.3">
      <c r="B10" s="3" t="s">
        <v>231</v>
      </c>
      <c r="C10" s="2" t="s">
        <v>232</v>
      </c>
      <c r="F10" s="3" t="s">
        <v>233</v>
      </c>
      <c r="G10" s="417" t="s">
        <v>234</v>
      </c>
      <c r="H10" s="417"/>
      <c r="I10" s="417"/>
      <c r="J10" s="417"/>
    </row>
    <row r="11" spans="2:10" ht="15" customHeight="1" x14ac:dyDescent="0.3">
      <c r="B11" s="3" t="s">
        <v>235</v>
      </c>
      <c r="C11" s="2" t="s">
        <v>236</v>
      </c>
      <c r="F11" s="3" t="s">
        <v>237</v>
      </c>
      <c r="G11" s="417" t="s">
        <v>238</v>
      </c>
      <c r="H11" s="417"/>
      <c r="I11" s="417"/>
      <c r="J11" s="417"/>
    </row>
    <row r="12" spans="2:10" ht="15" customHeight="1" x14ac:dyDescent="0.3">
      <c r="B12" s="3" t="s">
        <v>239</v>
      </c>
      <c r="C12" s="2" t="s">
        <v>240</v>
      </c>
    </row>
    <row r="13" spans="2:10" ht="15" customHeight="1" x14ac:dyDescent="0.3">
      <c r="B13" s="3" t="s">
        <v>241</v>
      </c>
      <c r="C13" s="2" t="s">
        <v>242</v>
      </c>
    </row>
    <row r="15" spans="2:10" ht="15" customHeight="1" x14ac:dyDescent="0.3">
      <c r="B15" s="422" t="s">
        <v>243</v>
      </c>
      <c r="C15" s="422"/>
      <c r="D15" s="422"/>
      <c r="E15" s="422"/>
      <c r="F15" s="422"/>
      <c r="G15" s="422"/>
      <c r="H15" s="422"/>
      <c r="I15" s="422"/>
      <c r="J15" s="422"/>
    </row>
    <row r="16" spans="2:10" ht="15" customHeight="1" x14ac:dyDescent="0.3">
      <c r="B16" s="417" t="s">
        <v>244</v>
      </c>
      <c r="C16" s="417"/>
      <c r="D16" s="417"/>
      <c r="E16" s="417"/>
      <c r="F16" s="417"/>
      <c r="G16" s="417"/>
      <c r="H16" s="417"/>
      <c r="I16" s="417"/>
      <c r="J16" s="417"/>
    </row>
    <row r="17" spans="2:10" ht="15" customHeight="1" x14ac:dyDescent="0.3">
      <c r="B17" s="417" t="s">
        <v>245</v>
      </c>
      <c r="C17" s="417"/>
      <c r="D17" s="417"/>
      <c r="E17" s="417"/>
      <c r="F17" s="417"/>
      <c r="G17" s="417"/>
      <c r="H17" s="417"/>
      <c r="I17" s="417"/>
      <c r="J17" s="417"/>
    </row>
    <row r="18" spans="2:10" ht="15" customHeight="1" x14ac:dyDescent="0.3">
      <c r="B18" s="417" t="s">
        <v>246</v>
      </c>
      <c r="C18" s="417"/>
      <c r="D18" s="417"/>
      <c r="E18" s="417"/>
      <c r="F18" s="417"/>
      <c r="G18" s="417"/>
      <c r="H18" s="417"/>
      <c r="I18" s="417"/>
      <c r="J18" s="417"/>
    </row>
    <row r="19" spans="2:10" ht="15" customHeight="1" x14ac:dyDescent="0.3">
      <c r="B19" s="417" t="s">
        <v>247</v>
      </c>
      <c r="C19" s="417"/>
      <c r="D19" s="417"/>
      <c r="E19" s="417"/>
      <c r="F19" s="417"/>
      <c r="G19" s="417"/>
      <c r="H19" s="417"/>
      <c r="I19" s="417"/>
      <c r="J19" s="417"/>
    </row>
    <row r="20" spans="2:10" ht="15" customHeight="1" x14ac:dyDescent="0.3">
      <c r="B20" s="420" t="s">
        <v>248</v>
      </c>
      <c r="C20" s="417"/>
      <c r="D20" s="417"/>
      <c r="E20" s="417"/>
      <c r="F20" s="417"/>
      <c r="G20" s="417"/>
      <c r="H20" s="417"/>
      <c r="I20" s="417"/>
      <c r="J20" s="417"/>
    </row>
    <row r="21" spans="2:10" ht="15" customHeight="1" x14ac:dyDescent="0.3">
      <c r="B21" s="417" t="s">
        <v>249</v>
      </c>
      <c r="C21" s="417"/>
      <c r="D21" s="417"/>
      <c r="E21" s="417"/>
      <c r="F21" s="417"/>
      <c r="G21" s="417"/>
      <c r="H21" s="417"/>
      <c r="I21" s="417"/>
      <c r="J21" s="417"/>
    </row>
    <row r="22" spans="2:10" ht="15" customHeight="1" x14ac:dyDescent="0.3">
      <c r="B22" s="417" t="s">
        <v>250</v>
      </c>
      <c r="C22" s="417"/>
      <c r="D22" s="417"/>
      <c r="E22" s="417"/>
      <c r="F22" s="417"/>
      <c r="G22" s="417"/>
      <c r="H22" s="417"/>
      <c r="I22" s="417"/>
      <c r="J22" s="417"/>
    </row>
    <row r="23" spans="2:10" ht="15" customHeight="1" x14ac:dyDescent="0.3">
      <c r="B23" s="417" t="s">
        <v>251</v>
      </c>
      <c r="C23" s="417"/>
      <c r="D23" s="417"/>
      <c r="E23" s="417"/>
      <c r="F23" s="417"/>
      <c r="G23" s="417"/>
      <c r="H23" s="417"/>
      <c r="I23" s="417"/>
      <c r="J23" s="417"/>
    </row>
    <row r="24" spans="2:10" ht="5.0999999999999996" customHeight="1" x14ac:dyDescent="0.3">
      <c r="B24" s="419"/>
      <c r="C24" s="419"/>
      <c r="D24" s="419"/>
      <c r="E24" s="419"/>
      <c r="F24" s="419"/>
      <c r="G24" s="419"/>
      <c r="H24" s="419"/>
      <c r="I24" s="419"/>
      <c r="J24" s="419"/>
    </row>
    <row r="25" spans="2:10" ht="15" customHeight="1" x14ac:dyDescent="0.3">
      <c r="B25" s="417" t="s">
        <v>252</v>
      </c>
      <c r="C25" s="417"/>
      <c r="D25" s="417"/>
      <c r="E25" s="417"/>
      <c r="F25" s="417"/>
      <c r="G25" s="417"/>
      <c r="H25" s="417"/>
      <c r="I25" s="417"/>
      <c r="J25" s="417"/>
    </row>
    <row r="26" spans="2:10" ht="15" customHeight="1" x14ac:dyDescent="0.3">
      <c r="B26" s="417" t="s">
        <v>253</v>
      </c>
      <c r="C26" s="417"/>
      <c r="D26" s="417"/>
      <c r="E26" s="417"/>
      <c r="F26" s="417"/>
      <c r="G26" s="417"/>
      <c r="H26" s="417"/>
      <c r="I26" s="417"/>
      <c r="J26" s="417"/>
    </row>
    <row r="27" spans="2:10" ht="5.0999999999999996" customHeight="1" x14ac:dyDescent="0.3">
      <c r="B27" s="419"/>
      <c r="C27" s="419"/>
      <c r="D27" s="419"/>
      <c r="E27" s="419"/>
      <c r="F27" s="419"/>
      <c r="G27" s="419"/>
      <c r="H27" s="419"/>
      <c r="I27" s="419"/>
      <c r="J27" s="419"/>
    </row>
    <row r="28" spans="2:10" ht="15" customHeight="1" x14ac:dyDescent="0.3">
      <c r="B28" s="417" t="s">
        <v>254</v>
      </c>
      <c r="C28" s="417"/>
      <c r="D28" s="417"/>
      <c r="E28" s="417"/>
      <c r="F28" s="417"/>
      <c r="G28" s="417"/>
      <c r="H28" s="417"/>
      <c r="I28" s="417"/>
      <c r="J28" s="417"/>
    </row>
    <row r="29" spans="2:10" ht="15" customHeight="1" x14ac:dyDescent="0.3">
      <c r="B29" s="417" t="s">
        <v>255</v>
      </c>
      <c r="C29" s="417"/>
      <c r="D29" s="417"/>
      <c r="E29" s="417"/>
      <c r="F29" s="417"/>
      <c r="G29" s="417"/>
      <c r="H29" s="417"/>
      <c r="I29" s="417"/>
      <c r="J29" s="417"/>
    </row>
    <row r="30" spans="2:10" ht="15" customHeight="1" x14ac:dyDescent="0.3">
      <c r="B30" s="417" t="s">
        <v>256</v>
      </c>
      <c r="C30" s="417"/>
      <c r="D30" s="417"/>
      <c r="E30" s="417"/>
      <c r="F30" s="417"/>
      <c r="G30" s="417"/>
      <c r="H30" s="417"/>
      <c r="I30" s="417"/>
      <c r="J30" s="417"/>
    </row>
    <row r="31" spans="2:10" ht="15" customHeight="1" x14ac:dyDescent="0.3">
      <c r="B31" s="417" t="s">
        <v>257</v>
      </c>
      <c r="C31" s="417"/>
      <c r="D31" s="417"/>
      <c r="E31" s="417"/>
      <c r="F31" s="417"/>
      <c r="G31" s="417"/>
      <c r="H31" s="417"/>
      <c r="I31" s="417"/>
      <c r="J31" s="417"/>
    </row>
    <row r="32" spans="2:10" ht="15" customHeight="1" x14ac:dyDescent="0.3">
      <c r="B32" s="418" t="s">
        <v>258</v>
      </c>
      <c r="C32" s="418"/>
      <c r="D32" s="418"/>
      <c r="E32" s="418"/>
      <c r="F32" s="418"/>
      <c r="G32" s="418"/>
      <c r="H32" s="418"/>
      <c r="I32" s="418"/>
      <c r="J32" s="418"/>
    </row>
    <row r="33" spans="2:10" ht="15" customHeight="1" x14ac:dyDescent="0.3">
      <c r="B33" s="417" t="s">
        <v>259</v>
      </c>
      <c r="C33" s="417"/>
      <c r="D33" s="417"/>
      <c r="E33" s="417"/>
      <c r="F33" s="417"/>
      <c r="G33" s="417"/>
      <c r="H33" s="417"/>
      <c r="I33" s="417"/>
      <c r="J33" s="417"/>
    </row>
  </sheetData>
  <mergeCells count="29">
    <mergeCell ref="B15:J15"/>
    <mergeCell ref="B16:J16"/>
    <mergeCell ref="B17:J17"/>
    <mergeCell ref="B18:J18"/>
    <mergeCell ref="G7:J7"/>
    <mergeCell ref="G8:J8"/>
    <mergeCell ref="G9:J9"/>
    <mergeCell ref="G10:J10"/>
    <mergeCell ref="G11:J11"/>
    <mergeCell ref="B2:J2"/>
    <mergeCell ref="B3:J3"/>
    <mergeCell ref="B4:J4"/>
    <mergeCell ref="B6:D6"/>
    <mergeCell ref="F6:J6"/>
    <mergeCell ref="B19:J19"/>
    <mergeCell ref="B21:J21"/>
    <mergeCell ref="B22:J22"/>
    <mergeCell ref="B23:J23"/>
    <mergeCell ref="B25:J25"/>
    <mergeCell ref="B20:J20"/>
    <mergeCell ref="B24:J24"/>
    <mergeCell ref="B31:J31"/>
    <mergeCell ref="B32:J32"/>
    <mergeCell ref="B33:J33"/>
    <mergeCell ref="B26:J26"/>
    <mergeCell ref="B27:J27"/>
    <mergeCell ref="B28:J28"/>
    <mergeCell ref="B29:J29"/>
    <mergeCell ref="B30:J30"/>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A7814-59DD-4FDB-BF6B-ED3DA0C0D53E}">
  <dimension ref="B1:P24"/>
  <sheetViews>
    <sheetView showGridLines="0" tabSelected="1" workbookViewId="0">
      <selection activeCell="H34" sqref="H34"/>
    </sheetView>
  </sheetViews>
  <sheetFormatPr defaultRowHeight="14.4" x14ac:dyDescent="0.3"/>
  <cols>
    <col min="1" max="1" width="1.88671875" customWidth="1"/>
    <col min="2" max="2" width="29.109375" customWidth="1"/>
    <col min="3" max="9" width="17.33203125" customWidth="1"/>
    <col min="10" max="10" width="19.109375" customWidth="1"/>
    <col min="11" max="11" width="23.5546875" customWidth="1"/>
    <col min="12" max="16" width="17.33203125" customWidth="1"/>
  </cols>
  <sheetData>
    <row r="1" spans="2:16" ht="9.9" customHeight="1" x14ac:dyDescent="0.3"/>
    <row r="2" spans="2:16" ht="21" x14ac:dyDescent="0.4">
      <c r="B2" s="123" t="s">
        <v>260</v>
      </c>
      <c r="L2" s="55" t="s">
        <v>261</v>
      </c>
      <c r="M2" s="124">
        <f ca="1">TODAY()</f>
        <v>46246</v>
      </c>
    </row>
    <row r="4" spans="2:16" x14ac:dyDescent="0.3">
      <c r="B4" s="125" t="s">
        <v>262</v>
      </c>
      <c r="C4" s="125"/>
      <c r="D4" s="125" t="s">
        <v>263</v>
      </c>
      <c r="E4" s="125"/>
      <c r="F4" s="125" t="s">
        <v>264</v>
      </c>
      <c r="G4" s="125"/>
      <c r="H4" s="125" t="s">
        <v>265</v>
      </c>
      <c r="I4" s="125"/>
      <c r="J4" s="125" t="s">
        <v>266</v>
      </c>
      <c r="K4" s="125"/>
      <c r="L4" s="125" t="s">
        <v>267</v>
      </c>
      <c r="M4" s="125"/>
    </row>
    <row r="5" spans="2:16" ht="23.4" x14ac:dyDescent="0.45">
      <c r="B5" s="159">
        <f>Reconciliation!D75</f>
        <v>5300000</v>
      </c>
      <c r="C5" s="126"/>
      <c r="D5" s="127">
        <f>Budget_Tracker!G95</f>
        <v>6385632.870000001</v>
      </c>
      <c r="E5" s="126"/>
      <c r="F5" s="127">
        <f>Budget_Tracker!K95</f>
        <v>1842729.9</v>
      </c>
      <c r="G5" s="126"/>
      <c r="H5" s="127">
        <f>Budget_Tracker!L95</f>
        <v>4542902.97</v>
      </c>
      <c r="I5" s="126"/>
      <c r="J5" s="127">
        <f>B5-H5</f>
        <v>757097.03000000026</v>
      </c>
      <c r="K5" s="126"/>
      <c r="L5" s="137">
        <f>IF(B5=0,0,H5/B5)</f>
        <v>0.85715150377358484</v>
      </c>
      <c r="M5" s="126"/>
    </row>
    <row r="6" spans="2:16" x14ac:dyDescent="0.3">
      <c r="B6" s="128" t="s">
        <v>268</v>
      </c>
      <c r="C6" s="128"/>
      <c r="D6" s="128" t="s">
        <v>269</v>
      </c>
      <c r="E6" s="128"/>
      <c r="F6" s="128" t="s">
        <v>270</v>
      </c>
      <c r="G6" s="128"/>
      <c r="H6" s="128" t="s">
        <v>271</v>
      </c>
      <c r="I6" s="128"/>
      <c r="J6" s="128" t="s">
        <v>272</v>
      </c>
      <c r="K6" s="128"/>
      <c r="L6" s="128" t="s">
        <v>273</v>
      </c>
      <c r="M6" s="128"/>
    </row>
    <row r="7" spans="2:16" x14ac:dyDescent="0.3">
      <c r="B7" s="129">
        <f>Reconciliation!D55</f>
        <v>768088.7</v>
      </c>
      <c r="C7" s="122"/>
      <c r="D7" s="130" cm="1">
        <f t="array" ref="D7">IF(COUNTA(Draw_Register!A5:A1000)=0,0,SUMPRODUCT((Draw_Register!A5:A1000&lt;&gt;"")/COUNTIF(Draw_Register!A5:A1000,Draw_Register!A5:A1000&amp;"")))</f>
        <v>15</v>
      </c>
      <c r="E7" s="122"/>
      <c r="F7" s="130">
        <f>IF(COUNTA(Inflow_Register!A5:A1000)=0,0,COUNTA(Inflow_Register!A5:A1000))</f>
        <v>8</v>
      </c>
      <c r="G7" s="122"/>
      <c r="H7" s="131">
        <f>IF(B5=0,0,D5/B5)</f>
        <v>1.204836390566038</v>
      </c>
      <c r="I7" s="122"/>
      <c r="J7" s="130">
        <f>COUNTIF(Draw_Register!H:H,"Submitted")</f>
        <v>0</v>
      </c>
      <c r="K7" s="122"/>
      <c r="L7" s="130">
        <f>COUNTIF(Inflow_Register!H:H,"Pending")</f>
        <v>0</v>
      </c>
      <c r="M7" s="122"/>
    </row>
    <row r="8" spans="2:16" x14ac:dyDescent="0.3">
      <c r="B8" s="132"/>
      <c r="C8" s="132"/>
      <c r="D8" s="132"/>
      <c r="E8" s="132"/>
      <c r="F8" s="132"/>
      <c r="G8" s="132"/>
      <c r="H8" s="132"/>
      <c r="I8" s="132"/>
      <c r="J8" s="132"/>
      <c r="K8" s="132"/>
      <c r="L8" s="132"/>
      <c r="M8" s="132"/>
    </row>
    <row r="10" spans="2:16" x14ac:dyDescent="0.3">
      <c r="B10" s="133" t="s">
        <v>274</v>
      </c>
      <c r="K10" s="133" t="s">
        <v>275</v>
      </c>
    </row>
    <row r="11" spans="2:16" x14ac:dyDescent="0.3">
      <c r="B11" s="156"/>
      <c r="C11" s="138" t="s">
        <v>276</v>
      </c>
      <c r="D11" s="138" t="s">
        <v>263</v>
      </c>
      <c r="E11" s="138" t="s">
        <v>264</v>
      </c>
      <c r="F11" s="138" t="s">
        <v>277</v>
      </c>
      <c r="G11" s="138" t="s">
        <v>278</v>
      </c>
      <c r="H11" s="138" t="s">
        <v>279</v>
      </c>
      <c r="I11" s="139" t="s">
        <v>280</v>
      </c>
      <c r="K11" s="156" t="s">
        <v>281</v>
      </c>
      <c r="L11" s="138" t="s">
        <v>282</v>
      </c>
      <c r="M11" s="138" t="s">
        <v>283</v>
      </c>
      <c r="N11" s="138" t="s">
        <v>277</v>
      </c>
      <c r="O11" s="138" t="s">
        <v>284</v>
      </c>
      <c r="P11" s="139" t="s">
        <v>280</v>
      </c>
    </row>
    <row r="12" spans="2:16" x14ac:dyDescent="0.3">
      <c r="B12" s="140" t="s">
        <v>285</v>
      </c>
      <c r="C12" s="141">
        <f>SUM(Budget_Tracker!B7:B12)</f>
        <v>1931479.3900000001</v>
      </c>
      <c r="D12" s="141">
        <f>SUM(Budget_Tracker!G7:G12)</f>
        <v>5717313.5700000003</v>
      </c>
      <c r="E12" s="141">
        <f>SUM(Budget_Tracker!K7:K12)</f>
        <v>1595478.96</v>
      </c>
      <c r="F12" s="141">
        <f t="shared" ref="F12:F22" si="0">D12-E12</f>
        <v>4121834.6100000003</v>
      </c>
      <c r="G12" s="141">
        <f t="shared" ref="G12:G22" si="1">C12-F12</f>
        <v>-2190355.2200000002</v>
      </c>
      <c r="H12" s="142">
        <f t="shared" ref="H12:H22" si="2">IF(C12=0,0,F12/C12)</f>
        <v>2.1340298174240422</v>
      </c>
      <c r="I12" s="143" t="str">
        <f t="shared" ref="I12:I22" si="3">IF(AND(D12=0,C12=0),"-",IF(H12&gt;1,"⚠ OVER",IF(H12&gt;0.9,"⚠ HIGH","OK")))</f>
        <v>⚠ OVER</v>
      </c>
      <c r="K12" s="140" t="s">
        <v>286</v>
      </c>
      <c r="L12" s="338">
        <v>2600000</v>
      </c>
      <c r="M12" s="338">
        <v>2600000</v>
      </c>
      <c r="N12" s="141">
        <f>SUMIF(Draw_Register!$D:$D,"Q1 2026",Draw_Register!$F:$F)-SUMIF(Inflow_Register!$D:$D,"Q1 2026",Inflow_Register!$F:$F)</f>
        <v>1352058.5099999998</v>
      </c>
      <c r="O12" s="141">
        <f>M12-N12</f>
        <v>1247941.4900000002</v>
      </c>
      <c r="P12" s="158" t="str">
        <f>IF(M12&gt;0,"✅ FUNDED","⏳ NOT FUNDED")</f>
        <v>✅ FUNDED</v>
      </c>
    </row>
    <row r="13" spans="2:16" x14ac:dyDescent="0.3">
      <c r="B13" s="144" t="s">
        <v>287</v>
      </c>
      <c r="C13" s="145">
        <f>SUM(Budget_Tracker!B15:B18)</f>
        <v>0</v>
      </c>
      <c r="D13" s="145">
        <f>SUM(Budget_Tracker!G15:G18)</f>
        <v>0</v>
      </c>
      <c r="E13" s="145">
        <f>SUM(Budget_Tracker!K15:K18)</f>
        <v>0</v>
      </c>
      <c r="F13" s="145">
        <f t="shared" si="0"/>
        <v>0</v>
      </c>
      <c r="G13" s="145">
        <f t="shared" si="1"/>
        <v>0</v>
      </c>
      <c r="H13" s="146">
        <f t="shared" si="2"/>
        <v>0</v>
      </c>
      <c r="I13" s="147" t="str">
        <f t="shared" si="3"/>
        <v>-</v>
      </c>
      <c r="K13" s="151" t="s">
        <v>288</v>
      </c>
      <c r="L13" s="152">
        <f>Budget_Tracker!C95</f>
        <v>1992654.82</v>
      </c>
      <c r="M13" s="152">
        <f>SUMIFS(Inflow_Register!$F:$F,Inflow_Register!$D:$D,"Q2 2026",Inflow_Register!$C:$C,"Q2 Funding")</f>
        <v>1100000</v>
      </c>
      <c r="N13" s="152">
        <f>SUMIF(Draw_Register!$D:$D,"Q2 2026",Draw_Register!$F:$F)-SUMIF(Inflow_Register!$D:$D,"Q2 2026",Inflow_Register!$F:$F)</f>
        <v>1081524.73</v>
      </c>
      <c r="O13" s="152">
        <f>M13-N13</f>
        <v>18475.270000000019</v>
      </c>
      <c r="P13" s="400" t="str">
        <f>IF(M13&gt;0,"✅ FUNDED","⏳ NOT FUNDED")</f>
        <v>✅ FUNDED</v>
      </c>
    </row>
    <row r="14" spans="2:16" x14ac:dyDescent="0.3">
      <c r="B14" s="140" t="s">
        <v>289</v>
      </c>
      <c r="C14" s="141">
        <f>SUM(Budget_Tracker!B21:B23)</f>
        <v>0</v>
      </c>
      <c r="D14" s="141">
        <f>SUM(Budget_Tracker!G21:G23)</f>
        <v>530114.36</v>
      </c>
      <c r="E14" s="141">
        <f>SUM(Budget_Tracker!K21:K23)</f>
        <v>0</v>
      </c>
      <c r="F14" s="141">
        <f t="shared" si="0"/>
        <v>530114.36</v>
      </c>
      <c r="G14" s="141">
        <f t="shared" si="1"/>
        <v>-530114.36</v>
      </c>
      <c r="H14" s="142">
        <f t="shared" si="2"/>
        <v>0</v>
      </c>
      <c r="I14" s="143" t="str">
        <f t="shared" si="3"/>
        <v>OK</v>
      </c>
      <c r="K14" s="151" t="s">
        <v>290</v>
      </c>
      <c r="L14" s="152">
        <f>Budget_Tracker!D95</f>
        <v>1473944.01</v>
      </c>
      <c r="M14" s="152">
        <f>SUMIFS(Inflow_Register!$F:$F,Inflow_Register!$D:$D,"Q3 2026",Inflow_Register!$C:$C,"Q3 Funding")</f>
        <v>1600000</v>
      </c>
      <c r="N14" s="152">
        <f>SUMIF(Draw_Register!$D:$D,"Q3 2026",Draw_Register!$F:$F)-SUMIF(Inflow_Register!$D:$D,"Q3 2026",Inflow_Register!$F:$F)</f>
        <v>-590680.27</v>
      </c>
      <c r="O14" s="152">
        <f>M14-N14</f>
        <v>2190680.27</v>
      </c>
      <c r="P14" s="400" t="str">
        <f>IF(M14&gt;0,"✅ FUNDED","⏳ NOT FUNDED")</f>
        <v>✅ FUNDED</v>
      </c>
    </row>
    <row r="15" spans="2:16" x14ac:dyDescent="0.3">
      <c r="B15" s="144" t="s">
        <v>291</v>
      </c>
      <c r="C15" s="145">
        <f>SUM(Budget_Tracker!B26:B29)</f>
        <v>0</v>
      </c>
      <c r="D15" s="145">
        <f>SUM(Budget_Tracker!G26:G29)</f>
        <v>0</v>
      </c>
      <c r="E15" s="145">
        <f>SUM(Budget_Tracker!K26:K29)</f>
        <v>118166.19</v>
      </c>
      <c r="F15" s="145">
        <f t="shared" si="0"/>
        <v>-118166.19</v>
      </c>
      <c r="G15" s="145">
        <f t="shared" si="1"/>
        <v>118166.19</v>
      </c>
      <c r="H15" s="146">
        <f t="shared" si="2"/>
        <v>0</v>
      </c>
      <c r="I15" s="147" t="str">
        <f t="shared" si="3"/>
        <v>-</v>
      </c>
      <c r="K15" s="153" t="s">
        <v>292</v>
      </c>
      <c r="L15" s="154">
        <f>Budget_Tracker!E95</f>
        <v>1232298.4900000002</v>
      </c>
      <c r="M15" s="154">
        <f>SUMIFS(Inflow_Register!$F:$F,Inflow_Register!$D:$D,"Q4 2026",Inflow_Register!$C:$C,"Q4 Funding")</f>
        <v>0</v>
      </c>
      <c r="N15" s="154">
        <f>SUMIF(Draw_Register!$D:$D,"Q4 2026",Draw_Register!$F:$F)-SUMIF(Inflow_Register!$D:$D,"Q4 2026",Inflow_Register!$F:$F)</f>
        <v>0</v>
      </c>
      <c r="O15" s="154">
        <f>M15-N15</f>
        <v>0</v>
      </c>
      <c r="P15" s="155" t="str">
        <f>IF(M15&gt;0,"✅ FUNDED","⏳ NOT FUNDED")</f>
        <v>⏳ NOT FUNDED</v>
      </c>
    </row>
    <row r="16" spans="2:16" x14ac:dyDescent="0.3">
      <c r="B16" s="140" t="s">
        <v>293</v>
      </c>
      <c r="C16" s="141">
        <f>SUM(Budget_Tracker!B32:B44)</f>
        <v>215000</v>
      </c>
      <c r="D16" s="141">
        <f>SUM(Budget_Tracker!G32:G44)</f>
        <v>125005.81999999999</v>
      </c>
      <c r="E16" s="141">
        <f>SUM(Budget_Tracker!K32:K44)</f>
        <v>0</v>
      </c>
      <c r="F16" s="141">
        <f t="shared" si="0"/>
        <v>125005.81999999999</v>
      </c>
      <c r="G16" s="141">
        <f t="shared" si="1"/>
        <v>89994.180000000008</v>
      </c>
      <c r="H16" s="142">
        <f t="shared" si="2"/>
        <v>0.58142241860465116</v>
      </c>
      <c r="I16" s="143" t="str">
        <f t="shared" si="3"/>
        <v>OK</v>
      </c>
    </row>
    <row r="17" spans="2:13" x14ac:dyDescent="0.3">
      <c r="B17" s="144" t="s">
        <v>294</v>
      </c>
      <c r="C17" s="145">
        <f>SUM(Budget_Tracker!B47:B54)</f>
        <v>240000</v>
      </c>
      <c r="D17" s="145">
        <f>SUM(Budget_Tracker!G47:G54)</f>
        <v>0</v>
      </c>
      <c r="E17" s="145">
        <f>SUM(Budget_Tracker!K47:K54)</f>
        <v>0</v>
      </c>
      <c r="F17" s="145">
        <f t="shared" si="0"/>
        <v>0</v>
      </c>
      <c r="G17" s="145">
        <f t="shared" si="1"/>
        <v>240000</v>
      </c>
      <c r="H17" s="146">
        <f t="shared" si="2"/>
        <v>0</v>
      </c>
      <c r="I17" s="147" t="str">
        <f t="shared" si="3"/>
        <v>OK</v>
      </c>
      <c r="K17" s="133" t="s">
        <v>295</v>
      </c>
    </row>
    <row r="18" spans="2:13" x14ac:dyDescent="0.3">
      <c r="B18" s="140" t="s">
        <v>296</v>
      </c>
      <c r="C18" s="141">
        <f>SUM(Budget_Tracker!B57:B66)</f>
        <v>0</v>
      </c>
      <c r="D18" s="141">
        <f>SUM(Budget_Tracker!G57:G66)</f>
        <v>0</v>
      </c>
      <c r="E18" s="141">
        <f>SUM(Budget_Tracker!K57:K66)</f>
        <v>0</v>
      </c>
      <c r="F18" s="141">
        <f t="shared" si="0"/>
        <v>0</v>
      </c>
      <c r="G18" s="141">
        <f t="shared" si="1"/>
        <v>0</v>
      </c>
      <c r="H18" s="142">
        <f t="shared" si="2"/>
        <v>0</v>
      </c>
      <c r="I18" s="143" t="str">
        <f t="shared" si="3"/>
        <v>-</v>
      </c>
      <c r="K18" s="42" t="s">
        <v>297</v>
      </c>
      <c r="L18" s="135">
        <f>Reconciliation!D75</f>
        <v>5300000</v>
      </c>
      <c r="M18" s="42"/>
    </row>
    <row r="19" spans="2:13" x14ac:dyDescent="0.3">
      <c r="B19" s="144" t="s">
        <v>298</v>
      </c>
      <c r="C19" s="145">
        <f>SUM(Budget_Tracker!B69:B74)</f>
        <v>0</v>
      </c>
      <c r="D19" s="145">
        <f>SUM(Budget_Tracker!G69:G74)</f>
        <v>0</v>
      </c>
      <c r="E19" s="145">
        <f>SUM(Budget_Tracker!K69:K74)</f>
        <v>0</v>
      </c>
      <c r="F19" s="145">
        <f t="shared" si="0"/>
        <v>0</v>
      </c>
      <c r="G19" s="145">
        <f t="shared" si="1"/>
        <v>0</v>
      </c>
      <c r="H19" s="146">
        <f t="shared" si="2"/>
        <v>0</v>
      </c>
      <c r="I19" s="147" t="str">
        <f t="shared" si="3"/>
        <v>-</v>
      </c>
      <c r="K19" s="42" t="s">
        <v>263</v>
      </c>
      <c r="L19" s="135">
        <f>Budget_Tracker!G95</f>
        <v>6385632.870000001</v>
      </c>
      <c r="M19" s="42"/>
    </row>
    <row r="20" spans="2:13" x14ac:dyDescent="0.3">
      <c r="B20" s="140" t="s">
        <v>299</v>
      </c>
      <c r="C20" s="141">
        <f>SUM(Budget_Tracker!B77:B82)</f>
        <v>5000</v>
      </c>
      <c r="D20" s="141">
        <f>SUM(Budget_Tracker!G77:G82)</f>
        <v>13199.12</v>
      </c>
      <c r="E20" s="141">
        <f>SUM(Budget_Tracker!K77:K82)</f>
        <v>0</v>
      </c>
      <c r="F20" s="141">
        <f t="shared" si="0"/>
        <v>13199.12</v>
      </c>
      <c r="G20" s="141">
        <f t="shared" si="1"/>
        <v>-8199.1200000000008</v>
      </c>
      <c r="H20" s="142">
        <f t="shared" si="2"/>
        <v>2.6398239999999999</v>
      </c>
      <c r="I20" s="143" t="str">
        <f t="shared" si="3"/>
        <v>⚠ OVER</v>
      </c>
      <c r="K20" s="42" t="s">
        <v>300</v>
      </c>
      <c r="L20" s="135">
        <f>Budget_Tracker!K95</f>
        <v>1842729.9</v>
      </c>
      <c r="M20" s="42"/>
    </row>
    <row r="21" spans="2:13" ht="15" thickBot="1" x14ac:dyDescent="0.35">
      <c r="B21" s="144" t="s">
        <v>301</v>
      </c>
      <c r="C21" s="145">
        <f>SUM(Budget_Tracker!B85:B90)</f>
        <v>160000</v>
      </c>
      <c r="D21" s="145">
        <f>SUM(Budget_Tracker!G85:G90)</f>
        <v>0</v>
      </c>
      <c r="E21" s="145">
        <f>SUM(Budget_Tracker!K85:K90)</f>
        <v>0</v>
      </c>
      <c r="F21" s="145">
        <f t="shared" si="0"/>
        <v>0</v>
      </c>
      <c r="G21" s="145">
        <f t="shared" si="1"/>
        <v>160000</v>
      </c>
      <c r="H21" s="146">
        <f t="shared" si="2"/>
        <v>0</v>
      </c>
      <c r="I21" s="147" t="str">
        <f t="shared" si="3"/>
        <v>OK</v>
      </c>
      <c r="K21" s="42" t="s">
        <v>302</v>
      </c>
      <c r="L21" s="135">
        <f>Reconciliation!D52</f>
        <v>10991.669999999998</v>
      </c>
      <c r="M21" s="42"/>
    </row>
    <row r="22" spans="2:13" x14ac:dyDescent="0.3">
      <c r="B22" s="140" t="s">
        <v>303</v>
      </c>
      <c r="C22" s="141">
        <f>SUM(Budget_Tracker!B93:B93)</f>
        <v>48520.60999999987</v>
      </c>
      <c r="D22" s="141">
        <f>SUM(Budget_Tracker!G93:G93)</f>
        <v>0</v>
      </c>
      <c r="E22" s="141">
        <f>SUM(Budget_Tracker!K93:K93)</f>
        <v>129084.75</v>
      </c>
      <c r="F22" s="141">
        <f t="shared" si="0"/>
        <v>-129084.75</v>
      </c>
      <c r="G22" s="141">
        <f t="shared" si="1"/>
        <v>177605.35999999987</v>
      </c>
      <c r="H22" s="142">
        <f t="shared" si="2"/>
        <v>-2.6604106997006087</v>
      </c>
      <c r="I22" s="143" t="str">
        <f t="shared" si="3"/>
        <v>OK</v>
      </c>
      <c r="K22" s="134" t="s">
        <v>304</v>
      </c>
      <c r="L22" s="136">
        <f>Reconciliation!D55</f>
        <v>768088.7</v>
      </c>
      <c r="M22" s="70" t="str">
        <f>IF(ABS((L18-L19+L20+L21)-Reconciliation!E86)&lt;1,"✅ Ties (net of uncleared)","❌ Gap: "&amp;TEXT((L18-L19+L20+L21)-Reconciliation!E86,"$#,##0"))</f>
        <v>✅ Ties (net of uncleared)</v>
      </c>
    </row>
    <row r="23" spans="2:13" ht="15" thickBot="1" x14ac:dyDescent="0.35">
      <c r="B23" s="148" t="s">
        <v>305</v>
      </c>
      <c r="C23" s="149">
        <f>SUM(C12:C22)</f>
        <v>2600000</v>
      </c>
      <c r="D23" s="149">
        <f>SUM(D12:D22)</f>
        <v>6385632.870000001</v>
      </c>
      <c r="E23" s="149">
        <f>SUM(E12:E22)</f>
        <v>1842729.9</v>
      </c>
      <c r="F23" s="149">
        <f>SUM(F12:F22)</f>
        <v>4542902.9700000007</v>
      </c>
      <c r="G23" s="149">
        <f>SUM(G12:G22)</f>
        <v>-1942902.9700000002</v>
      </c>
      <c r="H23" s="150">
        <f>IF(B5=0,0,F23/B5)</f>
        <v>0.85715150377358507</v>
      </c>
      <c r="I23" s="157"/>
    </row>
    <row r="24" spans="2:13" ht="15" thickTop="1" x14ac:dyDescent="0.3"/>
  </sheetData>
  <conditionalFormatting sqref="H12:H22">
    <cfRule type="expression" dxfId="38" priority="5">
      <formula>H12&gt;1</formula>
    </cfRule>
  </conditionalFormatting>
  <conditionalFormatting sqref="I12:I22">
    <cfRule type="expression" dxfId="37" priority="6">
      <formula>LEFT(I12,1)="⚠"</formula>
    </cfRule>
  </conditionalFormatting>
  <conditionalFormatting sqref="I12:I22">
    <cfRule type="expression" dxfId="36" priority="7">
      <formula>I12="OK"</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70C8E-9F99-450D-BC1F-7B0F077D495E}">
  <dimension ref="A1:K93"/>
  <sheetViews>
    <sheetView showGridLines="0" zoomScale="70" zoomScaleNormal="70" workbookViewId="0">
      <pane ySplit="3" topLeftCell="A56" activePane="bottomLeft" state="frozen"/>
      <selection pane="bottomLeft" activeCell="E86" sqref="E86"/>
    </sheetView>
  </sheetViews>
  <sheetFormatPr defaultRowHeight="14.4" x14ac:dyDescent="0.3"/>
  <cols>
    <col min="1" max="1" width="41.88671875" customWidth="1"/>
    <col min="2" max="2" width="14.5546875" customWidth="1"/>
    <col min="3" max="3" width="45.44140625" customWidth="1"/>
    <col min="4" max="6" width="20.88671875" customWidth="1"/>
    <col min="7" max="8" width="18.109375" customWidth="1"/>
    <col min="9" max="9" width="15.44140625" customWidth="1"/>
    <col min="10" max="10" width="20" customWidth="1"/>
    <col min="11" max="11" width="58.6640625" customWidth="1"/>
  </cols>
  <sheetData>
    <row r="1" spans="1:11" ht="18" x14ac:dyDescent="0.35">
      <c r="A1" s="163" t="s">
        <v>306</v>
      </c>
    </row>
    <row r="2" spans="1:11" x14ac:dyDescent="0.3">
      <c r="A2" s="40" t="s">
        <v>4199</v>
      </c>
    </row>
    <row r="4" spans="1:11" x14ac:dyDescent="0.3">
      <c r="A4" s="164" t="s">
        <v>307</v>
      </c>
      <c r="B4" s="41"/>
      <c r="C4" s="41"/>
      <c r="D4" s="41"/>
      <c r="E4" s="41"/>
      <c r="F4" s="41"/>
    </row>
    <row r="5" spans="1:11" ht="20.100000000000001" customHeight="1" x14ac:dyDescent="0.3">
      <c r="A5" s="44" t="s">
        <v>308</v>
      </c>
      <c r="D5" s="45" t="s">
        <v>309</v>
      </c>
      <c r="E5" s="44" t="s">
        <v>310</v>
      </c>
      <c r="F5" s="46" t="s">
        <v>280</v>
      </c>
    </row>
    <row r="6" spans="1:11" x14ac:dyDescent="0.3">
      <c r="A6" s="47" t="s">
        <v>311</v>
      </c>
      <c r="D6" s="398">
        <f>D14+D30+D36</f>
        <v>5300000</v>
      </c>
      <c r="E6" s="49" t="s">
        <v>312</v>
      </c>
      <c r="F6" s="50" t="s">
        <v>313</v>
      </c>
    </row>
    <row r="7" spans="1:11" x14ac:dyDescent="0.3">
      <c r="A7" s="36" t="s">
        <v>314</v>
      </c>
      <c r="D7" s="51">
        <f>Dashboard!B5</f>
        <v>5300000</v>
      </c>
      <c r="E7" s="49" t="s">
        <v>315</v>
      </c>
      <c r="F7" s="50" t="s">
        <v>316</v>
      </c>
    </row>
    <row r="8" spans="1:11" x14ac:dyDescent="0.3">
      <c r="A8" s="43" t="s">
        <v>317</v>
      </c>
      <c r="D8" s="53">
        <f>D6-D7</f>
        <v>0</v>
      </c>
      <c r="E8" s="49" t="s">
        <v>318</v>
      </c>
      <c r="F8" s="54"/>
    </row>
    <row r="10" spans="1:11" x14ac:dyDescent="0.3">
      <c r="A10" s="57" t="s">
        <v>319</v>
      </c>
    </row>
    <row r="12" spans="1:11" x14ac:dyDescent="0.3">
      <c r="A12" s="164" t="s">
        <v>320</v>
      </c>
      <c r="B12" s="41"/>
      <c r="C12" s="41"/>
      <c r="D12" s="41"/>
      <c r="E12" s="41"/>
      <c r="F12" s="41"/>
      <c r="G12" s="41"/>
      <c r="H12" s="41"/>
      <c r="I12" s="41"/>
      <c r="J12" s="41"/>
      <c r="K12" s="41"/>
    </row>
    <row r="13" spans="1:11" x14ac:dyDescent="0.3">
      <c r="A13" s="103" t="s">
        <v>321</v>
      </c>
      <c r="B13" s="98" t="s">
        <v>1</v>
      </c>
      <c r="C13" s="99" t="s">
        <v>322</v>
      </c>
      <c r="D13" s="100" t="s">
        <v>323</v>
      </c>
      <c r="E13" s="100" t="s">
        <v>324</v>
      </c>
      <c r="F13" s="100" t="s">
        <v>325</v>
      </c>
      <c r="G13" s="98" t="s">
        <v>326</v>
      </c>
      <c r="H13" s="98" t="s">
        <v>327</v>
      </c>
      <c r="I13" s="100" t="s">
        <v>328</v>
      </c>
      <c r="J13" s="98" t="s">
        <v>280</v>
      </c>
      <c r="K13" s="105" t="s">
        <v>329</v>
      </c>
    </row>
    <row r="14" spans="1:11" x14ac:dyDescent="0.3">
      <c r="A14" s="104">
        <v>1</v>
      </c>
      <c r="B14" s="90">
        <v>46048</v>
      </c>
      <c r="C14" s="91" t="s">
        <v>330</v>
      </c>
      <c r="D14" s="92">
        <v>2600000</v>
      </c>
      <c r="E14" s="92"/>
      <c r="F14" s="92">
        <v>2600000</v>
      </c>
      <c r="G14" s="93" t="s">
        <v>331</v>
      </c>
      <c r="H14" s="94" t="s">
        <v>332</v>
      </c>
      <c r="I14" s="92"/>
      <c r="J14" s="96" t="s">
        <v>316</v>
      </c>
      <c r="K14" s="120" t="s">
        <v>333</v>
      </c>
    </row>
    <row r="15" spans="1:11" x14ac:dyDescent="0.3">
      <c r="A15" s="104">
        <v>2</v>
      </c>
      <c r="B15" s="90">
        <v>46052</v>
      </c>
      <c r="C15" s="91" t="s">
        <v>334</v>
      </c>
      <c r="D15" s="92"/>
      <c r="E15" s="92">
        <v>2016417.28</v>
      </c>
      <c r="F15" s="92">
        <v>583582.71999999997</v>
      </c>
      <c r="G15" s="94" t="s">
        <v>335</v>
      </c>
      <c r="H15" s="96" t="s">
        <v>336</v>
      </c>
      <c r="I15" s="92">
        <v>0</v>
      </c>
      <c r="J15" s="96" t="s">
        <v>337</v>
      </c>
      <c r="K15" s="107" t="s">
        <v>338</v>
      </c>
    </row>
    <row r="16" spans="1:11" x14ac:dyDescent="0.3">
      <c r="A16" s="104">
        <v>3</v>
      </c>
      <c r="B16" s="90">
        <v>46053</v>
      </c>
      <c r="C16" s="91" t="s">
        <v>339</v>
      </c>
      <c r="D16" s="92">
        <v>635.33000000000004</v>
      </c>
      <c r="E16" s="92"/>
      <c r="F16" s="92">
        <v>584218.05000000005</v>
      </c>
      <c r="G16" s="94" t="str" cm="1">
        <f t="array" ref="G16">IF(SUMPRODUCT((ISNUMBER(SEARCH("Interest",Inflow_Register!I:I)))*1)&gt;0,"INFLOW","INTEREST")</f>
        <v>INTEREST</v>
      </c>
      <c r="H16" s="97" t="str">
        <f>IF(G16="INTEREST","✖ MISSING","✓ MATCHED")</f>
        <v>✖ MISSING</v>
      </c>
      <c r="I16" s="92">
        <f>IF(G16="INTEREST",D16,0)</f>
        <v>635.33000000000004</v>
      </c>
      <c r="J16" s="95" t="str">
        <f>IF(G16="INTEREST","⚠ NOT TRACKED","✅ RESOLVED")</f>
        <v>⚠ NOT TRACKED</v>
      </c>
      <c r="K16" s="106" t="str">
        <f>IF(G16="INTEREST","Interest not recorded in any register","Interest now tracked in Inflow Register")</f>
        <v>Interest not recorded in any register</v>
      </c>
    </row>
    <row r="17" spans="1:11" x14ac:dyDescent="0.3">
      <c r="A17" s="104">
        <v>4</v>
      </c>
      <c r="B17" s="90">
        <v>46055</v>
      </c>
      <c r="C17" s="91" t="s">
        <v>340</v>
      </c>
      <c r="D17" s="92">
        <v>673478.96</v>
      </c>
      <c r="E17" s="92"/>
      <c r="F17" s="92">
        <v>1257697.01</v>
      </c>
      <c r="G17" s="94" t="s">
        <v>341</v>
      </c>
      <c r="H17" s="96" t="s">
        <v>336</v>
      </c>
      <c r="I17" s="92">
        <v>0</v>
      </c>
      <c r="J17" s="96" t="s">
        <v>337</v>
      </c>
      <c r="K17" s="107" t="s">
        <v>342</v>
      </c>
    </row>
    <row r="18" spans="1:11" x14ac:dyDescent="0.3">
      <c r="A18" s="104">
        <v>5</v>
      </c>
      <c r="B18" s="90">
        <v>46057</v>
      </c>
      <c r="C18" s="91" t="s">
        <v>343</v>
      </c>
      <c r="D18" s="92"/>
      <c r="E18" s="92">
        <v>215000</v>
      </c>
      <c r="F18" s="92">
        <v>1042697.01</v>
      </c>
      <c r="G18" s="94" t="s">
        <v>344</v>
      </c>
      <c r="H18" s="96" t="s">
        <v>336</v>
      </c>
      <c r="I18" s="92">
        <v>0</v>
      </c>
      <c r="J18" s="96" t="s">
        <v>337</v>
      </c>
      <c r="K18" s="107" t="s">
        <v>345</v>
      </c>
    </row>
    <row r="19" spans="1:11" x14ac:dyDescent="0.3">
      <c r="A19" s="104">
        <v>6</v>
      </c>
      <c r="B19" s="90">
        <v>46059</v>
      </c>
      <c r="C19" s="91" t="s">
        <v>346</v>
      </c>
      <c r="D19" s="92">
        <v>215000</v>
      </c>
      <c r="E19" s="92"/>
      <c r="F19" s="92">
        <v>1257697.01</v>
      </c>
      <c r="G19" s="94" t="s">
        <v>347</v>
      </c>
      <c r="H19" s="96" t="s">
        <v>336</v>
      </c>
      <c r="I19" s="92">
        <v>0</v>
      </c>
      <c r="J19" s="96" t="s">
        <v>337</v>
      </c>
      <c r="K19" s="107" t="s">
        <v>348</v>
      </c>
    </row>
    <row r="20" spans="1:11" x14ac:dyDescent="0.3">
      <c r="A20" s="104">
        <v>7</v>
      </c>
      <c r="B20" s="90">
        <v>46081</v>
      </c>
      <c r="C20" s="91" t="s">
        <v>349</v>
      </c>
      <c r="D20" s="92">
        <v>1663.55</v>
      </c>
      <c r="E20" s="92"/>
      <c r="F20" s="92">
        <v>1259360.56</v>
      </c>
      <c r="G20" s="94" t="str">
        <f>G16</f>
        <v>INTEREST</v>
      </c>
      <c r="H20" s="97" t="str">
        <f>H16</f>
        <v>✖ MISSING</v>
      </c>
      <c r="I20" s="92">
        <f>IF(G20="INTEREST",D20,0)</f>
        <v>1663.55</v>
      </c>
      <c r="J20" s="95" t="str">
        <f>J16</f>
        <v>⚠ NOT TRACKED</v>
      </c>
      <c r="K20" s="106" t="str">
        <f>K16</f>
        <v>Interest not recorded in any register</v>
      </c>
    </row>
    <row r="21" spans="1:11" x14ac:dyDescent="0.3">
      <c r="A21" s="104">
        <v>8</v>
      </c>
      <c r="B21" s="90">
        <v>46083</v>
      </c>
      <c r="C21" s="91" t="s">
        <v>350</v>
      </c>
      <c r="D21" s="92">
        <v>129084.75</v>
      </c>
      <c r="E21" s="92"/>
      <c r="F21" s="92">
        <v>1388445.31</v>
      </c>
      <c r="G21" s="94" t="s">
        <v>351</v>
      </c>
      <c r="H21" s="96" t="s">
        <v>336</v>
      </c>
      <c r="I21" s="92">
        <v>0</v>
      </c>
      <c r="J21" s="96" t="s">
        <v>337</v>
      </c>
      <c r="K21" s="107" t="s">
        <v>352</v>
      </c>
    </row>
    <row r="22" spans="1:11" x14ac:dyDescent="0.3">
      <c r="A22" s="104">
        <v>9</v>
      </c>
      <c r="B22" s="90">
        <v>46083</v>
      </c>
      <c r="C22" s="91" t="s">
        <v>353</v>
      </c>
      <c r="D22" s="92"/>
      <c r="E22" s="92">
        <v>11771.11</v>
      </c>
      <c r="F22" s="92">
        <v>1376674.2</v>
      </c>
      <c r="G22" s="94" t="s">
        <v>354</v>
      </c>
      <c r="H22" s="96" t="s">
        <v>336</v>
      </c>
      <c r="I22" s="92">
        <v>0</v>
      </c>
      <c r="J22" s="96" t="s">
        <v>337</v>
      </c>
      <c r="K22" s="107" t="s">
        <v>355</v>
      </c>
    </row>
    <row r="23" spans="1:11" x14ac:dyDescent="0.3">
      <c r="A23" s="104">
        <v>10</v>
      </c>
      <c r="B23" s="90">
        <v>46083</v>
      </c>
      <c r="C23" s="91" t="s">
        <v>356</v>
      </c>
      <c r="D23" s="92"/>
      <c r="E23" s="92">
        <v>4842.87</v>
      </c>
      <c r="F23" s="92">
        <v>1371831.33</v>
      </c>
      <c r="G23" s="94" t="s">
        <v>357</v>
      </c>
      <c r="H23" s="96" t="s">
        <v>336</v>
      </c>
      <c r="I23" s="92">
        <v>0</v>
      </c>
      <c r="J23" s="96" t="s">
        <v>337</v>
      </c>
      <c r="K23" s="107" t="s">
        <v>358</v>
      </c>
    </row>
    <row r="24" spans="1:11" x14ac:dyDescent="0.3">
      <c r="A24" s="104">
        <v>11</v>
      </c>
      <c r="B24" s="90">
        <v>46085</v>
      </c>
      <c r="C24" s="91" t="s">
        <v>359</v>
      </c>
      <c r="D24" s="92"/>
      <c r="E24" s="92">
        <v>275000</v>
      </c>
      <c r="F24" s="92">
        <v>1096831.33</v>
      </c>
      <c r="G24" s="94" t="s">
        <v>360</v>
      </c>
      <c r="H24" s="96" t="s">
        <v>336</v>
      </c>
      <c r="I24" s="92">
        <v>0</v>
      </c>
      <c r="J24" s="96" t="s">
        <v>337</v>
      </c>
      <c r="K24" s="107" t="s">
        <v>361</v>
      </c>
    </row>
    <row r="25" spans="1:11" x14ac:dyDescent="0.3">
      <c r="A25" s="269">
        <v>12</v>
      </c>
      <c r="B25" s="270">
        <v>46091</v>
      </c>
      <c r="C25" s="262" t="s">
        <v>362</v>
      </c>
      <c r="D25" s="271">
        <v>275000</v>
      </c>
      <c r="E25" s="271"/>
      <c r="F25" s="271">
        <v>1371831.33</v>
      </c>
      <c r="G25" s="272" t="s">
        <v>363</v>
      </c>
      <c r="H25" s="273" t="s">
        <v>336</v>
      </c>
      <c r="I25" s="271">
        <v>0</v>
      </c>
      <c r="J25" s="273" t="s">
        <v>337</v>
      </c>
      <c r="K25" s="274" t="s">
        <v>364</v>
      </c>
    </row>
    <row r="26" spans="1:11" x14ac:dyDescent="0.3">
      <c r="A26" s="269">
        <v>13</v>
      </c>
      <c r="B26" s="270">
        <v>46093</v>
      </c>
      <c r="C26" s="275" t="s">
        <v>365</v>
      </c>
      <c r="D26" s="276"/>
      <c r="E26" s="276">
        <v>121590.96</v>
      </c>
      <c r="F26" s="276">
        <v>1250240.3700000001</v>
      </c>
      <c r="G26" s="279" t="str" cm="1">
        <f t="array" ref="G26">IF(SUMPRODUCT((ISNUMBER(SEARCH("RAAM",Draw_Register!I:I)))*1)&gt;0,TEXT(INDEX(Draw_Register!A:A,MATCH(1,ISNUMBER(SEARCH("RAAM",Draw_Register!I:I))*1,0)),"@"),"NONE")</f>
        <v>DRW-006</v>
      </c>
      <c r="H26" s="280" t="str">
        <f>IF(G26="NONE","✖ MISSING","✓ MATCHED")</f>
        <v>✓ MATCHED</v>
      </c>
      <c r="I26" s="277">
        <f>IF(G26="NONE",E26,0)</f>
        <v>0</v>
      </c>
      <c r="J26" s="280" t="str">
        <f>IF(G26="NONE","⚠ NOT IN REGISTER","✅ RESOLVED")</f>
        <v>✅ RESOLVED</v>
      </c>
      <c r="K26" s="278" t="str">
        <f>IF(G26="NONE","RAAM LLC lien pmt - no draw recorded","Draw recorded as "&amp;G26)</f>
        <v>Draw recorded as DRW-006</v>
      </c>
    </row>
    <row r="27" spans="1:11" x14ac:dyDescent="0.3">
      <c r="A27" s="281">
        <v>14</v>
      </c>
      <c r="B27" s="282">
        <v>46112</v>
      </c>
      <c r="C27" s="283" t="s">
        <v>366</v>
      </c>
      <c r="D27" s="284">
        <v>1869.36</v>
      </c>
      <c r="E27" s="284"/>
      <c r="F27" s="284">
        <f>F26+D27</f>
        <v>1252109.7300000002</v>
      </c>
      <c r="G27" s="285" t="s">
        <v>367</v>
      </c>
      <c r="H27" s="286" t="str">
        <f>IF(G27="INTEREST","✖ MISSING","✓ MATCHED")</f>
        <v>✖ MISSING</v>
      </c>
      <c r="I27" s="287">
        <f>IF(G27="INTEREST",D27,0)</f>
        <v>1869.36</v>
      </c>
      <c r="J27" s="286" t="str">
        <f>IF(G27="INTEREST","⚠ NOT TRACKED","✅ RESOLVED")</f>
        <v>⚠ NOT TRACKED</v>
      </c>
      <c r="K27" s="288" t="str">
        <f>IF(G27="INTEREST","Interest not recorded in any register","Interest now tracked in Inflow Register")</f>
        <v>Interest not recorded in any register</v>
      </c>
    </row>
    <row r="28" spans="1:11" x14ac:dyDescent="0.3">
      <c r="A28" s="281">
        <v>15</v>
      </c>
      <c r="B28" s="282">
        <v>46114</v>
      </c>
      <c r="C28" s="283" t="s">
        <v>368</v>
      </c>
      <c r="D28" s="284"/>
      <c r="E28" s="284">
        <v>432000</v>
      </c>
      <c r="F28" s="284">
        <f>F27-E28</f>
        <v>820109.73000000021</v>
      </c>
      <c r="G28" s="285" t="s">
        <v>369</v>
      </c>
      <c r="H28" s="286" t="s">
        <v>336</v>
      </c>
      <c r="I28" s="287">
        <f>ABS(E28-SUMIF(Draw_Register!A:A,G28,Draw_Register!F:F))</f>
        <v>0</v>
      </c>
      <c r="J28" s="286" t="str">
        <f>IF(I28&lt;1,"✅ RESOLVED","⚠ VARIANCE")</f>
        <v>✅ RESOLVED</v>
      </c>
      <c r="K28" s="288" t="str">
        <f>IF(I28&lt;1,"Bank matches register","Bank $"&amp;TEXT(E28,"#,##0.00")&amp;" vs Register $"&amp;TEXT(SUMIF(Draw_Register!A:A,G28,Draw_Register!F:F),"#,##0.00")&amp;" — $"&amp;TEXT(I28,"#,##0.00")&amp;" variance")</f>
        <v>Bank matches register</v>
      </c>
    </row>
    <row r="29" spans="1:11" x14ac:dyDescent="0.3">
      <c r="A29" s="281">
        <v>16</v>
      </c>
      <c r="B29" s="282">
        <v>46120</v>
      </c>
      <c r="C29" s="283" t="s">
        <v>370</v>
      </c>
      <c r="D29" s="284">
        <v>432000</v>
      </c>
      <c r="E29" s="284"/>
      <c r="F29" s="284">
        <f>F28+D29</f>
        <v>1252109.7300000002</v>
      </c>
      <c r="G29" s="329" t="s">
        <v>371</v>
      </c>
      <c r="H29" s="330" t="s">
        <v>336</v>
      </c>
      <c r="I29" s="287">
        <f>ABS(D29-SUMIF(Inflow_Register!A:A,G29,Inflow_Register!F:F))</f>
        <v>0</v>
      </c>
      <c r="J29" s="330" t="s">
        <v>316</v>
      </c>
      <c r="K29" s="331" t="s">
        <v>372</v>
      </c>
    </row>
    <row r="30" spans="1:11" x14ac:dyDescent="0.3">
      <c r="A30" s="281">
        <v>17</v>
      </c>
      <c r="B30" s="282">
        <v>46128</v>
      </c>
      <c r="C30" s="283" t="s">
        <v>373</v>
      </c>
      <c r="D30" s="284">
        <v>1100000</v>
      </c>
      <c r="E30" s="284"/>
      <c r="F30" s="284">
        <f>F29+D30</f>
        <v>2352109.7300000004</v>
      </c>
      <c r="G30" s="329" t="s">
        <v>374</v>
      </c>
      <c r="H30" s="330" t="s">
        <v>336</v>
      </c>
      <c r="I30" s="287">
        <v>0</v>
      </c>
      <c r="J30" s="330" t="s">
        <v>337</v>
      </c>
      <c r="K30" s="331" t="s">
        <v>375</v>
      </c>
    </row>
    <row r="31" spans="1:11" x14ac:dyDescent="0.3">
      <c r="A31" s="281">
        <v>18</v>
      </c>
      <c r="B31" s="282">
        <v>46128</v>
      </c>
      <c r="C31" s="283" t="s">
        <v>376</v>
      </c>
      <c r="D31" s="284"/>
      <c r="E31" s="284">
        <v>768540</v>
      </c>
      <c r="F31" s="284">
        <f>F30-E31</f>
        <v>1583569.7300000004</v>
      </c>
      <c r="G31" s="329" t="s">
        <v>377</v>
      </c>
      <c r="H31" s="330" t="str">
        <f>IF(ABS(E31-SUMIF(Draw_Register!A:A,G31,Draw_Register!F:F))&lt;1,"✓ MATCHED","✖ MISSING")</f>
        <v>✓ MATCHED</v>
      </c>
      <c r="I31" s="287">
        <f>ABS(E31-SUMIF(Draw_Register!A:A,G31,Draw_Register!F:F))</f>
        <v>0</v>
      </c>
      <c r="J31" s="330" t="str">
        <f>IF(I31&lt;1,"✅ RESOLVED","⚠ VARIANCE")</f>
        <v>✅ RESOLVED</v>
      </c>
      <c r="K31" s="331" t="str">
        <f>IF(I31&lt;1,"Bank matches register (Rate Cap + SOFR fee)","Bank $"&amp;TEXT(E31,"#,##0.00")&amp;" vs Register $"&amp;TEXT(SUMIF(Draw_Register!A:A,G31,Draw_Register!F:F),"#,##0.00"))</f>
        <v>Bank matches register (Rate Cap + SOFR fee)</v>
      </c>
    </row>
    <row r="32" spans="1:11" ht="15" thickBot="1" x14ac:dyDescent="0.35">
      <c r="A32" s="289">
        <v>19</v>
      </c>
      <c r="B32" s="290">
        <v>46128</v>
      </c>
      <c r="C32" s="291" t="s">
        <v>378</v>
      </c>
      <c r="D32" s="292"/>
      <c r="E32" s="292">
        <v>407984.73</v>
      </c>
      <c r="F32" s="292">
        <f>F31-E32</f>
        <v>1175585.0000000005</v>
      </c>
      <c r="G32" s="293" t="s">
        <v>379</v>
      </c>
      <c r="H32" s="294" t="str">
        <f>IF(ABS(E32-SUMIF(Draw_Register!A:A,G32,Draw_Register!F:F))&lt;1,"✓ MATCHED","✖ MISSING")</f>
        <v>✓ MATCHED</v>
      </c>
      <c r="I32" s="295">
        <f>ABS(E32-SUMIF(Draw_Register!A:A,G32,Draw_Register!F:F))</f>
        <v>0</v>
      </c>
      <c r="J32" s="294" t="str">
        <f>IF(I32&lt;1,"✅ RESOLVED","⚠ VARIANCE")</f>
        <v>✅ RESOLVED</v>
      </c>
      <c r="K32" s="296" t="str">
        <f>IF(I32&lt;1,"Bank matches register (AP Run)","Bank $"&amp;TEXT(E32,"#,##0.00")&amp;" vs Register $"&amp;TEXT(SUMIF(Draw_Register!A:A,G32,Draw_Register!F:F),"#,##0.00"))</f>
        <v>Bank matches register (AP Run)</v>
      </c>
    </row>
    <row r="33" spans="1:11" ht="15" thickBot="1" x14ac:dyDescent="0.35">
      <c r="A33" s="281">
        <v>20</v>
      </c>
      <c r="B33" s="282">
        <v>46142</v>
      </c>
      <c r="C33" s="283" t="s">
        <v>380</v>
      </c>
      <c r="D33" s="369">
        <v>1649.47</v>
      </c>
      <c r="E33" s="284"/>
      <c r="F33" s="369">
        <v>1177234.47</v>
      </c>
      <c r="G33" s="329" t="s">
        <v>367</v>
      </c>
      <c r="H33" s="330" t="s">
        <v>381</v>
      </c>
      <c r="I33" s="287"/>
      <c r="J33" s="330" t="s">
        <v>382</v>
      </c>
      <c r="K33" s="331" t="s">
        <v>383</v>
      </c>
    </row>
    <row r="34" spans="1:11" x14ac:dyDescent="0.3">
      <c r="A34" s="370">
        <v>21</v>
      </c>
      <c r="B34" s="371">
        <v>46146</v>
      </c>
      <c r="C34" s="372" t="s">
        <v>384</v>
      </c>
      <c r="D34" s="373"/>
      <c r="E34" s="374">
        <v>776000</v>
      </c>
      <c r="F34" s="374">
        <v>401234.47</v>
      </c>
      <c r="G34" s="375" t="s">
        <v>385</v>
      </c>
      <c r="H34" s="376" t="str">
        <f>IFERROR(IF(VLOOKUP(G34,Draw_Register!A:F,6,FALSE)=E34,"✅ MATCH","⚠ MISMATCH"),"✖ MISSING")</f>
        <v>✅ MATCH</v>
      </c>
      <c r="I34" s="377">
        <f>IFERROR(VLOOKUP(G34,Draw_Register!A:F,6,FALSE)-E34,0)</f>
        <v>0</v>
      </c>
      <c r="J34" s="376" t="s">
        <v>386</v>
      </c>
      <c r="K34" s="378" t="s">
        <v>387</v>
      </c>
    </row>
    <row r="35" spans="1:11" x14ac:dyDescent="0.3">
      <c r="A35" s="363">
        <v>22</v>
      </c>
      <c r="B35" s="364">
        <v>46173</v>
      </c>
      <c r="C35" s="365" t="s">
        <v>388</v>
      </c>
      <c r="D35" s="366">
        <v>553.9</v>
      </c>
      <c r="E35" s="367"/>
      <c r="F35" s="367">
        <f>F34+D35</f>
        <v>401788.37</v>
      </c>
      <c r="G35" s="368" t="s">
        <v>367</v>
      </c>
      <c r="H35" s="50" t="s">
        <v>381</v>
      </c>
      <c r="I35" s="65"/>
      <c r="J35" s="50" t="s">
        <v>382</v>
      </c>
      <c r="K35" s="56" t="s">
        <v>383</v>
      </c>
    </row>
    <row r="36" spans="1:11" x14ac:dyDescent="0.3">
      <c r="A36" s="389">
        <v>23</v>
      </c>
      <c r="B36" s="390">
        <v>46176</v>
      </c>
      <c r="C36" s="391" t="s">
        <v>389</v>
      </c>
      <c r="D36" s="392">
        <v>1600000</v>
      </c>
      <c r="E36" s="393"/>
      <c r="F36" s="393">
        <f>F35+D36</f>
        <v>2001788.37</v>
      </c>
      <c r="G36" s="394" t="s">
        <v>390</v>
      </c>
      <c r="H36" s="395" t="str">
        <f>IFERROR(IF(VLOOKUP(G36,Inflow_Register!A:F,6,FALSE)=D36,"✅ MATCH","⚠ MISMATCH"),"✖ MISSING")</f>
        <v>✅ MATCH</v>
      </c>
      <c r="I36" s="396">
        <f>IFERROR(VLOOKUP(G36,Inflow_Register!A:F,6,FALSE)-D36,0)</f>
        <v>0</v>
      </c>
      <c r="J36" s="395" t="s">
        <v>386</v>
      </c>
      <c r="K36" s="397" t="s">
        <v>391</v>
      </c>
    </row>
    <row r="37" spans="1:11" x14ac:dyDescent="0.3">
      <c r="A37" s="389">
        <v>24</v>
      </c>
      <c r="B37" s="390">
        <v>46177</v>
      </c>
      <c r="C37" s="391" t="s">
        <v>392</v>
      </c>
      <c r="D37" s="392"/>
      <c r="E37" s="393">
        <v>229000</v>
      </c>
      <c r="F37" s="393">
        <f>F36-E37</f>
        <v>1772788.37</v>
      </c>
      <c r="G37" s="394" t="s">
        <v>393</v>
      </c>
      <c r="H37" s="395" t="str">
        <f>IFERROR(IF(VLOOKUP(G37,Draw_Register!A:F,6,FALSE)=E37,"✅ MATCH","⚠ MISMATCH"),"✖ MISSING")</f>
        <v>✅ MATCH</v>
      </c>
      <c r="I37" s="396">
        <f>IFERROR(VLOOKUP(G37,Draw_Register!A:F,6,FALSE)-E37,0)</f>
        <v>0</v>
      </c>
      <c r="J37" s="395" t="s">
        <v>386</v>
      </c>
      <c r="K37" s="397" t="s">
        <v>394</v>
      </c>
    </row>
    <row r="38" spans="1:11" x14ac:dyDescent="0.3">
      <c r="A38" s="389">
        <v>25</v>
      </c>
      <c r="B38" s="390">
        <v>46203</v>
      </c>
      <c r="C38" s="391" t="s">
        <v>395</v>
      </c>
      <c r="D38" s="393">
        <v>2459.17</v>
      </c>
      <c r="E38" s="393"/>
      <c r="F38" s="393">
        <f>F37+D38</f>
        <v>1775247.54</v>
      </c>
      <c r="G38" s="394" t="s">
        <v>367</v>
      </c>
      <c r="H38" s="401" t="str">
        <f>IF(G38="INTEREST","✖ MISSING","✓ MATCHED")</f>
        <v>✖ MISSING</v>
      </c>
      <c r="I38" s="396">
        <f>IF(G38="INTEREST",D38,0)</f>
        <v>2459.17</v>
      </c>
      <c r="J38" s="401" t="str">
        <f>IF(G38="INTEREST","⚠ NOT TRACKED","✅ RESOLVED")</f>
        <v>⚠ NOT TRACKED</v>
      </c>
      <c r="K38" s="397" t="s">
        <v>383</v>
      </c>
    </row>
    <row r="39" spans="1:11" x14ac:dyDescent="0.3">
      <c r="A39" s="389">
        <v>26</v>
      </c>
      <c r="B39" s="390">
        <v>46209</v>
      </c>
      <c r="C39" s="391" t="s">
        <v>396</v>
      </c>
      <c r="D39" s="392"/>
      <c r="E39" s="393">
        <v>410752.3</v>
      </c>
      <c r="F39" s="393">
        <f>F38-E39</f>
        <v>1364495.24</v>
      </c>
      <c r="G39" s="394" t="s">
        <v>397</v>
      </c>
      <c r="H39" s="395" t="str">
        <f>IFERROR(IF(VLOOKUP(G39,Draw_Register!A:F,6,FALSE)=E39,"✅ MATCH","⚠ MISMATCH"),"✖ MISSING")</f>
        <v>✅ MATCH</v>
      </c>
      <c r="I39" s="396">
        <f>IFERROR(VLOOKUP(G39,Draw_Register!A:F,6,FALSE)-E39,0)</f>
        <v>0</v>
      </c>
      <c r="J39" s="395" t="s">
        <v>386</v>
      </c>
      <c r="K39" s="397" t="s">
        <v>398</v>
      </c>
    </row>
    <row r="40" spans="1:11" x14ac:dyDescent="0.3">
      <c r="A40" s="389">
        <v>27</v>
      </c>
      <c r="B40" s="390">
        <v>46212</v>
      </c>
      <c r="C40" s="391" t="s">
        <v>399</v>
      </c>
      <c r="D40" s="392"/>
      <c r="E40" s="393">
        <v>63508</v>
      </c>
      <c r="F40" s="393">
        <f>F39-E40</f>
        <v>1300987.24</v>
      </c>
      <c r="G40" s="394" t="s">
        <v>400</v>
      </c>
      <c r="H40" s="395" t="str">
        <f>IFERROR(IF(VLOOKUP(G40,Draw_Register!A:F,6,FALSE)=E40,"✅ MATCH","⚠ MISMATCH"),"✖ MISSING")</f>
        <v>✅ MATCH</v>
      </c>
      <c r="I40" s="396">
        <f>IFERROR(VLOOKUP(G40,Draw_Register!A:F,6,FALSE)-E40,0)</f>
        <v>0</v>
      </c>
      <c r="J40" s="395" t="s">
        <v>386</v>
      </c>
      <c r="K40" s="397" t="s">
        <v>401</v>
      </c>
    </row>
    <row r="41" spans="1:11" x14ac:dyDescent="0.3">
      <c r="A41" s="407">
        <v>28</v>
      </c>
      <c r="B41" s="408">
        <v>46223</v>
      </c>
      <c r="C41" s="409" t="s">
        <v>402</v>
      </c>
      <c r="D41" s="410">
        <f>Inflow_Register!F12</f>
        <v>118166.19</v>
      </c>
      <c r="E41" s="410"/>
      <c r="F41" s="410">
        <f>F40+D41</f>
        <v>1419153.43</v>
      </c>
      <c r="G41" s="411" t="s">
        <v>403</v>
      </c>
      <c r="H41" s="412" t="str">
        <f>IFERROR(IF(VLOOKUP(G41,Inflow_Register!A:F,6,FALSE)=D41,"✅ MATCH","⚠ MISMATCH"),"✖ MISSING")</f>
        <v>✅ MATCH</v>
      </c>
      <c r="I41" s="413">
        <f>IFERROR(VLOOKUP(G41,Inflow_Register!A:F,6,FALSE)-D41,0)</f>
        <v>0</v>
      </c>
      <c r="J41" s="412" t="s">
        <v>386</v>
      </c>
      <c r="K41" s="414" t="s">
        <v>404</v>
      </c>
    </row>
    <row r="42" spans="1:11" x14ac:dyDescent="0.3">
      <c r="A42" s="407">
        <v>29</v>
      </c>
      <c r="B42" s="408">
        <v>46234</v>
      </c>
      <c r="C42" s="409" t="s">
        <v>405</v>
      </c>
      <c r="D42" s="410">
        <v>2160.89</v>
      </c>
      <c r="E42" s="410"/>
      <c r="F42" s="410">
        <f>F41+D42</f>
        <v>1421314.3199999998</v>
      </c>
      <c r="G42" s="411" t="s">
        <v>367</v>
      </c>
      <c r="H42" s="412" t="str">
        <f>IF(G42="INTEREST","✖ MISSING","✓ MATCHED")</f>
        <v>✖ MISSING</v>
      </c>
      <c r="I42" s="413">
        <f>IF(G42="INTEREST",D42,0)</f>
        <v>2160.89</v>
      </c>
      <c r="J42" s="412" t="str">
        <f>IF(G42="INTEREST","⚠ NOT TRACKED","✅ RESOLVED")</f>
        <v>⚠ NOT TRACKED</v>
      </c>
      <c r="K42" s="414" t="s">
        <v>383</v>
      </c>
    </row>
    <row r="43" spans="1:11" x14ac:dyDescent="0.3">
      <c r="A43" s="407">
        <v>30</v>
      </c>
      <c r="B43" s="408">
        <v>46237</v>
      </c>
      <c r="C43" s="409" t="s">
        <v>406</v>
      </c>
      <c r="D43" s="410"/>
      <c r="E43" s="410">
        <f>VLOOKUP(G43,Draw_Register!A:F,6,FALSE)</f>
        <v>594603.99</v>
      </c>
      <c r="F43" s="410">
        <f>F42-E43</f>
        <v>826710.32999999984</v>
      </c>
      <c r="G43" s="411" t="s">
        <v>407</v>
      </c>
      <c r="H43" s="412" t="str">
        <f>IFERROR(IF(VLOOKUP(G43,Draw_Register!A:F,6,FALSE)=E43,"✅ MATCH","⚠ MISMATCH"),"✖ MISSING")</f>
        <v>✅ MATCH</v>
      </c>
      <c r="I43" s="413">
        <f>IFERROR(VLOOKUP(G43,Draw_Register!A:F,6,FALSE)-E43,0)</f>
        <v>0</v>
      </c>
      <c r="J43" s="412" t="str">
        <f>IF(H43="✅ MATCH","✅ RECONCILED","⚠ VARIANCE")</f>
        <v>✅ RECONCILED</v>
      </c>
      <c r="K43" s="414" t="s">
        <v>408</v>
      </c>
    </row>
    <row r="44" spans="1:11" ht="15" thickBot="1" x14ac:dyDescent="0.35">
      <c r="A44" s="476">
        <v>31</v>
      </c>
      <c r="B44" s="477">
        <v>46238</v>
      </c>
      <c r="C44" s="478" t="s">
        <v>4190</v>
      </c>
      <c r="D44" s="479"/>
      <c r="E44" s="479">
        <f>VLOOKUP(G44,Draw_Register!A:F,6,FALSE)</f>
        <v>58621.63</v>
      </c>
      <c r="F44" s="479">
        <f>F43-E44</f>
        <v>768088.69999999984</v>
      </c>
      <c r="G44" s="480" t="s">
        <v>564</v>
      </c>
      <c r="H44" s="481" t="str">
        <f>IFERROR(IF(VLOOKUP(G44,Draw_Register!A:F,6,FALSE)=E44,"✅ MATCH","⚠ MISMATCH"),"✖ MISSING")</f>
        <v>✅ MATCH</v>
      </c>
      <c r="I44" s="482">
        <f>IFERROR(VLOOKUP(G44,Draw_Register!A:F,6,FALSE)-E44,0)</f>
        <v>0</v>
      </c>
      <c r="J44" s="481" t="s">
        <v>386</v>
      </c>
      <c r="K44" s="483" t="s">
        <v>4191</v>
      </c>
    </row>
    <row r="46" spans="1:11" x14ac:dyDescent="0.3">
      <c r="A46" s="332" t="s">
        <v>409</v>
      </c>
      <c r="B46" s="41"/>
      <c r="C46" s="41"/>
      <c r="D46" s="41"/>
      <c r="E46" s="41"/>
      <c r="F46" s="41"/>
    </row>
    <row r="47" spans="1:11" x14ac:dyDescent="0.3">
      <c r="A47" s="333" t="s">
        <v>308</v>
      </c>
      <c r="D47" s="334" t="s">
        <v>309</v>
      </c>
      <c r="E47" s="333" t="s">
        <v>310</v>
      </c>
      <c r="F47" s="335" t="s">
        <v>410</v>
      </c>
    </row>
    <row r="48" spans="1:11" x14ac:dyDescent="0.3">
      <c r="A48" s="61" t="s">
        <v>411</v>
      </c>
      <c r="D48" s="48">
        <f>D14+D30</f>
        <v>3700000</v>
      </c>
      <c r="E48" s="49" t="s">
        <v>412</v>
      </c>
    </row>
    <row r="49" spans="1:6" x14ac:dyDescent="0.3">
      <c r="A49" s="36" t="s">
        <v>413</v>
      </c>
      <c r="D49" s="62">
        <f>-(E15+E18+E22+E23+E24+E28+E31+E32+E34+E37+E39+E40+E43+E44)</f>
        <v>-6264041.9100000001</v>
      </c>
      <c r="E49" s="49" t="s">
        <v>4193</v>
      </c>
    </row>
    <row r="50" spans="1:6" x14ac:dyDescent="0.3">
      <c r="A50" s="64" t="s">
        <v>414</v>
      </c>
      <c r="D50" s="65">
        <f>-E26</f>
        <v>-121590.96</v>
      </c>
      <c r="E50" s="66" t="s">
        <v>415</v>
      </c>
      <c r="F50" s="54" t="s">
        <v>416</v>
      </c>
    </row>
    <row r="51" spans="1:6" x14ac:dyDescent="0.3">
      <c r="A51" s="36" t="s">
        <v>417</v>
      </c>
      <c r="D51" s="58">
        <f>D17+D19+D21+D25+D29+D36+D41</f>
        <v>3442729.9</v>
      </c>
      <c r="E51" s="49" t="s">
        <v>418</v>
      </c>
    </row>
    <row r="52" spans="1:6" x14ac:dyDescent="0.3">
      <c r="A52" s="63" t="s">
        <v>419</v>
      </c>
      <c r="D52" s="52">
        <f>D16+D20+D27+D33+D35+D38+D42</f>
        <v>10991.669999999998</v>
      </c>
      <c r="E52" s="49" t="s">
        <v>420</v>
      </c>
      <c r="F52" s="54" t="s">
        <v>416</v>
      </c>
    </row>
    <row r="54" spans="1:6" x14ac:dyDescent="0.3">
      <c r="A54" s="67" t="s">
        <v>421</v>
      </c>
      <c r="D54" s="68">
        <f>D48+D49+D50+D51+D52</f>
        <v>768088.69999999984</v>
      </c>
    </row>
    <row r="55" spans="1:6" x14ac:dyDescent="0.3">
      <c r="A55" s="67" t="s">
        <v>4192</v>
      </c>
      <c r="D55" s="336">
        <v>768088.7</v>
      </c>
    </row>
    <row r="56" spans="1:6" ht="15" thickBot="1" x14ac:dyDescent="0.35">
      <c r="A56" s="403" t="s">
        <v>422</v>
      </c>
      <c r="D56" s="404">
        <v>0</v>
      </c>
      <c r="E56" s="380" t="s">
        <v>423</v>
      </c>
    </row>
    <row r="57" spans="1:6" ht="15" thickBot="1" x14ac:dyDescent="0.35">
      <c r="A57" s="108" t="s">
        <v>424</v>
      </c>
      <c r="B57" s="109"/>
      <c r="C57" s="109"/>
      <c r="D57" s="110">
        <f>ROUND(D54-D55-D56,2)</f>
        <v>0</v>
      </c>
      <c r="E57" s="108" t="str">
        <f>IF(ABS(D57)&lt;0.01,"✅ BALANCED","❌ UNBALANCED")</f>
        <v>✅ BALANCED</v>
      </c>
      <c r="F57" s="109"/>
    </row>
    <row r="58" spans="1:6" ht="15" thickTop="1" x14ac:dyDescent="0.3">
      <c r="A58" s="332" t="s">
        <v>4194</v>
      </c>
    </row>
    <row r="59" spans="1:6" x14ac:dyDescent="0.3">
      <c r="A59" t="s">
        <v>425</v>
      </c>
      <c r="D59" s="379">
        <f>F40</f>
        <v>1300987.24</v>
      </c>
      <c r="E59" s="380" t="s">
        <v>426</v>
      </c>
    </row>
    <row r="60" spans="1:6" x14ac:dyDescent="0.3">
      <c r="A60" t="s">
        <v>427</v>
      </c>
      <c r="D60" s="381">
        <f>D41</f>
        <v>118166.19</v>
      </c>
      <c r="E60" s="380" t="s">
        <v>428</v>
      </c>
    </row>
    <row r="61" spans="1:6" x14ac:dyDescent="0.3">
      <c r="A61" t="s">
        <v>429</v>
      </c>
      <c r="D61" s="381">
        <f>D42</f>
        <v>2160.89</v>
      </c>
      <c r="E61" s="380" t="s">
        <v>430</v>
      </c>
    </row>
    <row r="62" spans="1:6" x14ac:dyDescent="0.3">
      <c r="A62" t="s">
        <v>431</v>
      </c>
      <c r="D62" s="381">
        <f>-E43</f>
        <v>-594603.99</v>
      </c>
      <c r="E62" s="380" t="s">
        <v>432</v>
      </c>
    </row>
    <row r="63" spans="1:6" x14ac:dyDescent="0.3">
      <c r="A63" t="s">
        <v>4195</v>
      </c>
      <c r="D63" s="381">
        <f>-E44</f>
        <v>-58621.63</v>
      </c>
      <c r="E63" s="380" t="s">
        <v>4196</v>
      </c>
    </row>
    <row r="64" spans="1:6" x14ac:dyDescent="0.3">
      <c r="A64" s="382" t="s">
        <v>4197</v>
      </c>
      <c r="D64" s="383">
        <f>SUM(D59:D63)</f>
        <v>768088.69999999984</v>
      </c>
      <c r="E64" s="384" t="s">
        <v>4198</v>
      </c>
    </row>
    <row r="65" spans="1:11" ht="15" thickBot="1" x14ac:dyDescent="0.35">
      <c r="A65" s="385"/>
      <c r="B65" s="386"/>
      <c r="C65" s="386"/>
      <c r="D65" s="387"/>
      <c r="E65" s="388"/>
    </row>
    <row r="66" spans="1:11" x14ac:dyDescent="0.3">
      <c r="A66" s="165" t="s">
        <v>433</v>
      </c>
      <c r="B66" s="69"/>
      <c r="C66" s="69"/>
      <c r="D66" s="69"/>
      <c r="E66" s="69"/>
      <c r="F66" s="69"/>
      <c r="G66" s="69"/>
      <c r="H66" s="69"/>
      <c r="I66" s="69"/>
      <c r="J66" s="69"/>
      <c r="K66" s="69"/>
    </row>
    <row r="67" spans="1:11" x14ac:dyDescent="0.3">
      <c r="A67" s="85" t="s">
        <v>321</v>
      </c>
      <c r="B67" s="86" t="s">
        <v>434</v>
      </c>
      <c r="C67" s="87" t="s">
        <v>435</v>
      </c>
      <c r="D67" s="88" t="s">
        <v>309</v>
      </c>
      <c r="E67" s="87" t="s">
        <v>436</v>
      </c>
      <c r="F67" s="87" t="s">
        <v>437</v>
      </c>
      <c r="G67" s="111"/>
      <c r="H67" s="112"/>
    </row>
    <row r="68" spans="1:11" ht="45" customHeight="1" x14ac:dyDescent="0.3">
      <c r="A68" s="89">
        <v>1</v>
      </c>
      <c r="B68" s="166" t="s">
        <v>316</v>
      </c>
      <c r="C68" s="121" t="s">
        <v>438</v>
      </c>
      <c r="D68" s="92">
        <f>D8</f>
        <v>0</v>
      </c>
      <c r="E68" s="114" t="s">
        <v>439</v>
      </c>
      <c r="F68" s="114" t="s">
        <v>440</v>
      </c>
      <c r="G68" s="18"/>
      <c r="H68" s="115"/>
    </row>
    <row r="69" spans="1:11" ht="45" customHeight="1" x14ac:dyDescent="0.3">
      <c r="A69" s="89">
        <v>2</v>
      </c>
      <c r="B69" s="167" t="str">
        <f>IF(G26="NONE","🟥 HIGH","✅ RESOLVED")</f>
        <v>✅ RESOLVED</v>
      </c>
      <c r="C69" s="113" t="s">
        <v>441</v>
      </c>
      <c r="D69" s="92">
        <v>121590.96</v>
      </c>
      <c r="E69" s="114" t="s">
        <v>442</v>
      </c>
      <c r="F69" s="114" t="s">
        <v>443</v>
      </c>
      <c r="G69" s="18"/>
      <c r="H69" s="115"/>
    </row>
    <row r="70" spans="1:11" ht="45" customHeight="1" x14ac:dyDescent="0.3">
      <c r="A70" s="89">
        <v>3</v>
      </c>
      <c r="B70" s="168" t="str">
        <f>IF(G16="INTEREST","🟨 MEDIUM","✅ RESOLVED")</f>
        <v>🟨 MEDIUM</v>
      </c>
      <c r="C70" s="113" t="s">
        <v>444</v>
      </c>
      <c r="D70" s="92">
        <f>D16+D20</f>
        <v>2298.88</v>
      </c>
      <c r="E70" s="114" t="s">
        <v>445</v>
      </c>
      <c r="F70" s="114" t="s">
        <v>446</v>
      </c>
      <c r="G70" s="18"/>
      <c r="H70" s="115"/>
    </row>
    <row r="71" spans="1:11" ht="45" customHeight="1" thickBot="1" x14ac:dyDescent="0.35">
      <c r="A71" s="101">
        <v>4</v>
      </c>
      <c r="B71" s="169" t="s">
        <v>447</v>
      </c>
      <c r="C71" s="102" t="s">
        <v>448</v>
      </c>
      <c r="D71" s="116"/>
      <c r="E71" s="117" t="s">
        <v>449</v>
      </c>
      <c r="F71" s="117" t="s">
        <v>450</v>
      </c>
      <c r="G71" s="118"/>
      <c r="H71" s="119"/>
    </row>
    <row r="73" spans="1:11" x14ac:dyDescent="0.3">
      <c r="A73" s="164" t="s">
        <v>451</v>
      </c>
      <c r="B73" s="41"/>
      <c r="C73" s="41"/>
      <c r="D73" s="41"/>
      <c r="E73" s="41"/>
      <c r="F73" s="41"/>
    </row>
    <row r="74" spans="1:11" x14ac:dyDescent="0.3">
      <c r="A74" s="44"/>
      <c r="D74" s="46" t="s">
        <v>452</v>
      </c>
      <c r="E74" s="46" t="s">
        <v>453</v>
      </c>
    </row>
    <row r="75" spans="1:11" x14ac:dyDescent="0.3">
      <c r="A75" s="36" t="s">
        <v>454</v>
      </c>
      <c r="D75" s="58">
        <f>D48+D36</f>
        <v>5300000</v>
      </c>
      <c r="E75" s="60">
        <f>D75</f>
        <v>5300000</v>
      </c>
    </row>
    <row r="76" spans="1:11" x14ac:dyDescent="0.3">
      <c r="A76" s="36" t="s">
        <v>455</v>
      </c>
      <c r="D76" s="58">
        <f>Budget_Tracker!G95</f>
        <v>6385632.870000001</v>
      </c>
      <c r="E76" s="60">
        <f>D76</f>
        <v>6385632.870000001</v>
      </c>
    </row>
    <row r="77" spans="1:11" x14ac:dyDescent="0.3">
      <c r="A77" s="56" t="s">
        <v>4185</v>
      </c>
      <c r="D77" s="72">
        <f>D76-D78</f>
        <v>6264041.9100000011</v>
      </c>
      <c r="E77" s="72">
        <f>D77</f>
        <v>6264041.9100000011</v>
      </c>
    </row>
    <row r="78" spans="1:11" x14ac:dyDescent="0.3">
      <c r="A78" s="59" t="s">
        <v>456</v>
      </c>
      <c r="D78" s="73">
        <f>E26</f>
        <v>121590.96</v>
      </c>
      <c r="E78" s="73">
        <f>D78</f>
        <v>121590.96</v>
      </c>
    </row>
    <row r="79" spans="1:11" x14ac:dyDescent="0.3">
      <c r="A79" s="36" t="s">
        <v>457</v>
      </c>
      <c r="D79" s="58">
        <f>Budget_Tracker!K95</f>
        <v>1842729.9</v>
      </c>
      <c r="E79" s="58">
        <f>Budget_Tracker!K95</f>
        <v>1842729.9</v>
      </c>
    </row>
    <row r="80" spans="1:11" x14ac:dyDescent="0.3">
      <c r="A80" s="36" t="s">
        <v>458</v>
      </c>
      <c r="D80" s="74">
        <f>D52</f>
        <v>10991.669999999998</v>
      </c>
      <c r="E80" s="58">
        <f>D52</f>
        <v>10991.669999999998</v>
      </c>
    </row>
    <row r="81" spans="1:5" x14ac:dyDescent="0.3">
      <c r="A81" s="36"/>
    </row>
    <row r="82" spans="1:5" x14ac:dyDescent="0.3">
      <c r="A82" s="43" t="s">
        <v>265</v>
      </c>
      <c r="D82" s="60">
        <f>D76-D79-D80</f>
        <v>4531911.3000000007</v>
      </c>
      <c r="E82" s="60">
        <f>E76-E79-E80</f>
        <v>4531911.3000000007</v>
      </c>
    </row>
    <row r="83" spans="1:5" x14ac:dyDescent="0.3">
      <c r="A83" s="75" t="s">
        <v>459</v>
      </c>
      <c r="D83" s="76">
        <f>D75-D82</f>
        <v>768088.69999999925</v>
      </c>
      <c r="E83" s="76">
        <f>D55</f>
        <v>768088.7</v>
      </c>
    </row>
    <row r="84" spans="1:5" x14ac:dyDescent="0.3">
      <c r="A84" s="405" t="s">
        <v>460</v>
      </c>
      <c r="D84" s="72"/>
      <c r="E84" s="406">
        <f>D56</f>
        <v>0</v>
      </c>
    </row>
    <row r="85" spans="1:5" x14ac:dyDescent="0.3">
      <c r="A85" s="59" t="s">
        <v>4200</v>
      </c>
      <c r="D85" s="72"/>
      <c r="E85" s="484">
        <v>0</v>
      </c>
    </row>
    <row r="86" spans="1:5" x14ac:dyDescent="0.3">
      <c r="A86" s="56" t="s">
        <v>4201</v>
      </c>
      <c r="D86" s="72"/>
      <c r="E86" s="399">
        <f>E83+E84+E85</f>
        <v>768088.7</v>
      </c>
    </row>
    <row r="87" spans="1:5" x14ac:dyDescent="0.3">
      <c r="A87" s="77" t="s">
        <v>461</v>
      </c>
      <c r="E87" s="78">
        <f>ROUND(D83-E86,2)</f>
        <v>0</v>
      </c>
    </row>
    <row r="89" spans="1:5" x14ac:dyDescent="0.3">
      <c r="A89" s="79" t="s">
        <v>462</v>
      </c>
      <c r="D89" s="81" t="s">
        <v>463</v>
      </c>
    </row>
    <row r="90" spans="1:5" x14ac:dyDescent="0.3">
      <c r="A90" s="71" t="s">
        <v>464</v>
      </c>
      <c r="D90" s="82">
        <v>0</v>
      </c>
      <c r="E90" s="56" t="s">
        <v>465</v>
      </c>
    </row>
    <row r="91" spans="1:5" x14ac:dyDescent="0.3">
      <c r="A91" s="71" t="s">
        <v>466</v>
      </c>
      <c r="D91" s="82">
        <v>0</v>
      </c>
      <c r="E91" s="56" t="s">
        <v>467</v>
      </c>
    </row>
    <row r="92" spans="1:5" x14ac:dyDescent="0.3">
      <c r="A92" s="71" t="str">
        <f>"  Interest now tracked ("&amp;TEXT(D52,"$#,##0.00")&amp;" YTD) ✅"</f>
        <v xml:space="preserve">  Interest now tracked ($10,991.67 YTD) ✅</v>
      </c>
      <c r="D92" s="82">
        <v>0</v>
      </c>
      <c r="E92" s="56" t="s">
        <v>468</v>
      </c>
    </row>
    <row r="93" spans="1:5" x14ac:dyDescent="0.3">
      <c r="A93" s="80" t="str">
        <f>IF(ABS(D83-E86)&lt;1,"✅ Fully reconciled through 08/12/2026","Remaining variance: "&amp;TEXT(ABS(D83-E86),"$#,##0.00"))</f>
        <v>✅ Fully reconciled through 08/12/2026</v>
      </c>
      <c r="D93" s="83">
        <f>SUM(D90:D92)</f>
        <v>0</v>
      </c>
      <c r="E93" s="84" t="str">
        <f>IF(ABS(D83-E86)&lt;1,"✅ Workbook matches bank","❌ Gap: $"&amp;TEXT(ABS(D83-E86),"#,##0.00"))</f>
        <v>✅ Workbook matches bank</v>
      </c>
    </row>
  </sheetData>
  <conditionalFormatting sqref="B69">
    <cfRule type="containsText" dxfId="35" priority="1" operator="containsText" text="HIGH">
      <formula>NOT(ISERROR(SEARCH("HIGH",B69)))</formula>
    </cfRule>
  </conditionalFormatting>
  <conditionalFormatting sqref="B69">
    <cfRule type="containsText" dxfId="34" priority="2" operator="containsText" text="RESOLVED">
      <formula>NOT(ISERROR(SEARCH("RESOLVED",B69)))</formula>
    </cfRule>
  </conditionalFormatting>
  <conditionalFormatting sqref="B70">
    <cfRule type="containsText" dxfId="33" priority="3" operator="containsText" text="MEDIUM">
      <formula>NOT(ISERROR(SEARCH("MEDIUM",B70)))</formula>
    </cfRule>
  </conditionalFormatting>
  <conditionalFormatting sqref="B70">
    <cfRule type="containsText" dxfId="32" priority="4" operator="containsText" text="RESOLVED">
      <formula>NOT(ISERROR(SEARCH("RESOLVED",B70)))</formula>
    </cfRule>
  </conditionalFormatting>
  <conditionalFormatting sqref="H26:H44">
    <cfRule type="containsText" dxfId="31" priority="5" operator="containsText" text="MISSING">
      <formula>NOT(ISERROR(SEARCH("MISSING",H26)))</formula>
    </cfRule>
  </conditionalFormatting>
  <conditionalFormatting sqref="H26:H44">
    <cfRule type="containsText" dxfId="30" priority="6" operator="containsText" text="MATCHED">
      <formula>NOT(ISERROR(SEARCH("MATCHED",H26)))</formula>
    </cfRule>
  </conditionalFormatting>
  <conditionalFormatting sqref="H16">
    <cfRule type="containsText" dxfId="29" priority="7" operator="containsText" text="MISSING">
      <formula>NOT(ISERROR(SEARCH("MISSING",H16)))</formula>
    </cfRule>
  </conditionalFormatting>
  <conditionalFormatting sqref="H16">
    <cfRule type="containsText" dxfId="28" priority="8" operator="containsText" text="MATCHED">
      <formula>NOT(ISERROR(SEARCH("MATCHED",H16)))</formula>
    </cfRule>
  </conditionalFormatting>
  <conditionalFormatting sqref="H20">
    <cfRule type="containsText" dxfId="27" priority="9" operator="containsText" text="MISSING">
      <formula>NOT(ISERROR(SEARCH("MISSING",H20)))</formula>
    </cfRule>
  </conditionalFormatting>
  <conditionalFormatting sqref="H20">
    <cfRule type="containsText" dxfId="26" priority="10" operator="containsText" text="MATCHED">
      <formula>NOT(ISERROR(SEARCH("MATCHED",H20)))</formula>
    </cfRule>
  </conditionalFormatting>
  <conditionalFormatting sqref="J26:J44">
    <cfRule type="containsText" dxfId="25" priority="11" operator="containsText" text="NOT">
      <formula>NOT(ISERROR(SEARCH("NOT",J26)))</formula>
    </cfRule>
  </conditionalFormatting>
  <conditionalFormatting sqref="J26:J44">
    <cfRule type="containsText" dxfId="24" priority="12" operator="containsText" text="RESOLVED">
      <formula>NOT(ISERROR(SEARCH("RESOLVED",J26)))</formula>
    </cfRule>
  </conditionalFormatting>
  <conditionalFormatting sqref="J16">
    <cfRule type="containsText" dxfId="23" priority="13" operator="containsText" text="NOT">
      <formula>NOT(ISERROR(SEARCH("NOT",J16)))</formula>
    </cfRule>
  </conditionalFormatting>
  <conditionalFormatting sqref="J16">
    <cfRule type="containsText" dxfId="22" priority="14" operator="containsText" text="RESOLVED">
      <formula>NOT(ISERROR(SEARCH("RESOLVED",J16)))</formula>
    </cfRule>
  </conditionalFormatting>
  <conditionalFormatting sqref="J20">
    <cfRule type="containsText" dxfId="21" priority="15" operator="containsText" text="NOT">
      <formula>NOT(ISERROR(SEARCH("NOT",J20)))</formula>
    </cfRule>
  </conditionalFormatting>
  <conditionalFormatting sqref="J20">
    <cfRule type="containsText" dxfId="20" priority="16" operator="containsText" text="RESOLVED">
      <formula>NOT(ISERROR(SEARCH("RESOLVED",J20)))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L37"/>
  <sheetViews>
    <sheetView showGridLines="0" topLeftCell="A6" zoomScaleNormal="100" workbookViewId="0">
      <selection activeCell="C7" sqref="C7:E7"/>
    </sheetView>
  </sheetViews>
  <sheetFormatPr defaultColWidth="8.5546875" defaultRowHeight="14.4" x14ac:dyDescent="0.3"/>
  <cols>
    <col min="1" max="1" width="3" customWidth="1"/>
    <col min="2" max="2" width="14.109375" bestFit="1" customWidth="1"/>
    <col min="3" max="3" width="20" customWidth="1"/>
    <col min="4" max="4" width="12" customWidth="1"/>
    <col min="5" max="5" width="18" customWidth="1"/>
    <col min="6" max="6" width="10" customWidth="1"/>
    <col min="7" max="7" width="21.44140625" customWidth="1"/>
    <col min="8" max="8" width="8" customWidth="1"/>
    <col min="9" max="9" width="13" customWidth="1"/>
    <col min="10" max="10" width="16.33203125" customWidth="1"/>
    <col min="11" max="11" width="12" customWidth="1"/>
    <col min="12" max="12" width="14.88671875" customWidth="1"/>
  </cols>
  <sheetData>
    <row r="2" spans="2:11" ht="24" customHeight="1" x14ac:dyDescent="0.3">
      <c r="B2" s="415" t="s">
        <v>469</v>
      </c>
      <c r="C2" s="415"/>
      <c r="D2" s="415"/>
      <c r="E2" s="415"/>
      <c r="F2" s="415"/>
      <c r="G2" s="415"/>
      <c r="H2" s="415"/>
      <c r="I2" s="415"/>
      <c r="J2" s="415"/>
      <c r="K2" s="415"/>
    </row>
    <row r="3" spans="2:11" ht="15" customHeight="1" x14ac:dyDescent="0.3">
      <c r="B3" s="416" t="s">
        <v>470</v>
      </c>
      <c r="C3" s="416"/>
      <c r="D3" s="416"/>
      <c r="E3" s="416"/>
      <c r="F3" s="416"/>
      <c r="G3" s="416"/>
      <c r="H3" s="416"/>
      <c r="I3" s="416"/>
      <c r="J3" s="416"/>
      <c r="K3" s="416"/>
    </row>
    <row r="5" spans="2:11" ht="15" customHeight="1" x14ac:dyDescent="0.3">
      <c r="B5" s="422" t="s">
        <v>471</v>
      </c>
      <c r="C5" s="422"/>
      <c r="D5" s="422"/>
      <c r="E5" s="422"/>
      <c r="G5" s="422" t="s">
        <v>472</v>
      </c>
      <c r="H5" s="422"/>
      <c r="I5" s="422"/>
      <c r="J5" s="422"/>
      <c r="K5" s="422"/>
    </row>
    <row r="6" spans="2:11" ht="15" customHeight="1" x14ac:dyDescent="0.3">
      <c r="B6" s="6" t="s">
        <v>473</v>
      </c>
      <c r="C6" s="438" t="str" cm="1">
        <f t="array" ref="C6">IF(COUNTA(Draw_Register!A5:A204)=0,"DRW-001","DRW-"&amp;TEXT(SUMPRODUCT((Draw_Register!A5:A204&lt;&gt;"")/COUNTIF(Draw_Register!A5:A204,Draw_Register!A5:A204&amp;""))+1,"000"))</f>
        <v>DRW-016</v>
      </c>
      <c r="D6" s="438"/>
      <c r="E6" s="438"/>
      <c r="G6" s="6" t="s">
        <v>474</v>
      </c>
      <c r="H6" s="432" t="s">
        <v>475</v>
      </c>
      <c r="I6" s="432"/>
      <c r="J6" s="432"/>
      <c r="K6" s="432"/>
    </row>
    <row r="7" spans="2:11" ht="15" customHeight="1" x14ac:dyDescent="0.3">
      <c r="B7" s="6" t="s">
        <v>476</v>
      </c>
      <c r="C7" s="435"/>
      <c r="D7" s="432"/>
      <c r="E7" s="432"/>
      <c r="G7" s="6" t="s">
        <v>477</v>
      </c>
      <c r="H7" s="432"/>
      <c r="I7" s="432"/>
      <c r="J7" s="432"/>
      <c r="K7" s="432"/>
    </row>
    <row r="8" spans="2:11" ht="15" customHeight="1" x14ac:dyDescent="0.3">
      <c r="B8" s="6" t="s">
        <v>478</v>
      </c>
      <c r="C8" s="432"/>
      <c r="D8" s="432"/>
      <c r="E8" s="432"/>
      <c r="G8" s="6" t="s">
        <v>479</v>
      </c>
      <c r="H8" s="436"/>
      <c r="I8" s="432"/>
      <c r="J8" s="432"/>
      <c r="K8" s="432"/>
    </row>
    <row r="9" spans="2:11" ht="17.25" customHeight="1" x14ac:dyDescent="0.35">
      <c r="B9" s="6" t="s">
        <v>480</v>
      </c>
      <c r="C9" s="432"/>
      <c r="D9" s="432"/>
      <c r="E9" s="432"/>
      <c r="G9" s="6" t="s">
        <v>481</v>
      </c>
      <c r="H9" s="437">
        <f>I34</f>
        <v>0</v>
      </c>
      <c r="I9" s="437"/>
      <c r="J9" s="437"/>
      <c r="K9" s="437"/>
    </row>
    <row r="10" spans="2:11" ht="15" customHeight="1" x14ac:dyDescent="0.3">
      <c r="B10" s="6" t="s">
        <v>479</v>
      </c>
      <c r="C10" s="431">
        <v>46238</v>
      </c>
      <c r="D10" s="432"/>
      <c r="E10" s="432"/>
    </row>
    <row r="11" spans="2:11" ht="15" customHeight="1" x14ac:dyDescent="0.3">
      <c r="B11" s="6" t="s">
        <v>482</v>
      </c>
      <c r="C11" s="432"/>
      <c r="D11" s="432"/>
      <c r="E11" s="432"/>
    </row>
    <row r="13" spans="2:11" ht="15" customHeight="1" x14ac:dyDescent="0.3">
      <c r="B13" s="433" t="s">
        <v>483</v>
      </c>
      <c r="C13" s="433"/>
      <c r="D13" s="433"/>
      <c r="E13" s="433"/>
      <c r="F13" s="433"/>
      <c r="G13" s="433"/>
      <c r="H13" s="433"/>
      <c r="I13" s="433"/>
      <c r="J13" s="433"/>
      <c r="K13" s="433"/>
    </row>
    <row r="14" spans="2:11" ht="24.75" customHeight="1" x14ac:dyDescent="0.3">
      <c r="B14" s="434"/>
      <c r="C14" s="434"/>
      <c r="D14" s="434"/>
      <c r="E14" s="434"/>
      <c r="F14" s="434"/>
      <c r="G14" s="434"/>
      <c r="H14" s="434"/>
      <c r="I14" s="434"/>
      <c r="J14" s="434"/>
      <c r="K14" s="434"/>
    </row>
    <row r="15" spans="2:11" ht="24.75" customHeight="1" x14ac:dyDescent="0.3">
      <c r="B15" s="434"/>
      <c r="C15" s="434"/>
      <c r="D15" s="434"/>
      <c r="E15" s="434"/>
      <c r="F15" s="434"/>
      <c r="G15" s="434"/>
      <c r="H15" s="434"/>
      <c r="I15" s="434"/>
      <c r="J15" s="434"/>
      <c r="K15" s="434"/>
    </row>
    <row r="17" spans="2:12" ht="15" customHeight="1" x14ac:dyDescent="0.3">
      <c r="B17" s="422" t="s">
        <v>484</v>
      </c>
      <c r="C17" s="422"/>
      <c r="D17" s="422"/>
      <c r="E17" s="422"/>
      <c r="F17" s="422"/>
      <c r="G17" s="422"/>
      <c r="H17" s="422"/>
      <c r="I17" s="422"/>
      <c r="J17" s="422"/>
      <c r="K17" s="422"/>
    </row>
    <row r="18" spans="2:12" ht="15" customHeight="1" x14ac:dyDescent="0.3">
      <c r="B18" s="4" t="s">
        <v>321</v>
      </c>
      <c r="C18" s="429" t="s">
        <v>485</v>
      </c>
      <c r="D18" s="429"/>
      <c r="E18" s="429" t="s">
        <v>308</v>
      </c>
      <c r="F18" s="429"/>
      <c r="G18" s="429" t="s">
        <v>486</v>
      </c>
      <c r="H18" s="429"/>
      <c r="I18" s="4" t="s">
        <v>309</v>
      </c>
      <c r="J18" s="4" t="s">
        <v>487</v>
      </c>
      <c r="K18" s="4" t="s">
        <v>488</v>
      </c>
      <c r="L18" s="4" t="s">
        <v>489</v>
      </c>
    </row>
    <row r="19" spans="2:12" ht="15" customHeight="1" x14ac:dyDescent="0.3">
      <c r="B19" s="7">
        <v>1</v>
      </c>
      <c r="C19" s="425"/>
      <c r="D19" s="425"/>
      <c r="E19" s="425"/>
      <c r="F19" s="425"/>
      <c r="G19" s="430"/>
      <c r="H19" s="425"/>
      <c r="I19" s="8"/>
      <c r="J19" s="9"/>
      <c r="K19" s="9"/>
      <c r="L19" s="9"/>
    </row>
    <row r="20" spans="2:12" ht="15" customHeight="1" x14ac:dyDescent="0.3">
      <c r="B20" s="7">
        <v>2</v>
      </c>
      <c r="C20" s="425"/>
      <c r="D20" s="425"/>
      <c r="E20" s="425"/>
      <c r="F20" s="425"/>
      <c r="G20" s="426"/>
      <c r="H20" s="427"/>
      <c r="I20" s="8"/>
      <c r="J20" s="9"/>
      <c r="K20" s="9"/>
      <c r="L20" s="9"/>
    </row>
    <row r="21" spans="2:12" ht="15" customHeight="1" x14ac:dyDescent="0.3">
      <c r="B21" s="7">
        <v>3</v>
      </c>
      <c r="C21" s="425"/>
      <c r="D21" s="425"/>
      <c r="E21" s="425"/>
      <c r="F21" s="425"/>
      <c r="G21" s="428"/>
      <c r="H21" s="427"/>
      <c r="I21" s="8"/>
      <c r="J21" s="9"/>
      <c r="K21" s="9"/>
      <c r="L21" s="9"/>
    </row>
    <row r="22" spans="2:12" ht="15" customHeight="1" x14ac:dyDescent="0.3">
      <c r="B22" s="7">
        <v>4</v>
      </c>
      <c r="C22" s="425"/>
      <c r="D22" s="425"/>
      <c r="E22" s="425"/>
      <c r="F22" s="425"/>
      <c r="G22" s="425"/>
      <c r="H22" s="425"/>
      <c r="I22" s="8"/>
      <c r="J22" s="9"/>
      <c r="K22" s="9"/>
      <c r="L22" s="9"/>
    </row>
    <row r="23" spans="2:12" ht="15" customHeight="1" x14ac:dyDescent="0.3">
      <c r="B23" s="7">
        <v>5</v>
      </c>
      <c r="C23" s="425"/>
      <c r="D23" s="425"/>
      <c r="E23" s="425"/>
      <c r="F23" s="425"/>
      <c r="G23" s="425"/>
      <c r="H23" s="425"/>
      <c r="I23" s="8"/>
      <c r="J23" s="9"/>
      <c r="K23" s="9"/>
      <c r="L23" s="9"/>
    </row>
    <row r="24" spans="2:12" ht="15" customHeight="1" x14ac:dyDescent="0.3">
      <c r="B24" s="7">
        <v>6</v>
      </c>
      <c r="C24" s="425"/>
      <c r="D24" s="425"/>
      <c r="E24" s="425"/>
      <c r="F24" s="425"/>
      <c r="G24" s="425"/>
      <c r="H24" s="425"/>
      <c r="I24" s="8"/>
      <c r="J24" s="9"/>
      <c r="K24" s="9"/>
      <c r="L24" s="9"/>
    </row>
    <row r="25" spans="2:12" ht="15" customHeight="1" x14ac:dyDescent="0.3">
      <c r="B25" s="7">
        <v>7</v>
      </c>
      <c r="C25" s="425"/>
      <c r="D25" s="425"/>
      <c r="E25" s="425"/>
      <c r="F25" s="425"/>
      <c r="G25" s="425"/>
      <c r="H25" s="425"/>
      <c r="I25" s="8"/>
      <c r="J25" s="9"/>
      <c r="K25" s="9"/>
      <c r="L25" s="9"/>
    </row>
    <row r="26" spans="2:12" ht="15" customHeight="1" x14ac:dyDescent="0.3">
      <c r="B26" s="7">
        <v>8</v>
      </c>
      <c r="C26" s="425"/>
      <c r="D26" s="425"/>
      <c r="E26" s="425"/>
      <c r="F26" s="425"/>
      <c r="G26" s="425"/>
      <c r="H26" s="425"/>
      <c r="I26" s="8"/>
      <c r="J26" s="9"/>
      <c r="K26" s="9"/>
      <c r="L26" s="9"/>
    </row>
    <row r="27" spans="2:12" ht="15" customHeight="1" x14ac:dyDescent="0.3">
      <c r="B27" s="7">
        <v>9</v>
      </c>
      <c r="C27" s="425"/>
      <c r="D27" s="425"/>
      <c r="E27" s="425"/>
      <c r="F27" s="425"/>
      <c r="G27" s="425"/>
      <c r="H27" s="425"/>
      <c r="I27" s="8"/>
      <c r="J27" s="9"/>
      <c r="K27" s="9"/>
      <c r="L27" s="9"/>
    </row>
    <row r="28" spans="2:12" ht="15" customHeight="1" x14ac:dyDescent="0.3">
      <c r="B28" s="7">
        <v>10</v>
      </c>
      <c r="C28" s="425"/>
      <c r="D28" s="425"/>
      <c r="E28" s="425"/>
      <c r="F28" s="425"/>
      <c r="G28" s="425"/>
      <c r="H28" s="425"/>
      <c r="I28" s="8"/>
      <c r="J28" s="9" t="str">
        <f>IF(C28="","",IFERROR(INDEX(Budget_Tracker!$B$6:$E$69,MATCH(C28,Budget_Tracker!$A$6:$A$69,0),MATCH($C$8,Budget_Tracker!$B$5:$E$5,0)),0))</f>
        <v/>
      </c>
      <c r="K28" s="9" t="str">
        <f>IF(C28="","",SUMIFS(Draw_Register!$F:$F,Draw_Register!$C:$C,C28,Draw_Register!$D:$D,$C$8))</f>
        <v/>
      </c>
      <c r="L28" s="9" t="str">
        <f>IF(C28="","",J28-K28)</f>
        <v/>
      </c>
    </row>
    <row r="29" spans="2:12" ht="15" customHeight="1" x14ac:dyDescent="0.3">
      <c r="B29" s="7">
        <v>11</v>
      </c>
      <c r="C29" s="425"/>
      <c r="D29" s="425"/>
      <c r="E29" s="425"/>
      <c r="F29" s="425"/>
      <c r="G29" s="425"/>
      <c r="H29" s="425"/>
      <c r="I29" s="8"/>
      <c r="J29" s="9" t="str">
        <f>IF(C29="","",IFERROR(INDEX(Budget_Tracker!$B$6:$E$69,MATCH(C29,Budget_Tracker!$A$6:$A$69,0),MATCH($C$8,Budget_Tracker!$B$5:$E$5,0)),0))</f>
        <v/>
      </c>
      <c r="K29" s="9" t="str">
        <f>IF(C29="","",SUMIFS(Draw_Register!$F:$F,Draw_Register!$C:$C,C29,Draw_Register!$D:$D,$C$8))</f>
        <v/>
      </c>
      <c r="L29" s="9" t="str">
        <f t="shared" ref="L29:L33" si="0">IF(C29="","",J29-K29)</f>
        <v/>
      </c>
    </row>
    <row r="30" spans="2:12" ht="15" customHeight="1" x14ac:dyDescent="0.3">
      <c r="B30" s="7">
        <v>12</v>
      </c>
      <c r="C30" s="425"/>
      <c r="D30" s="425"/>
      <c r="E30" s="425"/>
      <c r="F30" s="425"/>
      <c r="G30" s="425"/>
      <c r="H30" s="425"/>
      <c r="I30" s="8"/>
      <c r="J30" s="9" t="str">
        <f>IF(C30="","",IFERROR(INDEX(Budget_Tracker!$B$6:$E$69,MATCH(C30,Budget_Tracker!$A$6:$A$69,0),MATCH($C$8,Budget_Tracker!$B$5:$E$5,0)),0))</f>
        <v/>
      </c>
      <c r="K30" s="9" t="str">
        <f>IF(C30="","",SUMIFS(Draw_Register!$F:$F,Draw_Register!$C:$C,C30,Draw_Register!$D:$D,$C$8))</f>
        <v/>
      </c>
      <c r="L30" s="9" t="str">
        <f t="shared" si="0"/>
        <v/>
      </c>
    </row>
    <row r="31" spans="2:12" ht="15" customHeight="1" x14ac:dyDescent="0.3">
      <c r="B31" s="7">
        <v>13</v>
      </c>
      <c r="C31" s="425"/>
      <c r="D31" s="425"/>
      <c r="E31" s="425"/>
      <c r="F31" s="425"/>
      <c r="G31" s="425"/>
      <c r="H31" s="425"/>
      <c r="I31" s="8"/>
      <c r="J31" s="9" t="str">
        <f>IF(C31="","",IFERROR(INDEX(Budget_Tracker!$B$6:$E$69,MATCH(C31,Budget_Tracker!$A$6:$A$69,0),MATCH($C$8,Budget_Tracker!$B$5:$E$5,0)),0))</f>
        <v/>
      </c>
      <c r="K31" s="9" t="str">
        <f>IF(C31="","",SUMIFS(Draw_Register!$F:$F,Draw_Register!$C:$C,C31,Draw_Register!$D:$D,$C$8))</f>
        <v/>
      </c>
      <c r="L31" s="9" t="str">
        <f t="shared" si="0"/>
        <v/>
      </c>
    </row>
    <row r="32" spans="2:12" ht="15" customHeight="1" x14ac:dyDescent="0.3">
      <c r="B32" s="7">
        <v>14</v>
      </c>
      <c r="C32" s="425"/>
      <c r="D32" s="425"/>
      <c r="E32" s="425"/>
      <c r="F32" s="425"/>
      <c r="G32" s="425"/>
      <c r="H32" s="425"/>
      <c r="I32" s="8"/>
      <c r="J32" s="9" t="str">
        <f>IF(C32="","",IFERROR(INDEX(Budget_Tracker!$B$6:$E$69,MATCH(C32,Budget_Tracker!$A$6:$A$69,0),MATCH($C$8,Budget_Tracker!$B$5:$E$5,0)),0))</f>
        <v/>
      </c>
      <c r="K32" s="9" t="str">
        <f>IF(C32="","",SUMIFS(Draw_Register!$F:$F,Draw_Register!$C:$C,C32,Draw_Register!$D:$D,$C$8))</f>
        <v/>
      </c>
      <c r="L32" s="9" t="str">
        <f t="shared" si="0"/>
        <v/>
      </c>
    </row>
    <row r="33" spans="2:12" ht="15" customHeight="1" x14ac:dyDescent="0.3">
      <c r="B33" s="7">
        <v>15</v>
      </c>
      <c r="C33" s="425"/>
      <c r="D33" s="425"/>
      <c r="E33" s="425"/>
      <c r="F33" s="425"/>
      <c r="G33" s="425"/>
      <c r="H33" s="425"/>
      <c r="I33" s="8"/>
      <c r="J33" s="9" t="str">
        <f>IF(C33="","",IFERROR(INDEX(Budget_Tracker!$B$6:$E$69,MATCH(C33,Budget_Tracker!$A$6:$A$69,0),MATCH($C$8,Budget_Tracker!$B$5:$E$5,0)),0))</f>
        <v/>
      </c>
      <c r="K33" s="9" t="str">
        <f>IF(C33="","",SUMIFS(Draw_Register!$F:$F,Draw_Register!$C:$C,C33,Draw_Register!$D:$D,$C$8))</f>
        <v/>
      </c>
      <c r="L33" s="9" t="str">
        <f t="shared" si="0"/>
        <v/>
      </c>
    </row>
    <row r="34" spans="2:12" ht="15" customHeight="1" x14ac:dyDescent="0.3">
      <c r="B34" s="423" t="s">
        <v>490</v>
      </c>
      <c r="C34" s="423"/>
      <c r="D34" s="423"/>
      <c r="E34" s="423"/>
      <c r="F34" s="423"/>
      <c r="G34" s="423"/>
      <c r="H34" s="423"/>
      <c r="I34" s="424">
        <f>SUM(I19:I33)</f>
        <v>0</v>
      </c>
      <c r="J34" s="424"/>
      <c r="K34" s="424"/>
      <c r="L34" s="10"/>
    </row>
    <row r="36" spans="2:12" x14ac:dyDescent="0.3">
      <c r="D36" s="39" t="s">
        <v>491</v>
      </c>
    </row>
    <row r="37" spans="2:12" x14ac:dyDescent="0.3">
      <c r="D37" s="38" t="s">
        <v>492</v>
      </c>
    </row>
  </sheetData>
  <mergeCells count="67">
    <mergeCell ref="B2:K2"/>
    <mergeCell ref="B3:K3"/>
    <mergeCell ref="B5:E5"/>
    <mergeCell ref="G5:K5"/>
    <mergeCell ref="C6:E6"/>
    <mergeCell ref="H6:K6"/>
    <mergeCell ref="C7:E7"/>
    <mergeCell ref="H7:K7"/>
    <mergeCell ref="C8:E8"/>
    <mergeCell ref="H8:K8"/>
    <mergeCell ref="C9:E9"/>
    <mergeCell ref="H9:K9"/>
    <mergeCell ref="C10:E10"/>
    <mergeCell ref="C11:E11"/>
    <mergeCell ref="B13:K13"/>
    <mergeCell ref="B14:K15"/>
    <mergeCell ref="B17:K17"/>
    <mergeCell ref="C18:D18"/>
    <mergeCell ref="E18:F18"/>
    <mergeCell ref="G18:H18"/>
    <mergeCell ref="C19:D19"/>
    <mergeCell ref="E19:F19"/>
    <mergeCell ref="G19:H19"/>
    <mergeCell ref="C20:D20"/>
    <mergeCell ref="E20:F20"/>
    <mergeCell ref="G20:H20"/>
    <mergeCell ref="C21:D21"/>
    <mergeCell ref="E21:F21"/>
    <mergeCell ref="G21:H21"/>
    <mergeCell ref="C22:D22"/>
    <mergeCell ref="E22:F22"/>
    <mergeCell ref="G22:H22"/>
    <mergeCell ref="C23:D23"/>
    <mergeCell ref="E23:F23"/>
    <mergeCell ref="G23:H23"/>
    <mergeCell ref="C24:D24"/>
    <mergeCell ref="E24:F24"/>
    <mergeCell ref="G24:H24"/>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 ref="C30:D30"/>
    <mergeCell ref="E30:F30"/>
    <mergeCell ref="G30:H30"/>
    <mergeCell ref="C31:D31"/>
    <mergeCell ref="E31:F31"/>
    <mergeCell ref="G31:H31"/>
    <mergeCell ref="B34:H34"/>
    <mergeCell ref="I34:K34"/>
    <mergeCell ref="C32:D32"/>
    <mergeCell ref="E32:F32"/>
    <mergeCell ref="G32:H32"/>
    <mergeCell ref="C33:D33"/>
    <mergeCell ref="E33:F33"/>
    <mergeCell ref="G33:H33"/>
  </mergeCells>
  <conditionalFormatting sqref="L19:L33">
    <cfRule type="cellIs" dxfId="19" priority="2" operator="lessThan">
      <formula>0</formula>
    </cfRule>
  </conditionalFormatting>
  <dataValidations count="4">
    <dataValidation type="list" allowBlank="1" error="Select Standard or Emergency" sqref="C7" xr:uid="{00000000-0002-0000-0200-000000000000}">
      <formula1>"Standard,Emergency"</formula1>
      <formula2>0</formula2>
    </dataValidation>
    <dataValidation type="list" allowBlank="1" error="Select a valid quarter" sqref="C8" xr:uid="{00000000-0002-0000-0200-000001000000}">
      <formula1>"Q1 2026,Q2 2026,Q3 2026,Q4 2026"</formula1>
      <formula2>0</formula2>
    </dataValidation>
    <dataValidation type="list" allowBlank="1" sqref="C9" xr:uid="{00000000-0002-0000-0200-000002000000}">
      <formula1>"January,February,March,April,May,June,July,August,September,October,November,December"</formula1>
      <formula2>0</formula2>
    </dataValidation>
    <dataValidation type="list" allowBlank="1" sqref="H6" xr:uid="{00000000-0002-0000-0200-000003000000}">
      <formula1>"Draft,Submitted,Approved,Rejected,Paid"</formula1>
      <formula2>0</formula2>
    </dataValidation>
  </dataValidations>
  <hyperlinks>
    <hyperlink ref="D37" r:id="rId1" display="../../../../../:f:/s/ArdisiaResidential/IgANR1XQTflIRYwaiXE6Cbi1AX1AuaXcvoXGCfXKtSvtgvs?e=ZiZDil" xr:uid="{0CF6B6B8-1203-48AC-9C5F-4E1EA7D15ED9}"/>
  </hyperlinks>
  <pageMargins left="0.75" right="0.75" top="1" bottom="1" header="0.511811023622047" footer="0.511811023622047"/>
  <pageSetup paperSize="9" orientation="portrait" horizontalDpi="300" verticalDpi="300"/>
  <drawing r:id="rId2"/>
  <extLst>
    <ext xmlns:x14="http://schemas.microsoft.com/office/spreadsheetml/2009/9/main" uri="{CCE6A557-97BC-4b89-ADB6-D9C93CAAB3DF}">
      <x14:dataValidations xmlns:xm="http://schemas.microsoft.com/office/excel/2006/main" count="1">
        <x14:dataValidation type="list" allowBlank="1" error="Select a valid category" xr:uid="{00000000-0002-0000-0200-000004000000}">
          <x14:formula1>
            <xm:f>Config!$A$7:$A$73</xm:f>
          </x14:formula1>
          <x14:formula2>
            <xm:f>0</xm:f>
          </x14:formula2>
          <xm:sqref>C19:C33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204"/>
  <sheetViews>
    <sheetView showGridLines="0" zoomScaleNormal="100" workbookViewId="0">
      <pane ySplit="4" topLeftCell="A5" activePane="bottomLeft" state="frozen"/>
      <selection activeCell="J6" sqref="J6:K6"/>
      <selection pane="bottomLeft" activeCell="I10" sqref="I10"/>
    </sheetView>
  </sheetViews>
  <sheetFormatPr defaultColWidth="8.5546875" defaultRowHeight="14.4" x14ac:dyDescent="0.3"/>
  <cols>
    <col min="1" max="2" width="12" customWidth="1"/>
    <col min="3" max="3" width="35" customWidth="1"/>
    <col min="4" max="4" width="10" customWidth="1"/>
    <col min="5" max="5" width="12" customWidth="1"/>
    <col min="6" max="6" width="14" customWidth="1"/>
    <col min="7" max="8" width="11" customWidth="1"/>
    <col min="9" max="9" width="30" customWidth="1"/>
    <col min="10" max="10" width="15" style="24" customWidth="1"/>
    <col min="11" max="11" width="15" style="27" customWidth="1"/>
    <col min="12" max="12" width="13" style="25" customWidth="1"/>
  </cols>
  <sheetData>
    <row r="1" spans="1:12" ht="24" customHeight="1" x14ac:dyDescent="0.3">
      <c r="A1" s="415" t="s">
        <v>493</v>
      </c>
      <c r="B1" s="415"/>
      <c r="C1" s="415"/>
      <c r="D1" s="415"/>
      <c r="E1" s="415"/>
      <c r="F1" s="415"/>
      <c r="G1" s="415"/>
      <c r="H1" s="415"/>
      <c r="I1" s="415"/>
      <c r="J1" s="415"/>
      <c r="K1" s="415"/>
      <c r="L1" s="415"/>
    </row>
    <row r="2" spans="1:12" ht="15" customHeight="1" x14ac:dyDescent="0.3">
      <c r="A2" s="416" t="s">
        <v>494</v>
      </c>
      <c r="B2" s="416"/>
      <c r="C2" s="416"/>
      <c r="D2" s="416"/>
      <c r="E2" s="416"/>
      <c r="F2" s="416"/>
      <c r="G2" s="416"/>
      <c r="H2" s="416"/>
      <c r="I2" s="416"/>
      <c r="J2" s="416"/>
      <c r="K2" s="416"/>
      <c r="L2" s="416"/>
    </row>
    <row r="3" spans="1:12" x14ac:dyDescent="0.3">
      <c r="J3"/>
      <c r="K3"/>
      <c r="L3"/>
    </row>
    <row r="4" spans="1:12" ht="15" customHeight="1" x14ac:dyDescent="0.3">
      <c r="A4" s="11" t="s">
        <v>495</v>
      </c>
      <c r="B4" s="11" t="s">
        <v>1</v>
      </c>
      <c r="C4" s="11" t="s">
        <v>485</v>
      </c>
      <c r="D4" s="11" t="s">
        <v>281</v>
      </c>
      <c r="E4" s="11" t="s">
        <v>496</v>
      </c>
      <c r="F4" s="11" t="s">
        <v>309</v>
      </c>
      <c r="G4" s="11" t="s">
        <v>497</v>
      </c>
      <c r="H4" s="11" t="s">
        <v>280</v>
      </c>
      <c r="I4" s="11" t="s">
        <v>308</v>
      </c>
      <c r="J4" s="11" t="s">
        <v>486</v>
      </c>
      <c r="K4" s="11" t="s">
        <v>498</v>
      </c>
      <c r="L4" s="11" t="s">
        <v>499</v>
      </c>
    </row>
    <row r="5" spans="1:12" ht="15" customHeight="1" x14ac:dyDescent="0.3">
      <c r="A5" s="1" t="s">
        <v>354</v>
      </c>
      <c r="B5" s="20">
        <v>46048</v>
      </c>
      <c r="C5" s="1" t="s">
        <v>500</v>
      </c>
      <c r="D5" s="1" t="s">
        <v>286</v>
      </c>
      <c r="E5" s="1" t="s">
        <v>501</v>
      </c>
      <c r="F5" s="21">
        <v>11771.11</v>
      </c>
      <c r="G5" s="1" t="s">
        <v>502</v>
      </c>
      <c r="H5" s="1" t="s">
        <v>503</v>
      </c>
      <c r="I5" s="1" t="s">
        <v>504</v>
      </c>
      <c r="J5" s="23">
        <v>751</v>
      </c>
      <c r="K5" s="26" t="s">
        <v>505</v>
      </c>
      <c r="L5" s="20">
        <v>46048</v>
      </c>
    </row>
    <row r="6" spans="1:12" ht="15" customHeight="1" x14ac:dyDescent="0.3">
      <c r="A6" s="1" t="s">
        <v>357</v>
      </c>
      <c r="B6" s="20">
        <v>46048</v>
      </c>
      <c r="C6" s="1" t="s">
        <v>506</v>
      </c>
      <c r="D6" s="1" t="s">
        <v>286</v>
      </c>
      <c r="E6" s="1" t="s">
        <v>501</v>
      </c>
      <c r="F6" s="21">
        <v>2329.35</v>
      </c>
      <c r="G6" s="1" t="s">
        <v>507</v>
      </c>
      <c r="H6" s="1" t="s">
        <v>503</v>
      </c>
      <c r="I6" s="1" t="s">
        <v>508</v>
      </c>
      <c r="J6" s="23" t="s">
        <v>509</v>
      </c>
      <c r="K6" s="26" t="s">
        <v>510</v>
      </c>
      <c r="L6" s="20">
        <v>46050</v>
      </c>
    </row>
    <row r="7" spans="1:12" ht="15" customHeight="1" x14ac:dyDescent="0.3">
      <c r="A7" s="1" t="s">
        <v>357</v>
      </c>
      <c r="B7" s="20">
        <v>46048</v>
      </c>
      <c r="C7" s="1" t="s">
        <v>506</v>
      </c>
      <c r="D7" s="1" t="s">
        <v>286</v>
      </c>
      <c r="E7" s="1" t="s">
        <v>501</v>
      </c>
      <c r="F7" s="21">
        <v>39.950000000000003</v>
      </c>
      <c r="G7" s="1" t="s">
        <v>507</v>
      </c>
      <c r="H7" s="1" t="s">
        <v>503</v>
      </c>
      <c r="I7" s="1" t="s">
        <v>511</v>
      </c>
      <c r="J7" s="23" t="s">
        <v>509</v>
      </c>
      <c r="K7" s="26" t="s">
        <v>510</v>
      </c>
      <c r="L7" s="20">
        <v>46050</v>
      </c>
    </row>
    <row r="8" spans="1:12" ht="15" customHeight="1" x14ac:dyDescent="0.3">
      <c r="A8" s="1" t="s">
        <v>357</v>
      </c>
      <c r="B8" s="20">
        <v>46048</v>
      </c>
      <c r="C8" s="1" t="s">
        <v>506</v>
      </c>
      <c r="D8" s="1" t="s">
        <v>286</v>
      </c>
      <c r="E8" s="1" t="s">
        <v>501</v>
      </c>
      <c r="F8" s="21">
        <v>2306.36</v>
      </c>
      <c r="G8" s="1" t="s">
        <v>507</v>
      </c>
      <c r="H8" s="1" t="s">
        <v>503</v>
      </c>
      <c r="I8" s="1" t="s">
        <v>512</v>
      </c>
      <c r="J8" s="23" t="s">
        <v>509</v>
      </c>
      <c r="K8" s="26" t="s">
        <v>510</v>
      </c>
      <c r="L8" s="20">
        <v>46050</v>
      </c>
    </row>
    <row r="9" spans="1:12" ht="15" customHeight="1" x14ac:dyDescent="0.3">
      <c r="A9" s="1" t="s">
        <v>357</v>
      </c>
      <c r="B9" s="20">
        <v>46048</v>
      </c>
      <c r="C9" s="1" t="s">
        <v>506</v>
      </c>
      <c r="D9" s="1" t="s">
        <v>286</v>
      </c>
      <c r="E9" s="1" t="s">
        <v>501</v>
      </c>
      <c r="F9" s="21">
        <v>167.21</v>
      </c>
      <c r="G9" s="1" t="s">
        <v>507</v>
      </c>
      <c r="H9" s="1" t="s">
        <v>503</v>
      </c>
      <c r="I9" s="1" t="s">
        <v>513</v>
      </c>
      <c r="J9" s="23" t="s">
        <v>509</v>
      </c>
      <c r="K9" s="26" t="s">
        <v>510</v>
      </c>
      <c r="L9" s="20">
        <v>46050</v>
      </c>
    </row>
    <row r="10" spans="1:12" ht="15" customHeight="1" x14ac:dyDescent="0.3">
      <c r="A10" s="1" t="s">
        <v>335</v>
      </c>
      <c r="B10" s="20">
        <v>46052</v>
      </c>
      <c r="C10" s="1" t="s">
        <v>514</v>
      </c>
      <c r="D10" s="1" t="s">
        <v>286</v>
      </c>
      <c r="E10" s="1" t="s">
        <v>501</v>
      </c>
      <c r="F10" s="21">
        <v>284159.44</v>
      </c>
      <c r="G10" s="1" t="s">
        <v>507</v>
      </c>
      <c r="H10" s="1" t="s">
        <v>503</v>
      </c>
      <c r="I10" s="1" t="s">
        <v>515</v>
      </c>
      <c r="J10" s="23" t="s">
        <v>516</v>
      </c>
      <c r="K10" s="26" t="s">
        <v>510</v>
      </c>
      <c r="L10" s="20">
        <v>46052</v>
      </c>
    </row>
    <row r="11" spans="1:12" ht="15" customHeight="1" x14ac:dyDescent="0.3">
      <c r="A11" s="1" t="s">
        <v>335</v>
      </c>
      <c r="B11" s="20">
        <v>46052</v>
      </c>
      <c r="C11" s="1" t="s">
        <v>514</v>
      </c>
      <c r="D11" s="1" t="s">
        <v>286</v>
      </c>
      <c r="E11" s="1" t="s">
        <v>501</v>
      </c>
      <c r="F11" s="21">
        <v>243273.19</v>
      </c>
      <c r="G11" s="1" t="s">
        <v>507</v>
      </c>
      <c r="H11" s="1" t="s">
        <v>503</v>
      </c>
      <c r="I11" s="1" t="s">
        <v>515</v>
      </c>
      <c r="J11" s="23" t="s">
        <v>517</v>
      </c>
      <c r="K11" s="26" t="s">
        <v>510</v>
      </c>
      <c r="L11" s="20">
        <v>46052</v>
      </c>
    </row>
    <row r="12" spans="1:12" ht="15" customHeight="1" x14ac:dyDescent="0.3">
      <c r="A12" s="1" t="s">
        <v>335</v>
      </c>
      <c r="B12" s="20">
        <v>46052</v>
      </c>
      <c r="C12" s="1" t="s">
        <v>514</v>
      </c>
      <c r="D12" s="1" t="s">
        <v>286</v>
      </c>
      <c r="E12" s="1" t="s">
        <v>501</v>
      </c>
      <c r="F12" s="21">
        <v>337715.79</v>
      </c>
      <c r="G12" s="1" t="s">
        <v>507</v>
      </c>
      <c r="H12" s="1" t="s">
        <v>503</v>
      </c>
      <c r="I12" s="1" t="s">
        <v>515</v>
      </c>
      <c r="J12" s="23" t="s">
        <v>518</v>
      </c>
      <c r="K12" s="26" t="s">
        <v>510</v>
      </c>
      <c r="L12" s="20">
        <v>46052</v>
      </c>
    </row>
    <row r="13" spans="1:12" ht="15" customHeight="1" x14ac:dyDescent="0.3">
      <c r="A13" s="1" t="s">
        <v>335</v>
      </c>
      <c r="B13" s="20">
        <v>46052</v>
      </c>
      <c r="C13" s="1" t="s">
        <v>514</v>
      </c>
      <c r="D13" s="1" t="s">
        <v>286</v>
      </c>
      <c r="E13" s="1" t="s">
        <v>501</v>
      </c>
      <c r="F13" s="21">
        <v>248320.46</v>
      </c>
      <c r="G13" s="1" t="s">
        <v>507</v>
      </c>
      <c r="H13" s="1" t="s">
        <v>503</v>
      </c>
      <c r="I13" s="1" t="s">
        <v>515</v>
      </c>
      <c r="J13" s="23" t="s">
        <v>519</v>
      </c>
      <c r="K13" s="26" t="s">
        <v>510</v>
      </c>
      <c r="L13" s="20">
        <v>46052</v>
      </c>
    </row>
    <row r="14" spans="1:12" ht="15" customHeight="1" x14ac:dyDescent="0.3">
      <c r="A14" s="1" t="s">
        <v>335</v>
      </c>
      <c r="B14" s="20">
        <v>46052</v>
      </c>
      <c r="C14" s="1" t="s">
        <v>514</v>
      </c>
      <c r="D14" s="1" t="s">
        <v>286</v>
      </c>
      <c r="E14" s="1" t="s">
        <v>501</v>
      </c>
      <c r="F14" s="21">
        <v>230434.2</v>
      </c>
      <c r="G14" s="1" t="s">
        <v>507</v>
      </c>
      <c r="H14" s="1" t="s">
        <v>503</v>
      </c>
      <c r="I14" s="1" t="s">
        <v>520</v>
      </c>
      <c r="J14" s="23" t="s">
        <v>521</v>
      </c>
      <c r="K14" s="26" t="s">
        <v>510</v>
      </c>
      <c r="L14" s="20">
        <v>46052</v>
      </c>
    </row>
    <row r="15" spans="1:12" ht="15" customHeight="1" x14ac:dyDescent="0.3">
      <c r="A15" s="1" t="s">
        <v>335</v>
      </c>
      <c r="B15" s="20">
        <v>46052</v>
      </c>
      <c r="C15" s="1" t="s">
        <v>514</v>
      </c>
      <c r="D15" s="1" t="s">
        <v>286</v>
      </c>
      <c r="E15" s="1" t="s">
        <v>501</v>
      </c>
      <c r="F15" s="21">
        <v>197278.2</v>
      </c>
      <c r="G15" s="1" t="s">
        <v>507</v>
      </c>
      <c r="H15" s="1" t="s">
        <v>503</v>
      </c>
      <c r="I15" s="1" t="s">
        <v>520</v>
      </c>
      <c r="J15" s="23" t="s">
        <v>522</v>
      </c>
      <c r="K15" s="26" t="s">
        <v>510</v>
      </c>
      <c r="L15" s="20">
        <v>46052</v>
      </c>
    </row>
    <row r="16" spans="1:12" ht="15" customHeight="1" x14ac:dyDescent="0.3">
      <c r="A16" s="1" t="s">
        <v>335</v>
      </c>
      <c r="B16" s="20">
        <v>46052</v>
      </c>
      <c r="C16" s="1" t="s">
        <v>514</v>
      </c>
      <c r="D16" s="1" t="s">
        <v>286</v>
      </c>
      <c r="E16" s="1" t="s">
        <v>501</v>
      </c>
      <c r="F16" s="21">
        <v>273864.8</v>
      </c>
      <c r="G16" s="1" t="s">
        <v>507</v>
      </c>
      <c r="H16" s="1" t="s">
        <v>503</v>
      </c>
      <c r="I16" s="1" t="s">
        <v>520</v>
      </c>
      <c r="J16" s="23" t="s">
        <v>523</v>
      </c>
      <c r="K16" s="26" t="s">
        <v>510</v>
      </c>
      <c r="L16" s="20">
        <v>46052</v>
      </c>
    </row>
    <row r="17" spans="1:12" ht="15" customHeight="1" x14ac:dyDescent="0.3">
      <c r="A17" s="1" t="s">
        <v>335</v>
      </c>
      <c r="B17" s="20">
        <v>46052</v>
      </c>
      <c r="C17" s="1" t="s">
        <v>514</v>
      </c>
      <c r="D17" s="1" t="s">
        <v>286</v>
      </c>
      <c r="E17" s="1" t="s">
        <v>501</v>
      </c>
      <c r="F17" s="21">
        <v>201371.2</v>
      </c>
      <c r="G17" s="1" t="s">
        <v>507</v>
      </c>
      <c r="H17" s="1" t="s">
        <v>503</v>
      </c>
      <c r="I17" s="1" t="s">
        <v>520</v>
      </c>
      <c r="J17" s="23" t="s">
        <v>524</v>
      </c>
      <c r="K17" s="26" t="s">
        <v>510</v>
      </c>
      <c r="L17" s="20">
        <v>46052</v>
      </c>
    </row>
    <row r="18" spans="1:12" ht="15" customHeight="1" x14ac:dyDescent="0.3">
      <c r="A18" s="1" t="s">
        <v>344</v>
      </c>
      <c r="B18" s="20">
        <v>46057</v>
      </c>
      <c r="C18" s="1" t="s">
        <v>525</v>
      </c>
      <c r="D18" s="1" t="s">
        <v>286</v>
      </c>
      <c r="E18" s="1" t="s">
        <v>526</v>
      </c>
      <c r="F18" s="21">
        <v>215000</v>
      </c>
      <c r="G18" s="1" t="s">
        <v>507</v>
      </c>
      <c r="H18" s="1" t="s">
        <v>503</v>
      </c>
      <c r="I18" s="1" t="s">
        <v>527</v>
      </c>
      <c r="J18" s="23" t="s">
        <v>528</v>
      </c>
      <c r="K18" s="26" t="s">
        <v>510</v>
      </c>
      <c r="L18" s="20">
        <v>46057</v>
      </c>
    </row>
    <row r="19" spans="1:12" ht="15" customHeight="1" x14ac:dyDescent="0.3">
      <c r="A19" s="1" t="s">
        <v>360</v>
      </c>
      <c r="B19" s="20">
        <v>46085</v>
      </c>
      <c r="C19" s="1" t="s">
        <v>525</v>
      </c>
      <c r="D19" s="1" t="s">
        <v>286</v>
      </c>
      <c r="E19" s="1" t="s">
        <v>529</v>
      </c>
      <c r="F19" s="21">
        <v>275000</v>
      </c>
      <c r="G19" s="1" t="s">
        <v>507</v>
      </c>
      <c r="H19" s="1" t="s">
        <v>503</v>
      </c>
      <c r="I19" s="1" t="s">
        <v>530</v>
      </c>
      <c r="J19" s="23" t="s">
        <v>531</v>
      </c>
      <c r="K19" s="26" t="s">
        <v>510</v>
      </c>
      <c r="L19" s="20">
        <v>46086</v>
      </c>
    </row>
    <row r="20" spans="1:12" ht="15" customHeight="1" x14ac:dyDescent="0.3">
      <c r="A20" s="1" t="s">
        <v>532</v>
      </c>
      <c r="B20" s="20">
        <v>46093</v>
      </c>
      <c r="C20" s="1" t="s">
        <v>533</v>
      </c>
      <c r="D20" s="1" t="s">
        <v>286</v>
      </c>
      <c r="E20" s="1" t="s">
        <v>529</v>
      </c>
      <c r="F20" s="21">
        <v>13199.12</v>
      </c>
      <c r="G20" s="1" t="s">
        <v>365</v>
      </c>
      <c r="H20" s="1" t="s">
        <v>503</v>
      </c>
      <c r="I20" s="1" t="s">
        <v>534</v>
      </c>
      <c r="J20" s="23" t="s">
        <v>534</v>
      </c>
      <c r="K20" s="26" t="s">
        <v>510</v>
      </c>
      <c r="L20" s="20">
        <v>46117</v>
      </c>
    </row>
    <row r="21" spans="1:12" ht="15" customHeight="1" x14ac:dyDescent="0.3">
      <c r="A21" s="1" t="s">
        <v>532</v>
      </c>
      <c r="B21" s="20">
        <v>46093</v>
      </c>
      <c r="C21" s="1" t="s">
        <v>535</v>
      </c>
      <c r="D21" s="1" t="s">
        <v>286</v>
      </c>
      <c r="E21" s="1" t="s">
        <v>529</v>
      </c>
      <c r="F21" s="21">
        <v>108391.84</v>
      </c>
      <c r="G21" s="1" t="s">
        <v>365</v>
      </c>
      <c r="H21" s="1" t="s">
        <v>503</v>
      </c>
      <c r="I21" s="1" t="s">
        <v>536</v>
      </c>
      <c r="J21" s="161" t="s">
        <v>537</v>
      </c>
      <c r="K21" s="26" t="s">
        <v>510</v>
      </c>
      <c r="L21" s="20">
        <v>46117</v>
      </c>
    </row>
    <row r="22" spans="1:12" ht="15" customHeight="1" x14ac:dyDescent="0.3">
      <c r="A22" s="1" t="s">
        <v>369</v>
      </c>
      <c r="B22" s="20">
        <v>46114</v>
      </c>
      <c r="C22" s="1" t="s">
        <v>525</v>
      </c>
      <c r="D22" s="1" t="s">
        <v>288</v>
      </c>
      <c r="E22" s="1" t="s">
        <v>538</v>
      </c>
      <c r="F22" s="21">
        <v>432000</v>
      </c>
      <c r="G22" s="1" t="s">
        <v>507</v>
      </c>
      <c r="H22" s="1" t="s">
        <v>503</v>
      </c>
      <c r="I22" s="1" t="s">
        <v>539</v>
      </c>
      <c r="J22" s="23" t="s">
        <v>540</v>
      </c>
      <c r="K22" s="26" t="s">
        <v>510</v>
      </c>
      <c r="L22" s="20">
        <v>46117</v>
      </c>
    </row>
    <row r="23" spans="1:12" ht="15" customHeight="1" x14ac:dyDescent="0.3">
      <c r="A23" s="1" t="s">
        <v>377</v>
      </c>
      <c r="B23" s="20">
        <v>46128</v>
      </c>
      <c r="C23" s="1" t="s">
        <v>541</v>
      </c>
      <c r="D23" s="1" t="s">
        <v>288</v>
      </c>
      <c r="E23" s="1" t="s">
        <v>538</v>
      </c>
      <c r="F23" s="21">
        <v>762500</v>
      </c>
      <c r="G23" s="1" t="s">
        <v>507</v>
      </c>
      <c r="H23" s="1" t="s">
        <v>503</v>
      </c>
      <c r="I23" s="1" t="s">
        <v>542</v>
      </c>
      <c r="J23" s="23" t="s">
        <v>543</v>
      </c>
      <c r="K23" s="26" t="s">
        <v>510</v>
      </c>
      <c r="L23" s="20">
        <v>46128</v>
      </c>
    </row>
    <row r="24" spans="1:12" ht="15" customHeight="1" x14ac:dyDescent="0.3">
      <c r="A24" s="1" t="s">
        <v>377</v>
      </c>
      <c r="B24" s="20">
        <v>46128</v>
      </c>
      <c r="C24" s="1" t="s">
        <v>541</v>
      </c>
      <c r="D24" s="1" t="s">
        <v>288</v>
      </c>
      <c r="E24" s="1" t="s">
        <v>538</v>
      </c>
      <c r="F24" s="21">
        <v>6040</v>
      </c>
      <c r="G24" s="1" t="s">
        <v>507</v>
      </c>
      <c r="H24" s="1" t="s">
        <v>503</v>
      </c>
      <c r="I24" s="1" t="s">
        <v>544</v>
      </c>
      <c r="J24" s="23" t="s">
        <v>545</v>
      </c>
      <c r="K24" s="26" t="s">
        <v>510</v>
      </c>
      <c r="L24" s="20">
        <v>46128</v>
      </c>
    </row>
    <row r="25" spans="1:12" ht="15" customHeight="1" x14ac:dyDescent="0.3">
      <c r="A25" s="1" t="s">
        <v>379</v>
      </c>
      <c r="B25" s="20">
        <v>46129</v>
      </c>
      <c r="C25" s="1" t="s">
        <v>546</v>
      </c>
      <c r="D25" s="1" t="s">
        <v>288</v>
      </c>
      <c r="E25" s="1" t="s">
        <v>538</v>
      </c>
      <c r="F25" s="21">
        <v>407984.73</v>
      </c>
      <c r="G25" s="1" t="s">
        <v>507</v>
      </c>
      <c r="H25" s="1" t="s">
        <v>503</v>
      </c>
      <c r="I25" s="1" t="s">
        <v>547</v>
      </c>
      <c r="J25" s="23" t="s">
        <v>548</v>
      </c>
      <c r="K25" s="26" t="s">
        <v>510</v>
      </c>
      <c r="L25" s="20">
        <v>46129</v>
      </c>
    </row>
    <row r="26" spans="1:12" ht="15" customHeight="1" x14ac:dyDescent="0.3">
      <c r="A26" s="1" t="s">
        <v>385</v>
      </c>
      <c r="B26" s="20">
        <v>46146</v>
      </c>
      <c r="C26" s="1" t="s">
        <v>525</v>
      </c>
      <c r="D26" s="1" t="s">
        <v>288</v>
      </c>
      <c r="E26" s="1" t="s">
        <v>549</v>
      </c>
      <c r="F26" s="21">
        <v>776000</v>
      </c>
      <c r="G26" s="1" t="s">
        <v>507</v>
      </c>
      <c r="H26" s="1" t="s">
        <v>503</v>
      </c>
      <c r="I26" s="1" t="s">
        <v>550</v>
      </c>
      <c r="J26" s="23" t="s">
        <v>551</v>
      </c>
      <c r="K26" s="26" t="s">
        <v>510</v>
      </c>
      <c r="L26" s="20">
        <v>46150</v>
      </c>
    </row>
    <row r="27" spans="1:12" ht="15" customHeight="1" x14ac:dyDescent="0.3">
      <c r="A27" s="1" t="s">
        <v>393</v>
      </c>
      <c r="B27" s="20">
        <v>46177</v>
      </c>
      <c r="C27" s="1" t="s">
        <v>525</v>
      </c>
      <c r="D27" s="1" t="s">
        <v>288</v>
      </c>
      <c r="E27" s="1" t="s">
        <v>552</v>
      </c>
      <c r="F27" s="21">
        <v>229000</v>
      </c>
      <c r="G27" s="1" t="s">
        <v>507</v>
      </c>
      <c r="H27" s="1" t="s">
        <v>503</v>
      </c>
      <c r="I27" s="1" t="s">
        <v>553</v>
      </c>
      <c r="J27" s="23" t="s">
        <v>554</v>
      </c>
      <c r="K27" s="26" t="s">
        <v>510</v>
      </c>
      <c r="L27" s="20">
        <v>46177</v>
      </c>
    </row>
    <row r="28" spans="1:12" ht="15" customHeight="1" x14ac:dyDescent="0.3">
      <c r="A28" s="1" t="s">
        <v>397</v>
      </c>
      <c r="B28" s="20">
        <v>46209</v>
      </c>
      <c r="C28" s="1" t="s">
        <v>525</v>
      </c>
      <c r="D28" s="1" t="s">
        <v>290</v>
      </c>
      <c r="E28" s="1" t="s">
        <v>555</v>
      </c>
      <c r="F28" s="21">
        <v>410752.3</v>
      </c>
      <c r="G28" s="1" t="s">
        <v>507</v>
      </c>
      <c r="H28" s="1" t="s">
        <v>503</v>
      </c>
      <c r="I28" s="1" t="s">
        <v>556</v>
      </c>
      <c r="J28" s="23" t="s">
        <v>557</v>
      </c>
      <c r="K28" s="26" t="s">
        <v>510</v>
      </c>
      <c r="L28" s="20">
        <v>46237</v>
      </c>
    </row>
    <row r="29" spans="1:12" ht="15" customHeight="1" x14ac:dyDescent="0.3">
      <c r="A29" s="1" t="s">
        <v>400</v>
      </c>
      <c r="B29" s="20">
        <v>46211</v>
      </c>
      <c r="C29" s="1" t="s">
        <v>558</v>
      </c>
      <c r="D29" s="1" t="s">
        <v>290</v>
      </c>
      <c r="E29" s="1" t="s">
        <v>555</v>
      </c>
      <c r="F29" s="21">
        <v>63508</v>
      </c>
      <c r="G29" s="1" t="s">
        <v>507</v>
      </c>
      <c r="H29" s="1" t="s">
        <v>503</v>
      </c>
      <c r="I29" s="1" t="s">
        <v>559</v>
      </c>
      <c r="J29" s="23" t="s">
        <v>560</v>
      </c>
      <c r="K29" s="26" t="s">
        <v>510</v>
      </c>
      <c r="L29" s="20">
        <v>46237</v>
      </c>
    </row>
    <row r="30" spans="1:12" ht="15" customHeight="1" x14ac:dyDescent="0.3">
      <c r="A30" s="1" t="s">
        <v>407</v>
      </c>
      <c r="B30" s="20">
        <v>46237</v>
      </c>
      <c r="C30" s="1" t="s">
        <v>525</v>
      </c>
      <c r="D30" s="1" t="s">
        <v>290</v>
      </c>
      <c r="E30" s="1" t="s">
        <v>561</v>
      </c>
      <c r="F30" s="21">
        <v>594603.99</v>
      </c>
      <c r="G30" s="1" t="s">
        <v>507</v>
      </c>
      <c r="H30" s="1" t="s">
        <v>503</v>
      </c>
      <c r="I30" s="1" t="s">
        <v>562</v>
      </c>
      <c r="J30" s="23" t="s">
        <v>563</v>
      </c>
      <c r="K30" s="26" t="s">
        <v>510</v>
      </c>
      <c r="L30" s="20">
        <v>46238</v>
      </c>
    </row>
    <row r="31" spans="1:12" ht="15" customHeight="1" x14ac:dyDescent="0.3">
      <c r="A31" s="1" t="s">
        <v>564</v>
      </c>
      <c r="B31" s="20">
        <v>46238</v>
      </c>
      <c r="C31" s="1" t="s">
        <v>558</v>
      </c>
      <c r="D31" s="1" t="s">
        <v>290</v>
      </c>
      <c r="E31" s="1" t="s">
        <v>561</v>
      </c>
      <c r="F31" s="21">
        <v>58621.63</v>
      </c>
      <c r="G31" s="1" t="s">
        <v>507</v>
      </c>
      <c r="H31" s="1" t="s">
        <v>503</v>
      </c>
      <c r="I31" s="1" t="s">
        <v>565</v>
      </c>
      <c r="J31" s="23" t="s">
        <v>566</v>
      </c>
      <c r="K31" s="26" t="s">
        <v>510</v>
      </c>
      <c r="L31" s="20">
        <v>46238</v>
      </c>
    </row>
    <row r="32" spans="1:12" ht="15" customHeight="1" x14ac:dyDescent="0.3">
      <c r="A32" s="1"/>
      <c r="B32" s="1"/>
      <c r="C32" s="1"/>
      <c r="D32" s="1"/>
      <c r="E32" s="1"/>
      <c r="F32" s="12"/>
      <c r="G32" s="1"/>
      <c r="H32" s="1"/>
      <c r="I32" s="1"/>
      <c r="J32" s="23"/>
      <c r="K32" s="26"/>
      <c r="L32" s="20"/>
    </row>
    <row r="33" spans="1:12" ht="15" customHeight="1" x14ac:dyDescent="0.3">
      <c r="A33" s="1"/>
      <c r="B33" s="1"/>
      <c r="C33" s="1"/>
      <c r="D33" s="1"/>
      <c r="E33" s="1"/>
      <c r="F33" s="12"/>
      <c r="G33" s="1"/>
      <c r="H33" s="1"/>
      <c r="I33" s="1"/>
      <c r="J33" s="23"/>
      <c r="K33" s="26"/>
      <c r="L33" s="20"/>
    </row>
    <row r="34" spans="1:12" ht="15" customHeight="1" x14ac:dyDescent="0.3">
      <c r="A34" s="1"/>
      <c r="B34" s="1"/>
      <c r="C34" s="1"/>
      <c r="D34" s="1"/>
      <c r="E34" s="1"/>
      <c r="F34" s="12"/>
      <c r="G34" s="1"/>
      <c r="H34" s="1"/>
      <c r="I34" s="1"/>
      <c r="J34" s="23"/>
      <c r="K34" s="26"/>
      <c r="L34" s="20"/>
    </row>
    <row r="35" spans="1:12" ht="15" customHeight="1" x14ac:dyDescent="0.3">
      <c r="A35" s="1"/>
      <c r="B35" s="1"/>
      <c r="C35" s="1"/>
      <c r="D35" s="1"/>
      <c r="E35" s="1"/>
      <c r="F35" s="12"/>
      <c r="G35" s="1"/>
      <c r="H35" s="1"/>
      <c r="I35" s="1"/>
      <c r="J35" s="23"/>
      <c r="K35" s="26"/>
      <c r="L35" s="20"/>
    </row>
    <row r="36" spans="1:12" ht="15" customHeight="1" x14ac:dyDescent="0.3">
      <c r="A36" s="1"/>
      <c r="B36" s="1"/>
      <c r="C36" s="1"/>
      <c r="D36" s="1"/>
      <c r="E36" s="1"/>
      <c r="F36" s="12"/>
      <c r="G36" s="1"/>
      <c r="H36" s="1"/>
      <c r="I36" s="1"/>
      <c r="J36" s="23"/>
      <c r="K36" s="26"/>
      <c r="L36" s="20"/>
    </row>
    <row r="37" spans="1:12" ht="15" customHeight="1" x14ac:dyDescent="0.3">
      <c r="A37" s="1"/>
      <c r="B37" s="1"/>
      <c r="C37" s="1"/>
      <c r="D37" s="1"/>
      <c r="E37" s="1"/>
      <c r="F37" s="12"/>
      <c r="G37" s="1"/>
      <c r="H37" s="1"/>
      <c r="I37" s="1"/>
      <c r="J37" s="23"/>
      <c r="K37" s="26"/>
      <c r="L37" s="20"/>
    </row>
    <row r="38" spans="1:12" ht="15" customHeight="1" x14ac:dyDescent="0.3">
      <c r="A38" s="1"/>
      <c r="B38" s="1"/>
      <c r="C38" s="1"/>
      <c r="D38" s="1"/>
      <c r="E38" s="1"/>
      <c r="F38" s="12"/>
      <c r="G38" s="1"/>
      <c r="H38" s="1"/>
      <c r="I38" s="1"/>
      <c r="J38" s="23"/>
      <c r="K38" s="26"/>
      <c r="L38" s="20"/>
    </row>
    <row r="39" spans="1:12" ht="15" customHeight="1" x14ac:dyDescent="0.3">
      <c r="A39" s="1"/>
      <c r="B39" s="1"/>
      <c r="C39" s="1"/>
      <c r="D39" s="1"/>
      <c r="E39" s="1"/>
      <c r="F39" s="12"/>
      <c r="G39" s="1"/>
      <c r="H39" s="1"/>
      <c r="I39" s="1"/>
      <c r="J39" s="23"/>
      <c r="K39" s="26"/>
      <c r="L39" s="20"/>
    </row>
    <row r="40" spans="1:12" ht="15" customHeight="1" x14ac:dyDescent="0.3">
      <c r="A40" s="1"/>
      <c r="B40" s="1"/>
      <c r="C40" s="1"/>
      <c r="D40" s="1"/>
      <c r="E40" s="1"/>
      <c r="F40" s="12"/>
      <c r="G40" s="1"/>
      <c r="H40" s="1"/>
      <c r="I40" s="1"/>
      <c r="J40" s="23"/>
      <c r="K40" s="26"/>
      <c r="L40" s="20"/>
    </row>
    <row r="41" spans="1:12" ht="15" customHeight="1" x14ac:dyDescent="0.3">
      <c r="A41" s="1"/>
      <c r="B41" s="1"/>
      <c r="C41" s="1"/>
      <c r="D41" s="1"/>
      <c r="E41" s="1"/>
      <c r="F41" s="12"/>
      <c r="G41" s="1"/>
      <c r="H41" s="1"/>
      <c r="I41" s="1"/>
      <c r="J41" s="23"/>
      <c r="K41" s="26"/>
      <c r="L41" s="20"/>
    </row>
    <row r="42" spans="1:12" ht="15" customHeight="1" x14ac:dyDescent="0.3">
      <c r="A42" s="1"/>
      <c r="B42" s="1"/>
      <c r="C42" s="1"/>
      <c r="D42" s="1"/>
      <c r="E42" s="1"/>
      <c r="F42" s="12"/>
      <c r="G42" s="1"/>
      <c r="H42" s="1"/>
      <c r="I42" s="1"/>
      <c r="J42" s="23"/>
      <c r="K42" s="26"/>
      <c r="L42" s="20"/>
    </row>
    <row r="43" spans="1:12" ht="15" customHeight="1" x14ac:dyDescent="0.3">
      <c r="A43" s="1"/>
      <c r="B43" s="1"/>
      <c r="C43" s="1"/>
      <c r="D43" s="1"/>
      <c r="E43" s="1"/>
      <c r="F43" s="12"/>
      <c r="G43" s="1"/>
      <c r="H43" s="1"/>
      <c r="I43" s="1"/>
      <c r="J43" s="23"/>
      <c r="K43" s="26"/>
      <c r="L43" s="20"/>
    </row>
    <row r="44" spans="1:12" ht="15" customHeight="1" x14ac:dyDescent="0.3">
      <c r="A44" s="1"/>
      <c r="B44" s="1"/>
      <c r="C44" s="1"/>
      <c r="D44" s="1"/>
      <c r="E44" s="1"/>
      <c r="F44" s="12"/>
      <c r="G44" s="1"/>
      <c r="H44" s="1"/>
      <c r="I44" s="1"/>
      <c r="J44" s="23"/>
      <c r="K44" s="26"/>
      <c r="L44" s="20"/>
    </row>
    <row r="45" spans="1:12" ht="15" customHeight="1" x14ac:dyDescent="0.3">
      <c r="A45" s="1"/>
      <c r="B45" s="1"/>
      <c r="C45" s="1"/>
      <c r="D45" s="1"/>
      <c r="E45" s="1"/>
      <c r="F45" s="12"/>
      <c r="G45" s="1"/>
      <c r="H45" s="1"/>
      <c r="I45" s="1"/>
      <c r="J45" s="23"/>
      <c r="K45" s="26"/>
      <c r="L45" s="20"/>
    </row>
    <row r="46" spans="1:12" ht="15" customHeight="1" x14ac:dyDescent="0.3">
      <c r="A46" s="1"/>
      <c r="B46" s="1"/>
      <c r="C46" s="1"/>
      <c r="D46" s="1"/>
      <c r="E46" s="1"/>
      <c r="F46" s="12"/>
      <c r="G46" s="1"/>
      <c r="H46" s="1"/>
      <c r="I46" s="1"/>
      <c r="J46" s="23"/>
      <c r="K46" s="26"/>
      <c r="L46" s="20"/>
    </row>
    <row r="47" spans="1:12" ht="15" customHeight="1" x14ac:dyDescent="0.3">
      <c r="A47" s="1"/>
      <c r="B47" s="1"/>
      <c r="C47" s="1"/>
      <c r="D47" s="1"/>
      <c r="E47" s="1"/>
      <c r="F47" s="12"/>
      <c r="G47" s="1"/>
      <c r="H47" s="1"/>
      <c r="I47" s="1"/>
      <c r="J47" s="23"/>
      <c r="K47" s="26"/>
      <c r="L47" s="20"/>
    </row>
    <row r="48" spans="1:12" ht="15" customHeight="1" x14ac:dyDescent="0.3">
      <c r="A48" s="1"/>
      <c r="B48" s="1"/>
      <c r="C48" s="1"/>
      <c r="D48" s="1"/>
      <c r="E48" s="1"/>
      <c r="F48" s="12"/>
      <c r="G48" s="1"/>
      <c r="H48" s="1"/>
      <c r="I48" s="1"/>
      <c r="J48" s="23"/>
      <c r="K48" s="26"/>
      <c r="L48" s="20"/>
    </row>
    <row r="49" spans="1:12" ht="15" customHeight="1" x14ac:dyDescent="0.3">
      <c r="A49" s="1"/>
      <c r="B49" s="1"/>
      <c r="C49" s="1"/>
      <c r="D49" s="1"/>
      <c r="E49" s="1"/>
      <c r="F49" s="12"/>
      <c r="G49" s="1"/>
      <c r="H49" s="1"/>
      <c r="I49" s="1"/>
      <c r="J49" s="23"/>
      <c r="K49" s="26"/>
      <c r="L49" s="20"/>
    </row>
    <row r="50" spans="1:12" ht="15" customHeight="1" x14ac:dyDescent="0.3">
      <c r="A50" s="1"/>
      <c r="B50" s="1"/>
      <c r="C50" s="1"/>
      <c r="D50" s="1"/>
      <c r="E50" s="1"/>
      <c r="F50" s="12"/>
      <c r="G50" s="1"/>
      <c r="H50" s="1"/>
      <c r="I50" s="1"/>
      <c r="J50" s="23"/>
      <c r="K50" s="26"/>
      <c r="L50" s="20"/>
    </row>
    <row r="51" spans="1:12" ht="15" customHeight="1" x14ac:dyDescent="0.3">
      <c r="A51" s="1"/>
      <c r="B51" s="1"/>
      <c r="C51" s="1"/>
      <c r="D51" s="1"/>
      <c r="E51" s="1"/>
      <c r="F51" s="12"/>
      <c r="G51" s="1"/>
      <c r="H51" s="1"/>
      <c r="I51" s="1"/>
      <c r="J51" s="23"/>
      <c r="K51" s="26"/>
      <c r="L51" s="20"/>
    </row>
    <row r="52" spans="1:12" ht="15" customHeight="1" x14ac:dyDescent="0.3">
      <c r="A52" s="1"/>
      <c r="B52" s="1"/>
      <c r="C52" s="1"/>
      <c r="D52" s="1"/>
      <c r="E52" s="1"/>
      <c r="F52" s="12"/>
      <c r="G52" s="1"/>
      <c r="H52" s="1"/>
      <c r="I52" s="1"/>
      <c r="J52" s="23"/>
      <c r="K52" s="26"/>
      <c r="L52" s="20"/>
    </row>
    <row r="53" spans="1:12" ht="15" customHeight="1" x14ac:dyDescent="0.3">
      <c r="A53" s="1"/>
      <c r="B53" s="1"/>
      <c r="C53" s="1"/>
      <c r="D53" s="1"/>
      <c r="E53" s="1"/>
      <c r="F53" s="12"/>
      <c r="G53" s="1"/>
      <c r="H53" s="1"/>
      <c r="I53" s="1"/>
      <c r="J53" s="23"/>
      <c r="K53" s="26"/>
      <c r="L53" s="20"/>
    </row>
    <row r="54" spans="1:12" ht="15" customHeight="1" x14ac:dyDescent="0.3">
      <c r="A54" s="1"/>
      <c r="B54" s="1"/>
      <c r="C54" s="1"/>
      <c r="D54" s="1"/>
      <c r="E54" s="1"/>
      <c r="F54" s="12"/>
      <c r="G54" s="1"/>
      <c r="H54" s="1"/>
      <c r="I54" s="1"/>
      <c r="J54" s="23"/>
      <c r="K54" s="26"/>
      <c r="L54" s="20"/>
    </row>
    <row r="55" spans="1:12" ht="15" customHeight="1" x14ac:dyDescent="0.3">
      <c r="A55" s="1"/>
      <c r="B55" s="1"/>
      <c r="C55" s="1"/>
      <c r="D55" s="1"/>
      <c r="E55" s="1"/>
      <c r="F55" s="12"/>
      <c r="G55" s="1"/>
      <c r="H55" s="1"/>
      <c r="I55" s="1"/>
      <c r="J55" s="23"/>
      <c r="K55" s="26"/>
      <c r="L55" s="20"/>
    </row>
    <row r="56" spans="1:12" ht="15" customHeight="1" x14ac:dyDescent="0.3">
      <c r="A56" s="1"/>
      <c r="B56" s="1"/>
      <c r="C56" s="1"/>
      <c r="D56" s="1"/>
      <c r="E56" s="1"/>
      <c r="F56" s="12"/>
      <c r="G56" s="1"/>
      <c r="H56" s="1"/>
      <c r="I56" s="1"/>
      <c r="J56" s="23"/>
      <c r="K56" s="26"/>
      <c r="L56" s="20"/>
    </row>
    <row r="57" spans="1:12" ht="15" customHeight="1" x14ac:dyDescent="0.3">
      <c r="A57" s="1"/>
      <c r="B57" s="1"/>
      <c r="C57" s="1"/>
      <c r="D57" s="1"/>
      <c r="E57" s="1"/>
      <c r="F57" s="12"/>
      <c r="G57" s="1"/>
      <c r="H57" s="1"/>
      <c r="I57" s="1"/>
      <c r="J57" s="23"/>
      <c r="K57" s="26"/>
      <c r="L57" s="20"/>
    </row>
    <row r="58" spans="1:12" ht="15" customHeight="1" x14ac:dyDescent="0.3">
      <c r="A58" s="1"/>
      <c r="B58" s="1"/>
      <c r="C58" s="1"/>
      <c r="D58" s="1"/>
      <c r="E58" s="1"/>
      <c r="F58" s="12"/>
      <c r="G58" s="1"/>
      <c r="H58" s="1"/>
      <c r="I58" s="1"/>
      <c r="J58" s="23"/>
      <c r="K58" s="26"/>
      <c r="L58" s="20"/>
    </row>
    <row r="59" spans="1:12" ht="15" customHeight="1" x14ac:dyDescent="0.3">
      <c r="A59" s="1"/>
      <c r="B59" s="1"/>
      <c r="C59" s="1"/>
      <c r="D59" s="1"/>
      <c r="E59" s="1"/>
      <c r="F59" s="12"/>
      <c r="G59" s="1"/>
      <c r="H59" s="1"/>
      <c r="I59" s="1"/>
      <c r="J59" s="23"/>
      <c r="K59" s="26"/>
      <c r="L59" s="20"/>
    </row>
    <row r="60" spans="1:12" ht="15" customHeight="1" x14ac:dyDescent="0.3">
      <c r="A60" s="1"/>
      <c r="B60" s="1"/>
      <c r="C60" s="1"/>
      <c r="D60" s="1"/>
      <c r="E60" s="1"/>
      <c r="F60" s="12"/>
      <c r="G60" s="1"/>
      <c r="H60" s="1"/>
      <c r="I60" s="1"/>
      <c r="J60" s="23"/>
      <c r="K60" s="26"/>
      <c r="L60" s="20"/>
    </row>
    <row r="61" spans="1:12" ht="15" customHeight="1" x14ac:dyDescent="0.3">
      <c r="A61" s="1"/>
      <c r="B61" s="1"/>
      <c r="C61" s="1"/>
      <c r="D61" s="1"/>
      <c r="E61" s="1"/>
      <c r="F61" s="12"/>
      <c r="G61" s="1"/>
      <c r="H61" s="1"/>
      <c r="I61" s="1"/>
      <c r="J61" s="23"/>
      <c r="K61" s="26"/>
      <c r="L61" s="20"/>
    </row>
    <row r="62" spans="1:12" ht="15" customHeight="1" x14ac:dyDescent="0.3">
      <c r="A62" s="1"/>
      <c r="B62" s="1"/>
      <c r="C62" s="1"/>
      <c r="D62" s="1"/>
      <c r="E62" s="1"/>
      <c r="F62" s="12"/>
      <c r="G62" s="1"/>
      <c r="H62" s="1"/>
      <c r="I62" s="1"/>
      <c r="J62" s="23"/>
      <c r="K62" s="26"/>
      <c r="L62" s="20"/>
    </row>
    <row r="63" spans="1:12" ht="15" customHeight="1" x14ac:dyDescent="0.3">
      <c r="A63" s="1"/>
      <c r="B63" s="1"/>
      <c r="C63" s="1"/>
      <c r="D63" s="1"/>
      <c r="E63" s="1"/>
      <c r="F63" s="12"/>
      <c r="G63" s="1"/>
      <c r="H63" s="1"/>
      <c r="I63" s="1"/>
      <c r="J63" s="23"/>
      <c r="K63" s="26"/>
      <c r="L63" s="20"/>
    </row>
    <row r="64" spans="1:12" ht="15" customHeight="1" x14ac:dyDescent="0.3">
      <c r="A64" s="1"/>
      <c r="B64" s="1"/>
      <c r="C64" s="1"/>
      <c r="D64" s="1"/>
      <c r="E64" s="1"/>
      <c r="F64" s="12"/>
      <c r="G64" s="1"/>
      <c r="H64" s="1"/>
      <c r="I64" s="1"/>
      <c r="J64" s="23"/>
      <c r="K64" s="26"/>
      <c r="L64" s="20"/>
    </row>
    <row r="65" spans="1:12" ht="15" customHeight="1" x14ac:dyDescent="0.3">
      <c r="A65" s="1"/>
      <c r="B65" s="1"/>
      <c r="C65" s="1"/>
      <c r="D65" s="1"/>
      <c r="E65" s="1"/>
      <c r="F65" s="12"/>
      <c r="G65" s="1"/>
      <c r="H65" s="1"/>
      <c r="I65" s="1"/>
      <c r="J65" s="23"/>
      <c r="K65" s="26"/>
      <c r="L65" s="20"/>
    </row>
    <row r="66" spans="1:12" ht="15" customHeight="1" x14ac:dyDescent="0.3">
      <c r="A66" s="1"/>
      <c r="B66" s="1"/>
      <c r="C66" s="1"/>
      <c r="D66" s="1"/>
      <c r="E66" s="1"/>
      <c r="F66" s="12"/>
      <c r="G66" s="1"/>
      <c r="H66" s="1"/>
      <c r="I66" s="1"/>
      <c r="J66" s="23"/>
      <c r="K66" s="26"/>
      <c r="L66" s="20"/>
    </row>
    <row r="67" spans="1:12" ht="15" customHeight="1" x14ac:dyDescent="0.3">
      <c r="A67" s="1"/>
      <c r="B67" s="1"/>
      <c r="C67" s="1"/>
      <c r="D67" s="1"/>
      <c r="E67" s="1"/>
      <c r="F67" s="12"/>
      <c r="G67" s="1"/>
      <c r="H67" s="1"/>
      <c r="I67" s="1"/>
      <c r="J67" s="23"/>
      <c r="K67" s="26"/>
      <c r="L67" s="20"/>
    </row>
    <row r="68" spans="1:12" ht="15" customHeight="1" x14ac:dyDescent="0.3">
      <c r="A68" s="1"/>
      <c r="B68" s="1"/>
      <c r="C68" s="1"/>
      <c r="D68" s="1"/>
      <c r="E68" s="1"/>
      <c r="F68" s="12"/>
      <c r="G68" s="1"/>
      <c r="H68" s="1"/>
      <c r="I68" s="1"/>
      <c r="J68" s="23"/>
      <c r="K68" s="26"/>
      <c r="L68" s="20"/>
    </row>
    <row r="69" spans="1:12" ht="15" customHeight="1" x14ac:dyDescent="0.3">
      <c r="A69" s="1"/>
      <c r="B69" s="1"/>
      <c r="C69" s="1"/>
      <c r="D69" s="1"/>
      <c r="E69" s="1"/>
      <c r="F69" s="12"/>
      <c r="G69" s="1"/>
      <c r="H69" s="1"/>
      <c r="I69" s="1"/>
      <c r="J69" s="23"/>
      <c r="K69" s="26"/>
      <c r="L69" s="20"/>
    </row>
    <row r="70" spans="1:12" ht="15" customHeight="1" x14ac:dyDescent="0.3">
      <c r="A70" s="1"/>
      <c r="B70" s="1"/>
      <c r="C70" s="1"/>
      <c r="D70" s="1"/>
      <c r="E70" s="1"/>
      <c r="F70" s="12"/>
      <c r="G70" s="1"/>
      <c r="H70" s="1"/>
      <c r="I70" s="1"/>
      <c r="J70" s="23"/>
      <c r="K70" s="26"/>
      <c r="L70" s="20"/>
    </row>
    <row r="71" spans="1:12" ht="15" customHeight="1" x14ac:dyDescent="0.3">
      <c r="A71" s="1"/>
      <c r="B71" s="1"/>
      <c r="C71" s="1"/>
      <c r="D71" s="1"/>
      <c r="E71" s="1"/>
      <c r="F71" s="12"/>
      <c r="G71" s="1"/>
      <c r="H71" s="1"/>
      <c r="I71" s="1"/>
      <c r="J71" s="23"/>
      <c r="K71" s="26"/>
      <c r="L71" s="20"/>
    </row>
    <row r="72" spans="1:12" ht="15" customHeight="1" x14ac:dyDescent="0.3">
      <c r="A72" s="1"/>
      <c r="B72" s="1"/>
      <c r="C72" s="1"/>
      <c r="D72" s="1"/>
      <c r="E72" s="1"/>
      <c r="F72" s="12"/>
      <c r="G72" s="1"/>
      <c r="H72" s="1"/>
      <c r="I72" s="1"/>
      <c r="J72" s="23"/>
      <c r="K72" s="26"/>
      <c r="L72" s="20"/>
    </row>
    <row r="73" spans="1:12" ht="15" customHeight="1" x14ac:dyDescent="0.3">
      <c r="A73" s="1"/>
      <c r="B73" s="1"/>
      <c r="C73" s="1"/>
      <c r="D73" s="1"/>
      <c r="E73" s="1"/>
      <c r="F73" s="12"/>
      <c r="G73" s="1"/>
      <c r="H73" s="1"/>
      <c r="I73" s="1"/>
      <c r="J73" s="23"/>
      <c r="K73" s="26"/>
      <c r="L73" s="20"/>
    </row>
    <row r="74" spans="1:12" ht="15" customHeight="1" x14ac:dyDescent="0.3">
      <c r="A74" s="1"/>
      <c r="B74" s="1"/>
      <c r="C74" s="1"/>
      <c r="D74" s="1"/>
      <c r="E74" s="1"/>
      <c r="F74" s="12"/>
      <c r="G74" s="1"/>
      <c r="H74" s="1"/>
      <c r="I74" s="1"/>
      <c r="J74" s="23"/>
      <c r="K74" s="26"/>
      <c r="L74" s="20"/>
    </row>
    <row r="75" spans="1:12" ht="15" customHeight="1" x14ac:dyDescent="0.3">
      <c r="A75" s="1"/>
      <c r="B75" s="1"/>
      <c r="C75" s="1"/>
      <c r="D75" s="1"/>
      <c r="E75" s="1"/>
      <c r="F75" s="12"/>
      <c r="G75" s="1"/>
      <c r="H75" s="1"/>
      <c r="I75" s="1"/>
      <c r="J75" s="23"/>
      <c r="K75" s="26"/>
      <c r="L75" s="20"/>
    </row>
    <row r="76" spans="1:12" ht="15" customHeight="1" x14ac:dyDescent="0.3">
      <c r="A76" s="1"/>
      <c r="B76" s="1"/>
      <c r="C76" s="1"/>
      <c r="D76" s="1"/>
      <c r="E76" s="1"/>
      <c r="F76" s="12"/>
      <c r="G76" s="1"/>
      <c r="H76" s="1"/>
      <c r="I76" s="1"/>
      <c r="J76" s="23"/>
      <c r="K76" s="26"/>
      <c r="L76" s="20"/>
    </row>
    <row r="77" spans="1:12" ht="15" customHeight="1" x14ac:dyDescent="0.3">
      <c r="A77" s="1"/>
      <c r="B77" s="1"/>
      <c r="C77" s="1"/>
      <c r="D77" s="1"/>
      <c r="E77" s="1"/>
      <c r="F77" s="12"/>
      <c r="G77" s="1"/>
      <c r="H77" s="1"/>
      <c r="I77" s="1"/>
      <c r="J77" s="23"/>
      <c r="K77" s="26"/>
      <c r="L77" s="20"/>
    </row>
    <row r="78" spans="1:12" ht="15" customHeight="1" x14ac:dyDescent="0.3">
      <c r="A78" s="1"/>
      <c r="B78" s="1"/>
      <c r="C78" s="1"/>
      <c r="D78" s="1"/>
      <c r="E78" s="1"/>
      <c r="F78" s="12"/>
      <c r="G78" s="1"/>
      <c r="H78" s="1"/>
      <c r="I78" s="1"/>
      <c r="J78" s="23"/>
      <c r="K78" s="26"/>
      <c r="L78" s="20"/>
    </row>
    <row r="79" spans="1:12" ht="15" customHeight="1" x14ac:dyDescent="0.3">
      <c r="A79" s="1"/>
      <c r="B79" s="1"/>
      <c r="C79" s="1"/>
      <c r="D79" s="1"/>
      <c r="E79" s="1"/>
      <c r="F79" s="12"/>
      <c r="G79" s="1"/>
      <c r="H79" s="1"/>
      <c r="I79" s="1"/>
      <c r="J79" s="23"/>
      <c r="K79" s="26"/>
      <c r="L79" s="20"/>
    </row>
    <row r="80" spans="1:12" ht="15" customHeight="1" x14ac:dyDescent="0.3">
      <c r="A80" s="1"/>
      <c r="B80" s="1"/>
      <c r="C80" s="1"/>
      <c r="D80" s="1"/>
      <c r="E80" s="1"/>
      <c r="F80" s="12"/>
      <c r="G80" s="1"/>
      <c r="H80" s="1"/>
      <c r="I80" s="1"/>
      <c r="J80" s="23"/>
      <c r="K80" s="26"/>
      <c r="L80" s="20"/>
    </row>
    <row r="81" spans="1:12" ht="15" customHeight="1" x14ac:dyDescent="0.3">
      <c r="A81" s="1"/>
      <c r="B81" s="1"/>
      <c r="C81" s="1"/>
      <c r="D81" s="1"/>
      <c r="E81" s="1"/>
      <c r="F81" s="12"/>
      <c r="G81" s="1"/>
      <c r="H81" s="1"/>
      <c r="I81" s="1"/>
      <c r="J81" s="23"/>
      <c r="K81" s="26"/>
      <c r="L81" s="20"/>
    </row>
    <row r="82" spans="1:12" ht="15" customHeight="1" x14ac:dyDescent="0.3">
      <c r="A82" s="1"/>
      <c r="B82" s="1"/>
      <c r="C82" s="1"/>
      <c r="D82" s="1"/>
      <c r="E82" s="1"/>
      <c r="F82" s="12"/>
      <c r="G82" s="1"/>
      <c r="H82" s="1"/>
      <c r="I82" s="1"/>
      <c r="J82" s="23"/>
      <c r="K82" s="26"/>
      <c r="L82" s="20"/>
    </row>
    <row r="83" spans="1:12" ht="15" customHeight="1" x14ac:dyDescent="0.3">
      <c r="A83" s="1"/>
      <c r="B83" s="1"/>
      <c r="C83" s="1"/>
      <c r="D83" s="1"/>
      <c r="E83" s="1"/>
      <c r="F83" s="12"/>
      <c r="G83" s="1"/>
      <c r="H83" s="1"/>
      <c r="I83" s="1"/>
      <c r="J83" s="23"/>
      <c r="K83" s="26"/>
      <c r="L83" s="20"/>
    </row>
    <row r="84" spans="1:12" ht="15" customHeight="1" x14ac:dyDescent="0.3">
      <c r="A84" s="1"/>
      <c r="B84" s="1"/>
      <c r="C84" s="1"/>
      <c r="D84" s="1"/>
      <c r="E84" s="1"/>
      <c r="F84" s="12"/>
      <c r="G84" s="1"/>
      <c r="H84" s="1"/>
      <c r="I84" s="1"/>
      <c r="J84" s="23"/>
      <c r="K84" s="26"/>
      <c r="L84" s="20"/>
    </row>
    <row r="85" spans="1:12" ht="15" customHeight="1" x14ac:dyDescent="0.3">
      <c r="A85" s="1"/>
      <c r="B85" s="1"/>
      <c r="C85" s="1"/>
      <c r="D85" s="1"/>
      <c r="E85" s="1"/>
      <c r="F85" s="12"/>
      <c r="G85" s="1"/>
      <c r="H85" s="1"/>
      <c r="I85" s="1"/>
      <c r="J85" s="23"/>
      <c r="K85" s="26"/>
      <c r="L85" s="20"/>
    </row>
    <row r="86" spans="1:12" ht="15" customHeight="1" x14ac:dyDescent="0.3">
      <c r="A86" s="1"/>
      <c r="B86" s="1"/>
      <c r="C86" s="1"/>
      <c r="D86" s="1"/>
      <c r="E86" s="1"/>
      <c r="F86" s="12"/>
      <c r="G86" s="1"/>
      <c r="H86" s="1"/>
      <c r="I86" s="1"/>
      <c r="J86" s="23"/>
      <c r="K86" s="26"/>
      <c r="L86" s="20"/>
    </row>
    <row r="87" spans="1:12" ht="15" customHeight="1" x14ac:dyDescent="0.3">
      <c r="A87" s="1"/>
      <c r="B87" s="1"/>
      <c r="C87" s="1"/>
      <c r="D87" s="1"/>
      <c r="E87" s="1"/>
      <c r="F87" s="12"/>
      <c r="G87" s="1"/>
      <c r="H87" s="1"/>
      <c r="I87" s="1"/>
      <c r="J87" s="23"/>
      <c r="K87" s="26"/>
      <c r="L87" s="20"/>
    </row>
    <row r="88" spans="1:12" ht="15" customHeight="1" x14ac:dyDescent="0.3">
      <c r="A88" s="1"/>
      <c r="B88" s="1"/>
      <c r="C88" s="1"/>
      <c r="D88" s="1"/>
      <c r="E88" s="1"/>
      <c r="F88" s="12"/>
      <c r="G88" s="1"/>
      <c r="H88" s="1"/>
      <c r="I88" s="1"/>
      <c r="J88" s="23"/>
      <c r="K88" s="26"/>
      <c r="L88" s="20"/>
    </row>
    <row r="89" spans="1:12" ht="15" customHeight="1" x14ac:dyDescent="0.3">
      <c r="A89" s="1"/>
      <c r="B89" s="1"/>
      <c r="C89" s="1"/>
      <c r="D89" s="1"/>
      <c r="E89" s="1"/>
      <c r="F89" s="12"/>
      <c r="G89" s="1"/>
      <c r="H89" s="1"/>
      <c r="I89" s="1"/>
      <c r="J89" s="23"/>
      <c r="K89" s="26"/>
      <c r="L89" s="20"/>
    </row>
    <row r="90" spans="1:12" ht="15" customHeight="1" x14ac:dyDescent="0.3">
      <c r="A90" s="1"/>
      <c r="B90" s="1"/>
      <c r="C90" s="1"/>
      <c r="D90" s="1"/>
      <c r="E90" s="1"/>
      <c r="F90" s="12"/>
      <c r="G90" s="1"/>
      <c r="H90" s="1"/>
      <c r="I90" s="1"/>
      <c r="J90" s="23"/>
      <c r="K90" s="26"/>
      <c r="L90" s="20"/>
    </row>
    <row r="91" spans="1:12" ht="15" customHeight="1" x14ac:dyDescent="0.3">
      <c r="A91" s="1"/>
      <c r="B91" s="1"/>
      <c r="C91" s="1"/>
      <c r="D91" s="1"/>
      <c r="E91" s="1"/>
      <c r="F91" s="12"/>
      <c r="G91" s="1"/>
      <c r="H91" s="1"/>
      <c r="I91" s="1"/>
      <c r="J91" s="23"/>
      <c r="K91" s="26"/>
      <c r="L91" s="20"/>
    </row>
    <row r="92" spans="1:12" ht="15" customHeight="1" x14ac:dyDescent="0.3">
      <c r="A92" s="1"/>
      <c r="B92" s="1"/>
      <c r="C92" s="1"/>
      <c r="D92" s="1"/>
      <c r="E92" s="1"/>
      <c r="F92" s="12"/>
      <c r="G92" s="1"/>
      <c r="H92" s="1"/>
      <c r="I92" s="1"/>
      <c r="J92" s="23"/>
      <c r="K92" s="26"/>
      <c r="L92" s="20"/>
    </row>
    <row r="93" spans="1:12" ht="15" customHeight="1" x14ac:dyDescent="0.3">
      <c r="A93" s="1"/>
      <c r="B93" s="1"/>
      <c r="C93" s="1"/>
      <c r="D93" s="1"/>
      <c r="E93" s="1"/>
      <c r="F93" s="12"/>
      <c r="G93" s="1"/>
      <c r="H93" s="1"/>
      <c r="I93" s="1"/>
      <c r="J93" s="23"/>
      <c r="K93" s="26"/>
      <c r="L93" s="20"/>
    </row>
    <row r="94" spans="1:12" ht="15" customHeight="1" x14ac:dyDescent="0.3">
      <c r="A94" s="1"/>
      <c r="B94" s="1"/>
      <c r="C94" s="1"/>
      <c r="D94" s="1"/>
      <c r="E94" s="1"/>
      <c r="F94" s="12"/>
      <c r="G94" s="1"/>
      <c r="H94" s="1"/>
      <c r="I94" s="1"/>
      <c r="J94" s="23"/>
      <c r="K94" s="26"/>
      <c r="L94" s="20"/>
    </row>
    <row r="95" spans="1:12" ht="15" customHeight="1" x14ac:dyDescent="0.3">
      <c r="A95" s="1"/>
      <c r="B95" s="1"/>
      <c r="C95" s="1"/>
      <c r="D95" s="1"/>
      <c r="E95" s="1"/>
      <c r="F95" s="12"/>
      <c r="G95" s="1"/>
      <c r="H95" s="1"/>
      <c r="I95" s="1"/>
      <c r="J95" s="23"/>
      <c r="K95" s="26"/>
      <c r="L95" s="20"/>
    </row>
    <row r="96" spans="1:12" ht="15" customHeight="1" x14ac:dyDescent="0.3">
      <c r="A96" s="1"/>
      <c r="B96" s="1"/>
      <c r="C96" s="1"/>
      <c r="D96" s="1"/>
      <c r="E96" s="1"/>
      <c r="F96" s="12"/>
      <c r="G96" s="1"/>
      <c r="H96" s="1"/>
      <c r="I96" s="1"/>
      <c r="J96" s="23"/>
      <c r="K96" s="26"/>
      <c r="L96" s="20"/>
    </row>
    <row r="97" spans="1:12" ht="15" customHeight="1" x14ac:dyDescent="0.3">
      <c r="A97" s="1"/>
      <c r="B97" s="1"/>
      <c r="C97" s="1"/>
      <c r="D97" s="1"/>
      <c r="E97" s="1"/>
      <c r="F97" s="12"/>
      <c r="G97" s="1"/>
      <c r="H97" s="1"/>
      <c r="I97" s="1"/>
      <c r="J97" s="23"/>
      <c r="K97" s="26"/>
      <c r="L97" s="20"/>
    </row>
    <row r="98" spans="1:12" ht="15" customHeight="1" x14ac:dyDescent="0.3">
      <c r="A98" s="1"/>
      <c r="B98" s="1"/>
      <c r="C98" s="1"/>
      <c r="D98" s="1"/>
      <c r="E98" s="1"/>
      <c r="F98" s="12"/>
      <c r="G98" s="1"/>
      <c r="H98" s="1"/>
      <c r="I98" s="1"/>
      <c r="J98" s="23"/>
      <c r="K98" s="26"/>
      <c r="L98" s="20"/>
    </row>
    <row r="99" spans="1:12" ht="15" customHeight="1" x14ac:dyDescent="0.3">
      <c r="A99" s="1"/>
      <c r="B99" s="1"/>
      <c r="C99" s="1"/>
      <c r="D99" s="1"/>
      <c r="E99" s="1"/>
      <c r="F99" s="12"/>
      <c r="G99" s="1"/>
      <c r="H99" s="1"/>
      <c r="I99" s="1"/>
      <c r="J99" s="23"/>
      <c r="K99" s="26"/>
      <c r="L99" s="20"/>
    </row>
    <row r="100" spans="1:12" ht="15" customHeight="1" x14ac:dyDescent="0.3">
      <c r="A100" s="1"/>
      <c r="B100" s="1"/>
      <c r="C100" s="1"/>
      <c r="D100" s="1"/>
      <c r="E100" s="1"/>
      <c r="F100" s="12"/>
      <c r="G100" s="1"/>
      <c r="H100" s="1"/>
      <c r="I100" s="1"/>
      <c r="J100" s="23"/>
      <c r="K100" s="26"/>
      <c r="L100" s="20"/>
    </row>
    <row r="101" spans="1:12" ht="15" customHeight="1" x14ac:dyDescent="0.3">
      <c r="A101" s="1"/>
      <c r="B101" s="1"/>
      <c r="C101" s="1"/>
      <c r="D101" s="1"/>
      <c r="E101" s="1"/>
      <c r="F101" s="12"/>
      <c r="G101" s="1"/>
      <c r="H101" s="1"/>
      <c r="I101" s="1"/>
      <c r="J101" s="23"/>
      <c r="K101" s="26"/>
      <c r="L101" s="20"/>
    </row>
    <row r="102" spans="1:12" ht="15" customHeight="1" x14ac:dyDescent="0.3">
      <c r="A102" s="1"/>
      <c r="B102" s="1"/>
      <c r="C102" s="1"/>
      <c r="D102" s="1"/>
      <c r="E102" s="1"/>
      <c r="F102" s="12"/>
      <c r="G102" s="1"/>
      <c r="H102" s="1"/>
      <c r="I102" s="1"/>
      <c r="J102" s="23"/>
      <c r="K102" s="26"/>
      <c r="L102" s="20"/>
    </row>
    <row r="103" spans="1:12" ht="15" customHeight="1" x14ac:dyDescent="0.3">
      <c r="A103" s="1"/>
      <c r="B103" s="1"/>
      <c r="C103" s="1"/>
      <c r="D103" s="1"/>
      <c r="E103" s="1"/>
      <c r="F103" s="12"/>
      <c r="G103" s="1"/>
      <c r="H103" s="1"/>
      <c r="I103" s="1"/>
      <c r="J103" s="23"/>
      <c r="K103" s="26"/>
      <c r="L103" s="20"/>
    </row>
    <row r="104" spans="1:12" ht="15" customHeight="1" x14ac:dyDescent="0.3">
      <c r="A104" s="1"/>
      <c r="B104" s="1"/>
      <c r="C104" s="1"/>
      <c r="D104" s="1"/>
      <c r="E104" s="1"/>
      <c r="F104" s="12"/>
      <c r="G104" s="1"/>
      <c r="H104" s="1"/>
      <c r="I104" s="1"/>
      <c r="J104" s="23"/>
      <c r="K104" s="26"/>
      <c r="L104" s="20"/>
    </row>
    <row r="105" spans="1:12" ht="15" customHeight="1" x14ac:dyDescent="0.3">
      <c r="A105" s="1"/>
      <c r="B105" s="1"/>
      <c r="C105" s="1"/>
      <c r="D105" s="1"/>
      <c r="E105" s="1"/>
      <c r="F105" s="12"/>
      <c r="G105" s="1"/>
      <c r="H105" s="1"/>
      <c r="I105" s="1"/>
      <c r="J105" s="23"/>
      <c r="K105" s="26"/>
      <c r="L105" s="20"/>
    </row>
    <row r="106" spans="1:12" ht="15" customHeight="1" x14ac:dyDescent="0.3">
      <c r="A106" s="1"/>
      <c r="B106" s="1"/>
      <c r="C106" s="1"/>
      <c r="D106" s="1"/>
      <c r="E106" s="1"/>
      <c r="F106" s="12"/>
      <c r="G106" s="1"/>
      <c r="H106" s="1"/>
      <c r="I106" s="1"/>
      <c r="J106" s="23"/>
      <c r="K106" s="26"/>
      <c r="L106" s="20"/>
    </row>
    <row r="107" spans="1:12" ht="15" customHeight="1" x14ac:dyDescent="0.3">
      <c r="A107" s="1"/>
      <c r="B107" s="1"/>
      <c r="C107" s="1"/>
      <c r="D107" s="1"/>
      <c r="E107" s="1"/>
      <c r="F107" s="12"/>
      <c r="G107" s="1"/>
      <c r="H107" s="1"/>
      <c r="I107" s="1"/>
      <c r="J107" s="23"/>
      <c r="K107" s="26"/>
      <c r="L107" s="20"/>
    </row>
    <row r="108" spans="1:12" ht="15" customHeight="1" x14ac:dyDescent="0.3">
      <c r="A108" s="1"/>
      <c r="B108" s="1"/>
      <c r="C108" s="1"/>
      <c r="D108" s="1"/>
      <c r="E108" s="1"/>
      <c r="F108" s="12"/>
      <c r="G108" s="1"/>
      <c r="H108" s="1"/>
      <c r="I108" s="1"/>
      <c r="J108" s="23"/>
      <c r="K108" s="26"/>
      <c r="L108" s="20"/>
    </row>
    <row r="109" spans="1:12" ht="15" customHeight="1" x14ac:dyDescent="0.3">
      <c r="A109" s="1"/>
      <c r="B109" s="1"/>
      <c r="C109" s="1"/>
      <c r="D109" s="1"/>
      <c r="E109" s="1"/>
      <c r="F109" s="12"/>
      <c r="G109" s="1"/>
      <c r="H109" s="1"/>
      <c r="I109" s="1"/>
      <c r="J109" s="23"/>
      <c r="K109" s="26"/>
      <c r="L109" s="20"/>
    </row>
    <row r="110" spans="1:12" ht="15" customHeight="1" x14ac:dyDescent="0.3">
      <c r="A110" s="1"/>
      <c r="B110" s="1"/>
      <c r="C110" s="1"/>
      <c r="D110" s="1"/>
      <c r="E110" s="1"/>
      <c r="F110" s="12"/>
      <c r="G110" s="1"/>
      <c r="H110" s="1"/>
      <c r="I110" s="1"/>
      <c r="J110" s="23"/>
      <c r="K110" s="26"/>
      <c r="L110" s="20"/>
    </row>
    <row r="111" spans="1:12" ht="15" customHeight="1" x14ac:dyDescent="0.3">
      <c r="A111" s="1"/>
      <c r="B111" s="1"/>
      <c r="C111" s="1"/>
      <c r="D111" s="1"/>
      <c r="E111" s="1"/>
      <c r="F111" s="12"/>
      <c r="G111" s="1"/>
      <c r="H111" s="1"/>
      <c r="I111" s="1"/>
      <c r="J111" s="23"/>
      <c r="K111" s="26"/>
      <c r="L111" s="20"/>
    </row>
    <row r="112" spans="1:12" ht="15" customHeight="1" x14ac:dyDescent="0.3">
      <c r="A112" s="1"/>
      <c r="B112" s="1"/>
      <c r="C112" s="1"/>
      <c r="D112" s="1"/>
      <c r="E112" s="1"/>
      <c r="F112" s="12"/>
      <c r="G112" s="1"/>
      <c r="H112" s="1"/>
      <c r="I112" s="1"/>
      <c r="J112" s="23"/>
      <c r="K112" s="26"/>
      <c r="L112" s="20"/>
    </row>
    <row r="113" spans="1:12" ht="15" customHeight="1" x14ac:dyDescent="0.3">
      <c r="A113" s="1"/>
      <c r="B113" s="1"/>
      <c r="C113" s="1"/>
      <c r="D113" s="1"/>
      <c r="E113" s="1"/>
      <c r="F113" s="12"/>
      <c r="G113" s="1"/>
      <c r="H113" s="1"/>
      <c r="I113" s="1"/>
      <c r="J113" s="23"/>
      <c r="K113" s="26"/>
      <c r="L113" s="20"/>
    </row>
    <row r="114" spans="1:12" ht="15" customHeight="1" x14ac:dyDescent="0.3">
      <c r="A114" s="1"/>
      <c r="B114" s="1"/>
      <c r="C114" s="1"/>
      <c r="D114" s="1"/>
      <c r="E114" s="1"/>
      <c r="F114" s="12"/>
      <c r="G114" s="1"/>
      <c r="H114" s="1"/>
      <c r="I114" s="1"/>
      <c r="J114" s="23"/>
      <c r="K114" s="26"/>
      <c r="L114" s="20"/>
    </row>
    <row r="115" spans="1:12" ht="15" customHeight="1" x14ac:dyDescent="0.3">
      <c r="A115" s="1"/>
      <c r="B115" s="1"/>
      <c r="C115" s="1"/>
      <c r="D115" s="1"/>
      <c r="E115" s="1"/>
      <c r="F115" s="12"/>
      <c r="G115" s="1"/>
      <c r="H115" s="1"/>
      <c r="I115" s="1"/>
      <c r="J115" s="23"/>
      <c r="K115" s="26"/>
      <c r="L115" s="20"/>
    </row>
    <row r="116" spans="1:12" ht="15" customHeight="1" x14ac:dyDescent="0.3">
      <c r="A116" s="1"/>
      <c r="B116" s="1"/>
      <c r="C116" s="1"/>
      <c r="D116" s="1"/>
      <c r="E116" s="1"/>
      <c r="F116" s="12"/>
      <c r="G116" s="1"/>
      <c r="H116" s="1"/>
      <c r="I116" s="1"/>
      <c r="J116" s="23"/>
      <c r="K116" s="26"/>
      <c r="L116" s="20"/>
    </row>
    <row r="117" spans="1:12" ht="15" customHeight="1" x14ac:dyDescent="0.3">
      <c r="A117" s="1"/>
      <c r="B117" s="1"/>
      <c r="C117" s="1"/>
      <c r="D117" s="1"/>
      <c r="E117" s="1"/>
      <c r="F117" s="12"/>
      <c r="G117" s="1"/>
      <c r="H117" s="1"/>
      <c r="I117" s="1"/>
      <c r="J117" s="23"/>
      <c r="K117" s="26"/>
      <c r="L117" s="20"/>
    </row>
    <row r="118" spans="1:12" ht="15" customHeight="1" x14ac:dyDescent="0.3">
      <c r="A118" s="1"/>
      <c r="B118" s="1"/>
      <c r="C118" s="1"/>
      <c r="D118" s="1"/>
      <c r="E118" s="1"/>
      <c r="F118" s="12"/>
      <c r="G118" s="1"/>
      <c r="H118" s="1"/>
      <c r="I118" s="1"/>
      <c r="J118" s="23"/>
      <c r="K118" s="26"/>
      <c r="L118" s="20"/>
    </row>
    <row r="119" spans="1:12" ht="15" customHeight="1" x14ac:dyDescent="0.3">
      <c r="A119" s="1"/>
      <c r="B119" s="1"/>
      <c r="C119" s="1"/>
      <c r="D119" s="1"/>
      <c r="E119" s="1"/>
      <c r="F119" s="12"/>
      <c r="G119" s="1"/>
      <c r="H119" s="1"/>
      <c r="I119" s="1"/>
      <c r="J119" s="23"/>
      <c r="K119" s="26"/>
      <c r="L119" s="20"/>
    </row>
    <row r="120" spans="1:12" ht="15" customHeight="1" x14ac:dyDescent="0.3">
      <c r="A120" s="1"/>
      <c r="B120" s="1"/>
      <c r="C120" s="1"/>
      <c r="D120" s="1"/>
      <c r="E120" s="1"/>
      <c r="F120" s="12"/>
      <c r="G120" s="1"/>
      <c r="H120" s="1"/>
      <c r="I120" s="1"/>
      <c r="J120" s="23"/>
      <c r="K120" s="26"/>
      <c r="L120" s="20"/>
    </row>
    <row r="121" spans="1:12" ht="15" customHeight="1" x14ac:dyDescent="0.3">
      <c r="A121" s="1"/>
      <c r="B121" s="1"/>
      <c r="C121" s="1"/>
      <c r="D121" s="1"/>
      <c r="E121" s="1"/>
      <c r="F121" s="12"/>
      <c r="G121" s="1"/>
      <c r="H121" s="1"/>
      <c r="I121" s="1"/>
      <c r="J121" s="23"/>
      <c r="K121" s="26"/>
      <c r="L121" s="20"/>
    </row>
    <row r="122" spans="1:12" ht="15" customHeight="1" x14ac:dyDescent="0.3">
      <c r="A122" s="1"/>
      <c r="B122" s="1"/>
      <c r="C122" s="1"/>
      <c r="D122" s="1"/>
      <c r="E122" s="1"/>
      <c r="F122" s="12"/>
      <c r="G122" s="1"/>
      <c r="H122" s="1"/>
      <c r="I122" s="1"/>
      <c r="J122" s="23"/>
      <c r="K122" s="26"/>
      <c r="L122" s="20"/>
    </row>
    <row r="123" spans="1:12" ht="15" customHeight="1" x14ac:dyDescent="0.3">
      <c r="A123" s="1"/>
      <c r="B123" s="1"/>
      <c r="C123" s="1"/>
      <c r="D123" s="1"/>
      <c r="E123" s="1"/>
      <c r="F123" s="12"/>
      <c r="G123" s="1"/>
      <c r="H123" s="1"/>
      <c r="I123" s="1"/>
      <c r="J123" s="23"/>
      <c r="K123" s="26"/>
      <c r="L123" s="20"/>
    </row>
    <row r="124" spans="1:12" ht="15" customHeight="1" x14ac:dyDescent="0.3">
      <c r="A124" s="1"/>
      <c r="B124" s="1"/>
      <c r="C124" s="1"/>
      <c r="D124" s="1"/>
      <c r="E124" s="1"/>
      <c r="F124" s="12"/>
      <c r="G124" s="1"/>
      <c r="H124" s="1"/>
      <c r="I124" s="1"/>
      <c r="J124" s="23"/>
      <c r="K124" s="26"/>
      <c r="L124" s="20"/>
    </row>
    <row r="125" spans="1:12" ht="15" customHeight="1" x14ac:dyDescent="0.3">
      <c r="A125" s="1"/>
      <c r="B125" s="1"/>
      <c r="C125" s="1"/>
      <c r="D125" s="1"/>
      <c r="E125" s="1"/>
      <c r="F125" s="12"/>
      <c r="G125" s="1"/>
      <c r="H125" s="1"/>
      <c r="I125" s="1"/>
      <c r="J125" s="23"/>
      <c r="K125" s="26"/>
      <c r="L125" s="20"/>
    </row>
    <row r="126" spans="1:12" ht="15" customHeight="1" x14ac:dyDescent="0.3">
      <c r="A126" s="1"/>
      <c r="B126" s="1"/>
      <c r="C126" s="1"/>
      <c r="D126" s="1"/>
      <c r="E126" s="1"/>
      <c r="F126" s="12"/>
      <c r="G126" s="1"/>
      <c r="H126" s="1"/>
      <c r="I126" s="1"/>
      <c r="J126" s="23"/>
      <c r="K126" s="26"/>
      <c r="L126" s="20"/>
    </row>
    <row r="127" spans="1:12" ht="15" customHeight="1" x14ac:dyDescent="0.3">
      <c r="A127" s="1"/>
      <c r="B127" s="1"/>
      <c r="C127" s="1"/>
      <c r="D127" s="1"/>
      <c r="E127" s="1"/>
      <c r="F127" s="12"/>
      <c r="G127" s="1"/>
      <c r="H127" s="1"/>
      <c r="I127" s="1"/>
      <c r="J127" s="23"/>
      <c r="K127" s="26"/>
      <c r="L127" s="20"/>
    </row>
    <row r="128" spans="1:12" ht="15" customHeight="1" x14ac:dyDescent="0.3">
      <c r="A128" s="1"/>
      <c r="B128" s="1"/>
      <c r="C128" s="1"/>
      <c r="D128" s="1"/>
      <c r="E128" s="1"/>
      <c r="F128" s="12"/>
      <c r="G128" s="1"/>
      <c r="H128" s="1"/>
      <c r="I128" s="1"/>
      <c r="J128" s="23"/>
      <c r="K128" s="26"/>
      <c r="L128" s="20"/>
    </row>
    <row r="129" spans="1:12" ht="15" customHeight="1" x14ac:dyDescent="0.3">
      <c r="A129" s="1"/>
      <c r="B129" s="1"/>
      <c r="C129" s="1"/>
      <c r="D129" s="1"/>
      <c r="E129" s="1"/>
      <c r="F129" s="12"/>
      <c r="G129" s="1"/>
      <c r="H129" s="1"/>
      <c r="I129" s="1"/>
      <c r="J129" s="23"/>
      <c r="K129" s="26"/>
      <c r="L129" s="20"/>
    </row>
    <row r="130" spans="1:12" ht="15" customHeight="1" x14ac:dyDescent="0.3">
      <c r="A130" s="1"/>
      <c r="B130" s="1"/>
      <c r="C130" s="1"/>
      <c r="D130" s="1"/>
      <c r="E130" s="1"/>
      <c r="F130" s="12"/>
      <c r="G130" s="1"/>
      <c r="H130" s="1"/>
      <c r="I130" s="1"/>
      <c r="J130" s="23"/>
      <c r="K130" s="26"/>
      <c r="L130" s="20"/>
    </row>
    <row r="131" spans="1:12" ht="15" customHeight="1" x14ac:dyDescent="0.3">
      <c r="A131" s="1"/>
      <c r="B131" s="1"/>
      <c r="C131" s="1"/>
      <c r="D131" s="1"/>
      <c r="E131" s="1"/>
      <c r="F131" s="12"/>
      <c r="G131" s="1"/>
      <c r="H131" s="1"/>
      <c r="I131" s="1"/>
      <c r="J131" s="23"/>
      <c r="K131" s="26"/>
      <c r="L131" s="20"/>
    </row>
    <row r="132" spans="1:12" ht="15" customHeight="1" x14ac:dyDescent="0.3">
      <c r="A132" s="1"/>
      <c r="B132" s="1"/>
      <c r="C132" s="1"/>
      <c r="D132" s="1"/>
      <c r="E132" s="1"/>
      <c r="F132" s="12"/>
      <c r="G132" s="1"/>
      <c r="H132" s="1"/>
      <c r="I132" s="1"/>
      <c r="J132" s="23"/>
      <c r="K132" s="26"/>
      <c r="L132" s="20"/>
    </row>
    <row r="133" spans="1:12" ht="15" customHeight="1" x14ac:dyDescent="0.3">
      <c r="A133" s="1"/>
      <c r="B133" s="1"/>
      <c r="C133" s="1"/>
      <c r="D133" s="1"/>
      <c r="E133" s="1"/>
      <c r="F133" s="12"/>
      <c r="G133" s="1"/>
      <c r="H133" s="1"/>
      <c r="I133" s="1"/>
      <c r="J133" s="23"/>
      <c r="K133" s="26"/>
      <c r="L133" s="20"/>
    </row>
    <row r="134" spans="1:12" ht="15" customHeight="1" x14ac:dyDescent="0.3">
      <c r="A134" s="1"/>
      <c r="B134" s="1"/>
      <c r="C134" s="1"/>
      <c r="D134" s="1"/>
      <c r="E134" s="1"/>
      <c r="F134" s="12"/>
      <c r="G134" s="1"/>
      <c r="H134" s="1"/>
      <c r="I134" s="1"/>
      <c r="J134" s="23"/>
      <c r="K134" s="26"/>
      <c r="L134" s="20"/>
    </row>
    <row r="135" spans="1:12" ht="15" customHeight="1" x14ac:dyDescent="0.3">
      <c r="A135" s="1"/>
      <c r="B135" s="1"/>
      <c r="C135" s="1"/>
      <c r="D135" s="1"/>
      <c r="E135" s="1"/>
      <c r="F135" s="12"/>
      <c r="G135" s="1"/>
      <c r="H135" s="1"/>
      <c r="I135" s="1"/>
      <c r="J135" s="23"/>
      <c r="K135" s="26"/>
      <c r="L135" s="20"/>
    </row>
    <row r="136" spans="1:12" ht="15" customHeight="1" x14ac:dyDescent="0.3">
      <c r="A136" s="1"/>
      <c r="B136" s="1"/>
      <c r="C136" s="1"/>
      <c r="D136" s="1"/>
      <c r="E136" s="1"/>
      <c r="F136" s="12"/>
      <c r="G136" s="1"/>
      <c r="H136" s="1"/>
      <c r="I136" s="1"/>
      <c r="J136" s="23"/>
      <c r="K136" s="26"/>
      <c r="L136" s="20"/>
    </row>
    <row r="137" spans="1:12" ht="15" customHeight="1" x14ac:dyDescent="0.3">
      <c r="A137" s="1"/>
      <c r="B137" s="1"/>
      <c r="C137" s="1"/>
      <c r="D137" s="1"/>
      <c r="E137" s="1"/>
      <c r="F137" s="12"/>
      <c r="G137" s="1"/>
      <c r="H137" s="1"/>
      <c r="I137" s="1"/>
      <c r="J137" s="23"/>
      <c r="K137" s="26"/>
      <c r="L137" s="20"/>
    </row>
    <row r="138" spans="1:12" ht="15" customHeight="1" x14ac:dyDescent="0.3">
      <c r="A138" s="1"/>
      <c r="B138" s="1"/>
      <c r="C138" s="1"/>
      <c r="D138" s="1"/>
      <c r="E138" s="1"/>
      <c r="F138" s="12"/>
      <c r="G138" s="1"/>
      <c r="H138" s="1"/>
      <c r="I138" s="1"/>
      <c r="J138" s="23"/>
      <c r="K138" s="26"/>
      <c r="L138" s="20"/>
    </row>
    <row r="139" spans="1:12" ht="15" customHeight="1" x14ac:dyDescent="0.3">
      <c r="A139" s="1"/>
      <c r="B139" s="1"/>
      <c r="C139" s="1"/>
      <c r="D139" s="1"/>
      <c r="E139" s="1"/>
      <c r="F139" s="12"/>
      <c r="G139" s="1"/>
      <c r="H139" s="1"/>
      <c r="I139" s="1"/>
      <c r="J139" s="23"/>
      <c r="K139" s="26"/>
      <c r="L139" s="20"/>
    </row>
    <row r="140" spans="1:12" ht="15" customHeight="1" x14ac:dyDescent="0.3">
      <c r="A140" s="1"/>
      <c r="B140" s="1"/>
      <c r="C140" s="1"/>
      <c r="D140" s="1"/>
      <c r="E140" s="1"/>
      <c r="F140" s="12"/>
      <c r="G140" s="1"/>
      <c r="H140" s="1"/>
      <c r="I140" s="1"/>
      <c r="J140" s="23"/>
      <c r="K140" s="26"/>
      <c r="L140" s="20"/>
    </row>
    <row r="141" spans="1:12" ht="15" customHeight="1" x14ac:dyDescent="0.3">
      <c r="A141" s="1"/>
      <c r="B141" s="1"/>
      <c r="C141" s="1"/>
      <c r="D141" s="1"/>
      <c r="E141" s="1"/>
      <c r="F141" s="12"/>
      <c r="G141" s="1"/>
      <c r="H141" s="1"/>
      <c r="I141" s="1"/>
      <c r="J141" s="23"/>
      <c r="K141" s="26"/>
      <c r="L141" s="20"/>
    </row>
    <row r="142" spans="1:12" ht="15" customHeight="1" x14ac:dyDescent="0.3">
      <c r="A142" s="1"/>
      <c r="B142" s="1"/>
      <c r="C142" s="1"/>
      <c r="D142" s="1"/>
      <c r="E142" s="1"/>
      <c r="F142" s="12"/>
      <c r="G142" s="1"/>
      <c r="H142" s="1"/>
      <c r="I142" s="1"/>
      <c r="J142" s="23"/>
      <c r="K142" s="26"/>
      <c r="L142" s="20"/>
    </row>
    <row r="143" spans="1:12" ht="15" customHeight="1" x14ac:dyDescent="0.3">
      <c r="A143" s="1"/>
      <c r="B143" s="1"/>
      <c r="C143" s="1"/>
      <c r="D143" s="1"/>
      <c r="E143" s="1"/>
      <c r="F143" s="12"/>
      <c r="G143" s="1"/>
      <c r="H143" s="1"/>
      <c r="I143" s="1"/>
      <c r="J143" s="23"/>
      <c r="K143" s="26"/>
      <c r="L143" s="20"/>
    </row>
    <row r="144" spans="1:12" ht="15" customHeight="1" x14ac:dyDescent="0.3">
      <c r="A144" s="1"/>
      <c r="B144" s="1"/>
      <c r="C144" s="1"/>
      <c r="D144" s="1"/>
      <c r="E144" s="1"/>
      <c r="F144" s="12"/>
      <c r="G144" s="1"/>
      <c r="H144" s="1"/>
      <c r="I144" s="1"/>
      <c r="J144" s="23"/>
      <c r="K144" s="26"/>
      <c r="L144" s="20"/>
    </row>
    <row r="145" spans="1:12" ht="15" customHeight="1" x14ac:dyDescent="0.3">
      <c r="A145" s="1"/>
      <c r="B145" s="1"/>
      <c r="C145" s="1"/>
      <c r="D145" s="1"/>
      <c r="E145" s="1"/>
      <c r="F145" s="12"/>
      <c r="G145" s="1"/>
      <c r="H145" s="1"/>
      <c r="I145" s="1"/>
      <c r="J145" s="23"/>
      <c r="K145" s="26"/>
      <c r="L145" s="20"/>
    </row>
    <row r="146" spans="1:12" ht="15" customHeight="1" x14ac:dyDescent="0.3">
      <c r="A146" s="1"/>
      <c r="B146" s="1"/>
      <c r="C146" s="1"/>
      <c r="D146" s="1"/>
      <c r="E146" s="1"/>
      <c r="F146" s="12"/>
      <c r="G146" s="1"/>
      <c r="H146" s="1"/>
      <c r="I146" s="1"/>
      <c r="J146" s="23"/>
      <c r="K146" s="26"/>
      <c r="L146" s="20"/>
    </row>
    <row r="147" spans="1:12" ht="15" customHeight="1" x14ac:dyDescent="0.3">
      <c r="A147" s="1"/>
      <c r="B147" s="1"/>
      <c r="C147" s="1"/>
      <c r="D147" s="1"/>
      <c r="E147" s="1"/>
      <c r="F147" s="12"/>
      <c r="G147" s="1"/>
      <c r="H147" s="1"/>
      <c r="I147" s="1"/>
      <c r="J147" s="23"/>
      <c r="K147" s="26"/>
      <c r="L147" s="20"/>
    </row>
    <row r="148" spans="1:12" ht="15" customHeight="1" x14ac:dyDescent="0.3">
      <c r="A148" s="1"/>
      <c r="B148" s="1"/>
      <c r="C148" s="1"/>
      <c r="D148" s="1"/>
      <c r="E148" s="1"/>
      <c r="F148" s="12"/>
      <c r="G148" s="1"/>
      <c r="H148" s="1"/>
      <c r="I148" s="1"/>
      <c r="J148" s="23"/>
      <c r="K148" s="26"/>
      <c r="L148" s="20"/>
    </row>
    <row r="149" spans="1:12" ht="15" customHeight="1" x14ac:dyDescent="0.3">
      <c r="A149" s="1"/>
      <c r="B149" s="1"/>
      <c r="C149" s="1"/>
      <c r="D149" s="1"/>
      <c r="E149" s="1"/>
      <c r="F149" s="12"/>
      <c r="G149" s="1"/>
      <c r="H149" s="1"/>
      <c r="I149" s="1"/>
      <c r="J149" s="23"/>
      <c r="K149" s="26"/>
      <c r="L149" s="20"/>
    </row>
    <row r="150" spans="1:12" ht="15" customHeight="1" x14ac:dyDescent="0.3">
      <c r="A150" s="1"/>
      <c r="B150" s="1"/>
      <c r="C150" s="1"/>
      <c r="D150" s="1"/>
      <c r="E150" s="1"/>
      <c r="F150" s="12"/>
      <c r="G150" s="1"/>
      <c r="H150" s="1"/>
      <c r="I150" s="1"/>
      <c r="J150" s="23"/>
      <c r="K150" s="26"/>
      <c r="L150" s="20"/>
    </row>
    <row r="151" spans="1:12" ht="15" customHeight="1" x14ac:dyDescent="0.3">
      <c r="A151" s="1"/>
      <c r="B151" s="1"/>
      <c r="C151" s="1"/>
      <c r="D151" s="1"/>
      <c r="E151" s="1"/>
      <c r="F151" s="12"/>
      <c r="G151" s="1"/>
      <c r="H151" s="1"/>
      <c r="I151" s="1"/>
      <c r="J151" s="23"/>
      <c r="K151" s="26"/>
      <c r="L151" s="20"/>
    </row>
    <row r="152" spans="1:12" ht="15" customHeight="1" x14ac:dyDescent="0.3">
      <c r="A152" s="1"/>
      <c r="B152" s="1"/>
      <c r="C152" s="1"/>
      <c r="D152" s="1"/>
      <c r="E152" s="1"/>
      <c r="F152" s="12"/>
      <c r="G152" s="1"/>
      <c r="H152" s="1"/>
      <c r="I152" s="1"/>
      <c r="J152" s="23"/>
      <c r="K152" s="26"/>
      <c r="L152" s="20"/>
    </row>
    <row r="153" spans="1:12" ht="15" customHeight="1" x14ac:dyDescent="0.3">
      <c r="A153" s="1"/>
      <c r="B153" s="1"/>
      <c r="C153" s="1"/>
      <c r="D153" s="1"/>
      <c r="E153" s="1"/>
      <c r="F153" s="12"/>
      <c r="G153" s="1"/>
      <c r="H153" s="1"/>
      <c r="I153" s="1"/>
      <c r="J153" s="23"/>
      <c r="K153" s="26"/>
      <c r="L153" s="20"/>
    </row>
    <row r="154" spans="1:12" ht="15" customHeight="1" x14ac:dyDescent="0.3">
      <c r="A154" s="1"/>
      <c r="B154" s="1"/>
      <c r="C154" s="1"/>
      <c r="D154" s="1"/>
      <c r="E154" s="1"/>
      <c r="F154" s="12"/>
      <c r="G154" s="1"/>
      <c r="H154" s="1"/>
      <c r="I154" s="1"/>
      <c r="J154" s="23"/>
      <c r="K154" s="26"/>
      <c r="L154" s="20"/>
    </row>
    <row r="155" spans="1:12" ht="15" customHeight="1" x14ac:dyDescent="0.3">
      <c r="A155" s="1"/>
      <c r="B155" s="1"/>
      <c r="C155" s="1"/>
      <c r="D155" s="1"/>
      <c r="E155" s="1"/>
      <c r="F155" s="12"/>
      <c r="G155" s="1"/>
      <c r="H155" s="1"/>
      <c r="I155" s="1"/>
      <c r="J155" s="23"/>
      <c r="K155" s="26"/>
      <c r="L155" s="20"/>
    </row>
    <row r="156" spans="1:12" ht="15" customHeight="1" x14ac:dyDescent="0.3">
      <c r="A156" s="1"/>
      <c r="B156" s="1"/>
      <c r="C156" s="1"/>
      <c r="D156" s="1"/>
      <c r="E156" s="1"/>
      <c r="F156" s="12"/>
      <c r="G156" s="1"/>
      <c r="H156" s="1"/>
      <c r="I156" s="1"/>
      <c r="J156" s="23"/>
      <c r="K156" s="26"/>
      <c r="L156" s="20"/>
    </row>
    <row r="157" spans="1:12" ht="15" customHeight="1" x14ac:dyDescent="0.3">
      <c r="A157" s="1"/>
      <c r="B157" s="1"/>
      <c r="C157" s="1"/>
      <c r="D157" s="1"/>
      <c r="E157" s="1"/>
      <c r="F157" s="12"/>
      <c r="G157" s="1"/>
      <c r="H157" s="1"/>
      <c r="I157" s="1"/>
      <c r="J157" s="23"/>
      <c r="K157" s="26"/>
      <c r="L157" s="20"/>
    </row>
    <row r="158" spans="1:12" ht="15" customHeight="1" x14ac:dyDescent="0.3">
      <c r="A158" s="1"/>
      <c r="B158" s="1"/>
      <c r="C158" s="1"/>
      <c r="D158" s="1"/>
      <c r="E158" s="1"/>
      <c r="F158" s="12"/>
      <c r="G158" s="1"/>
      <c r="H158" s="1"/>
      <c r="I158" s="1"/>
      <c r="J158" s="23"/>
      <c r="K158" s="26"/>
      <c r="L158" s="20"/>
    </row>
    <row r="159" spans="1:12" ht="15" customHeight="1" x14ac:dyDescent="0.3">
      <c r="A159" s="1"/>
      <c r="B159" s="1"/>
      <c r="C159" s="1"/>
      <c r="D159" s="1"/>
      <c r="E159" s="1"/>
      <c r="F159" s="12"/>
      <c r="G159" s="1"/>
      <c r="H159" s="1"/>
      <c r="I159" s="1"/>
      <c r="J159" s="23"/>
      <c r="K159" s="26"/>
      <c r="L159" s="20"/>
    </row>
    <row r="160" spans="1:12" ht="15" customHeight="1" x14ac:dyDescent="0.3">
      <c r="A160" s="1"/>
      <c r="B160" s="1"/>
      <c r="C160" s="1"/>
      <c r="D160" s="1"/>
      <c r="E160" s="1"/>
      <c r="F160" s="12"/>
      <c r="G160" s="1"/>
      <c r="H160" s="1"/>
      <c r="I160" s="1"/>
      <c r="J160" s="23"/>
      <c r="K160" s="26"/>
      <c r="L160" s="20"/>
    </row>
    <row r="161" spans="1:12" ht="15" customHeight="1" x14ac:dyDescent="0.3">
      <c r="A161" s="1"/>
      <c r="B161" s="1"/>
      <c r="C161" s="1"/>
      <c r="D161" s="1"/>
      <c r="E161" s="1"/>
      <c r="F161" s="12"/>
      <c r="G161" s="1"/>
      <c r="H161" s="1"/>
      <c r="I161" s="1"/>
      <c r="J161" s="23"/>
      <c r="K161" s="26"/>
      <c r="L161" s="20"/>
    </row>
    <row r="162" spans="1:12" ht="15" customHeight="1" x14ac:dyDescent="0.3">
      <c r="A162" s="1"/>
      <c r="B162" s="1"/>
      <c r="C162" s="1"/>
      <c r="D162" s="1"/>
      <c r="E162" s="1"/>
      <c r="F162" s="12"/>
      <c r="G162" s="1"/>
      <c r="H162" s="1"/>
      <c r="I162" s="1"/>
      <c r="J162" s="23"/>
      <c r="K162" s="26"/>
      <c r="L162" s="20"/>
    </row>
    <row r="163" spans="1:12" ht="15" customHeight="1" x14ac:dyDescent="0.3">
      <c r="A163" s="1"/>
      <c r="B163" s="1"/>
      <c r="C163" s="1"/>
      <c r="D163" s="1"/>
      <c r="E163" s="1"/>
      <c r="F163" s="12"/>
      <c r="G163" s="1"/>
      <c r="H163" s="1"/>
      <c r="I163" s="1"/>
      <c r="J163" s="23"/>
      <c r="K163" s="26"/>
      <c r="L163" s="20"/>
    </row>
    <row r="164" spans="1:12" ht="15" customHeight="1" x14ac:dyDescent="0.3">
      <c r="A164" s="1"/>
      <c r="B164" s="1"/>
      <c r="C164" s="1"/>
      <c r="D164" s="1"/>
      <c r="E164" s="1"/>
      <c r="F164" s="12"/>
      <c r="G164" s="1"/>
      <c r="H164" s="1"/>
      <c r="I164" s="1"/>
      <c r="J164" s="23"/>
      <c r="K164" s="26"/>
      <c r="L164" s="20"/>
    </row>
    <row r="165" spans="1:12" ht="15" customHeight="1" x14ac:dyDescent="0.3">
      <c r="A165" s="1"/>
      <c r="B165" s="1"/>
      <c r="C165" s="1"/>
      <c r="D165" s="1"/>
      <c r="E165" s="1"/>
      <c r="F165" s="12"/>
      <c r="G165" s="1"/>
      <c r="H165" s="1"/>
      <c r="I165" s="1"/>
      <c r="J165" s="23"/>
      <c r="K165" s="26"/>
      <c r="L165" s="20"/>
    </row>
    <row r="166" spans="1:12" ht="15" customHeight="1" x14ac:dyDescent="0.3">
      <c r="A166" s="1"/>
      <c r="B166" s="1"/>
      <c r="C166" s="1"/>
      <c r="D166" s="1"/>
      <c r="E166" s="1"/>
      <c r="F166" s="12"/>
      <c r="G166" s="1"/>
      <c r="H166" s="1"/>
      <c r="I166" s="1"/>
      <c r="J166" s="23"/>
      <c r="K166" s="26"/>
      <c r="L166" s="20"/>
    </row>
    <row r="167" spans="1:12" ht="15" customHeight="1" x14ac:dyDescent="0.3">
      <c r="A167" s="1"/>
      <c r="B167" s="1"/>
      <c r="C167" s="1"/>
      <c r="D167" s="1"/>
      <c r="E167" s="1"/>
      <c r="F167" s="12"/>
      <c r="G167" s="1"/>
      <c r="H167" s="1"/>
      <c r="I167" s="1"/>
      <c r="J167" s="23"/>
      <c r="K167" s="26"/>
      <c r="L167" s="20"/>
    </row>
    <row r="168" spans="1:12" ht="15" customHeight="1" x14ac:dyDescent="0.3">
      <c r="A168" s="1"/>
      <c r="B168" s="1"/>
      <c r="C168" s="1"/>
      <c r="D168" s="1"/>
      <c r="E168" s="1"/>
      <c r="F168" s="12"/>
      <c r="G168" s="1"/>
      <c r="H168" s="1"/>
      <c r="I168" s="1"/>
      <c r="J168" s="23"/>
      <c r="K168" s="26"/>
      <c r="L168" s="20"/>
    </row>
    <row r="169" spans="1:12" ht="15" customHeight="1" x14ac:dyDescent="0.3">
      <c r="A169" s="1"/>
      <c r="B169" s="1"/>
      <c r="C169" s="1"/>
      <c r="D169" s="1"/>
      <c r="E169" s="1"/>
      <c r="F169" s="12"/>
      <c r="G169" s="1"/>
      <c r="H169" s="1"/>
      <c r="I169" s="1"/>
      <c r="J169" s="23"/>
      <c r="K169" s="26"/>
      <c r="L169" s="20"/>
    </row>
    <row r="170" spans="1:12" ht="15" customHeight="1" x14ac:dyDescent="0.3">
      <c r="A170" s="1"/>
      <c r="B170" s="1"/>
      <c r="C170" s="1"/>
      <c r="D170" s="1"/>
      <c r="E170" s="1"/>
      <c r="F170" s="12"/>
      <c r="G170" s="1"/>
      <c r="H170" s="1"/>
      <c r="I170" s="1"/>
      <c r="J170" s="23"/>
      <c r="K170" s="26"/>
      <c r="L170" s="20"/>
    </row>
    <row r="171" spans="1:12" ht="15" customHeight="1" x14ac:dyDescent="0.3">
      <c r="A171" s="1"/>
      <c r="B171" s="1"/>
      <c r="C171" s="1"/>
      <c r="D171" s="1"/>
      <c r="E171" s="1"/>
      <c r="F171" s="12"/>
      <c r="G171" s="1"/>
      <c r="H171" s="1"/>
      <c r="I171" s="1"/>
      <c r="J171" s="23"/>
      <c r="K171" s="26"/>
      <c r="L171" s="20"/>
    </row>
    <row r="172" spans="1:12" ht="15" customHeight="1" x14ac:dyDescent="0.3">
      <c r="A172" s="1"/>
      <c r="B172" s="1"/>
      <c r="C172" s="1"/>
      <c r="D172" s="1"/>
      <c r="E172" s="1"/>
      <c r="F172" s="12"/>
      <c r="G172" s="1"/>
      <c r="H172" s="1"/>
      <c r="I172" s="1"/>
      <c r="J172" s="23"/>
      <c r="K172" s="26"/>
      <c r="L172" s="20"/>
    </row>
    <row r="173" spans="1:12" ht="15" customHeight="1" x14ac:dyDescent="0.3">
      <c r="A173" s="1"/>
      <c r="B173" s="1"/>
      <c r="C173" s="1"/>
      <c r="D173" s="1"/>
      <c r="E173" s="1"/>
      <c r="F173" s="12"/>
      <c r="G173" s="1"/>
      <c r="H173" s="1"/>
      <c r="I173" s="1"/>
      <c r="J173" s="23"/>
      <c r="K173" s="26"/>
      <c r="L173" s="20"/>
    </row>
    <row r="174" spans="1:12" ht="15" customHeight="1" x14ac:dyDescent="0.3">
      <c r="A174" s="1"/>
      <c r="B174" s="1"/>
      <c r="C174" s="1"/>
      <c r="D174" s="1"/>
      <c r="E174" s="1"/>
      <c r="F174" s="12"/>
      <c r="G174" s="1"/>
      <c r="H174" s="1"/>
      <c r="I174" s="1"/>
      <c r="J174" s="23"/>
      <c r="K174" s="26"/>
      <c r="L174" s="20"/>
    </row>
    <row r="175" spans="1:12" ht="15" customHeight="1" x14ac:dyDescent="0.3">
      <c r="A175" s="1"/>
      <c r="B175" s="1"/>
      <c r="C175" s="1"/>
      <c r="D175" s="1"/>
      <c r="E175" s="1"/>
      <c r="F175" s="12"/>
      <c r="G175" s="1"/>
      <c r="H175" s="1"/>
      <c r="I175" s="1"/>
      <c r="J175" s="23"/>
      <c r="K175" s="26"/>
      <c r="L175" s="20"/>
    </row>
    <row r="176" spans="1:12" ht="15" customHeight="1" x14ac:dyDescent="0.3">
      <c r="A176" s="1"/>
      <c r="B176" s="1"/>
      <c r="C176" s="1"/>
      <c r="D176" s="1"/>
      <c r="E176" s="1"/>
      <c r="F176" s="12"/>
      <c r="G176" s="1"/>
      <c r="H176" s="1"/>
      <c r="I176" s="1"/>
      <c r="J176" s="23"/>
      <c r="K176" s="26"/>
      <c r="L176" s="20"/>
    </row>
    <row r="177" spans="1:12" ht="15" customHeight="1" x14ac:dyDescent="0.3">
      <c r="A177" s="1"/>
      <c r="B177" s="1"/>
      <c r="C177" s="1"/>
      <c r="D177" s="1"/>
      <c r="E177" s="1"/>
      <c r="F177" s="12"/>
      <c r="G177" s="1"/>
      <c r="H177" s="1"/>
      <c r="I177" s="1"/>
      <c r="J177" s="23"/>
      <c r="K177" s="26"/>
      <c r="L177" s="20"/>
    </row>
    <row r="178" spans="1:12" ht="15" customHeight="1" x14ac:dyDescent="0.3">
      <c r="A178" s="1"/>
      <c r="B178" s="1"/>
      <c r="C178" s="1"/>
      <c r="D178" s="1"/>
      <c r="E178" s="1"/>
      <c r="F178" s="12"/>
      <c r="G178" s="1"/>
      <c r="H178" s="1"/>
      <c r="I178" s="1"/>
      <c r="J178" s="23"/>
      <c r="K178" s="26"/>
      <c r="L178" s="20"/>
    </row>
    <row r="179" spans="1:12" ht="15" customHeight="1" x14ac:dyDescent="0.3">
      <c r="A179" s="1"/>
      <c r="B179" s="1"/>
      <c r="C179" s="1"/>
      <c r="D179" s="1"/>
      <c r="E179" s="1"/>
      <c r="F179" s="12"/>
      <c r="G179" s="1"/>
      <c r="H179" s="1"/>
      <c r="I179" s="1"/>
      <c r="J179" s="23"/>
      <c r="K179" s="26"/>
      <c r="L179" s="20"/>
    </row>
    <row r="180" spans="1:12" ht="15" customHeight="1" x14ac:dyDescent="0.3">
      <c r="A180" s="1"/>
      <c r="B180" s="1"/>
      <c r="C180" s="1"/>
      <c r="D180" s="1"/>
      <c r="E180" s="1"/>
      <c r="F180" s="12"/>
      <c r="G180" s="1"/>
      <c r="H180" s="1"/>
      <c r="I180" s="1"/>
      <c r="J180" s="23"/>
      <c r="K180" s="26"/>
      <c r="L180" s="20"/>
    </row>
    <row r="181" spans="1:12" ht="15" customHeight="1" x14ac:dyDescent="0.3">
      <c r="A181" s="1"/>
      <c r="B181" s="1"/>
      <c r="C181" s="1"/>
      <c r="D181" s="1"/>
      <c r="E181" s="1"/>
      <c r="F181" s="12"/>
      <c r="G181" s="1"/>
      <c r="H181" s="1"/>
      <c r="I181" s="1"/>
      <c r="J181" s="23"/>
      <c r="K181" s="26"/>
      <c r="L181" s="20"/>
    </row>
    <row r="182" spans="1:12" ht="15" customHeight="1" x14ac:dyDescent="0.3">
      <c r="A182" s="1"/>
      <c r="B182" s="1"/>
      <c r="C182" s="1"/>
      <c r="D182" s="1"/>
      <c r="E182" s="1"/>
      <c r="F182" s="12"/>
      <c r="G182" s="1"/>
      <c r="H182" s="1"/>
      <c r="I182" s="1"/>
      <c r="J182" s="23"/>
      <c r="K182" s="26"/>
      <c r="L182" s="20"/>
    </row>
    <row r="183" spans="1:12" ht="15" customHeight="1" x14ac:dyDescent="0.3">
      <c r="A183" s="1"/>
      <c r="B183" s="1"/>
      <c r="C183" s="1"/>
      <c r="D183" s="1"/>
      <c r="E183" s="1"/>
      <c r="F183" s="12"/>
      <c r="G183" s="1"/>
      <c r="H183" s="1"/>
      <c r="I183" s="1"/>
      <c r="J183" s="23"/>
      <c r="K183" s="26"/>
      <c r="L183" s="20"/>
    </row>
    <row r="184" spans="1:12" ht="15" customHeight="1" x14ac:dyDescent="0.3">
      <c r="A184" s="1"/>
      <c r="B184" s="1"/>
      <c r="C184" s="1"/>
      <c r="D184" s="1"/>
      <c r="E184" s="1"/>
      <c r="F184" s="12"/>
      <c r="G184" s="1"/>
      <c r="H184" s="1"/>
      <c r="I184" s="1"/>
      <c r="J184" s="23"/>
      <c r="K184" s="26"/>
      <c r="L184" s="20"/>
    </row>
    <row r="185" spans="1:12" ht="15" customHeight="1" x14ac:dyDescent="0.3">
      <c r="A185" s="1"/>
      <c r="B185" s="1"/>
      <c r="C185" s="1"/>
      <c r="D185" s="1"/>
      <c r="E185" s="1"/>
      <c r="F185" s="12"/>
      <c r="G185" s="1"/>
      <c r="H185" s="1"/>
      <c r="I185" s="1"/>
      <c r="J185" s="23"/>
      <c r="K185" s="26"/>
      <c r="L185" s="20"/>
    </row>
    <row r="186" spans="1:12" ht="15" customHeight="1" x14ac:dyDescent="0.3">
      <c r="A186" s="1"/>
      <c r="B186" s="1"/>
      <c r="C186" s="1"/>
      <c r="D186" s="1"/>
      <c r="E186" s="1"/>
      <c r="F186" s="12"/>
      <c r="G186" s="1"/>
      <c r="H186" s="1"/>
      <c r="I186" s="1"/>
      <c r="J186" s="23"/>
      <c r="K186" s="26"/>
      <c r="L186" s="20"/>
    </row>
    <row r="187" spans="1:12" ht="15" customHeight="1" x14ac:dyDescent="0.3">
      <c r="A187" s="1"/>
      <c r="B187" s="1"/>
      <c r="C187" s="1"/>
      <c r="D187" s="1"/>
      <c r="E187" s="1"/>
      <c r="F187" s="12"/>
      <c r="G187" s="1"/>
      <c r="H187" s="1"/>
      <c r="I187" s="1"/>
      <c r="J187" s="23"/>
      <c r="K187" s="26"/>
      <c r="L187" s="20"/>
    </row>
    <row r="188" spans="1:12" ht="15" customHeight="1" x14ac:dyDescent="0.3">
      <c r="A188" s="1"/>
      <c r="B188" s="1"/>
      <c r="C188" s="1"/>
      <c r="D188" s="1"/>
      <c r="E188" s="1"/>
      <c r="F188" s="12"/>
      <c r="G188" s="1"/>
      <c r="H188" s="1"/>
      <c r="I188" s="1"/>
      <c r="J188" s="23"/>
      <c r="K188" s="26"/>
      <c r="L188" s="20"/>
    </row>
    <row r="189" spans="1:12" ht="15" customHeight="1" x14ac:dyDescent="0.3">
      <c r="A189" s="1"/>
      <c r="B189" s="1"/>
      <c r="C189" s="1"/>
      <c r="D189" s="1"/>
      <c r="E189" s="1"/>
      <c r="F189" s="12"/>
      <c r="G189" s="1"/>
      <c r="H189" s="1"/>
      <c r="I189" s="1"/>
      <c r="J189" s="23"/>
      <c r="K189" s="26"/>
      <c r="L189" s="20"/>
    </row>
    <row r="190" spans="1:12" ht="15" customHeight="1" x14ac:dyDescent="0.3">
      <c r="A190" s="1"/>
      <c r="B190" s="1"/>
      <c r="C190" s="1"/>
      <c r="D190" s="1"/>
      <c r="E190" s="1"/>
      <c r="F190" s="12"/>
      <c r="G190" s="1"/>
      <c r="H190" s="1"/>
      <c r="I190" s="1"/>
      <c r="J190" s="23"/>
      <c r="K190" s="26"/>
      <c r="L190" s="20"/>
    </row>
    <row r="191" spans="1:12" ht="15" customHeight="1" x14ac:dyDescent="0.3">
      <c r="A191" s="1"/>
      <c r="B191" s="1"/>
      <c r="C191" s="1"/>
      <c r="D191" s="1"/>
      <c r="E191" s="1"/>
      <c r="F191" s="12"/>
      <c r="G191" s="1"/>
      <c r="H191" s="1"/>
      <c r="I191" s="1"/>
      <c r="J191" s="23"/>
      <c r="K191" s="26"/>
      <c r="L191" s="20"/>
    </row>
    <row r="192" spans="1:12" ht="15" customHeight="1" x14ac:dyDescent="0.3">
      <c r="A192" s="1"/>
      <c r="B192" s="1"/>
      <c r="C192" s="1"/>
      <c r="D192" s="1"/>
      <c r="E192" s="1"/>
      <c r="F192" s="12"/>
      <c r="G192" s="1"/>
      <c r="H192" s="1"/>
      <c r="I192" s="1"/>
      <c r="J192" s="23"/>
      <c r="K192" s="26"/>
      <c r="L192" s="20"/>
    </row>
    <row r="193" spans="1:12" ht="15" customHeight="1" x14ac:dyDescent="0.3">
      <c r="A193" s="1"/>
      <c r="B193" s="1"/>
      <c r="C193" s="1"/>
      <c r="D193" s="1"/>
      <c r="E193" s="1"/>
      <c r="F193" s="12"/>
      <c r="G193" s="1"/>
      <c r="H193" s="1"/>
      <c r="I193" s="1"/>
      <c r="J193" s="23"/>
      <c r="K193" s="26"/>
      <c r="L193" s="20"/>
    </row>
    <row r="194" spans="1:12" ht="15" customHeight="1" x14ac:dyDescent="0.3">
      <c r="A194" s="1"/>
      <c r="B194" s="1"/>
      <c r="C194" s="1"/>
      <c r="D194" s="1"/>
      <c r="E194" s="1"/>
      <c r="F194" s="12"/>
      <c r="G194" s="1"/>
      <c r="H194" s="1"/>
      <c r="I194" s="1"/>
      <c r="J194" s="23"/>
      <c r="K194" s="26"/>
      <c r="L194" s="20"/>
    </row>
    <row r="195" spans="1:12" ht="15" customHeight="1" x14ac:dyDescent="0.3">
      <c r="A195" s="1"/>
      <c r="B195" s="1"/>
      <c r="C195" s="1"/>
      <c r="D195" s="1"/>
      <c r="E195" s="1"/>
      <c r="F195" s="12"/>
      <c r="G195" s="1"/>
      <c r="H195" s="1"/>
      <c r="I195" s="1"/>
      <c r="J195" s="23"/>
      <c r="K195" s="26"/>
      <c r="L195" s="20"/>
    </row>
    <row r="196" spans="1:12" ht="15" customHeight="1" x14ac:dyDescent="0.3">
      <c r="A196" s="1"/>
      <c r="B196" s="1"/>
      <c r="C196" s="1"/>
      <c r="D196" s="1"/>
      <c r="E196" s="1"/>
      <c r="F196" s="12"/>
      <c r="G196" s="1"/>
      <c r="H196" s="1"/>
      <c r="I196" s="1"/>
      <c r="J196" s="23"/>
      <c r="K196" s="26"/>
      <c r="L196" s="20"/>
    </row>
    <row r="197" spans="1:12" ht="15" customHeight="1" x14ac:dyDescent="0.3">
      <c r="A197" s="1"/>
      <c r="B197" s="1"/>
      <c r="C197" s="1"/>
      <c r="D197" s="1"/>
      <c r="E197" s="1"/>
      <c r="F197" s="12"/>
      <c r="G197" s="1"/>
      <c r="H197" s="1"/>
      <c r="I197" s="1"/>
      <c r="J197" s="23"/>
      <c r="K197" s="26"/>
      <c r="L197" s="20"/>
    </row>
    <row r="198" spans="1:12" ht="15" customHeight="1" x14ac:dyDescent="0.3">
      <c r="A198" s="1"/>
      <c r="B198" s="1"/>
      <c r="C198" s="1"/>
      <c r="D198" s="1"/>
      <c r="E198" s="1"/>
      <c r="F198" s="12"/>
      <c r="G198" s="1"/>
      <c r="H198" s="1"/>
      <c r="I198" s="1"/>
      <c r="J198" s="23"/>
      <c r="K198" s="26"/>
      <c r="L198" s="20"/>
    </row>
    <row r="199" spans="1:12" ht="15" customHeight="1" x14ac:dyDescent="0.3">
      <c r="A199" s="1"/>
      <c r="B199" s="1"/>
      <c r="C199" s="1"/>
      <c r="D199" s="1"/>
      <c r="E199" s="1"/>
      <c r="F199" s="12"/>
      <c r="G199" s="1"/>
      <c r="H199" s="1"/>
      <c r="I199" s="1"/>
      <c r="J199" s="23"/>
      <c r="K199" s="26"/>
      <c r="L199" s="20"/>
    </row>
    <row r="200" spans="1:12" ht="15" customHeight="1" x14ac:dyDescent="0.3">
      <c r="A200" s="1"/>
      <c r="B200" s="1"/>
      <c r="C200" s="1"/>
      <c r="D200" s="1"/>
      <c r="E200" s="1"/>
      <c r="F200" s="12"/>
      <c r="G200" s="1"/>
      <c r="H200" s="1"/>
      <c r="I200" s="1"/>
      <c r="J200" s="23"/>
      <c r="K200" s="26"/>
      <c r="L200" s="20"/>
    </row>
    <row r="201" spans="1:12" ht="15" customHeight="1" x14ac:dyDescent="0.3">
      <c r="A201" s="1"/>
      <c r="B201" s="1"/>
      <c r="C201" s="1"/>
      <c r="D201" s="1"/>
      <c r="E201" s="1"/>
      <c r="F201" s="12"/>
      <c r="G201" s="1"/>
      <c r="H201" s="1"/>
      <c r="I201" s="1"/>
      <c r="J201" s="23"/>
      <c r="K201" s="26"/>
      <c r="L201" s="20"/>
    </row>
    <row r="202" spans="1:12" ht="15" customHeight="1" x14ac:dyDescent="0.3">
      <c r="A202" s="1"/>
      <c r="B202" s="1"/>
      <c r="C202" s="1"/>
      <c r="D202" s="1"/>
      <c r="E202" s="1"/>
      <c r="F202" s="12"/>
      <c r="G202" s="1"/>
      <c r="H202" s="1"/>
      <c r="I202" s="1"/>
      <c r="J202" s="23"/>
      <c r="K202" s="26"/>
      <c r="L202" s="20"/>
    </row>
    <row r="203" spans="1:12" ht="15" customHeight="1" x14ac:dyDescent="0.3">
      <c r="A203" s="1"/>
      <c r="B203" s="1"/>
      <c r="C203" s="1"/>
      <c r="D203" s="1"/>
      <c r="E203" s="1"/>
      <c r="F203" s="12"/>
      <c r="G203" s="1"/>
      <c r="H203" s="1"/>
      <c r="I203" s="1"/>
      <c r="J203" s="23"/>
      <c r="K203" s="26"/>
      <c r="L203" s="20"/>
    </row>
    <row r="204" spans="1:12" ht="15" customHeight="1" x14ac:dyDescent="0.3">
      <c r="A204" s="1"/>
      <c r="B204" s="1"/>
      <c r="C204" s="1"/>
      <c r="D204" s="1"/>
      <c r="E204" s="1"/>
      <c r="F204" s="12"/>
      <c r="G204" s="1"/>
      <c r="H204" s="1"/>
      <c r="I204" s="1"/>
      <c r="J204" s="23"/>
      <c r="K204" s="26"/>
      <c r="L204" s="20"/>
    </row>
  </sheetData>
  <sheetProtection algorithmName="SHA-512" hashValue="c27/r2wlJB7b9WBjfTGXXcQoMcga1auzLVYoW/f90SZiIvy6LNpRNgmY1/oUjBNVRJiP9xJ+OTqLsEPGO1guxg==" saltValue="zR+0AYh3H2jQqdBzs88Zsw==" spinCount="100000" sheet="1" objects="1" scenarios="1"/>
  <autoFilter ref="A4:L204" xr:uid="{00000000-0009-0000-0000-000003000000}"/>
  <mergeCells count="2">
    <mergeCell ref="A1:L1"/>
    <mergeCell ref="A2:L2"/>
  </mergeCells>
  <conditionalFormatting sqref="H5:H204">
    <cfRule type="cellIs" dxfId="18" priority="2" operator="equal">
      <formula>"Approved"</formula>
    </cfRule>
    <cfRule type="cellIs" dxfId="17" priority="3" operator="equal">
      <formula>"Rejected"</formula>
    </cfRule>
    <cfRule type="cellIs" dxfId="16" priority="4" operator="equal">
      <formula>"Submitted"</formula>
    </cfRule>
    <cfRule type="cellIs" dxfId="15" priority="5" operator="equal">
      <formula>"Paid"</formula>
    </cfRule>
  </conditionalFormatting>
  <dataValidations count="4">
    <dataValidation type="list" allowBlank="1" sqref="H5:H204" xr:uid="{00000000-0002-0000-0300-000000000000}">
      <formula1>"Draft,Submitted,Approved,Rejected,Paid"</formula1>
      <formula2>0</formula2>
    </dataValidation>
    <dataValidation type="list" allowBlank="1" showInputMessage="1" showErrorMessage="1" sqref="K5" xr:uid="{D6479333-6509-41E0-8AC5-31E4FEDE84F6}">
      <formula1>"S.C,"</formula1>
    </dataValidation>
    <dataValidation type="list" allowBlank="1" showInputMessage="1" showErrorMessage="1" sqref="K6:K204" xr:uid="{BA6B6FD3-0801-4811-8468-9E0E8138A727}">
      <formula1>"S.C."</formula1>
    </dataValidation>
    <dataValidation type="date" allowBlank="1" showInputMessage="1" showErrorMessage="1" sqref="L5:L204" xr:uid="{63312282-FCA7-452A-9F46-645B8168B141}">
      <formula1>46023</formula1>
      <formula2>46387</formula2>
    </dataValidation>
  </dataValidation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85AB1-1A64-4960-AD28-60D6E5C211AA}">
  <sheetPr codeName="Sheet8">
    <tabColor theme="0"/>
  </sheetPr>
  <dimension ref="A1:L12"/>
  <sheetViews>
    <sheetView workbookViewId="0">
      <pane ySplit="4" topLeftCell="A5" activePane="bottomLeft" state="frozen"/>
      <selection pane="bottomLeft" activeCell="I19" sqref="I19"/>
    </sheetView>
  </sheetViews>
  <sheetFormatPr defaultRowHeight="14.4" x14ac:dyDescent="0.3"/>
  <cols>
    <col min="1" max="1" width="14.5546875" customWidth="1"/>
    <col min="2" max="2" width="16.44140625" customWidth="1"/>
    <col min="3" max="3" width="32.6640625" customWidth="1"/>
    <col min="6" max="6" width="20" customWidth="1"/>
    <col min="7" max="7" width="25.44140625" customWidth="1"/>
    <col min="9" max="9" width="63.5546875" customWidth="1"/>
    <col min="10" max="10" width="18.109375" customWidth="1"/>
    <col min="11" max="11" width="11.5546875" bestFit="1" customWidth="1"/>
    <col min="12" max="12" width="12.109375" customWidth="1"/>
  </cols>
  <sheetData>
    <row r="1" spans="1:12" ht="25.8" x14ac:dyDescent="0.5">
      <c r="A1" s="170" t="s">
        <v>567</v>
      </c>
      <c r="B1" s="170"/>
      <c r="C1" s="170"/>
      <c r="D1" s="170"/>
      <c r="E1" s="170"/>
      <c r="F1" s="170"/>
      <c r="G1" s="170"/>
      <c r="H1" s="170"/>
      <c r="I1" s="170"/>
      <c r="J1" s="170"/>
      <c r="K1" s="170"/>
      <c r="L1" s="170"/>
    </row>
    <row r="2" spans="1:12" x14ac:dyDescent="0.3">
      <c r="A2" s="171" t="s">
        <v>568</v>
      </c>
      <c r="B2" s="171"/>
      <c r="C2" s="171"/>
      <c r="D2" s="171"/>
      <c r="E2" s="171"/>
      <c r="F2" s="171"/>
      <c r="G2" s="171"/>
      <c r="H2" s="171"/>
      <c r="I2" s="171"/>
      <c r="J2" s="171"/>
      <c r="K2" s="171"/>
      <c r="L2" s="171"/>
    </row>
    <row r="3" spans="1:12" x14ac:dyDescent="0.3">
      <c r="A3" s="28"/>
      <c r="B3" s="28"/>
      <c r="C3" s="28"/>
      <c r="D3" s="28"/>
      <c r="E3" s="28"/>
      <c r="F3" s="28"/>
      <c r="G3" s="28"/>
      <c r="H3" s="28"/>
      <c r="I3" s="28"/>
      <c r="J3" s="28"/>
      <c r="K3" s="28"/>
      <c r="L3" s="28"/>
    </row>
    <row r="4" spans="1:12" x14ac:dyDescent="0.3">
      <c r="A4" s="172" t="s">
        <v>569</v>
      </c>
      <c r="B4" s="172" t="s">
        <v>1</v>
      </c>
      <c r="C4" s="172" t="s">
        <v>485</v>
      </c>
      <c r="D4" s="172" t="s">
        <v>281</v>
      </c>
      <c r="E4" s="172" t="s">
        <v>496</v>
      </c>
      <c r="F4" s="172" t="s">
        <v>309</v>
      </c>
      <c r="G4" s="172" t="s">
        <v>310</v>
      </c>
      <c r="H4" s="172" t="s">
        <v>280</v>
      </c>
      <c r="I4" s="172" t="s">
        <v>308</v>
      </c>
      <c r="J4" s="172" t="s">
        <v>570</v>
      </c>
      <c r="K4" s="172" t="s">
        <v>571</v>
      </c>
      <c r="L4" s="173" t="s">
        <v>572</v>
      </c>
    </row>
    <row r="5" spans="1:12" x14ac:dyDescent="0.3">
      <c r="A5" s="174" t="s">
        <v>341</v>
      </c>
      <c r="B5" s="175">
        <v>46055</v>
      </c>
      <c r="C5" s="174" t="s">
        <v>514</v>
      </c>
      <c r="D5" s="174" t="s">
        <v>286</v>
      </c>
      <c r="E5" s="174" t="s">
        <v>526</v>
      </c>
      <c r="F5" s="176">
        <v>673478.96</v>
      </c>
      <c r="G5" s="174" t="s">
        <v>573</v>
      </c>
      <c r="H5" s="177" t="s">
        <v>574</v>
      </c>
      <c r="I5" s="174" t="s">
        <v>575</v>
      </c>
      <c r="J5" s="178" t="s">
        <v>335</v>
      </c>
      <c r="K5" s="178" t="s">
        <v>576</v>
      </c>
      <c r="L5" s="179">
        <v>46052</v>
      </c>
    </row>
    <row r="6" spans="1:12" x14ac:dyDescent="0.3">
      <c r="A6" s="180" t="s">
        <v>347</v>
      </c>
      <c r="B6" s="181">
        <v>46059</v>
      </c>
      <c r="C6" s="180" t="s">
        <v>525</v>
      </c>
      <c r="D6" s="180" t="s">
        <v>286</v>
      </c>
      <c r="E6" s="180" t="s">
        <v>526</v>
      </c>
      <c r="F6" s="182">
        <v>215000</v>
      </c>
      <c r="G6" s="180" t="s">
        <v>577</v>
      </c>
      <c r="H6" s="183" t="s">
        <v>574</v>
      </c>
      <c r="I6" s="180" t="s">
        <v>578</v>
      </c>
      <c r="J6" s="184" t="s">
        <v>344</v>
      </c>
      <c r="K6" s="184"/>
      <c r="L6" s="185">
        <v>46059</v>
      </c>
    </row>
    <row r="7" spans="1:12" x14ac:dyDescent="0.3">
      <c r="A7" s="180" t="s">
        <v>351</v>
      </c>
      <c r="B7" s="181">
        <v>46076</v>
      </c>
      <c r="C7" s="1" t="s">
        <v>579</v>
      </c>
      <c r="D7" s="180" t="s">
        <v>286</v>
      </c>
      <c r="E7" s="180" t="s">
        <v>526</v>
      </c>
      <c r="F7" s="182">
        <v>129084.75</v>
      </c>
      <c r="G7" s="180" t="s">
        <v>577</v>
      </c>
      <c r="H7" s="183" t="s">
        <v>574</v>
      </c>
      <c r="I7" s="180" t="s">
        <v>580</v>
      </c>
      <c r="J7" s="184" t="s">
        <v>332</v>
      </c>
      <c r="K7" s="184"/>
      <c r="L7" s="185">
        <v>46059</v>
      </c>
    </row>
    <row r="8" spans="1:12" x14ac:dyDescent="0.3">
      <c r="A8" s="180" t="s">
        <v>363</v>
      </c>
      <c r="B8" s="181">
        <v>46091</v>
      </c>
      <c r="C8" s="1" t="s">
        <v>525</v>
      </c>
      <c r="D8" s="180" t="s">
        <v>286</v>
      </c>
      <c r="E8" s="180" t="s">
        <v>529</v>
      </c>
      <c r="F8" s="182">
        <v>275000</v>
      </c>
      <c r="G8" s="180" t="s">
        <v>577</v>
      </c>
      <c r="H8" s="183" t="s">
        <v>574</v>
      </c>
      <c r="I8" s="180" t="s">
        <v>581</v>
      </c>
      <c r="J8" s="184" t="s">
        <v>360</v>
      </c>
      <c r="K8" s="184" t="s">
        <v>582</v>
      </c>
      <c r="L8" s="185">
        <v>46091</v>
      </c>
    </row>
    <row r="9" spans="1:12" x14ac:dyDescent="0.3">
      <c r="A9" s="180" t="s">
        <v>371</v>
      </c>
      <c r="B9" s="181">
        <v>46120</v>
      </c>
      <c r="C9" s="1" t="s">
        <v>525</v>
      </c>
      <c r="D9" s="180" t="s">
        <v>288</v>
      </c>
      <c r="E9" s="180" t="s">
        <v>538</v>
      </c>
      <c r="F9" s="182">
        <v>432000</v>
      </c>
      <c r="G9" s="180" t="s">
        <v>577</v>
      </c>
      <c r="H9" s="183" t="s">
        <v>574</v>
      </c>
      <c r="I9" s="180" t="s">
        <v>583</v>
      </c>
      <c r="J9" s="184" t="s">
        <v>360</v>
      </c>
      <c r="K9" s="184" t="s">
        <v>582</v>
      </c>
      <c r="L9" s="185">
        <v>46091</v>
      </c>
    </row>
    <row r="10" spans="1:12" x14ac:dyDescent="0.3">
      <c r="A10" s="180" t="s">
        <v>374</v>
      </c>
      <c r="B10" s="181">
        <v>46128</v>
      </c>
      <c r="C10" s="1" t="s">
        <v>584</v>
      </c>
      <c r="D10" s="180" t="s">
        <v>288</v>
      </c>
      <c r="E10" s="180" t="s">
        <v>538</v>
      </c>
      <c r="F10" s="182">
        <v>1100000</v>
      </c>
      <c r="G10" s="180" t="s">
        <v>577</v>
      </c>
      <c r="H10" s="183" t="s">
        <v>574</v>
      </c>
      <c r="I10" s="180" t="s">
        <v>584</v>
      </c>
      <c r="J10" s="184"/>
      <c r="K10" s="184" t="s">
        <v>582</v>
      </c>
      <c r="L10" s="185">
        <v>46128</v>
      </c>
    </row>
    <row r="11" spans="1:12" x14ac:dyDescent="0.3">
      <c r="A11" t="s">
        <v>390</v>
      </c>
      <c r="B11" s="25">
        <v>46176</v>
      </c>
      <c r="C11" t="s">
        <v>585</v>
      </c>
      <c r="D11" t="s">
        <v>290</v>
      </c>
      <c r="E11" t="s">
        <v>552</v>
      </c>
      <c r="F11" s="182">
        <v>1600000</v>
      </c>
      <c r="G11" s="180" t="s">
        <v>577</v>
      </c>
      <c r="H11" s="362" t="s">
        <v>574</v>
      </c>
      <c r="I11" t="s">
        <v>585</v>
      </c>
      <c r="K11" t="s">
        <v>582</v>
      </c>
      <c r="L11" s="181">
        <v>46176</v>
      </c>
    </row>
    <row r="12" spans="1:12" x14ac:dyDescent="0.3">
      <c r="A12" t="s">
        <v>403</v>
      </c>
      <c r="B12" s="25">
        <v>46223</v>
      </c>
      <c r="C12" t="s">
        <v>586</v>
      </c>
      <c r="D12" t="s">
        <v>290</v>
      </c>
      <c r="E12" t="s">
        <v>555</v>
      </c>
      <c r="F12" s="402">
        <v>118166.19</v>
      </c>
      <c r="G12" s="180" t="s">
        <v>577</v>
      </c>
      <c r="H12" s="362" t="s">
        <v>574</v>
      </c>
      <c r="I12" t="s">
        <v>587</v>
      </c>
      <c r="K12" t="s">
        <v>582</v>
      </c>
      <c r="L12" s="25">
        <v>46223</v>
      </c>
    </row>
  </sheetData>
  <phoneticPr fontId="2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95"/>
  <sheetViews>
    <sheetView showGridLines="0" zoomScaleNormal="100" workbookViewId="0">
      <pane xSplit="1" ySplit="5" topLeftCell="B6" activePane="bottomRight" state="frozen"/>
      <selection pane="topRight" activeCell="J6" sqref="J6:K6"/>
      <selection pane="bottomLeft" activeCell="J6" sqref="J6:K6"/>
      <selection pane="bottomRight" activeCell="B47" sqref="B47"/>
    </sheetView>
  </sheetViews>
  <sheetFormatPr defaultColWidth="8.5546875" defaultRowHeight="14.4" x14ac:dyDescent="0.3"/>
  <cols>
    <col min="1" max="1" width="38" customWidth="1"/>
    <col min="2" max="8" width="14" customWidth="1"/>
    <col min="9" max="10" width="10" customWidth="1"/>
    <col min="11" max="11" width="14" style="27" customWidth="1"/>
    <col min="12" max="13" width="14" customWidth="1"/>
  </cols>
  <sheetData>
    <row r="1" spans="1:13" ht="24" customHeight="1" x14ac:dyDescent="0.3">
      <c r="A1" s="415" t="s">
        <v>588</v>
      </c>
      <c r="B1" s="415"/>
      <c r="C1" s="415"/>
      <c r="D1" s="415"/>
      <c r="E1" s="415"/>
      <c r="F1" s="415"/>
      <c r="G1" s="415"/>
      <c r="H1" s="415"/>
      <c r="I1" s="415"/>
      <c r="J1" s="415"/>
      <c r="K1"/>
    </row>
    <row r="2" spans="1:13" ht="15" customHeight="1" x14ac:dyDescent="0.3">
      <c r="A2" s="416" t="s">
        <v>589</v>
      </c>
      <c r="B2" s="416"/>
      <c r="C2" s="416"/>
      <c r="D2" s="416"/>
      <c r="E2" s="416"/>
      <c r="F2" s="416"/>
      <c r="G2" s="416"/>
      <c r="H2" s="416"/>
      <c r="I2" s="416"/>
      <c r="J2" s="416"/>
      <c r="K2"/>
    </row>
    <row r="3" spans="1:13" x14ac:dyDescent="0.3">
      <c r="K3"/>
    </row>
    <row r="4" spans="1:13" x14ac:dyDescent="0.3">
      <c r="K4"/>
    </row>
    <row r="5" spans="1:13" ht="33" customHeight="1" x14ac:dyDescent="0.3">
      <c r="A5" s="11" t="s">
        <v>485</v>
      </c>
      <c r="B5" s="11" t="s">
        <v>286</v>
      </c>
      <c r="C5" s="11" t="s">
        <v>288</v>
      </c>
      <c r="D5" s="11" t="s">
        <v>290</v>
      </c>
      <c r="E5" s="11" t="s">
        <v>292</v>
      </c>
      <c r="F5" s="11" t="s">
        <v>590</v>
      </c>
      <c r="G5" s="11" t="s">
        <v>591</v>
      </c>
      <c r="H5" s="11" t="s">
        <v>266</v>
      </c>
      <c r="I5" s="11" t="s">
        <v>279</v>
      </c>
      <c r="K5" s="172" t="s">
        <v>264</v>
      </c>
      <c r="L5" s="186" t="s">
        <v>277</v>
      </c>
      <c r="M5" s="268" t="s">
        <v>592</v>
      </c>
    </row>
    <row r="6" spans="1:13" ht="15" customHeight="1" x14ac:dyDescent="0.3">
      <c r="A6" s="439" t="s">
        <v>285</v>
      </c>
      <c r="B6" s="439"/>
      <c r="C6" s="439"/>
      <c r="D6" s="439"/>
      <c r="E6" s="439"/>
      <c r="F6" s="439"/>
      <c r="G6" s="439"/>
      <c r="H6" s="439"/>
      <c r="I6" s="439"/>
      <c r="J6" s="440"/>
      <c r="K6" s="187"/>
      <c r="L6" s="188"/>
      <c r="M6" s="188"/>
    </row>
    <row r="7" spans="1:13" ht="15" customHeight="1" x14ac:dyDescent="0.3">
      <c r="A7" s="1" t="s">
        <v>514</v>
      </c>
      <c r="B7" s="35">
        <v>1350000</v>
      </c>
      <c r="C7" s="35">
        <v>0</v>
      </c>
      <c r="D7" s="35">
        <v>0</v>
      </c>
      <c r="E7" s="35">
        <v>0</v>
      </c>
      <c r="F7" s="12">
        <f t="shared" ref="F7:F12" si="0">SUM(B7:E7)</f>
        <v>1350000</v>
      </c>
      <c r="G7" s="12">
        <f>SUMIF(Draw_Register!$C:$C,$A7,Draw_Register!$F:$F)</f>
        <v>2016417.2799999998</v>
      </c>
      <c r="H7" s="12">
        <f t="shared" ref="H7:H12" si="1">B7-G7+K7</f>
        <v>7061.6800000001676</v>
      </c>
      <c r="I7" s="13">
        <f t="shared" ref="I7:I12" si="2">IF(B7=0,0,L7/B7)</f>
        <v>0.99476912592592581</v>
      </c>
      <c r="J7" s="37" t="str">
        <f>IF(I7&gt;1,"⚠ OVER",IF(I7&gt;0.9,"⚠ HIGH","✓"))</f>
        <v>⚠ HIGH</v>
      </c>
      <c r="K7" s="33">
        <f>SUMIF(Inflow_Register!$C:$C,$A7,Inflow_Register!$F:$F)</f>
        <v>673478.96</v>
      </c>
      <c r="L7" s="34">
        <f>G7-K7</f>
        <v>1342938.3199999998</v>
      </c>
      <c r="M7" s="34">
        <f>+B7-G7+K7</f>
        <v>7061.6800000001676</v>
      </c>
    </row>
    <row r="8" spans="1:13" ht="15" customHeight="1" x14ac:dyDescent="0.3">
      <c r="A8" s="1" t="s">
        <v>593</v>
      </c>
      <c r="B8" s="35">
        <v>0</v>
      </c>
      <c r="C8" s="35">
        <v>0</v>
      </c>
      <c r="D8" s="35">
        <v>0</v>
      </c>
      <c r="E8" s="35">
        <v>0</v>
      </c>
      <c r="F8" s="12">
        <f t="shared" si="0"/>
        <v>0</v>
      </c>
      <c r="G8" s="12">
        <f>SUMIF(Draw_Register!$C:$C,$A8,Draw_Register!$F:$F)</f>
        <v>0</v>
      </c>
      <c r="H8" s="12">
        <f t="shared" si="1"/>
        <v>0</v>
      </c>
      <c r="I8" s="13">
        <f t="shared" si="2"/>
        <v>0</v>
      </c>
      <c r="J8" s="37" t="str">
        <f t="shared" ref="J8:J12" si="3">IF(I8&gt;1,"⚠ OVER",IF(I8&gt;0.9,"⚠ HIGH","✓"))</f>
        <v>✓</v>
      </c>
      <c r="K8" s="189">
        <f>SUMIF(Inflow_Register!$C:$C,$A8,Inflow_Register!$F:$F)</f>
        <v>0</v>
      </c>
      <c r="L8" s="190">
        <f t="shared" ref="L8:L12" si="4">G8-K8</f>
        <v>0</v>
      </c>
      <c r="M8" s="34">
        <f t="shared" ref="M8:M12" si="5">+B8-G8+K8</f>
        <v>0</v>
      </c>
    </row>
    <row r="9" spans="1:13" ht="15" customHeight="1" x14ac:dyDescent="0.3">
      <c r="A9" s="1" t="s">
        <v>594</v>
      </c>
      <c r="B9" s="35">
        <v>0</v>
      </c>
      <c r="C9" s="35">
        <v>577075.81000000006</v>
      </c>
      <c r="D9" s="35">
        <v>864000</v>
      </c>
      <c r="E9" s="35">
        <v>864000</v>
      </c>
      <c r="F9" s="12">
        <f t="shared" si="0"/>
        <v>2305075.81</v>
      </c>
      <c r="G9" s="12">
        <f>SUMIF(Draw_Register!$C:$C,$A9,Draw_Register!$F:$F)</f>
        <v>0</v>
      </c>
      <c r="H9" s="12">
        <f t="shared" si="1"/>
        <v>0</v>
      </c>
      <c r="I9" s="13">
        <f t="shared" si="2"/>
        <v>0</v>
      </c>
      <c r="J9" s="37" t="str">
        <f>IF(I9&gt;1,"⚠ OVER",IF(I9&gt;0.9,"⚠ HIGH","✓"))</f>
        <v>✓</v>
      </c>
      <c r="K9" s="191">
        <f>SUMIF(Inflow_Register!$C:$C,$A9,Inflow_Register!$F:$F)</f>
        <v>0</v>
      </c>
      <c r="L9" s="192">
        <f t="shared" si="4"/>
        <v>0</v>
      </c>
      <c r="M9" s="34">
        <f t="shared" si="5"/>
        <v>0</v>
      </c>
    </row>
    <row r="10" spans="1:13" ht="15" customHeight="1" x14ac:dyDescent="0.3">
      <c r="A10" s="1" t="s">
        <v>525</v>
      </c>
      <c r="B10" s="35">
        <v>400000</v>
      </c>
      <c r="C10" s="35">
        <v>0</v>
      </c>
      <c r="D10" s="35">
        <v>0</v>
      </c>
      <c r="E10" s="35">
        <v>0</v>
      </c>
      <c r="F10" s="12">
        <f>SUM(B10:E10)</f>
        <v>400000</v>
      </c>
      <c r="G10" s="12">
        <f>SUMIF(Draw_Register!$C:$C,$A10,Draw_Register!$F:$F)</f>
        <v>2932356.29</v>
      </c>
      <c r="H10" s="12">
        <f t="shared" si="1"/>
        <v>-1610356.29</v>
      </c>
      <c r="I10" s="13">
        <f t="shared" si="2"/>
        <v>5.025890725</v>
      </c>
      <c r="J10" s="37" t="str">
        <f t="shared" si="3"/>
        <v>⚠ OVER</v>
      </c>
      <c r="K10" s="189">
        <f>SUMIF(Inflow_Register!$C:$C,$A10,Inflow_Register!$F:$F)</f>
        <v>922000</v>
      </c>
      <c r="L10" s="190">
        <f>G10-K10</f>
        <v>2010356.29</v>
      </c>
      <c r="M10" s="34">
        <f t="shared" si="5"/>
        <v>-1610356.29</v>
      </c>
    </row>
    <row r="11" spans="1:13" ht="15" customHeight="1" x14ac:dyDescent="0.3">
      <c r="A11" s="1" t="s">
        <v>541</v>
      </c>
      <c r="B11" s="35">
        <v>0</v>
      </c>
      <c r="C11" s="35">
        <v>800000</v>
      </c>
      <c r="D11" s="35">
        <v>0</v>
      </c>
      <c r="E11" s="35">
        <v>0</v>
      </c>
      <c r="F11" s="12">
        <f t="shared" si="0"/>
        <v>800000</v>
      </c>
      <c r="G11" s="12">
        <f>SUMIF(Draw_Register!$C:$C,$A11,Draw_Register!$F:$F)</f>
        <v>768540</v>
      </c>
      <c r="H11" s="12">
        <f t="shared" si="1"/>
        <v>-768540</v>
      </c>
      <c r="I11" s="13">
        <f t="shared" si="2"/>
        <v>0</v>
      </c>
      <c r="J11" s="37" t="str">
        <f t="shared" si="3"/>
        <v>✓</v>
      </c>
      <c r="K11" s="191">
        <f>SUMIF(Inflow_Register!$C:$C,$A11,Inflow_Register!$F:$F)</f>
        <v>0</v>
      </c>
      <c r="L11" s="192">
        <f t="shared" si="4"/>
        <v>768540</v>
      </c>
      <c r="M11" s="34">
        <f t="shared" si="5"/>
        <v>-768540</v>
      </c>
    </row>
    <row r="12" spans="1:13" ht="15" customHeight="1" x14ac:dyDescent="0.3">
      <c r="A12" s="1" t="s">
        <v>595</v>
      </c>
      <c r="B12" s="35">
        <v>181479.39</v>
      </c>
      <c r="C12" s="35">
        <v>0</v>
      </c>
      <c r="D12" s="35">
        <v>0</v>
      </c>
      <c r="E12" s="35">
        <v>0</v>
      </c>
      <c r="F12" s="12">
        <f t="shared" si="0"/>
        <v>181479.39</v>
      </c>
      <c r="G12" s="12">
        <f>SUMIF(Draw_Register!$C:$C,$A12,Draw_Register!$F:$F)</f>
        <v>0</v>
      </c>
      <c r="H12" s="12">
        <f t="shared" si="1"/>
        <v>181479.39</v>
      </c>
      <c r="I12" s="13">
        <f t="shared" si="2"/>
        <v>0</v>
      </c>
      <c r="J12" s="37" t="str">
        <f t="shared" si="3"/>
        <v>✓</v>
      </c>
      <c r="K12" s="189">
        <f>SUMIF(Inflow_Register!$C:$C,$A12,Inflow_Register!$F:$F)</f>
        <v>0</v>
      </c>
      <c r="L12" s="190">
        <f t="shared" si="4"/>
        <v>0</v>
      </c>
      <c r="M12" s="34">
        <f t="shared" si="5"/>
        <v>181479.39</v>
      </c>
    </row>
    <row r="13" spans="1:13" x14ac:dyDescent="0.3">
      <c r="B13" s="36"/>
      <c r="C13" s="36"/>
      <c r="D13" s="36"/>
      <c r="E13" s="36"/>
      <c r="J13" s="36"/>
      <c r="K13" s="29"/>
      <c r="L13" s="30"/>
      <c r="M13" s="30"/>
    </row>
    <row r="14" spans="1:13" ht="15" customHeight="1" x14ac:dyDescent="0.3">
      <c r="A14" s="439" t="s">
        <v>287</v>
      </c>
      <c r="B14" s="439"/>
      <c r="C14" s="439"/>
      <c r="D14" s="439"/>
      <c r="E14" s="439"/>
      <c r="F14" s="439"/>
      <c r="G14" s="439"/>
      <c r="H14" s="439"/>
      <c r="I14" s="439"/>
      <c r="J14" s="440"/>
      <c r="K14" s="193"/>
      <c r="L14" s="194"/>
      <c r="M14" s="194"/>
    </row>
    <row r="15" spans="1:13" ht="15" customHeight="1" x14ac:dyDescent="0.3">
      <c r="A15" s="1" t="s">
        <v>596</v>
      </c>
      <c r="B15" s="35">
        <v>0</v>
      </c>
      <c r="C15" s="35">
        <v>0</v>
      </c>
      <c r="D15" s="35">
        <v>0</v>
      </c>
      <c r="E15" s="35">
        <v>0</v>
      </c>
      <c r="F15" s="12">
        <f>SUM(B15:E15)</f>
        <v>0</v>
      </c>
      <c r="G15" s="12">
        <f>SUMIF(Draw_Register!$C:$C,$A15,Draw_Register!$F:$F)</f>
        <v>0</v>
      </c>
      <c r="H15" s="12">
        <f>B15-G15+K15</f>
        <v>0</v>
      </c>
      <c r="I15" s="13">
        <f>IF(B15=0,0,L15/B15)</f>
        <v>0</v>
      </c>
      <c r="J15" s="37" t="str">
        <f>IF(I15&gt;1,"⚠ OVER",IF(I15&gt;0.9,"⚠ HIGH","✓"))</f>
        <v>✓</v>
      </c>
      <c r="K15" s="191">
        <f>SUMIF(Inflow_Register!$C:$C,$A15,Inflow_Register!$F:$F)</f>
        <v>0</v>
      </c>
      <c r="L15" s="192">
        <f>G15-K15</f>
        <v>0</v>
      </c>
      <c r="M15" s="34">
        <f t="shared" ref="M15:M18" si="6">+B15-G15+K15</f>
        <v>0</v>
      </c>
    </row>
    <row r="16" spans="1:13" ht="15" customHeight="1" x14ac:dyDescent="0.3">
      <c r="A16" s="1" t="s">
        <v>597</v>
      </c>
      <c r="B16" s="35">
        <v>0</v>
      </c>
      <c r="C16" s="35">
        <v>0</v>
      </c>
      <c r="D16" s="35">
        <v>0</v>
      </c>
      <c r="E16" s="35">
        <v>0</v>
      </c>
      <c r="F16" s="12">
        <f>SUM(B16:E16)</f>
        <v>0</v>
      </c>
      <c r="G16" s="12">
        <f>SUMIF(Draw_Register!$C:$C,$A16,Draw_Register!$F:$F)</f>
        <v>0</v>
      </c>
      <c r="H16" s="12">
        <f>B16-G16+K16</f>
        <v>0</v>
      </c>
      <c r="I16" s="13">
        <f>IF(B16=0,0,L16/B16)</f>
        <v>0</v>
      </c>
      <c r="J16" s="37" t="str">
        <f>IF(I16&gt;1,"⚠ OVER",IF(I16&gt;0.9,"⚠ HIGH","✓"))</f>
        <v>✓</v>
      </c>
      <c r="K16" s="189">
        <f>SUMIF(Inflow_Register!$C:$C,$A16,Inflow_Register!$F:$F)</f>
        <v>0</v>
      </c>
      <c r="L16" s="190">
        <f>G16-K16</f>
        <v>0</v>
      </c>
      <c r="M16" s="34">
        <f t="shared" si="6"/>
        <v>0</v>
      </c>
    </row>
    <row r="17" spans="1:13" ht="15" customHeight="1" x14ac:dyDescent="0.3">
      <c r="A17" s="1" t="s">
        <v>598</v>
      </c>
      <c r="B17" s="35">
        <v>0</v>
      </c>
      <c r="C17" s="35">
        <v>0</v>
      </c>
      <c r="D17" s="35">
        <v>0</v>
      </c>
      <c r="E17" s="35">
        <v>0</v>
      </c>
      <c r="F17" s="12">
        <f>SUM(B17:E17)</f>
        <v>0</v>
      </c>
      <c r="G17" s="12">
        <f>SUMIF(Draw_Register!$C:$C,$A17,Draw_Register!$F:$F)</f>
        <v>0</v>
      </c>
      <c r="H17" s="12">
        <f>B17-G17+K17</f>
        <v>0</v>
      </c>
      <c r="I17" s="13">
        <f>IF(B17=0,0,L17/B17)</f>
        <v>0</v>
      </c>
      <c r="J17" s="37" t="str">
        <f>IF(I17&gt;1,"⚠ OVER",IF(I17&gt;0.9,"⚠ HIGH","✓"))</f>
        <v>✓</v>
      </c>
      <c r="K17" s="191">
        <f>SUMIF(Inflow_Register!$C:$C,$A17,Inflow_Register!$F:$F)</f>
        <v>0</v>
      </c>
      <c r="L17" s="192">
        <f>G17-K17</f>
        <v>0</v>
      </c>
      <c r="M17" s="34">
        <f t="shared" si="6"/>
        <v>0</v>
      </c>
    </row>
    <row r="18" spans="1:13" ht="15" customHeight="1" x14ac:dyDescent="0.3">
      <c r="A18" s="1" t="s">
        <v>599</v>
      </c>
      <c r="B18" s="35">
        <v>0</v>
      </c>
      <c r="C18" s="35">
        <v>0</v>
      </c>
      <c r="D18" s="35">
        <v>0</v>
      </c>
      <c r="E18" s="35">
        <v>0</v>
      </c>
      <c r="F18" s="12">
        <f>SUM(B18:E18)</f>
        <v>0</v>
      </c>
      <c r="G18" s="12">
        <f>SUMIF(Draw_Register!$C:$C,$A18,Draw_Register!$F:$F)</f>
        <v>0</v>
      </c>
      <c r="H18" s="12">
        <f>B18-G18+K18</f>
        <v>0</v>
      </c>
      <c r="I18" s="13">
        <f>IF(B18=0,0,L18/B18)</f>
        <v>0</v>
      </c>
      <c r="J18" s="37" t="str">
        <f>IF(I18&gt;1,"⚠ OVER",IF(I18&gt;0.9,"⚠ HIGH","✓"))</f>
        <v>✓</v>
      </c>
      <c r="K18" s="189">
        <f>SUMIF(Inflow_Register!$C:$C,$A18,Inflow_Register!$F:$F)</f>
        <v>0</v>
      </c>
      <c r="L18" s="190">
        <f>G18-K18</f>
        <v>0</v>
      </c>
      <c r="M18" s="34">
        <f t="shared" si="6"/>
        <v>0</v>
      </c>
    </row>
    <row r="19" spans="1:13" x14ac:dyDescent="0.3">
      <c r="B19" s="36"/>
      <c r="C19" s="36"/>
      <c r="D19" s="36"/>
      <c r="E19" s="36"/>
      <c r="J19" s="36"/>
      <c r="K19" s="29"/>
      <c r="L19" s="30"/>
      <c r="M19" s="30"/>
    </row>
    <row r="20" spans="1:13" ht="15" customHeight="1" x14ac:dyDescent="0.3">
      <c r="A20" s="439" t="s">
        <v>289</v>
      </c>
      <c r="B20" s="439"/>
      <c r="C20" s="439"/>
      <c r="D20" s="439"/>
      <c r="E20" s="439"/>
      <c r="F20" s="439"/>
      <c r="G20" s="439"/>
      <c r="H20" s="439"/>
      <c r="I20" s="439"/>
      <c r="J20" s="440"/>
      <c r="K20" s="193"/>
      <c r="L20" s="194"/>
      <c r="M20" s="194"/>
    </row>
    <row r="21" spans="1:13" ht="15" customHeight="1" x14ac:dyDescent="0.3">
      <c r="A21" s="1" t="s">
        <v>546</v>
      </c>
      <c r="B21" s="35">
        <v>0</v>
      </c>
      <c r="C21" s="35">
        <v>0</v>
      </c>
      <c r="D21" s="35">
        <v>0</v>
      </c>
      <c r="E21" s="35">
        <v>0</v>
      </c>
      <c r="F21" s="12">
        <f>SUM(B21:E21)</f>
        <v>0</v>
      </c>
      <c r="G21" s="12">
        <f>SUMIF(Draw_Register!$C:$C,$A21,Draw_Register!$F:$F)</f>
        <v>407984.73</v>
      </c>
      <c r="H21" s="12">
        <f>B21-G21+K21</f>
        <v>-407984.73</v>
      </c>
      <c r="I21" s="13">
        <f>IF(B21=0,0,L21/B21)</f>
        <v>0</v>
      </c>
      <c r="J21" s="37" t="str">
        <f>IF(I21&gt;1,"⚠ OVER",IF(I21&gt;0.9,"⚠ HIGH","✓"))</f>
        <v>✓</v>
      </c>
      <c r="K21" s="191">
        <f>SUMIF(Inflow_Register!$C:$C,$A21,Inflow_Register!$F:$F)</f>
        <v>0</v>
      </c>
      <c r="L21" s="192">
        <f>G21-K21</f>
        <v>407984.73</v>
      </c>
      <c r="M21" s="34">
        <f t="shared" ref="M21:M23" si="7">+B21-G21+K21</f>
        <v>-407984.73</v>
      </c>
    </row>
    <row r="22" spans="1:13" ht="15" customHeight="1" x14ac:dyDescent="0.3">
      <c r="A22" s="1" t="s">
        <v>600</v>
      </c>
      <c r="B22" s="35">
        <v>0</v>
      </c>
      <c r="C22" s="35">
        <v>0</v>
      </c>
      <c r="D22" s="35">
        <v>0</v>
      </c>
      <c r="E22" s="35">
        <v>0</v>
      </c>
      <c r="F22" s="12">
        <f>SUM(B22:E22)</f>
        <v>0</v>
      </c>
      <c r="G22" s="12">
        <f>SUMIF(Draw_Register!$C:$C,$A22,Draw_Register!$F:$F)</f>
        <v>0</v>
      </c>
      <c r="H22" s="12">
        <f>B22-G22+K22</f>
        <v>0</v>
      </c>
      <c r="I22" s="13">
        <f>IF(B22=0,0,L22/B22)</f>
        <v>0</v>
      </c>
      <c r="J22" s="37" t="str">
        <f>IF(I22&gt;1,"⚠ OVER",IF(I22&gt;0.9,"⚠ HIGH","✓"))</f>
        <v>✓</v>
      </c>
      <c r="K22" s="195">
        <f>SUMIF(Inflow_Register!$C:$C,$A22,Inflow_Register!$F:$F)</f>
        <v>0</v>
      </c>
      <c r="L22" s="196">
        <f>G22-K22</f>
        <v>0</v>
      </c>
      <c r="M22" s="34">
        <f t="shared" si="7"/>
        <v>0</v>
      </c>
    </row>
    <row r="23" spans="1:13" ht="15" customHeight="1" x14ac:dyDescent="0.3">
      <c r="A23" s="1" t="s">
        <v>558</v>
      </c>
      <c r="B23" s="35">
        <v>0</v>
      </c>
      <c r="C23" s="35">
        <v>0</v>
      </c>
      <c r="D23" s="35">
        <v>0</v>
      </c>
      <c r="E23" s="35">
        <v>0</v>
      </c>
      <c r="F23" s="12">
        <f>SUM(B23:E23)</f>
        <v>0</v>
      </c>
      <c r="G23" s="12">
        <f>SUMIF(Draw_Register!$C:$C,$A23,Draw_Register!$F:$F)</f>
        <v>122129.63</v>
      </c>
      <c r="H23" s="12">
        <f>B23-G23+K23</f>
        <v>-122129.63</v>
      </c>
      <c r="I23" s="13">
        <f>IF(B23=0,0,L23/B23)</f>
        <v>0</v>
      </c>
      <c r="J23" s="37" t="str">
        <f>IF(I23&gt;1,"⚠ OVER",IF(I23&gt;0.9,"⚠ HIGH","✓"))</f>
        <v>✓</v>
      </c>
      <c r="K23" s="189">
        <f>SUMIF(Inflow_Register!$C:$C,$A23,Inflow_Register!$F:$F)</f>
        <v>0</v>
      </c>
      <c r="L23" s="190">
        <f>G23-K23</f>
        <v>122129.63</v>
      </c>
      <c r="M23" s="34">
        <f t="shared" si="7"/>
        <v>-122129.63</v>
      </c>
    </row>
    <row r="24" spans="1:13" x14ac:dyDescent="0.3">
      <c r="B24" s="36"/>
      <c r="C24" s="36"/>
      <c r="D24" s="36"/>
      <c r="E24" s="36"/>
      <c r="J24" s="36"/>
      <c r="K24" s="29"/>
      <c r="L24" s="30"/>
      <c r="M24" s="30"/>
    </row>
    <row r="25" spans="1:13" ht="15" customHeight="1" x14ac:dyDescent="0.3">
      <c r="A25" s="439" t="s">
        <v>291</v>
      </c>
      <c r="B25" s="439"/>
      <c r="C25" s="439"/>
      <c r="D25" s="439"/>
      <c r="E25" s="439"/>
      <c r="F25" s="439"/>
      <c r="G25" s="439"/>
      <c r="H25" s="439"/>
      <c r="I25" s="439"/>
      <c r="J25" s="440"/>
      <c r="K25" s="193"/>
      <c r="L25" s="194"/>
      <c r="M25" s="194"/>
    </row>
    <row r="26" spans="1:13" ht="15" customHeight="1" x14ac:dyDescent="0.3">
      <c r="A26" s="1" t="s">
        <v>586</v>
      </c>
      <c r="B26" s="35">
        <v>0</v>
      </c>
      <c r="C26" s="35">
        <v>0</v>
      </c>
      <c r="D26" s="35">
        <v>0</v>
      </c>
      <c r="E26" s="35">
        <v>0</v>
      </c>
      <c r="F26" s="12">
        <f>SUM(B26:E26)</f>
        <v>0</v>
      </c>
      <c r="G26" s="12">
        <f>SUMIF(Draw_Register!$C:$C,$A26,Draw_Register!$F:$F)</f>
        <v>0</v>
      </c>
      <c r="H26" s="12">
        <f>B26-G26+K26</f>
        <v>118166.19</v>
      </c>
      <c r="I26" s="13">
        <f>IF(B26=0,0,L26/B26)</f>
        <v>0</v>
      </c>
      <c r="J26" s="37" t="str">
        <f>IF(I26&gt;1,"⚠ OVER",IF(I26&gt;0.9,"⚠ HIGH","✓"))</f>
        <v>✓</v>
      </c>
      <c r="K26" s="191">
        <f>SUMIF(Inflow_Register!$C:$C,$A26,Inflow_Register!$F:$F)</f>
        <v>118166.19</v>
      </c>
      <c r="L26" s="192">
        <f>G26-K26</f>
        <v>-118166.19</v>
      </c>
      <c r="M26" s="34">
        <f t="shared" ref="M26:M29" si="8">+B26-G26+K26</f>
        <v>118166.19</v>
      </c>
    </row>
    <row r="27" spans="1:13" ht="15" customHeight="1" x14ac:dyDescent="0.3">
      <c r="A27" s="1" t="s">
        <v>601</v>
      </c>
      <c r="B27" s="35">
        <v>0</v>
      </c>
      <c r="C27" s="35">
        <v>0</v>
      </c>
      <c r="D27" s="35">
        <v>0</v>
      </c>
      <c r="E27" s="35">
        <v>0</v>
      </c>
      <c r="F27" s="12">
        <f>SUM(B27:E27)</f>
        <v>0</v>
      </c>
      <c r="G27" s="12">
        <f>SUMIF(Draw_Register!$C:$C,$A27,Draw_Register!$F:$F)</f>
        <v>0</v>
      </c>
      <c r="H27" s="12">
        <f>B27-G27+K27</f>
        <v>0</v>
      </c>
      <c r="I27" s="13">
        <f>IF(B27=0,0,L27/B27)</f>
        <v>0</v>
      </c>
      <c r="J27" s="37" t="str">
        <f>IF(I27&gt;1,"⚠ OVER",IF(I27&gt;0.9,"⚠ HIGH","✓"))</f>
        <v>✓</v>
      </c>
      <c r="K27" s="189">
        <f>SUMIF(Inflow_Register!$C:$C,$A27,Inflow_Register!$F:$F)</f>
        <v>0</v>
      </c>
      <c r="L27" s="190">
        <f>G27-K27</f>
        <v>0</v>
      </c>
      <c r="M27" s="34">
        <f t="shared" si="8"/>
        <v>0</v>
      </c>
    </row>
    <row r="28" spans="1:13" ht="15" customHeight="1" x14ac:dyDescent="0.3">
      <c r="A28" s="1" t="s">
        <v>602</v>
      </c>
      <c r="B28" s="35">
        <v>0</v>
      </c>
      <c r="C28" s="35">
        <v>0</v>
      </c>
      <c r="D28" s="35">
        <v>0</v>
      </c>
      <c r="E28" s="35">
        <v>0</v>
      </c>
      <c r="F28" s="12">
        <f>SUM(B28:E28)</f>
        <v>0</v>
      </c>
      <c r="G28" s="12">
        <f>SUMIF(Draw_Register!$C:$C,$A28,Draw_Register!$F:$F)</f>
        <v>0</v>
      </c>
      <c r="H28" s="12">
        <f>B28-G28+K28</f>
        <v>0</v>
      </c>
      <c r="I28" s="13">
        <f>IF(B28=0,0,L28/B28)</f>
        <v>0</v>
      </c>
      <c r="J28" s="37" t="str">
        <f>IF(I28&gt;1,"⚠ OVER",IF(I28&gt;0.9,"⚠ HIGH","✓"))</f>
        <v>✓</v>
      </c>
      <c r="K28" s="191">
        <f>SUMIF(Inflow_Register!$C:$C,$A28,Inflow_Register!$F:$F)</f>
        <v>0</v>
      </c>
      <c r="L28" s="192">
        <f>G28-K28</f>
        <v>0</v>
      </c>
      <c r="M28" s="34">
        <f t="shared" si="8"/>
        <v>0</v>
      </c>
    </row>
    <row r="29" spans="1:13" ht="15" customHeight="1" x14ac:dyDescent="0.3">
      <c r="A29" s="1" t="s">
        <v>603</v>
      </c>
      <c r="B29" s="35">
        <v>0</v>
      </c>
      <c r="C29" s="35">
        <v>0</v>
      </c>
      <c r="D29" s="35">
        <v>0</v>
      </c>
      <c r="E29" s="35">
        <v>0</v>
      </c>
      <c r="F29" s="12">
        <f>SUM(B29:E29)</f>
        <v>0</v>
      </c>
      <c r="G29" s="12">
        <f>SUMIF(Draw_Register!$C:$C,$A29,Draw_Register!$F:$F)</f>
        <v>0</v>
      </c>
      <c r="H29" s="12">
        <f>B29-G29+K29</f>
        <v>0</v>
      </c>
      <c r="I29" s="13">
        <f>IF(B29=0,0,L29/B29)</f>
        <v>0</v>
      </c>
      <c r="J29" s="37" t="str">
        <f>IF(I29&gt;1,"⚠ OVER",IF(I29&gt;0.9,"⚠ HIGH","✓"))</f>
        <v>✓</v>
      </c>
      <c r="K29" s="189">
        <f>SUMIF(Inflow_Register!$C:$C,$A29,Inflow_Register!$F:$F)</f>
        <v>0</v>
      </c>
      <c r="L29" s="190">
        <f>G29-K29</f>
        <v>0</v>
      </c>
      <c r="M29" s="34">
        <f t="shared" si="8"/>
        <v>0</v>
      </c>
    </row>
    <row r="30" spans="1:13" x14ac:dyDescent="0.3">
      <c r="B30" s="36"/>
      <c r="C30" s="36"/>
      <c r="D30" s="36"/>
      <c r="E30" s="36"/>
      <c r="J30" s="36"/>
      <c r="K30" s="29"/>
      <c r="L30" s="30"/>
      <c r="M30" s="30"/>
    </row>
    <row r="31" spans="1:13" ht="15" customHeight="1" x14ac:dyDescent="0.3">
      <c r="A31" s="439" t="s">
        <v>293</v>
      </c>
      <c r="B31" s="439"/>
      <c r="C31" s="439"/>
      <c r="D31" s="439"/>
      <c r="E31" s="439"/>
      <c r="F31" s="439"/>
      <c r="G31" s="439"/>
      <c r="H31" s="439"/>
      <c r="I31" s="439"/>
      <c r="J31" s="440"/>
      <c r="K31" s="193"/>
      <c r="L31" s="194"/>
      <c r="M31" s="194"/>
    </row>
    <row r="32" spans="1:13" ht="15" customHeight="1" x14ac:dyDescent="0.3">
      <c r="A32" s="1" t="s">
        <v>506</v>
      </c>
      <c r="B32" s="35">
        <v>0</v>
      </c>
      <c r="C32" s="35">
        <v>64327.5</v>
      </c>
      <c r="D32" s="35">
        <v>0</v>
      </c>
      <c r="E32" s="35">
        <v>0</v>
      </c>
      <c r="F32" s="12">
        <f t="shared" ref="F32:F44" si="9">SUM(B32:E32)</f>
        <v>64327.5</v>
      </c>
      <c r="G32" s="12">
        <f>SUMIF(Draw_Register!$C:$C,$A32,Draw_Register!$F:$F)</f>
        <v>4842.87</v>
      </c>
      <c r="H32" s="12">
        <f t="shared" ref="H32:H44" si="10">B32-G32+K32</f>
        <v>-4842.87</v>
      </c>
      <c r="I32" s="13">
        <f t="shared" ref="I32:I44" si="11">IF(B32=0,0,L32/B32)</f>
        <v>0</v>
      </c>
      <c r="J32" s="37" t="str">
        <f t="shared" ref="J32:J44" si="12">IF(I32&gt;1,"⚠ OVER",IF(I32&gt;0.9,"⚠ HIGH","✓"))</f>
        <v>✓</v>
      </c>
      <c r="K32" s="191">
        <f>SUMIF(Inflow_Register!$C:$C,$A32,Inflow_Register!$F:$F)</f>
        <v>0</v>
      </c>
      <c r="L32" s="192">
        <f t="shared" ref="L32:L44" si="13">G32-K32</f>
        <v>4842.87</v>
      </c>
      <c r="M32" s="34">
        <f t="shared" ref="M32:M44" si="14">+B32-G32+K32</f>
        <v>-4842.87</v>
      </c>
    </row>
    <row r="33" spans="1:13" ht="15" customHeight="1" x14ac:dyDescent="0.3">
      <c r="A33" s="1" t="s">
        <v>604</v>
      </c>
      <c r="B33" s="35">
        <v>146736.04999999999</v>
      </c>
      <c r="C33" s="35">
        <v>23017.3</v>
      </c>
      <c r="D33" s="35">
        <v>19393.099999999999</v>
      </c>
      <c r="E33" s="35">
        <v>30377.38</v>
      </c>
      <c r="F33" s="160">
        <f t="shared" si="9"/>
        <v>219523.83</v>
      </c>
      <c r="G33" s="12">
        <f>SUMIF(Draw_Register!$C:$C,$A33,Draw_Register!$F:$F)</f>
        <v>0</v>
      </c>
      <c r="H33" s="12">
        <f t="shared" si="10"/>
        <v>146736.04999999999</v>
      </c>
      <c r="I33" s="13">
        <f t="shared" si="11"/>
        <v>0</v>
      </c>
      <c r="J33" s="37" t="str">
        <f t="shared" si="12"/>
        <v>✓</v>
      </c>
      <c r="K33" s="189">
        <f>SUMIF(Inflow_Register!$C:$C,$A33,Inflow_Register!$F:$F)</f>
        <v>0</v>
      </c>
      <c r="L33" s="190">
        <f t="shared" si="13"/>
        <v>0</v>
      </c>
      <c r="M33" s="34">
        <f t="shared" si="14"/>
        <v>146736.04999999999</v>
      </c>
    </row>
    <row r="34" spans="1:13" ht="15" customHeight="1" x14ac:dyDescent="0.3">
      <c r="A34" s="1" t="s">
        <v>605</v>
      </c>
      <c r="B34" s="35">
        <v>0</v>
      </c>
      <c r="C34" s="35">
        <v>0</v>
      </c>
      <c r="D34" s="35">
        <v>0</v>
      </c>
      <c r="E34" s="35">
        <v>1324.9</v>
      </c>
      <c r="F34" s="12">
        <f t="shared" si="9"/>
        <v>1324.9</v>
      </c>
      <c r="G34" s="12">
        <f>SUMIF(Draw_Register!$C:$C,$A34,Draw_Register!$F:$F)</f>
        <v>0</v>
      </c>
      <c r="H34" s="12">
        <f t="shared" si="10"/>
        <v>0</v>
      </c>
      <c r="I34" s="13">
        <f t="shared" si="11"/>
        <v>0</v>
      </c>
      <c r="J34" s="37" t="str">
        <f t="shared" si="12"/>
        <v>✓</v>
      </c>
      <c r="K34" s="197">
        <f>SUMIF(Inflow_Register!$C:$C,$A34,Inflow_Register!$F:$F)</f>
        <v>0</v>
      </c>
      <c r="L34" s="198">
        <f t="shared" si="13"/>
        <v>0</v>
      </c>
      <c r="M34" s="34">
        <f t="shared" si="14"/>
        <v>0</v>
      </c>
    </row>
    <row r="35" spans="1:13" ht="15" customHeight="1" x14ac:dyDescent="0.3">
      <c r="A35" s="1" t="s">
        <v>606</v>
      </c>
      <c r="B35" s="35">
        <v>0</v>
      </c>
      <c r="C35" s="35">
        <v>0</v>
      </c>
      <c r="D35" s="35">
        <v>0</v>
      </c>
      <c r="E35" s="35">
        <v>0</v>
      </c>
      <c r="F35" s="12">
        <f t="shared" si="9"/>
        <v>0</v>
      </c>
      <c r="G35" s="12">
        <f>SUMIF(Draw_Register!$C:$C,$A35,Draw_Register!$F:$F)</f>
        <v>0</v>
      </c>
      <c r="H35" s="12">
        <f t="shared" si="10"/>
        <v>0</v>
      </c>
      <c r="I35" s="13">
        <f t="shared" si="11"/>
        <v>0</v>
      </c>
      <c r="J35" s="37" t="str">
        <f t="shared" si="12"/>
        <v>✓</v>
      </c>
      <c r="K35" s="197">
        <f>SUMIF(Inflow_Register!$C:$C,$A35,Inflow_Register!$F:$F)</f>
        <v>0</v>
      </c>
      <c r="L35" s="198">
        <f t="shared" si="13"/>
        <v>0</v>
      </c>
      <c r="M35" s="34">
        <f t="shared" si="14"/>
        <v>0</v>
      </c>
    </row>
    <row r="36" spans="1:13" ht="15" customHeight="1" x14ac:dyDescent="0.3">
      <c r="A36" s="1" t="s">
        <v>607</v>
      </c>
      <c r="B36" s="35">
        <v>26945.41</v>
      </c>
      <c r="C36" s="35">
        <v>48089.06</v>
      </c>
      <c r="D36" s="35">
        <v>42218.1</v>
      </c>
      <c r="E36" s="35">
        <v>21613.74</v>
      </c>
      <c r="F36" s="160">
        <f t="shared" si="9"/>
        <v>138866.31</v>
      </c>
      <c r="G36" s="12">
        <f>SUMIF(Draw_Register!$C:$C,$A36,Draw_Register!$F:$F)</f>
        <v>0</v>
      </c>
      <c r="H36" s="12">
        <f t="shared" si="10"/>
        <v>26945.41</v>
      </c>
      <c r="I36" s="13">
        <f t="shared" si="11"/>
        <v>0</v>
      </c>
      <c r="J36" s="37" t="str">
        <f t="shared" si="12"/>
        <v>✓</v>
      </c>
      <c r="K36" s="191">
        <f>SUMIF(Inflow_Register!$C:$C,$A36,Inflow_Register!$F:$F)</f>
        <v>0</v>
      </c>
      <c r="L36" s="192">
        <f t="shared" si="13"/>
        <v>0</v>
      </c>
      <c r="M36" s="34">
        <f t="shared" si="14"/>
        <v>26945.41</v>
      </c>
    </row>
    <row r="37" spans="1:13" ht="15" customHeight="1" x14ac:dyDescent="0.3">
      <c r="A37" s="1" t="s">
        <v>608</v>
      </c>
      <c r="B37" s="35">
        <v>600</v>
      </c>
      <c r="C37" s="35">
        <v>7509.5</v>
      </c>
      <c r="D37" s="35">
        <v>1700</v>
      </c>
      <c r="E37" s="35">
        <v>4160.97</v>
      </c>
      <c r="F37" s="12">
        <f t="shared" si="9"/>
        <v>13970.470000000001</v>
      </c>
      <c r="G37" s="12">
        <f>SUMIF(Draw_Register!$C:$C,$A37,Draw_Register!$F:$F)</f>
        <v>0</v>
      </c>
      <c r="H37" s="12">
        <f t="shared" si="10"/>
        <v>600</v>
      </c>
      <c r="I37" s="13">
        <f t="shared" si="11"/>
        <v>0</v>
      </c>
      <c r="J37" s="37" t="str">
        <f t="shared" si="12"/>
        <v>✓</v>
      </c>
      <c r="K37" s="189">
        <f>SUMIF(Inflow_Register!$C:$C,$A37,Inflow_Register!$F:$F)</f>
        <v>0</v>
      </c>
      <c r="L37" s="190">
        <f t="shared" si="13"/>
        <v>0</v>
      </c>
      <c r="M37" s="34">
        <f t="shared" si="14"/>
        <v>600</v>
      </c>
    </row>
    <row r="38" spans="1:13" ht="15" customHeight="1" x14ac:dyDescent="0.3">
      <c r="A38" s="1" t="s">
        <v>500</v>
      </c>
      <c r="B38" s="35">
        <v>3898</v>
      </c>
      <c r="C38" s="35">
        <v>0</v>
      </c>
      <c r="D38" s="35">
        <v>0</v>
      </c>
      <c r="E38" s="35">
        <v>0</v>
      </c>
      <c r="F38" s="12">
        <f t="shared" si="9"/>
        <v>3898</v>
      </c>
      <c r="G38" s="12">
        <f>SUMIF(Draw_Register!$C:$C,$A38,Draw_Register!$F:$F)</f>
        <v>11771.11</v>
      </c>
      <c r="H38" s="12">
        <f t="shared" si="10"/>
        <v>-7873.1100000000006</v>
      </c>
      <c r="I38" s="13">
        <f t="shared" si="11"/>
        <v>3.0197819394561316</v>
      </c>
      <c r="J38" s="37" t="str">
        <f t="shared" si="12"/>
        <v>⚠ OVER</v>
      </c>
      <c r="K38" s="197">
        <f>SUMIF(Inflow_Register!$C:$C,$A38,Inflow_Register!$F:$F)</f>
        <v>0</v>
      </c>
      <c r="L38" s="198">
        <f t="shared" si="13"/>
        <v>11771.11</v>
      </c>
      <c r="M38" s="34">
        <f t="shared" si="14"/>
        <v>-7873.1100000000006</v>
      </c>
    </row>
    <row r="39" spans="1:13" ht="15" customHeight="1" x14ac:dyDescent="0.3">
      <c r="A39" s="1" t="s">
        <v>609</v>
      </c>
      <c r="B39" s="35">
        <v>1778.28</v>
      </c>
      <c r="C39" s="35">
        <v>5299.38</v>
      </c>
      <c r="D39" s="35">
        <v>23685.64</v>
      </c>
      <c r="E39" s="35">
        <v>12474.51</v>
      </c>
      <c r="F39" s="12">
        <f t="shared" si="9"/>
        <v>43237.81</v>
      </c>
      <c r="G39" s="12">
        <f>SUMIF(Draw_Register!$C:$C,$A39,Draw_Register!$F:$F)</f>
        <v>0</v>
      </c>
      <c r="H39" s="12">
        <f t="shared" si="10"/>
        <v>1778.28</v>
      </c>
      <c r="I39" s="13">
        <f t="shared" si="11"/>
        <v>0</v>
      </c>
      <c r="J39" s="37" t="str">
        <f t="shared" si="12"/>
        <v>✓</v>
      </c>
      <c r="K39" s="197">
        <f>SUMIF(Inflow_Register!$C:$C,$A39,Inflow_Register!$F:$F)</f>
        <v>0</v>
      </c>
      <c r="L39" s="198">
        <f t="shared" si="13"/>
        <v>0</v>
      </c>
      <c r="M39" s="34">
        <f t="shared" si="14"/>
        <v>1778.28</v>
      </c>
    </row>
    <row r="40" spans="1:13" ht="15" customHeight="1" x14ac:dyDescent="0.3">
      <c r="A40" s="1" t="s">
        <v>610</v>
      </c>
      <c r="B40" s="35">
        <v>1800</v>
      </c>
      <c r="C40" s="35">
        <v>0</v>
      </c>
      <c r="D40" s="35">
        <v>78306.12</v>
      </c>
      <c r="E40" s="35">
        <v>7640.01</v>
      </c>
      <c r="F40" s="160">
        <f t="shared" si="9"/>
        <v>87746.12999999999</v>
      </c>
      <c r="G40" s="12">
        <f>SUMIF(Draw_Register!$C:$C,$A40,Draw_Register!$F:$F)</f>
        <v>0</v>
      </c>
      <c r="H40" s="12">
        <f t="shared" si="10"/>
        <v>1800</v>
      </c>
      <c r="I40" s="13">
        <f t="shared" si="11"/>
        <v>0</v>
      </c>
      <c r="J40" s="37" t="str">
        <f t="shared" si="12"/>
        <v>✓</v>
      </c>
      <c r="K40" s="191">
        <f>SUMIF(Inflow_Register!$C:$C,$A40,Inflow_Register!$F:$F)</f>
        <v>0</v>
      </c>
      <c r="L40" s="192">
        <f t="shared" si="13"/>
        <v>0</v>
      </c>
      <c r="M40" s="34">
        <f t="shared" si="14"/>
        <v>1800</v>
      </c>
    </row>
    <row r="41" spans="1:13" ht="15" customHeight="1" x14ac:dyDescent="0.3">
      <c r="A41" s="1" t="s">
        <v>611</v>
      </c>
      <c r="B41" s="35">
        <v>6637.69</v>
      </c>
      <c r="C41" s="35">
        <v>2618.7800000000002</v>
      </c>
      <c r="D41" s="35">
        <v>9372.7900000000009</v>
      </c>
      <c r="E41" s="35">
        <v>780.79</v>
      </c>
      <c r="F41" s="12">
        <f t="shared" si="9"/>
        <v>19410.050000000003</v>
      </c>
      <c r="G41" s="12">
        <f>SUMIF(Draw_Register!$C:$C,$A41,Draw_Register!$F:$F)</f>
        <v>0</v>
      </c>
      <c r="H41" s="12">
        <f t="shared" si="10"/>
        <v>6637.69</v>
      </c>
      <c r="I41" s="13">
        <f t="shared" si="11"/>
        <v>0</v>
      </c>
      <c r="J41" s="37" t="str">
        <f t="shared" si="12"/>
        <v>✓</v>
      </c>
      <c r="K41" s="195">
        <f>SUMIF(Inflow_Register!$C:$C,$A41,Inflow_Register!$F:$F)</f>
        <v>0</v>
      </c>
      <c r="L41" s="196">
        <f t="shared" si="13"/>
        <v>0</v>
      </c>
      <c r="M41" s="34">
        <f t="shared" si="14"/>
        <v>6637.69</v>
      </c>
    </row>
    <row r="42" spans="1:13" ht="15" customHeight="1" x14ac:dyDescent="0.3">
      <c r="A42" s="1" t="s">
        <v>612</v>
      </c>
      <c r="B42" s="35">
        <v>0</v>
      </c>
      <c r="C42" s="35">
        <v>0</v>
      </c>
      <c r="D42" s="35">
        <v>0</v>
      </c>
      <c r="E42" s="35">
        <v>0</v>
      </c>
      <c r="F42" s="12">
        <f t="shared" si="9"/>
        <v>0</v>
      </c>
      <c r="G42" s="12">
        <f>SUMIF(Draw_Register!$C:$C,$A42,Draw_Register!$F:$F)</f>
        <v>0</v>
      </c>
      <c r="H42" s="12">
        <f t="shared" si="10"/>
        <v>0</v>
      </c>
      <c r="I42" s="13">
        <f t="shared" si="11"/>
        <v>0</v>
      </c>
      <c r="J42" s="37" t="str">
        <f t="shared" si="12"/>
        <v>✓</v>
      </c>
      <c r="K42" s="189">
        <f>SUMIF(Inflow_Register!$C:$C,$A42,Inflow_Register!$F:$F)</f>
        <v>0</v>
      </c>
      <c r="L42" s="190">
        <f t="shared" si="13"/>
        <v>0</v>
      </c>
      <c r="M42" s="34">
        <f t="shared" si="14"/>
        <v>0</v>
      </c>
    </row>
    <row r="43" spans="1:13" ht="15" customHeight="1" x14ac:dyDescent="0.3">
      <c r="A43" s="1" t="s">
        <v>613</v>
      </c>
      <c r="B43" s="35">
        <v>1944.16</v>
      </c>
      <c r="C43" s="35">
        <v>0</v>
      </c>
      <c r="D43" s="35">
        <v>0</v>
      </c>
      <c r="E43" s="35">
        <v>5036.2299999999996</v>
      </c>
      <c r="F43" s="12">
        <f t="shared" si="9"/>
        <v>6980.3899999999994</v>
      </c>
      <c r="G43" s="12">
        <f>SUMIF(Draw_Register!$C:$C,$A43,Draw_Register!$F:$F)</f>
        <v>0</v>
      </c>
      <c r="H43" s="12">
        <f t="shared" si="10"/>
        <v>1944.16</v>
      </c>
      <c r="I43" s="13">
        <f t="shared" si="11"/>
        <v>0</v>
      </c>
      <c r="J43" s="37" t="str">
        <f t="shared" si="12"/>
        <v>✓</v>
      </c>
      <c r="K43" s="191">
        <f>SUMIF(Inflow_Register!$C:$C,$A43,Inflow_Register!$F:$F)</f>
        <v>0</v>
      </c>
      <c r="L43" s="192">
        <f t="shared" si="13"/>
        <v>0</v>
      </c>
      <c r="M43" s="34">
        <f t="shared" si="14"/>
        <v>1944.16</v>
      </c>
    </row>
    <row r="44" spans="1:13" ht="15" customHeight="1" x14ac:dyDescent="0.3">
      <c r="A44" s="1" t="s">
        <v>535</v>
      </c>
      <c r="B44" s="35">
        <v>24660.41</v>
      </c>
      <c r="C44" s="35">
        <v>25442.42</v>
      </c>
      <c r="D44" s="35">
        <v>24582.639999999999</v>
      </c>
      <c r="E44" s="35">
        <v>29541.66</v>
      </c>
      <c r="F44" s="160">
        <f t="shared" si="9"/>
        <v>104227.13</v>
      </c>
      <c r="G44" s="12">
        <f>SUMIF(Draw_Register!$C:$C,$A44,Draw_Register!$F:$F)</f>
        <v>108391.84</v>
      </c>
      <c r="H44" s="12">
        <f t="shared" si="10"/>
        <v>-83731.429999999993</v>
      </c>
      <c r="I44" s="13">
        <f t="shared" si="11"/>
        <v>4.3953786656426228</v>
      </c>
      <c r="J44" s="37" t="str">
        <f t="shared" si="12"/>
        <v>⚠ OVER</v>
      </c>
      <c r="K44" s="189">
        <f>SUMIF(Inflow_Register!$C:$C,$A44,Inflow_Register!$F:$F)</f>
        <v>0</v>
      </c>
      <c r="L44" s="190">
        <f t="shared" si="13"/>
        <v>108391.84</v>
      </c>
      <c r="M44" s="34">
        <f t="shared" si="14"/>
        <v>-83731.429999999993</v>
      </c>
    </row>
    <row r="45" spans="1:13" x14ac:dyDescent="0.3">
      <c r="B45" s="36"/>
      <c r="C45" s="36"/>
      <c r="D45" s="36"/>
      <c r="E45" s="36"/>
      <c r="J45" s="36"/>
      <c r="K45" s="29"/>
      <c r="L45" s="30"/>
      <c r="M45" s="30"/>
    </row>
    <row r="46" spans="1:13" ht="15" customHeight="1" x14ac:dyDescent="0.3">
      <c r="A46" s="439" t="s">
        <v>294</v>
      </c>
      <c r="B46" s="439"/>
      <c r="C46" s="439"/>
      <c r="D46" s="439"/>
      <c r="E46" s="439"/>
      <c r="F46" s="439"/>
      <c r="G46" s="439"/>
      <c r="H46" s="439"/>
      <c r="I46" s="439"/>
      <c r="J46" s="440"/>
      <c r="K46" s="193"/>
      <c r="L46" s="194"/>
      <c r="M46" s="194"/>
    </row>
    <row r="47" spans="1:13" ht="15" customHeight="1" x14ac:dyDescent="0.3">
      <c r="A47" s="1" t="s">
        <v>614</v>
      </c>
      <c r="B47" s="35">
        <v>69332.84</v>
      </c>
      <c r="C47" s="35">
        <v>131558.03</v>
      </c>
      <c r="D47" s="35">
        <v>152594.46</v>
      </c>
      <c r="E47" s="35">
        <v>85068.73</v>
      </c>
      <c r="F47" s="12">
        <f t="shared" ref="F47:F54" si="15">SUM(B47:E47)</f>
        <v>438554.05999999994</v>
      </c>
      <c r="G47" s="12">
        <f>SUMIF(Draw_Register!$C:$C,$A47,Draw_Register!$F:$F)</f>
        <v>0</v>
      </c>
      <c r="H47" s="12">
        <f t="shared" ref="H47:H54" si="16">B47-G47+K47</f>
        <v>69332.84</v>
      </c>
      <c r="I47" s="13">
        <f t="shared" ref="I47:I54" si="17">IF(B47=0,0,L47/B47)</f>
        <v>0</v>
      </c>
      <c r="J47" s="37" t="str">
        <f t="shared" ref="J47:J54" si="18">IF(I47&gt;1,"⚠ OVER",IF(I47&gt;0.9,"⚠ HIGH","✓"))</f>
        <v>✓</v>
      </c>
      <c r="K47" s="191">
        <f>SUMIF(Inflow_Register!$C:$C,$A47,Inflow_Register!$F:$F)</f>
        <v>0</v>
      </c>
      <c r="L47" s="192">
        <f t="shared" ref="L47:L54" si="19">G47-K47</f>
        <v>0</v>
      </c>
      <c r="M47" s="34">
        <f t="shared" ref="M47:M54" si="20">+B47-G47+K47</f>
        <v>69332.84</v>
      </c>
    </row>
    <row r="48" spans="1:13" ht="15" customHeight="1" x14ac:dyDescent="0.3">
      <c r="A48" s="1" t="s">
        <v>615</v>
      </c>
      <c r="B48" s="35">
        <v>33508</v>
      </c>
      <c r="C48" s="35">
        <v>30914.71</v>
      </c>
      <c r="D48" s="35">
        <v>54108.46</v>
      </c>
      <c r="E48" s="35">
        <v>43121.64</v>
      </c>
      <c r="F48" s="12">
        <f t="shared" si="15"/>
        <v>161652.81</v>
      </c>
      <c r="G48" s="12">
        <f>SUMIF(Draw_Register!$C:$C,$A48,Draw_Register!$F:$F)</f>
        <v>0</v>
      </c>
      <c r="H48" s="12">
        <f t="shared" si="16"/>
        <v>33508</v>
      </c>
      <c r="I48" s="13">
        <f t="shared" si="17"/>
        <v>0</v>
      </c>
      <c r="J48" s="37" t="str">
        <f t="shared" si="18"/>
        <v>✓</v>
      </c>
      <c r="K48" s="189">
        <f>SUMIF(Inflow_Register!$C:$C,$A48,Inflow_Register!$F:$F)</f>
        <v>0</v>
      </c>
      <c r="L48" s="190">
        <f t="shared" si="19"/>
        <v>0</v>
      </c>
      <c r="M48" s="34">
        <f t="shared" si="20"/>
        <v>33508</v>
      </c>
    </row>
    <row r="49" spans="1:13" ht="15" customHeight="1" x14ac:dyDescent="0.3">
      <c r="A49" s="1" t="s">
        <v>616</v>
      </c>
      <c r="B49" s="35">
        <v>50012.7</v>
      </c>
      <c r="C49" s="35">
        <v>36393.019999999997</v>
      </c>
      <c r="D49" s="35">
        <v>38825.08</v>
      </c>
      <c r="E49" s="35">
        <v>25195.06</v>
      </c>
      <c r="F49" s="12">
        <f t="shared" si="15"/>
        <v>150425.86000000002</v>
      </c>
      <c r="G49" s="12">
        <f>SUMIF(Draw_Register!$C:$C,$A49,Draw_Register!$F:$F)</f>
        <v>0</v>
      </c>
      <c r="H49" s="12">
        <f t="shared" si="16"/>
        <v>50012.7</v>
      </c>
      <c r="I49" s="13">
        <f t="shared" si="17"/>
        <v>0</v>
      </c>
      <c r="J49" s="37" t="str">
        <f t="shared" si="18"/>
        <v>✓</v>
      </c>
      <c r="K49" s="191">
        <f>SUMIF(Inflow_Register!$C:$C,$A49,Inflow_Register!$F:$F)</f>
        <v>0</v>
      </c>
      <c r="L49" s="192">
        <f t="shared" si="19"/>
        <v>0</v>
      </c>
      <c r="M49" s="34">
        <f t="shared" si="20"/>
        <v>50012.7</v>
      </c>
    </row>
    <row r="50" spans="1:13" ht="15" customHeight="1" x14ac:dyDescent="0.3">
      <c r="A50" s="1" t="s">
        <v>617</v>
      </c>
      <c r="B50" s="35">
        <v>34758.99</v>
      </c>
      <c r="C50" s="35">
        <v>42922.559999999998</v>
      </c>
      <c r="D50" s="35">
        <v>80771.509999999995</v>
      </c>
      <c r="E50" s="35">
        <v>39079.47</v>
      </c>
      <c r="F50" s="12">
        <f t="shared" si="15"/>
        <v>197532.53</v>
      </c>
      <c r="G50" s="12">
        <f>SUMIF(Draw_Register!$C:$C,$A50,Draw_Register!$F:$F)</f>
        <v>0</v>
      </c>
      <c r="H50" s="12">
        <f t="shared" si="16"/>
        <v>34758.99</v>
      </c>
      <c r="I50" s="13">
        <f t="shared" si="17"/>
        <v>0</v>
      </c>
      <c r="J50" s="37" t="str">
        <f t="shared" si="18"/>
        <v>✓</v>
      </c>
      <c r="K50" s="189">
        <f>SUMIF(Inflow_Register!$C:$C,$A50,Inflow_Register!$F:$F)</f>
        <v>0</v>
      </c>
      <c r="L50" s="190">
        <f t="shared" si="19"/>
        <v>0</v>
      </c>
      <c r="M50" s="34">
        <f t="shared" si="20"/>
        <v>34758.99</v>
      </c>
    </row>
    <row r="51" spans="1:13" ht="15" customHeight="1" x14ac:dyDescent="0.3">
      <c r="A51" s="1" t="s">
        <v>618</v>
      </c>
      <c r="B51" s="35">
        <v>420</v>
      </c>
      <c r="C51" s="35">
        <v>920.13</v>
      </c>
      <c r="D51" s="35">
        <v>7187.26</v>
      </c>
      <c r="E51" s="35">
        <v>2969.91</v>
      </c>
      <c r="F51" s="12">
        <f t="shared" si="15"/>
        <v>11497.3</v>
      </c>
      <c r="G51" s="12">
        <f>SUMIF(Draw_Register!$C:$C,$A51,Draw_Register!$F:$F)</f>
        <v>0</v>
      </c>
      <c r="H51" s="12">
        <f t="shared" si="16"/>
        <v>420</v>
      </c>
      <c r="I51" s="13">
        <f t="shared" si="17"/>
        <v>0</v>
      </c>
      <c r="J51" s="37" t="str">
        <f t="shared" si="18"/>
        <v>✓</v>
      </c>
      <c r="K51" s="191">
        <f>SUMIF(Inflow_Register!$C:$C,$A51,Inflow_Register!$F:$F)</f>
        <v>0</v>
      </c>
      <c r="L51" s="192">
        <f t="shared" si="19"/>
        <v>0</v>
      </c>
      <c r="M51" s="34">
        <f t="shared" si="20"/>
        <v>420</v>
      </c>
    </row>
    <row r="52" spans="1:13" ht="15" customHeight="1" x14ac:dyDescent="0.3">
      <c r="A52" s="1" t="s">
        <v>619</v>
      </c>
      <c r="B52" s="35">
        <v>11300.17</v>
      </c>
      <c r="C52" s="35">
        <v>14925.54</v>
      </c>
      <c r="D52" s="35">
        <v>19015.84</v>
      </c>
      <c r="E52" s="35">
        <v>24548.62</v>
      </c>
      <c r="F52" s="12">
        <f t="shared" si="15"/>
        <v>69790.17</v>
      </c>
      <c r="G52" s="12">
        <f>SUMIF(Draw_Register!$C:$C,$A52,Draw_Register!$F:$F)</f>
        <v>0</v>
      </c>
      <c r="H52" s="12">
        <f t="shared" si="16"/>
        <v>11300.17</v>
      </c>
      <c r="I52" s="13">
        <f t="shared" si="17"/>
        <v>0</v>
      </c>
      <c r="J52" s="37" t="str">
        <f t="shared" si="18"/>
        <v>✓</v>
      </c>
      <c r="K52" s="189">
        <f>SUMIF(Inflow_Register!$C:$C,$A52,Inflow_Register!$F:$F)</f>
        <v>0</v>
      </c>
      <c r="L52" s="190">
        <f t="shared" si="19"/>
        <v>0</v>
      </c>
      <c r="M52" s="34">
        <f t="shared" si="20"/>
        <v>11300.17</v>
      </c>
    </row>
    <row r="53" spans="1:13" ht="15" customHeight="1" x14ac:dyDescent="0.3">
      <c r="A53" s="1" t="s">
        <v>620</v>
      </c>
      <c r="B53" s="35">
        <v>10557.67</v>
      </c>
      <c r="C53" s="35">
        <v>1243.05</v>
      </c>
      <c r="D53" s="35">
        <v>2136.1</v>
      </c>
      <c r="E53" s="35">
        <v>2320.04</v>
      </c>
      <c r="F53" s="12">
        <f t="shared" si="15"/>
        <v>16256.86</v>
      </c>
      <c r="G53" s="12">
        <f>SUMIF(Draw_Register!$C:$C,$A53,Draw_Register!$F:$F)</f>
        <v>0</v>
      </c>
      <c r="H53" s="12">
        <f t="shared" si="16"/>
        <v>10557.67</v>
      </c>
      <c r="I53" s="13">
        <f t="shared" si="17"/>
        <v>0</v>
      </c>
      <c r="J53" s="37" t="str">
        <f t="shared" si="18"/>
        <v>✓</v>
      </c>
      <c r="K53" s="197">
        <f>SUMIF(Inflow_Register!$C:$C,$A53,Inflow_Register!$F:$F)</f>
        <v>0</v>
      </c>
      <c r="L53" s="198">
        <f t="shared" si="19"/>
        <v>0</v>
      </c>
      <c r="M53" s="34">
        <f t="shared" si="20"/>
        <v>10557.67</v>
      </c>
    </row>
    <row r="54" spans="1:13" ht="15" customHeight="1" x14ac:dyDescent="0.3">
      <c r="A54" s="1" t="s">
        <v>621</v>
      </c>
      <c r="B54" s="35">
        <v>30109.63</v>
      </c>
      <c r="C54" s="35">
        <v>43033.93</v>
      </c>
      <c r="D54" s="35">
        <v>29086.959999999999</v>
      </c>
      <c r="E54" s="35">
        <v>24334.83</v>
      </c>
      <c r="F54" s="12">
        <f t="shared" si="15"/>
        <v>126565.34999999999</v>
      </c>
      <c r="G54" s="12">
        <f>SUMIF(Draw_Register!$C:$C,$A54,Draw_Register!$F:$F)</f>
        <v>0</v>
      </c>
      <c r="H54" s="12">
        <f t="shared" si="16"/>
        <v>30109.63</v>
      </c>
      <c r="I54" s="13">
        <f t="shared" si="17"/>
        <v>0</v>
      </c>
      <c r="J54" s="37" t="str">
        <f t="shared" si="18"/>
        <v>✓</v>
      </c>
      <c r="K54" s="197">
        <f>SUMIF(Inflow_Register!$C:$C,$A54,Inflow_Register!$F:$F)</f>
        <v>0</v>
      </c>
      <c r="L54" s="198">
        <f t="shared" si="19"/>
        <v>0</v>
      </c>
      <c r="M54" s="34">
        <f t="shared" si="20"/>
        <v>30109.63</v>
      </c>
    </row>
    <row r="55" spans="1:13" x14ac:dyDescent="0.3">
      <c r="B55" s="36"/>
      <c r="C55" s="36"/>
      <c r="D55" s="36"/>
      <c r="E55" s="36"/>
      <c r="J55" s="36"/>
      <c r="K55" s="29"/>
      <c r="L55" s="30"/>
      <c r="M55" s="30"/>
    </row>
    <row r="56" spans="1:13" ht="15" customHeight="1" x14ac:dyDescent="0.3">
      <c r="A56" s="439" t="s">
        <v>296</v>
      </c>
      <c r="B56" s="439"/>
      <c r="C56" s="439"/>
      <c r="D56" s="439"/>
      <c r="E56" s="439"/>
      <c r="F56" s="439"/>
      <c r="G56" s="439"/>
      <c r="H56" s="439"/>
      <c r="I56" s="439"/>
      <c r="J56" s="440"/>
      <c r="K56" s="193"/>
      <c r="L56" s="194"/>
      <c r="M56" s="194"/>
    </row>
    <row r="57" spans="1:13" ht="15" customHeight="1" x14ac:dyDescent="0.3">
      <c r="A57" s="1" t="s">
        <v>622</v>
      </c>
      <c r="B57" s="35">
        <v>0</v>
      </c>
      <c r="C57" s="35">
        <v>0</v>
      </c>
      <c r="D57" s="35">
        <v>0</v>
      </c>
      <c r="E57" s="35">
        <v>0</v>
      </c>
      <c r="F57" s="12">
        <f t="shared" ref="F57:F66" si="21">SUM(B57:E57)</f>
        <v>0</v>
      </c>
      <c r="G57" s="12">
        <f>SUMIF(Draw_Register!$C:$C,$A57,Draw_Register!$F:$F)</f>
        <v>0</v>
      </c>
      <c r="H57" s="12">
        <f t="shared" ref="H57:H66" si="22">B57-G57+K57</f>
        <v>0</v>
      </c>
      <c r="I57" s="13">
        <f t="shared" ref="I57:I66" si="23">IF(B57=0,0,L57/B57)</f>
        <v>0</v>
      </c>
      <c r="J57" s="37" t="str">
        <f t="shared" ref="J57:J66" si="24">IF(I57&gt;1,"⚠ OVER",IF(I57&gt;0.9,"⚠ HIGH","✓"))</f>
        <v>✓</v>
      </c>
      <c r="K57" s="197">
        <f>SUMIF(Inflow_Register!$C:$C,$A57,Inflow_Register!$F:$F)</f>
        <v>0</v>
      </c>
      <c r="L57" s="198">
        <f t="shared" ref="L57:L66" si="25">G57-K57</f>
        <v>0</v>
      </c>
      <c r="M57" s="34">
        <f t="shared" ref="M57:M66" si="26">+B57-G57+K57</f>
        <v>0</v>
      </c>
    </row>
    <row r="58" spans="1:13" ht="15" customHeight="1" x14ac:dyDescent="0.3">
      <c r="A58" s="1" t="s">
        <v>623</v>
      </c>
      <c r="B58" s="35">
        <v>0</v>
      </c>
      <c r="C58" s="35">
        <v>0</v>
      </c>
      <c r="D58" s="35">
        <v>0</v>
      </c>
      <c r="E58" s="35">
        <v>0</v>
      </c>
      <c r="F58" s="12">
        <f t="shared" si="21"/>
        <v>0</v>
      </c>
      <c r="G58" s="12">
        <f>SUMIF(Draw_Register!$C:$C,$A58,Draw_Register!$F:$F)</f>
        <v>0</v>
      </c>
      <c r="H58" s="12">
        <f t="shared" si="22"/>
        <v>0</v>
      </c>
      <c r="I58" s="13">
        <f t="shared" si="23"/>
        <v>0</v>
      </c>
      <c r="J58" s="37" t="str">
        <f t="shared" si="24"/>
        <v>✓</v>
      </c>
      <c r="K58" s="197">
        <f>SUMIF(Inflow_Register!$C:$C,$A58,Inflow_Register!$F:$F)</f>
        <v>0</v>
      </c>
      <c r="L58" s="198">
        <f t="shared" si="25"/>
        <v>0</v>
      </c>
      <c r="M58" s="34">
        <f t="shared" si="26"/>
        <v>0</v>
      </c>
    </row>
    <row r="59" spans="1:13" ht="15" customHeight="1" x14ac:dyDescent="0.3">
      <c r="A59" s="1" t="s">
        <v>624</v>
      </c>
      <c r="B59" s="35">
        <v>0</v>
      </c>
      <c r="C59" s="35">
        <v>0</v>
      </c>
      <c r="D59" s="35">
        <v>0</v>
      </c>
      <c r="E59" s="35">
        <v>0</v>
      </c>
      <c r="F59" s="12">
        <f t="shared" si="21"/>
        <v>0</v>
      </c>
      <c r="G59" s="12">
        <f>SUMIF(Draw_Register!$C:$C,$A59,Draw_Register!$F:$F)</f>
        <v>0</v>
      </c>
      <c r="H59" s="12">
        <f t="shared" si="22"/>
        <v>0</v>
      </c>
      <c r="I59" s="13">
        <f t="shared" si="23"/>
        <v>0</v>
      </c>
      <c r="J59" s="37" t="str">
        <f t="shared" si="24"/>
        <v>✓</v>
      </c>
      <c r="K59" s="197">
        <f>SUMIF(Inflow_Register!$C:$C,$A59,Inflow_Register!$F:$F)</f>
        <v>0</v>
      </c>
      <c r="L59" s="198">
        <f t="shared" si="25"/>
        <v>0</v>
      </c>
      <c r="M59" s="34">
        <f t="shared" si="26"/>
        <v>0</v>
      </c>
    </row>
    <row r="60" spans="1:13" ht="15" customHeight="1" x14ac:dyDescent="0.3">
      <c r="A60" s="1" t="s">
        <v>625</v>
      </c>
      <c r="B60" s="35">
        <v>0</v>
      </c>
      <c r="C60" s="35">
        <v>0</v>
      </c>
      <c r="D60" s="35">
        <v>0</v>
      </c>
      <c r="E60" s="35">
        <v>0</v>
      </c>
      <c r="F60" s="12">
        <f t="shared" si="21"/>
        <v>0</v>
      </c>
      <c r="G60" s="12">
        <f>SUMIF(Draw_Register!$C:$C,$A60,Draw_Register!$F:$F)</f>
        <v>0</v>
      </c>
      <c r="H60" s="12">
        <f t="shared" si="22"/>
        <v>0</v>
      </c>
      <c r="I60" s="13">
        <f t="shared" si="23"/>
        <v>0</v>
      </c>
      <c r="J60" s="37" t="str">
        <f t="shared" si="24"/>
        <v>✓</v>
      </c>
      <c r="K60" s="191">
        <f>SUMIF(Inflow_Register!$C:$C,$A60,Inflow_Register!$F:$F)</f>
        <v>0</v>
      </c>
      <c r="L60" s="192">
        <f t="shared" si="25"/>
        <v>0</v>
      </c>
      <c r="M60" s="34">
        <f t="shared" si="26"/>
        <v>0</v>
      </c>
    </row>
    <row r="61" spans="1:13" ht="15" customHeight="1" x14ac:dyDescent="0.3">
      <c r="A61" s="1" t="s">
        <v>626</v>
      </c>
      <c r="B61" s="35">
        <v>0</v>
      </c>
      <c r="C61" s="35">
        <v>0</v>
      </c>
      <c r="D61" s="35">
        <v>0</v>
      </c>
      <c r="E61" s="35">
        <v>0</v>
      </c>
      <c r="F61" s="12">
        <f t="shared" si="21"/>
        <v>0</v>
      </c>
      <c r="G61" s="12">
        <f>SUMIF(Draw_Register!$C:$C,$A61,Draw_Register!$F:$F)</f>
        <v>0</v>
      </c>
      <c r="H61" s="12">
        <f t="shared" si="22"/>
        <v>0</v>
      </c>
      <c r="I61" s="13">
        <f t="shared" si="23"/>
        <v>0</v>
      </c>
      <c r="J61" s="37" t="str">
        <f t="shared" si="24"/>
        <v>✓</v>
      </c>
      <c r="K61" s="189">
        <f>SUMIF(Inflow_Register!$C:$C,$A61,Inflow_Register!$F:$F)</f>
        <v>0</v>
      </c>
      <c r="L61" s="190">
        <f t="shared" si="25"/>
        <v>0</v>
      </c>
      <c r="M61" s="34">
        <f t="shared" si="26"/>
        <v>0</v>
      </c>
    </row>
    <row r="62" spans="1:13" ht="15" customHeight="1" x14ac:dyDescent="0.3">
      <c r="A62" s="1" t="s">
        <v>627</v>
      </c>
      <c r="B62" s="35">
        <v>0</v>
      </c>
      <c r="C62" s="35">
        <v>0</v>
      </c>
      <c r="D62" s="35">
        <v>0</v>
      </c>
      <c r="E62" s="35">
        <v>0</v>
      </c>
      <c r="F62" s="12">
        <f t="shared" si="21"/>
        <v>0</v>
      </c>
      <c r="G62" s="12">
        <f>SUMIF(Draw_Register!$C:$C,$A62,Draw_Register!$F:$F)</f>
        <v>0</v>
      </c>
      <c r="H62" s="12">
        <f t="shared" si="22"/>
        <v>0</v>
      </c>
      <c r="I62" s="13">
        <f t="shared" si="23"/>
        <v>0</v>
      </c>
      <c r="J62" s="37" t="str">
        <f t="shared" si="24"/>
        <v>✓</v>
      </c>
      <c r="K62" s="191">
        <f>SUMIF(Inflow_Register!$C:$C,$A62,Inflow_Register!$F:$F)</f>
        <v>0</v>
      </c>
      <c r="L62" s="192">
        <f t="shared" si="25"/>
        <v>0</v>
      </c>
      <c r="M62" s="34">
        <f t="shared" si="26"/>
        <v>0</v>
      </c>
    </row>
    <row r="63" spans="1:13" ht="15" customHeight="1" x14ac:dyDescent="0.3">
      <c r="A63" s="1" t="s">
        <v>628</v>
      </c>
      <c r="B63" s="35">
        <v>0</v>
      </c>
      <c r="C63" s="35">
        <v>0</v>
      </c>
      <c r="D63" s="35">
        <v>0</v>
      </c>
      <c r="E63" s="35">
        <v>0</v>
      </c>
      <c r="F63" s="12">
        <f t="shared" si="21"/>
        <v>0</v>
      </c>
      <c r="G63" s="12">
        <f>SUMIF(Draw_Register!$C:$C,$A63,Draw_Register!$F:$F)</f>
        <v>0</v>
      </c>
      <c r="H63" s="12">
        <f t="shared" si="22"/>
        <v>0</v>
      </c>
      <c r="I63" s="13">
        <f t="shared" si="23"/>
        <v>0</v>
      </c>
      <c r="J63" s="37" t="str">
        <f t="shared" si="24"/>
        <v>✓</v>
      </c>
      <c r="K63" s="189">
        <f>SUMIF(Inflow_Register!$C:$C,$A63,Inflow_Register!$F:$F)</f>
        <v>0</v>
      </c>
      <c r="L63" s="190">
        <f t="shared" si="25"/>
        <v>0</v>
      </c>
      <c r="M63" s="34">
        <f t="shared" si="26"/>
        <v>0</v>
      </c>
    </row>
    <row r="64" spans="1:13" ht="15" customHeight="1" x14ac:dyDescent="0.3">
      <c r="A64" s="1" t="s">
        <v>629</v>
      </c>
      <c r="B64" s="35">
        <v>0</v>
      </c>
      <c r="C64" s="35">
        <v>0</v>
      </c>
      <c r="D64" s="35">
        <v>0</v>
      </c>
      <c r="E64" s="35">
        <v>0</v>
      </c>
      <c r="F64" s="12">
        <f t="shared" si="21"/>
        <v>0</v>
      </c>
      <c r="G64" s="12">
        <f>SUMIF(Draw_Register!$C:$C,$A64,Draw_Register!$F:$F)</f>
        <v>0</v>
      </c>
      <c r="H64" s="12">
        <f t="shared" si="22"/>
        <v>0</v>
      </c>
      <c r="I64" s="13">
        <f t="shared" si="23"/>
        <v>0</v>
      </c>
      <c r="J64" s="37" t="str">
        <f t="shared" si="24"/>
        <v>✓</v>
      </c>
      <c r="K64" s="191">
        <f>SUMIF(Inflow_Register!$C:$C,$A64,Inflow_Register!$F:$F)</f>
        <v>0</v>
      </c>
      <c r="L64" s="192">
        <f t="shared" si="25"/>
        <v>0</v>
      </c>
      <c r="M64" s="34">
        <f t="shared" si="26"/>
        <v>0</v>
      </c>
    </row>
    <row r="65" spans="1:13" ht="15" customHeight="1" x14ac:dyDescent="0.3">
      <c r="A65" s="1" t="s">
        <v>630</v>
      </c>
      <c r="B65" s="35">
        <v>0</v>
      </c>
      <c r="C65" s="35">
        <v>0</v>
      </c>
      <c r="D65" s="35">
        <v>0</v>
      </c>
      <c r="E65" s="35">
        <v>0</v>
      </c>
      <c r="F65" s="12">
        <f t="shared" si="21"/>
        <v>0</v>
      </c>
      <c r="G65" s="12">
        <f>SUMIF(Draw_Register!$C:$C,$A65,Draw_Register!$F:$F)</f>
        <v>0</v>
      </c>
      <c r="H65" s="12">
        <f t="shared" si="22"/>
        <v>0</v>
      </c>
      <c r="I65" s="13">
        <f t="shared" si="23"/>
        <v>0</v>
      </c>
      <c r="J65" s="37" t="str">
        <f t="shared" si="24"/>
        <v>✓</v>
      </c>
      <c r="K65" s="189">
        <f>SUMIF(Inflow_Register!$C:$C,$A65,Inflow_Register!$F:$F)</f>
        <v>0</v>
      </c>
      <c r="L65" s="190">
        <f t="shared" si="25"/>
        <v>0</v>
      </c>
      <c r="M65" s="34">
        <f t="shared" si="26"/>
        <v>0</v>
      </c>
    </row>
    <row r="66" spans="1:13" ht="15" customHeight="1" x14ac:dyDescent="0.3">
      <c r="A66" s="1" t="s">
        <v>631</v>
      </c>
      <c r="B66" s="35">
        <v>0</v>
      </c>
      <c r="C66" s="35">
        <v>0</v>
      </c>
      <c r="D66" s="35">
        <v>0</v>
      </c>
      <c r="E66" s="35">
        <v>0</v>
      </c>
      <c r="F66" s="12">
        <f t="shared" si="21"/>
        <v>0</v>
      </c>
      <c r="G66" s="12">
        <f>SUMIF(Draw_Register!$C:$C,$A66,Draw_Register!$F:$F)</f>
        <v>0</v>
      </c>
      <c r="H66" s="12">
        <f t="shared" si="22"/>
        <v>0</v>
      </c>
      <c r="I66" s="13">
        <f t="shared" si="23"/>
        <v>0</v>
      </c>
      <c r="J66" s="37" t="str">
        <f t="shared" si="24"/>
        <v>✓</v>
      </c>
      <c r="K66" s="197">
        <f>SUMIF(Inflow_Register!$C:$C,$A66,Inflow_Register!$F:$F)</f>
        <v>0</v>
      </c>
      <c r="L66" s="198">
        <f t="shared" si="25"/>
        <v>0</v>
      </c>
      <c r="M66" s="34">
        <f t="shared" si="26"/>
        <v>0</v>
      </c>
    </row>
    <row r="67" spans="1:13" x14ac:dyDescent="0.3">
      <c r="B67" s="36"/>
      <c r="C67" s="36"/>
      <c r="D67" s="36"/>
      <c r="E67" s="36"/>
      <c r="J67" s="36"/>
      <c r="K67" s="29"/>
      <c r="L67" s="30"/>
      <c r="M67" s="30"/>
    </row>
    <row r="68" spans="1:13" ht="15" customHeight="1" x14ac:dyDescent="0.3">
      <c r="A68" s="439" t="s">
        <v>298</v>
      </c>
      <c r="B68" s="439"/>
      <c r="C68" s="439"/>
      <c r="D68" s="439"/>
      <c r="E68" s="439"/>
      <c r="F68" s="439"/>
      <c r="G68" s="439"/>
      <c r="H68" s="439"/>
      <c r="I68" s="439"/>
      <c r="J68" s="440"/>
      <c r="K68" s="193"/>
      <c r="L68" s="194"/>
      <c r="M68" s="194"/>
    </row>
    <row r="69" spans="1:13" ht="15" customHeight="1" x14ac:dyDescent="0.3">
      <c r="A69" s="1" t="s">
        <v>632</v>
      </c>
      <c r="B69" s="35">
        <v>0</v>
      </c>
      <c r="C69" s="35">
        <v>0</v>
      </c>
      <c r="D69" s="35">
        <v>0</v>
      </c>
      <c r="E69" s="35">
        <v>0</v>
      </c>
      <c r="F69" s="12">
        <f t="shared" ref="F69:F74" si="27">SUM(B69:E69)</f>
        <v>0</v>
      </c>
      <c r="G69" s="12">
        <f>SUMIF(Draw_Register!$C:$C,$A69,Draw_Register!$F:$F)</f>
        <v>0</v>
      </c>
      <c r="H69" s="12">
        <f t="shared" ref="H69:H74" si="28">B69-G69+K69</f>
        <v>0</v>
      </c>
      <c r="I69" s="13">
        <f t="shared" ref="I69:I74" si="29">IF(B69=0,0,L69/B69)</f>
        <v>0</v>
      </c>
      <c r="J69" s="37" t="str">
        <f t="shared" ref="J69:J74" si="30">IF(I69&gt;1,"⚠ OVER",IF(I69&gt;0.9,"⚠ HIGH","✓"))</f>
        <v>✓</v>
      </c>
      <c r="K69" s="191">
        <f>SUMIF(Inflow_Register!$C:$C,$A69,Inflow_Register!$F:$F)</f>
        <v>0</v>
      </c>
      <c r="L69" s="192">
        <f t="shared" ref="L69:L74" si="31">G69-K69</f>
        <v>0</v>
      </c>
      <c r="M69" s="34">
        <f t="shared" ref="M69:M74" si="32">+B69-G69+K69</f>
        <v>0</v>
      </c>
    </row>
    <row r="70" spans="1:13" ht="15" customHeight="1" x14ac:dyDescent="0.3">
      <c r="A70" s="1" t="s">
        <v>633</v>
      </c>
      <c r="B70" s="35">
        <v>0</v>
      </c>
      <c r="C70" s="35">
        <v>0</v>
      </c>
      <c r="D70" s="35">
        <v>0</v>
      </c>
      <c r="E70" s="35">
        <v>0</v>
      </c>
      <c r="F70" s="12">
        <f t="shared" si="27"/>
        <v>0</v>
      </c>
      <c r="G70" s="12">
        <f>SUMIF(Draw_Register!$C:$C,$A70,Draw_Register!$F:$F)</f>
        <v>0</v>
      </c>
      <c r="H70" s="12">
        <f t="shared" si="28"/>
        <v>0</v>
      </c>
      <c r="I70" s="13">
        <f t="shared" si="29"/>
        <v>0</v>
      </c>
      <c r="J70" s="37" t="str">
        <f t="shared" si="30"/>
        <v>✓</v>
      </c>
      <c r="K70" s="189">
        <f>SUMIF(Inflow_Register!$C:$C,$A70,Inflow_Register!$F:$F)</f>
        <v>0</v>
      </c>
      <c r="L70" s="190">
        <f t="shared" si="31"/>
        <v>0</v>
      </c>
      <c r="M70" s="34">
        <f t="shared" si="32"/>
        <v>0</v>
      </c>
    </row>
    <row r="71" spans="1:13" ht="15" customHeight="1" x14ac:dyDescent="0.3">
      <c r="A71" s="1" t="s">
        <v>634</v>
      </c>
      <c r="B71" s="35">
        <v>0</v>
      </c>
      <c r="C71" s="35">
        <v>0</v>
      </c>
      <c r="D71" s="35">
        <v>0</v>
      </c>
      <c r="E71" s="35">
        <v>0</v>
      </c>
      <c r="F71" s="12">
        <f t="shared" si="27"/>
        <v>0</v>
      </c>
      <c r="G71" s="12">
        <f>SUMIF(Draw_Register!$C:$C,$A71,Draw_Register!$F:$F)</f>
        <v>0</v>
      </c>
      <c r="H71" s="12">
        <f t="shared" si="28"/>
        <v>0</v>
      </c>
      <c r="I71" s="13">
        <f t="shared" si="29"/>
        <v>0</v>
      </c>
      <c r="J71" s="37" t="str">
        <f t="shared" si="30"/>
        <v>✓</v>
      </c>
      <c r="K71" s="191">
        <f>SUMIF(Inflow_Register!$C:$C,$A71,Inflow_Register!$F:$F)</f>
        <v>0</v>
      </c>
      <c r="L71" s="192">
        <f t="shared" si="31"/>
        <v>0</v>
      </c>
      <c r="M71" s="34">
        <f t="shared" si="32"/>
        <v>0</v>
      </c>
    </row>
    <row r="72" spans="1:13" ht="15" customHeight="1" x14ac:dyDescent="0.3">
      <c r="A72" s="1" t="s">
        <v>635</v>
      </c>
      <c r="B72" s="35">
        <v>0</v>
      </c>
      <c r="C72" s="35">
        <v>0</v>
      </c>
      <c r="D72" s="35">
        <v>0</v>
      </c>
      <c r="E72" s="35">
        <v>0</v>
      </c>
      <c r="F72" s="12">
        <f t="shared" si="27"/>
        <v>0</v>
      </c>
      <c r="G72" s="12">
        <f>SUMIF(Draw_Register!$C:$C,$A72,Draw_Register!$F:$F)</f>
        <v>0</v>
      </c>
      <c r="H72" s="12">
        <f t="shared" si="28"/>
        <v>0</v>
      </c>
      <c r="I72" s="13">
        <f t="shared" si="29"/>
        <v>0</v>
      </c>
      <c r="J72" s="37" t="str">
        <f t="shared" si="30"/>
        <v>✓</v>
      </c>
      <c r="K72" s="189">
        <f>SUMIF(Inflow_Register!$C:$C,$A72,Inflow_Register!$F:$F)</f>
        <v>0</v>
      </c>
      <c r="L72" s="190">
        <f t="shared" si="31"/>
        <v>0</v>
      </c>
      <c r="M72" s="34">
        <f t="shared" si="32"/>
        <v>0</v>
      </c>
    </row>
    <row r="73" spans="1:13" ht="15" customHeight="1" x14ac:dyDescent="0.3">
      <c r="A73" s="1" t="s">
        <v>636</v>
      </c>
      <c r="B73" s="35">
        <v>0</v>
      </c>
      <c r="C73" s="35">
        <v>0</v>
      </c>
      <c r="D73" s="35">
        <v>0</v>
      </c>
      <c r="E73" s="35">
        <v>0</v>
      </c>
      <c r="F73" s="12">
        <f t="shared" si="27"/>
        <v>0</v>
      </c>
      <c r="G73" s="12">
        <f>SUMIF(Draw_Register!$C:$C,$A73,Draw_Register!$F:$F)</f>
        <v>0</v>
      </c>
      <c r="H73" s="12">
        <f t="shared" si="28"/>
        <v>0</v>
      </c>
      <c r="I73" s="13">
        <f t="shared" si="29"/>
        <v>0</v>
      </c>
      <c r="J73" s="37" t="str">
        <f t="shared" si="30"/>
        <v>✓</v>
      </c>
      <c r="K73" s="191">
        <f>SUMIF(Inflow_Register!$C:$C,$A73,Inflow_Register!$F:$F)</f>
        <v>0</v>
      </c>
      <c r="L73" s="192">
        <f t="shared" si="31"/>
        <v>0</v>
      </c>
      <c r="M73" s="34">
        <f t="shared" si="32"/>
        <v>0</v>
      </c>
    </row>
    <row r="74" spans="1:13" ht="15" customHeight="1" x14ac:dyDescent="0.3">
      <c r="A74" s="1" t="s">
        <v>637</v>
      </c>
      <c r="B74" s="35">
        <v>0</v>
      </c>
      <c r="C74" s="35">
        <v>0</v>
      </c>
      <c r="D74" s="35">
        <v>0</v>
      </c>
      <c r="E74" s="35">
        <v>0</v>
      </c>
      <c r="F74" s="12">
        <f t="shared" si="27"/>
        <v>0</v>
      </c>
      <c r="G74" s="12">
        <f>SUMIF(Draw_Register!$C:$C,$A74,Draw_Register!$F:$F)</f>
        <v>0</v>
      </c>
      <c r="H74" s="12">
        <f t="shared" si="28"/>
        <v>0</v>
      </c>
      <c r="I74" s="13">
        <f t="shared" si="29"/>
        <v>0</v>
      </c>
      <c r="J74" s="37" t="str">
        <f t="shared" si="30"/>
        <v>✓</v>
      </c>
      <c r="K74" s="189">
        <f>SUMIF(Inflow_Register!$C:$C,$A74,Inflow_Register!$F:$F)</f>
        <v>0</v>
      </c>
      <c r="L74" s="190">
        <f t="shared" si="31"/>
        <v>0</v>
      </c>
      <c r="M74" s="34">
        <f t="shared" si="32"/>
        <v>0</v>
      </c>
    </row>
    <row r="75" spans="1:13" x14ac:dyDescent="0.3">
      <c r="B75" s="36"/>
      <c r="C75" s="36"/>
      <c r="D75" s="36"/>
      <c r="E75" s="36"/>
      <c r="J75" s="36"/>
      <c r="K75" s="29"/>
      <c r="L75" s="30"/>
      <c r="M75" s="30"/>
    </row>
    <row r="76" spans="1:13" ht="15" customHeight="1" x14ac:dyDescent="0.3">
      <c r="A76" s="439" t="s">
        <v>299</v>
      </c>
      <c r="B76" s="439"/>
      <c r="C76" s="439"/>
      <c r="D76" s="439"/>
      <c r="E76" s="439"/>
      <c r="F76" s="439"/>
      <c r="G76" s="439"/>
      <c r="H76" s="439"/>
      <c r="I76" s="439"/>
      <c r="J76" s="440"/>
      <c r="K76" s="193"/>
      <c r="L76" s="194"/>
      <c r="M76" s="194"/>
    </row>
    <row r="77" spans="1:13" ht="15" customHeight="1" x14ac:dyDescent="0.3">
      <c r="A77" s="1" t="s">
        <v>638</v>
      </c>
      <c r="B77" s="35">
        <v>0</v>
      </c>
      <c r="C77" s="35">
        <v>0</v>
      </c>
      <c r="D77" s="35">
        <v>0</v>
      </c>
      <c r="E77" s="35">
        <v>0</v>
      </c>
      <c r="F77" s="12">
        <f t="shared" ref="F77:F82" si="33">SUM(B77:E77)</f>
        <v>0</v>
      </c>
      <c r="G77" s="12">
        <f>SUMIF(Draw_Register!$C:$C,$A77,Draw_Register!$F:$F)</f>
        <v>0</v>
      </c>
      <c r="H77" s="12">
        <f t="shared" ref="H77:H82" si="34">B77-G77+K77</f>
        <v>0</v>
      </c>
      <c r="I77" s="13">
        <f t="shared" ref="I77:I82" si="35">IF(B77=0,0,L77/B77)</f>
        <v>0</v>
      </c>
      <c r="J77" s="37" t="str">
        <f t="shared" ref="J77:J82" si="36">IF(I77&gt;1,"⚠ OVER",IF(I77&gt;0.9,"⚠ HIGH","✓"))</f>
        <v>✓</v>
      </c>
      <c r="K77" s="191">
        <f>SUMIF(Inflow_Register!$C:$C,$A77,Inflow_Register!$F:$F)</f>
        <v>0</v>
      </c>
      <c r="L77" s="192">
        <f t="shared" ref="L77:L82" si="37">G77-K77</f>
        <v>0</v>
      </c>
      <c r="M77" s="34">
        <f t="shared" ref="M77:M82" si="38">+B77-G77+K77</f>
        <v>0</v>
      </c>
    </row>
    <row r="78" spans="1:13" ht="15" customHeight="1" x14ac:dyDescent="0.3">
      <c r="A78" s="1" t="s">
        <v>639</v>
      </c>
      <c r="B78" s="35">
        <v>0</v>
      </c>
      <c r="C78" s="35">
        <v>0</v>
      </c>
      <c r="D78" s="35">
        <v>0</v>
      </c>
      <c r="E78" s="35">
        <v>0</v>
      </c>
      <c r="F78" s="12">
        <f t="shared" si="33"/>
        <v>0</v>
      </c>
      <c r="G78" s="12">
        <f>SUMIF(Draw_Register!$C:$C,$A78,Draw_Register!$F:$F)</f>
        <v>0</v>
      </c>
      <c r="H78" s="12">
        <f t="shared" si="34"/>
        <v>0</v>
      </c>
      <c r="I78" s="13">
        <f t="shared" si="35"/>
        <v>0</v>
      </c>
      <c r="J78" s="37" t="str">
        <f t="shared" si="36"/>
        <v>✓</v>
      </c>
      <c r="K78" s="195">
        <f>SUMIF(Inflow_Register!$C:$C,$A78,Inflow_Register!$F:$F)</f>
        <v>0</v>
      </c>
      <c r="L78" s="196">
        <f t="shared" si="37"/>
        <v>0</v>
      </c>
      <c r="M78" s="34">
        <f t="shared" si="38"/>
        <v>0</v>
      </c>
    </row>
    <row r="79" spans="1:13" ht="15" customHeight="1" x14ac:dyDescent="0.3">
      <c r="A79" s="1" t="s">
        <v>533</v>
      </c>
      <c r="B79" s="35">
        <v>0</v>
      </c>
      <c r="C79" s="35">
        <v>0</v>
      </c>
      <c r="D79" s="35">
        <v>0</v>
      </c>
      <c r="E79" s="35">
        <v>0</v>
      </c>
      <c r="F79" s="12">
        <f t="shared" si="33"/>
        <v>0</v>
      </c>
      <c r="G79" s="12">
        <f>SUMIF(Draw_Register!$C:$C,$A79,Draw_Register!$F:$F)</f>
        <v>13199.12</v>
      </c>
      <c r="H79" s="12">
        <f t="shared" si="34"/>
        <v>-13199.12</v>
      </c>
      <c r="I79" s="13">
        <f t="shared" si="35"/>
        <v>0</v>
      </c>
      <c r="J79" s="37" t="str">
        <f t="shared" si="36"/>
        <v>✓</v>
      </c>
      <c r="K79" s="189">
        <f>SUMIF(Inflow_Register!$C:$C,$A79,Inflow_Register!$F:$F)</f>
        <v>0</v>
      </c>
      <c r="L79" s="190">
        <f t="shared" si="37"/>
        <v>13199.12</v>
      </c>
      <c r="M79" s="34">
        <f t="shared" si="38"/>
        <v>-13199.12</v>
      </c>
    </row>
    <row r="80" spans="1:13" ht="15" customHeight="1" x14ac:dyDescent="0.3">
      <c r="A80" s="1" t="s">
        <v>640</v>
      </c>
      <c r="B80" s="35">
        <v>5000</v>
      </c>
      <c r="C80" s="35">
        <v>70764.100000000006</v>
      </c>
      <c r="D80" s="35">
        <v>26959.95</v>
      </c>
      <c r="E80" s="35">
        <v>8710</v>
      </c>
      <c r="F80" s="12">
        <f t="shared" si="33"/>
        <v>111434.05</v>
      </c>
      <c r="G80" s="12">
        <f>SUMIF(Draw_Register!$C:$C,$A80,Draw_Register!$F:$F)</f>
        <v>0</v>
      </c>
      <c r="H80" s="12">
        <f t="shared" si="34"/>
        <v>5000</v>
      </c>
      <c r="I80" s="13">
        <f t="shared" si="35"/>
        <v>0</v>
      </c>
      <c r="J80" s="37" t="str">
        <f t="shared" si="36"/>
        <v>✓</v>
      </c>
      <c r="K80" s="191">
        <f>SUMIF(Inflow_Register!$C:$C,$A80,Inflow_Register!$F:$F)</f>
        <v>0</v>
      </c>
      <c r="L80" s="192">
        <f t="shared" si="37"/>
        <v>0</v>
      </c>
      <c r="M80" s="34">
        <f t="shared" si="38"/>
        <v>5000</v>
      </c>
    </row>
    <row r="81" spans="1:13" ht="15" customHeight="1" x14ac:dyDescent="0.3">
      <c r="A81" s="1" t="s">
        <v>641</v>
      </c>
      <c r="B81" s="35">
        <v>0</v>
      </c>
      <c r="C81" s="35">
        <v>66600</v>
      </c>
      <c r="D81" s="35">
        <v>0</v>
      </c>
      <c r="E81" s="35">
        <v>0</v>
      </c>
      <c r="F81" s="12">
        <f t="shared" si="33"/>
        <v>66600</v>
      </c>
      <c r="G81" s="12">
        <f>SUMIF(Draw_Register!$C:$C,$A81,Draw_Register!$F:$F)</f>
        <v>0</v>
      </c>
      <c r="H81" s="12">
        <f t="shared" si="34"/>
        <v>0</v>
      </c>
      <c r="I81" s="13">
        <f t="shared" si="35"/>
        <v>0</v>
      </c>
      <c r="J81" s="37" t="str">
        <f t="shared" si="36"/>
        <v>✓</v>
      </c>
      <c r="K81" s="189">
        <f>SUMIF(Inflow_Register!$C:$C,$A81,Inflow_Register!$F:$F)</f>
        <v>0</v>
      </c>
      <c r="L81" s="190">
        <f t="shared" si="37"/>
        <v>0</v>
      </c>
      <c r="M81" s="34">
        <f t="shared" si="38"/>
        <v>0</v>
      </c>
    </row>
    <row r="82" spans="1:13" ht="15" customHeight="1" x14ac:dyDescent="0.3">
      <c r="A82" s="1" t="s">
        <v>642</v>
      </c>
      <c r="B82" s="35">
        <v>0</v>
      </c>
      <c r="C82" s="35">
        <v>0</v>
      </c>
      <c r="D82" s="35">
        <v>0</v>
      </c>
      <c r="E82" s="35">
        <v>0</v>
      </c>
      <c r="F82" s="12">
        <f t="shared" si="33"/>
        <v>0</v>
      </c>
      <c r="G82" s="12">
        <f>SUMIF(Draw_Register!$C:$C,$A82,Draw_Register!$F:$F)</f>
        <v>0</v>
      </c>
      <c r="H82" s="12">
        <f t="shared" si="34"/>
        <v>0</v>
      </c>
      <c r="I82" s="13">
        <f t="shared" si="35"/>
        <v>0</v>
      </c>
      <c r="J82" s="37" t="str">
        <f t="shared" si="36"/>
        <v>✓</v>
      </c>
      <c r="K82" s="197">
        <f>SUMIF(Inflow_Register!$C:$C,$A82,Inflow_Register!$F:$F)</f>
        <v>0</v>
      </c>
      <c r="L82" s="198">
        <f t="shared" si="37"/>
        <v>0</v>
      </c>
      <c r="M82" s="34">
        <f t="shared" si="38"/>
        <v>0</v>
      </c>
    </row>
    <row r="83" spans="1:13" x14ac:dyDescent="0.3">
      <c r="B83" s="36"/>
      <c r="C83" s="36"/>
      <c r="D83" s="36"/>
      <c r="E83" s="36"/>
      <c r="J83" s="36"/>
      <c r="K83" s="29"/>
      <c r="L83" s="30"/>
      <c r="M83" s="30"/>
    </row>
    <row r="84" spans="1:13" ht="15" customHeight="1" x14ac:dyDescent="0.3">
      <c r="A84" s="439" t="s">
        <v>301</v>
      </c>
      <c r="B84" s="439"/>
      <c r="C84" s="439"/>
      <c r="D84" s="439"/>
      <c r="E84" s="439"/>
      <c r="F84" s="439"/>
      <c r="G84" s="439"/>
      <c r="H84" s="439"/>
      <c r="I84" s="439"/>
      <c r="J84" s="440"/>
      <c r="K84" s="193"/>
      <c r="L84" s="194"/>
      <c r="M84" s="194"/>
    </row>
    <row r="85" spans="1:13" ht="15" customHeight="1" x14ac:dyDescent="0.3">
      <c r="A85" s="1" t="s">
        <v>643</v>
      </c>
      <c r="B85" s="35">
        <v>0</v>
      </c>
      <c r="C85" s="35">
        <v>0</v>
      </c>
      <c r="D85" s="35">
        <v>0</v>
      </c>
      <c r="E85" s="35">
        <v>0</v>
      </c>
      <c r="F85" s="12">
        <f t="shared" ref="F85:F90" si="39">SUM(B85:E85)</f>
        <v>0</v>
      </c>
      <c r="G85" s="12">
        <f>SUMIF(Draw_Register!$C:$C,$A85,Draw_Register!$F:$F)</f>
        <v>0</v>
      </c>
      <c r="H85" s="12">
        <f t="shared" ref="H85:H90" si="40">B85-G85+K85</f>
        <v>0</v>
      </c>
      <c r="I85" s="13">
        <f t="shared" ref="I85:I90" si="41">IF(B85=0,0,L85/B85)</f>
        <v>0</v>
      </c>
      <c r="J85" s="37" t="str">
        <f t="shared" ref="J85:J90" si="42">IF(I85&gt;1,"⚠ OVER",IF(I85&gt;0.9,"⚠ HIGH","✓"))</f>
        <v>✓</v>
      </c>
      <c r="K85" s="191">
        <f>SUMIF(Inflow_Register!$C:$C,$A85,Inflow_Register!$F:$F)</f>
        <v>0</v>
      </c>
      <c r="L85" s="192">
        <f t="shared" ref="L85:L90" si="43">G85-K85</f>
        <v>0</v>
      </c>
      <c r="M85" s="34">
        <f t="shared" ref="M85:M90" si="44">+B85-G85+K85</f>
        <v>0</v>
      </c>
    </row>
    <row r="86" spans="1:13" ht="15" customHeight="1" x14ac:dyDescent="0.3">
      <c r="A86" s="1" t="s">
        <v>644</v>
      </c>
      <c r="B86" s="35">
        <v>0</v>
      </c>
      <c r="C86" s="35">
        <v>0</v>
      </c>
      <c r="D86" s="35">
        <v>0</v>
      </c>
      <c r="E86" s="35">
        <v>0</v>
      </c>
      <c r="F86" s="12">
        <f t="shared" si="39"/>
        <v>0</v>
      </c>
      <c r="G86" s="12">
        <f>SUMIF(Draw_Register!$C:$C,$A86,Draw_Register!$F:$F)</f>
        <v>0</v>
      </c>
      <c r="H86" s="12">
        <f t="shared" si="40"/>
        <v>0</v>
      </c>
      <c r="I86" s="13">
        <f t="shared" si="41"/>
        <v>0</v>
      </c>
      <c r="J86" s="37" t="str">
        <f t="shared" si="42"/>
        <v>✓</v>
      </c>
      <c r="K86" s="189">
        <f>SUMIF(Inflow_Register!$C:$C,$A86,Inflow_Register!$F:$F)</f>
        <v>0</v>
      </c>
      <c r="L86" s="190">
        <f t="shared" si="43"/>
        <v>0</v>
      </c>
      <c r="M86" s="34">
        <f t="shared" si="44"/>
        <v>0</v>
      </c>
    </row>
    <row r="87" spans="1:13" ht="15" customHeight="1" x14ac:dyDescent="0.3">
      <c r="A87" s="1" t="s">
        <v>645</v>
      </c>
      <c r="B87" s="35">
        <v>0</v>
      </c>
      <c r="C87" s="35">
        <v>0</v>
      </c>
      <c r="D87" s="35">
        <v>0</v>
      </c>
      <c r="E87" s="35">
        <v>0</v>
      </c>
      <c r="F87" s="12">
        <f t="shared" si="39"/>
        <v>0</v>
      </c>
      <c r="G87" s="12">
        <f>SUMIF(Draw_Register!$C:$C,$A87,Draw_Register!$F:$F)</f>
        <v>0</v>
      </c>
      <c r="H87" s="12">
        <f t="shared" si="40"/>
        <v>0</v>
      </c>
      <c r="I87" s="13">
        <f t="shared" si="41"/>
        <v>0</v>
      </c>
      <c r="J87" s="37" t="str">
        <f t="shared" si="42"/>
        <v>✓</v>
      </c>
      <c r="K87" s="191">
        <f>SUMIF(Inflow_Register!$C:$C,$A87,Inflow_Register!$F:$F)</f>
        <v>0</v>
      </c>
      <c r="L87" s="192">
        <f t="shared" si="43"/>
        <v>0</v>
      </c>
      <c r="M87" s="34">
        <f t="shared" si="44"/>
        <v>0</v>
      </c>
    </row>
    <row r="88" spans="1:13" ht="15" customHeight="1" x14ac:dyDescent="0.3">
      <c r="A88" s="1" t="s">
        <v>646</v>
      </c>
      <c r="B88" s="35">
        <v>50000</v>
      </c>
      <c r="C88" s="35">
        <v>0</v>
      </c>
      <c r="D88" s="35">
        <v>0</v>
      </c>
      <c r="E88" s="35">
        <v>0</v>
      </c>
      <c r="F88" s="12">
        <f t="shared" si="39"/>
        <v>50000</v>
      </c>
      <c r="G88" s="12">
        <f>SUMIF(Draw_Register!$C:$C,$A88,Draw_Register!$F:$F)</f>
        <v>0</v>
      </c>
      <c r="H88" s="12">
        <f t="shared" si="40"/>
        <v>50000</v>
      </c>
      <c r="I88" s="13">
        <f t="shared" si="41"/>
        <v>0</v>
      </c>
      <c r="J88" s="37" t="str">
        <f t="shared" si="42"/>
        <v>✓</v>
      </c>
      <c r="K88" s="189">
        <f>SUMIF(Inflow_Register!$C:$C,$A88,Inflow_Register!$F:$F)</f>
        <v>0</v>
      </c>
      <c r="L88" s="190">
        <f t="shared" si="43"/>
        <v>0</v>
      </c>
      <c r="M88" s="34">
        <f t="shared" si="44"/>
        <v>50000</v>
      </c>
    </row>
    <row r="89" spans="1:13" ht="15" customHeight="1" x14ac:dyDescent="0.3">
      <c r="A89" s="1" t="s">
        <v>647</v>
      </c>
      <c r="B89" s="35">
        <v>0</v>
      </c>
      <c r="C89" s="35">
        <v>0</v>
      </c>
      <c r="D89" s="35">
        <v>0</v>
      </c>
      <c r="E89" s="35">
        <v>0</v>
      </c>
      <c r="F89" s="12">
        <f t="shared" si="39"/>
        <v>0</v>
      </c>
      <c r="G89" s="12">
        <f>SUMIF(Draw_Register!$C:$C,$A89,Draw_Register!$F:$F)</f>
        <v>0</v>
      </c>
      <c r="H89" s="12">
        <f t="shared" si="40"/>
        <v>0</v>
      </c>
      <c r="I89" s="13">
        <f t="shared" si="41"/>
        <v>0</v>
      </c>
      <c r="J89" s="37" t="str">
        <f t="shared" si="42"/>
        <v>✓</v>
      </c>
      <c r="K89" s="191">
        <f>SUMIF(Inflow_Register!$C:$C,$A89,Inflow_Register!$F:$F)</f>
        <v>0</v>
      </c>
      <c r="L89" s="192">
        <f t="shared" si="43"/>
        <v>0</v>
      </c>
      <c r="M89" s="34">
        <f t="shared" si="44"/>
        <v>0</v>
      </c>
    </row>
    <row r="90" spans="1:13" ht="15" customHeight="1" x14ac:dyDescent="0.3">
      <c r="A90" s="1" t="s">
        <v>648</v>
      </c>
      <c r="B90" s="35">
        <v>110000</v>
      </c>
      <c r="C90" s="35">
        <v>0</v>
      </c>
      <c r="D90" s="35">
        <v>0</v>
      </c>
      <c r="E90" s="35">
        <v>0</v>
      </c>
      <c r="F90" s="12">
        <f t="shared" si="39"/>
        <v>110000</v>
      </c>
      <c r="G90" s="12">
        <f>SUMIF(Draw_Register!$C:$C,$A90,Draw_Register!$F:$F)</f>
        <v>0</v>
      </c>
      <c r="H90" s="12">
        <f t="shared" si="40"/>
        <v>110000</v>
      </c>
      <c r="I90" s="13">
        <f t="shared" si="41"/>
        <v>0</v>
      </c>
      <c r="J90" s="37" t="str">
        <f t="shared" si="42"/>
        <v>✓</v>
      </c>
      <c r="K90" s="189">
        <f>SUMIF(Inflow_Register!$C:$C,$A90,Inflow_Register!$F:$F)</f>
        <v>0</v>
      </c>
      <c r="L90" s="190">
        <f t="shared" si="43"/>
        <v>0</v>
      </c>
      <c r="M90" s="34">
        <f t="shared" si="44"/>
        <v>110000</v>
      </c>
    </row>
    <row r="91" spans="1:13" x14ac:dyDescent="0.3">
      <c r="B91" s="36"/>
      <c r="C91" s="36"/>
      <c r="D91" s="36"/>
      <c r="E91" s="36"/>
      <c r="J91" s="36"/>
      <c r="K91" s="29"/>
      <c r="L91" s="30"/>
      <c r="M91" s="30"/>
    </row>
    <row r="92" spans="1:13" ht="15" customHeight="1" x14ac:dyDescent="0.3">
      <c r="A92" s="439" t="s">
        <v>303</v>
      </c>
      <c r="B92" s="439"/>
      <c r="C92" s="439"/>
      <c r="D92" s="439"/>
      <c r="E92" s="439"/>
      <c r="F92" s="439"/>
      <c r="G92" s="439"/>
      <c r="H92" s="439"/>
      <c r="I92" s="439"/>
      <c r="J92" s="440"/>
      <c r="K92" s="193"/>
      <c r="L92" s="194"/>
      <c r="M92" s="194"/>
    </row>
    <row r="93" spans="1:13" ht="15" customHeight="1" x14ac:dyDescent="0.3">
      <c r="A93" s="1" t="s">
        <v>579</v>
      </c>
      <c r="B93" s="35">
        <f>2600000-2551479.39</f>
        <v>48520.60999999987</v>
      </c>
      <c r="C93" s="35">
        <v>0</v>
      </c>
      <c r="D93" s="35">
        <v>0</v>
      </c>
      <c r="E93" s="35">
        <v>0</v>
      </c>
      <c r="F93" s="12">
        <f>SUM(B93:E93)</f>
        <v>48520.60999999987</v>
      </c>
      <c r="G93" s="12">
        <f>SUMIF(Draw_Register!$C:$C,$A93,Draw_Register!$F:$F)</f>
        <v>0</v>
      </c>
      <c r="H93" s="12">
        <f>B93-G93+K93</f>
        <v>177605.35999999987</v>
      </c>
      <c r="I93" s="13">
        <f>IF(B93=0,0,L93/B93)</f>
        <v>-2.6604106997006087</v>
      </c>
      <c r="J93" s="37" t="str">
        <f>IF(I93&gt;1,"⚠ OVER",IF(I93&gt;0.9,"⚠ HIGH","✓"))</f>
        <v>✓</v>
      </c>
      <c r="K93" s="197">
        <f>SUMIF(Inflow_Register!$C:$C,$A93,Inflow_Register!$F:$F)</f>
        <v>129084.75</v>
      </c>
      <c r="L93" s="198">
        <f>G93-K93</f>
        <v>-129084.75</v>
      </c>
      <c r="M93" s="34">
        <f>+B93-G93+K93</f>
        <v>177605.35999999987</v>
      </c>
    </row>
    <row r="94" spans="1:13" x14ac:dyDescent="0.3">
      <c r="B94" s="36"/>
      <c r="C94" s="36"/>
      <c r="D94" s="36"/>
      <c r="E94" s="36"/>
      <c r="J94" s="36"/>
      <c r="K94" s="31"/>
      <c r="L94" s="32"/>
      <c r="M94" s="32"/>
    </row>
    <row r="95" spans="1:13" ht="15" customHeight="1" x14ac:dyDescent="0.3">
      <c r="A95" s="14" t="s">
        <v>649</v>
      </c>
      <c r="B95" s="199">
        <f>SUMIF($A$6:$A$94,"&lt;&gt;1.*",B$6:B$94)+SUMIF($A$6:$A$94,"&lt;&gt;2.*",B$6:B$94)*0</f>
        <v>2600000</v>
      </c>
      <c r="C95" s="199">
        <f>SUMIF($A$6:$A$94,"&lt;&gt;1.*",C$6:C$94)+SUMIF($A$6:$A$94,"&lt;&gt;2.*",C$6:C$94)*0</f>
        <v>1992654.82</v>
      </c>
      <c r="D95" s="199">
        <f>SUMIF($A$6:$A$94,"&lt;&gt;1.*",D$6:D$94)+SUMIF($A$6:$A$94,"&lt;&gt;2.*",D$6:D$94)*0</f>
        <v>1473944.01</v>
      </c>
      <c r="E95" s="199">
        <f>SUMIF($A$6:$A$94,"&lt;&gt;1.*",E$6:E$94)+SUMIF($A$6:$A$94,"&lt;&gt;2.*",E$6:E$94)*0</f>
        <v>1232298.4900000002</v>
      </c>
      <c r="F95" s="199">
        <f>SUM(F6:F94)-SUMPRODUCT((F6:F94&lt;&gt;"")*(ISNUMBER(F6:F94)=FALSE())*0)</f>
        <v>7298897.3199999984</v>
      </c>
      <c r="G95" s="199">
        <f>SUM(G6:G94)-SUMPRODUCT((G6:G94&lt;&gt;"")*(ISNUMBER(G6:G94)=FALSE())*0)</f>
        <v>6385632.870000001</v>
      </c>
      <c r="H95" s="199" cm="1">
        <f t="array" ref="H95">SUM(H6:H94)-SUMPRODUCT((H6:H94&lt;&gt;"")*(ISNUMBER(H6:H94)=FALSE())*0)</f>
        <v>-1942902.9700000002</v>
      </c>
      <c r="I95" s="200">
        <f>IF(B95=0,0,L95/B95)</f>
        <v>1.747270373076923</v>
      </c>
      <c r="J95" s="36"/>
      <c r="K95" s="201" cm="1">
        <f t="array" ref="K95">SUM(K6:K94)-SUMPRODUCT((K6:K94&lt;&gt;"")*(ISNUMBER(K6:K94)=FALSE())*0)</f>
        <v>1842729.9</v>
      </c>
      <c r="L95" s="202" cm="1">
        <f t="array" ref="L95">SUM(L6:L94)-SUMPRODUCT((L6:L94&lt;&gt;"")*(ISNUMBER(L6:L94)=FALSE())*0)</f>
        <v>4542902.97</v>
      </c>
      <c r="M95" s="202" cm="1">
        <f t="array" ref="M95">SUM(M6:M94)-SUMPRODUCT((M6:M94&lt;&gt;"")*(ISNUMBER(M6:M94)=FALSE())*0)</f>
        <v>-1942902.9700000002</v>
      </c>
    </row>
  </sheetData>
  <mergeCells count="13">
    <mergeCell ref="A1:J1"/>
    <mergeCell ref="A2:J2"/>
    <mergeCell ref="A6:J6"/>
    <mergeCell ref="A14:J14"/>
    <mergeCell ref="A20:J20"/>
    <mergeCell ref="A76:J76"/>
    <mergeCell ref="A84:J84"/>
    <mergeCell ref="A92:J92"/>
    <mergeCell ref="A25:J25"/>
    <mergeCell ref="A31:J31"/>
    <mergeCell ref="A46:J46"/>
    <mergeCell ref="A56:J56"/>
    <mergeCell ref="A68:J68"/>
  </mergeCells>
  <conditionalFormatting sqref="H6:H94">
    <cfRule type="cellIs" dxfId="14" priority="25" operator="lessThan">
      <formula>0</formula>
    </cfRule>
  </conditionalFormatting>
  <conditionalFormatting sqref="I6:I94">
    <cfRule type="cellIs" dxfId="13" priority="26" operator="greaterThan">
      <formula>1</formula>
    </cfRule>
    <cfRule type="cellIs" dxfId="12" priority="27" operator="between">
      <formula>0.9</formula>
      <formula>1</formula>
    </cfRule>
  </conditionalFormatting>
  <conditionalFormatting sqref="K7:M7 M7:M12">
    <cfRule type="cellIs" dxfId="11" priority="23" operator="lessThan">
      <formula>0</formula>
    </cfRule>
  </conditionalFormatting>
  <conditionalFormatting sqref="M8:M12">
    <cfRule type="cellIs" dxfId="10" priority="11" operator="lessThan">
      <formula>0</formula>
    </cfRule>
  </conditionalFormatting>
  <conditionalFormatting sqref="M15:M18">
    <cfRule type="cellIs" dxfId="9" priority="10" operator="lessThan">
      <formula>0</formula>
    </cfRule>
  </conditionalFormatting>
  <conditionalFormatting sqref="M21:M23">
    <cfRule type="cellIs" dxfId="8" priority="9" operator="lessThan">
      <formula>0</formula>
    </cfRule>
  </conditionalFormatting>
  <conditionalFormatting sqref="M26:M29">
    <cfRule type="cellIs" dxfId="7" priority="8" operator="lessThan">
      <formula>0</formula>
    </cfRule>
  </conditionalFormatting>
  <conditionalFormatting sqref="M32:M44">
    <cfRule type="cellIs" dxfId="6" priority="7" operator="lessThan">
      <formula>0</formula>
    </cfRule>
  </conditionalFormatting>
  <conditionalFormatting sqref="M47:M54">
    <cfRule type="cellIs" dxfId="5" priority="6" operator="lessThan">
      <formula>0</formula>
    </cfRule>
  </conditionalFormatting>
  <conditionalFormatting sqref="M57:M66">
    <cfRule type="cellIs" dxfId="4" priority="5" operator="lessThan">
      <formula>0</formula>
    </cfRule>
  </conditionalFormatting>
  <conditionalFormatting sqref="M69:M74">
    <cfRule type="cellIs" dxfId="3" priority="4" operator="lessThan">
      <formula>0</formula>
    </cfRule>
  </conditionalFormatting>
  <conditionalFormatting sqref="M77:M82">
    <cfRule type="cellIs" dxfId="2" priority="3" operator="lessThan">
      <formula>0</formula>
    </cfRule>
  </conditionalFormatting>
  <conditionalFormatting sqref="M85:M90">
    <cfRule type="cellIs" dxfId="1" priority="2" operator="lessThan">
      <formula>0</formula>
    </cfRule>
  </conditionalFormatting>
  <conditionalFormatting sqref="M93">
    <cfRule type="cellIs" dxfId="0" priority="1" operator="lessThan">
      <formula>0</formula>
    </cfRule>
  </conditionalFormatting>
  <pageMargins left="0.75" right="0.75" top="1" bottom="1" header="0.511811023622047" footer="0.511811023622047"/>
  <pageSetup paperSize="9" orientation="portrait" horizontalDpi="300" verticalDpi="300"/>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B2:H37"/>
  <sheetViews>
    <sheetView showGridLines="0" zoomScaleNormal="100" workbookViewId="0">
      <selection activeCell="J26" sqref="J26"/>
    </sheetView>
  </sheetViews>
  <sheetFormatPr defaultColWidth="8.5546875" defaultRowHeight="14.4" x14ac:dyDescent="0.3"/>
  <cols>
    <col min="1" max="1" width="3" customWidth="1"/>
    <col min="2" max="2" width="19.44140625" bestFit="1" customWidth="1"/>
    <col min="3" max="3" width="20" customWidth="1"/>
    <col min="4" max="4" width="10" customWidth="1"/>
    <col min="5" max="5" width="18" customWidth="1"/>
    <col min="6" max="6" width="10" customWidth="1"/>
    <col min="7" max="7" width="12" customWidth="1"/>
    <col min="8" max="8" width="16.5546875" customWidth="1"/>
  </cols>
  <sheetData>
    <row r="2" spans="2:8" ht="21.75" customHeight="1" x14ac:dyDescent="0.3">
      <c r="B2" s="444" t="s">
        <v>214</v>
      </c>
      <c r="C2" s="444"/>
      <c r="D2" s="444"/>
      <c r="E2" s="444"/>
      <c r="F2" s="444"/>
      <c r="G2" s="444"/>
      <c r="H2" s="444"/>
    </row>
    <row r="3" spans="2:8" ht="17.25" customHeight="1" x14ac:dyDescent="0.3">
      <c r="B3" s="421" t="s">
        <v>469</v>
      </c>
      <c r="C3" s="421"/>
      <c r="D3" s="421"/>
      <c r="E3" s="421"/>
      <c r="F3" s="421"/>
      <c r="G3" s="421"/>
      <c r="H3" s="421"/>
    </row>
    <row r="4" spans="2:8" ht="15" customHeight="1" x14ac:dyDescent="0.3">
      <c r="B4" s="416" t="s">
        <v>650</v>
      </c>
      <c r="C4" s="416"/>
      <c r="D4" s="416"/>
      <c r="E4" s="416"/>
      <c r="F4" s="416"/>
      <c r="G4" s="416"/>
      <c r="H4" s="416"/>
    </row>
    <row r="6" spans="2:8" ht="15" customHeight="1" x14ac:dyDescent="0.3">
      <c r="B6" s="3" t="s">
        <v>651</v>
      </c>
      <c r="C6" s="17" t="str">
        <f>New_Draw!C6</f>
        <v>DRW-016</v>
      </c>
      <c r="E6" s="3" t="s">
        <v>474</v>
      </c>
      <c r="F6" s="17" t="str">
        <f>New_Draw!H6</f>
        <v>Draft</v>
      </c>
    </row>
    <row r="7" spans="2:8" ht="15" customHeight="1" x14ac:dyDescent="0.3">
      <c r="B7" s="3" t="s">
        <v>652</v>
      </c>
      <c r="C7" s="17">
        <f>New_Draw!C7</f>
        <v>0</v>
      </c>
      <c r="E7" s="3" t="s">
        <v>653</v>
      </c>
      <c r="F7" s="22">
        <f>New_Draw!C10</f>
        <v>46238</v>
      </c>
    </row>
    <row r="8" spans="2:8" ht="15" customHeight="1" x14ac:dyDescent="0.3">
      <c r="B8" s="3" t="s">
        <v>478</v>
      </c>
      <c r="C8" s="17">
        <f>New_Draw!C8</f>
        <v>0</v>
      </c>
      <c r="E8" s="3" t="s">
        <v>482</v>
      </c>
      <c r="F8" s="17">
        <f>New_Draw!C11</f>
        <v>0</v>
      </c>
    </row>
    <row r="9" spans="2:8" ht="15" customHeight="1" x14ac:dyDescent="0.3">
      <c r="B9" s="3" t="s">
        <v>480</v>
      </c>
      <c r="C9" s="17">
        <f>New_Draw!C9</f>
        <v>0</v>
      </c>
    </row>
    <row r="11" spans="2:8" ht="15" customHeight="1" x14ac:dyDescent="0.3">
      <c r="B11" s="3" t="s">
        <v>654</v>
      </c>
      <c r="C11" s="445">
        <f>New_Draw!B14</f>
        <v>0</v>
      </c>
      <c r="D11" s="446"/>
      <c r="E11" s="446"/>
      <c r="F11" s="446"/>
      <c r="G11" s="446"/>
      <c r="H11" s="447"/>
    </row>
    <row r="12" spans="2:8" ht="15" customHeight="1" x14ac:dyDescent="0.3">
      <c r="C12" s="448"/>
      <c r="D12" s="449"/>
      <c r="E12" s="449"/>
      <c r="F12" s="449"/>
      <c r="G12" s="449"/>
      <c r="H12" s="450"/>
    </row>
    <row r="14" spans="2:8" ht="15" customHeight="1" x14ac:dyDescent="0.3">
      <c r="B14" s="4" t="s">
        <v>321</v>
      </c>
      <c r="C14" s="429" t="s">
        <v>485</v>
      </c>
      <c r="D14" s="429"/>
      <c r="E14" s="429" t="s">
        <v>308</v>
      </c>
      <c r="F14" s="429"/>
      <c r="G14" s="4" t="s">
        <v>486</v>
      </c>
      <c r="H14" s="4" t="s">
        <v>309</v>
      </c>
    </row>
    <row r="15" spans="2:8" ht="15" customHeight="1" x14ac:dyDescent="0.3">
      <c r="B15" s="5">
        <v>1</v>
      </c>
      <c r="C15" s="443">
        <f>New_Draw!C19</f>
        <v>0</v>
      </c>
      <c r="D15" s="443"/>
      <c r="E15" s="443">
        <f>New_Draw!E19</f>
        <v>0</v>
      </c>
      <c r="F15" s="443"/>
      <c r="G15" s="18">
        <f>New_Draw!G19</f>
        <v>0</v>
      </c>
      <c r="H15" s="9">
        <f>New_Draw!I19</f>
        <v>0</v>
      </c>
    </row>
    <row r="16" spans="2:8" ht="15" customHeight="1" x14ac:dyDescent="0.3">
      <c r="B16" s="5">
        <v>2</v>
      </c>
      <c r="C16" s="443">
        <f>New_Draw!C20</f>
        <v>0</v>
      </c>
      <c r="D16" s="443"/>
      <c r="E16" s="443">
        <f>New_Draw!E20</f>
        <v>0</v>
      </c>
      <c r="F16" s="443"/>
      <c r="G16" s="18">
        <f>New_Draw!G20</f>
        <v>0</v>
      </c>
      <c r="H16" s="9">
        <f>New_Draw!I20</f>
        <v>0</v>
      </c>
    </row>
    <row r="17" spans="2:8" ht="15" customHeight="1" x14ac:dyDescent="0.3">
      <c r="B17" s="5">
        <v>3</v>
      </c>
      <c r="C17" s="443">
        <f>New_Draw!C21</f>
        <v>0</v>
      </c>
      <c r="D17" s="443"/>
      <c r="E17" s="443">
        <f>New_Draw!E21</f>
        <v>0</v>
      </c>
      <c r="F17" s="443"/>
      <c r="G17" s="18">
        <f>New_Draw!G21</f>
        <v>0</v>
      </c>
      <c r="H17" s="9">
        <f>New_Draw!I21</f>
        <v>0</v>
      </c>
    </row>
    <row r="18" spans="2:8" ht="15" customHeight="1" x14ac:dyDescent="0.3">
      <c r="B18" s="5">
        <v>4</v>
      </c>
      <c r="C18" s="443">
        <f>New_Draw!C22</f>
        <v>0</v>
      </c>
      <c r="D18" s="443"/>
      <c r="E18" s="443">
        <f>New_Draw!E22</f>
        <v>0</v>
      </c>
      <c r="F18" s="443"/>
      <c r="G18" s="18">
        <f>New_Draw!G22</f>
        <v>0</v>
      </c>
      <c r="H18" s="9">
        <f>New_Draw!I22</f>
        <v>0</v>
      </c>
    </row>
    <row r="19" spans="2:8" ht="15" customHeight="1" x14ac:dyDescent="0.3">
      <c r="B19" s="5">
        <v>5</v>
      </c>
      <c r="C19" s="443">
        <f>New_Draw!C23</f>
        <v>0</v>
      </c>
      <c r="D19" s="443"/>
      <c r="E19" s="443">
        <f>New_Draw!E23</f>
        <v>0</v>
      </c>
      <c r="F19" s="443"/>
      <c r="G19" s="18">
        <f>New_Draw!G23</f>
        <v>0</v>
      </c>
      <c r="H19" s="9">
        <f>New_Draw!I23</f>
        <v>0</v>
      </c>
    </row>
    <row r="20" spans="2:8" ht="15" customHeight="1" x14ac:dyDescent="0.3">
      <c r="B20" s="5">
        <v>6</v>
      </c>
      <c r="C20" s="443">
        <f>New_Draw!C24</f>
        <v>0</v>
      </c>
      <c r="D20" s="443"/>
      <c r="E20" s="443">
        <f>New_Draw!E24</f>
        <v>0</v>
      </c>
      <c r="F20" s="443"/>
      <c r="G20" s="18">
        <f>New_Draw!G24</f>
        <v>0</v>
      </c>
      <c r="H20" s="9">
        <f>New_Draw!I24</f>
        <v>0</v>
      </c>
    </row>
    <row r="21" spans="2:8" ht="15" customHeight="1" x14ac:dyDescent="0.3">
      <c r="B21" s="5">
        <v>7</v>
      </c>
      <c r="C21" s="443">
        <f>New_Draw!C25</f>
        <v>0</v>
      </c>
      <c r="D21" s="443"/>
      <c r="E21" s="443">
        <f>New_Draw!E25</f>
        <v>0</v>
      </c>
      <c r="F21" s="443"/>
      <c r="G21" s="18">
        <f>New_Draw!G25</f>
        <v>0</v>
      </c>
      <c r="H21" s="9">
        <f>New_Draw!I25</f>
        <v>0</v>
      </c>
    </row>
    <row r="22" spans="2:8" ht="15" customHeight="1" x14ac:dyDescent="0.3">
      <c r="B22" s="5">
        <v>8</v>
      </c>
      <c r="C22" s="443">
        <f>New_Draw!C26</f>
        <v>0</v>
      </c>
      <c r="D22" s="443"/>
      <c r="E22" s="443">
        <f>New_Draw!E26</f>
        <v>0</v>
      </c>
      <c r="F22" s="443"/>
      <c r="G22" s="18">
        <f>New_Draw!G26</f>
        <v>0</v>
      </c>
      <c r="H22" s="9">
        <f>New_Draw!I26</f>
        <v>0</v>
      </c>
    </row>
    <row r="23" spans="2:8" ht="15" customHeight="1" x14ac:dyDescent="0.3">
      <c r="B23" s="5">
        <v>9</v>
      </c>
      <c r="C23" s="443">
        <f>New_Draw!C27</f>
        <v>0</v>
      </c>
      <c r="D23" s="443"/>
      <c r="E23" s="443">
        <f>New_Draw!E27</f>
        <v>0</v>
      </c>
      <c r="F23" s="443"/>
      <c r="G23" s="18">
        <f>New_Draw!G27</f>
        <v>0</v>
      </c>
      <c r="H23" s="9">
        <f>New_Draw!I27</f>
        <v>0</v>
      </c>
    </row>
    <row r="24" spans="2:8" ht="15" customHeight="1" x14ac:dyDescent="0.3">
      <c r="B24" s="5">
        <v>10</v>
      </c>
      <c r="C24" s="443">
        <f>New_Draw!C28</f>
        <v>0</v>
      </c>
      <c r="D24" s="443"/>
      <c r="E24" s="443">
        <f>New_Draw!E28</f>
        <v>0</v>
      </c>
      <c r="F24" s="443"/>
      <c r="G24" s="18">
        <f>New_Draw!G28</f>
        <v>0</v>
      </c>
      <c r="H24" s="9">
        <f>New_Draw!I28</f>
        <v>0</v>
      </c>
    </row>
    <row r="25" spans="2:8" ht="15" customHeight="1" x14ac:dyDescent="0.3">
      <c r="B25" s="5">
        <v>11</v>
      </c>
      <c r="C25" s="443">
        <f>New_Draw!C29</f>
        <v>0</v>
      </c>
      <c r="D25" s="443"/>
      <c r="E25" s="443">
        <f>New_Draw!E29</f>
        <v>0</v>
      </c>
      <c r="F25" s="443"/>
      <c r="G25" s="18">
        <f>New_Draw!G29</f>
        <v>0</v>
      </c>
      <c r="H25" s="9">
        <f>New_Draw!I29</f>
        <v>0</v>
      </c>
    </row>
    <row r="26" spans="2:8" ht="15" customHeight="1" x14ac:dyDescent="0.3">
      <c r="B26" s="5">
        <v>12</v>
      </c>
      <c r="C26" s="443">
        <f>New_Draw!C30</f>
        <v>0</v>
      </c>
      <c r="D26" s="443"/>
      <c r="E26" s="443">
        <f>New_Draw!E30</f>
        <v>0</v>
      </c>
      <c r="F26" s="443"/>
      <c r="G26" s="18">
        <f>New_Draw!G30</f>
        <v>0</v>
      </c>
      <c r="H26" s="9">
        <f>New_Draw!I30</f>
        <v>0</v>
      </c>
    </row>
    <row r="27" spans="2:8" ht="15" customHeight="1" x14ac:dyDescent="0.3">
      <c r="B27" s="5">
        <v>13</v>
      </c>
      <c r="C27" s="443">
        <f>New_Draw!C31</f>
        <v>0</v>
      </c>
      <c r="D27" s="443"/>
      <c r="E27" s="443">
        <f>New_Draw!E31</f>
        <v>0</v>
      </c>
      <c r="F27" s="443"/>
      <c r="G27" s="18">
        <f>New_Draw!G31</f>
        <v>0</v>
      </c>
      <c r="H27" s="9">
        <f>New_Draw!I31</f>
        <v>0</v>
      </c>
    </row>
    <row r="28" spans="2:8" ht="15" customHeight="1" x14ac:dyDescent="0.3">
      <c r="B28" s="5">
        <v>14</v>
      </c>
      <c r="C28" s="443">
        <f>New_Draw!C32</f>
        <v>0</v>
      </c>
      <c r="D28" s="443"/>
      <c r="E28" s="443">
        <f>New_Draw!E32</f>
        <v>0</v>
      </c>
      <c r="F28" s="443"/>
      <c r="G28" s="18">
        <f>New_Draw!G32</f>
        <v>0</v>
      </c>
      <c r="H28" s="9">
        <f>New_Draw!I32</f>
        <v>0</v>
      </c>
    </row>
    <row r="29" spans="2:8" ht="15" customHeight="1" x14ac:dyDescent="0.3">
      <c r="B29" s="5">
        <v>15</v>
      </c>
      <c r="C29" s="443">
        <f>New_Draw!C33</f>
        <v>0</v>
      </c>
      <c r="D29" s="443"/>
      <c r="E29" s="443">
        <f>New_Draw!E33</f>
        <v>0</v>
      </c>
      <c r="F29" s="443"/>
      <c r="G29" s="18">
        <f>New_Draw!G33</f>
        <v>0</v>
      </c>
      <c r="H29" s="9">
        <f>New_Draw!I33</f>
        <v>0</v>
      </c>
    </row>
    <row r="30" spans="2:8" ht="15" customHeight="1" x14ac:dyDescent="0.3">
      <c r="B30" s="441" t="s">
        <v>655</v>
      </c>
      <c r="C30" s="441"/>
      <c r="D30" s="441"/>
      <c r="E30" s="441"/>
      <c r="F30" s="441"/>
      <c r="G30" s="441"/>
      <c r="H30" s="19">
        <f>New_Draw!I34</f>
        <v>0</v>
      </c>
    </row>
    <row r="33" spans="2:8" ht="15" customHeight="1" x14ac:dyDescent="0.3">
      <c r="B33" s="442" t="s">
        <v>656</v>
      </c>
      <c r="C33" s="442"/>
      <c r="D33" s="442"/>
      <c r="E33" s="442"/>
      <c r="F33" s="442"/>
      <c r="G33" s="442"/>
      <c r="H33" s="442"/>
    </row>
    <row r="35" spans="2:8" ht="15" customHeight="1" x14ac:dyDescent="0.3">
      <c r="B35" s="3" t="s">
        <v>657</v>
      </c>
      <c r="C35" t="s">
        <v>658</v>
      </c>
      <c r="E35" t="s">
        <v>653</v>
      </c>
      <c r="F35" t="s">
        <v>659</v>
      </c>
    </row>
    <row r="37" spans="2:8" ht="15" customHeight="1" x14ac:dyDescent="0.3">
      <c r="B37" s="3" t="s">
        <v>660</v>
      </c>
      <c r="C37" t="s">
        <v>658</v>
      </c>
      <c r="E37" t="s">
        <v>653</v>
      </c>
      <c r="F37" t="s">
        <v>659</v>
      </c>
    </row>
  </sheetData>
  <mergeCells count="38">
    <mergeCell ref="B2:H2"/>
    <mergeCell ref="B3:H3"/>
    <mergeCell ref="B4:H4"/>
    <mergeCell ref="C11:H12"/>
    <mergeCell ref="C14:D14"/>
    <mergeCell ref="E14:F14"/>
    <mergeCell ref="C15:D15"/>
    <mergeCell ref="E15:F15"/>
    <mergeCell ref="C16:D16"/>
    <mergeCell ref="E16:F16"/>
    <mergeCell ref="C17:D17"/>
    <mergeCell ref="E17:F17"/>
    <mergeCell ref="C18:D18"/>
    <mergeCell ref="E18:F18"/>
    <mergeCell ref="C19:D19"/>
    <mergeCell ref="E19:F19"/>
    <mergeCell ref="C20:D20"/>
    <mergeCell ref="E20:F20"/>
    <mergeCell ref="C21:D21"/>
    <mergeCell ref="E21:F21"/>
    <mergeCell ref="C22:D22"/>
    <mergeCell ref="E22:F22"/>
    <mergeCell ref="C23:D23"/>
    <mergeCell ref="E23:F23"/>
    <mergeCell ref="C24:D24"/>
    <mergeCell ref="E24:F24"/>
    <mergeCell ref="C25:D25"/>
    <mergeCell ref="E25:F25"/>
    <mergeCell ref="C26:D26"/>
    <mergeCell ref="E26:F26"/>
    <mergeCell ref="B30:G30"/>
    <mergeCell ref="B33:H33"/>
    <mergeCell ref="C27:D27"/>
    <mergeCell ref="E27:F27"/>
    <mergeCell ref="C28:D28"/>
    <mergeCell ref="E28:F28"/>
    <mergeCell ref="C29:D29"/>
    <mergeCell ref="E29:F29"/>
  </mergeCells>
  <pageMargins left="0.75" right="0.75" top="1" bottom="1" header="0.511811023622047" footer="0.511811023622047"/>
  <pageSetup scale="77" orientation="portrait" horizontalDpi="300" verticalDpi="3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E7371-DB8D-4E87-A67D-0F91FB1E382C}">
  <sheetPr>
    <tabColor rgb="FF002060"/>
  </sheetPr>
  <dimension ref="A1:N95"/>
  <sheetViews>
    <sheetView showGridLines="0" topLeftCell="A3" zoomScale="70" zoomScaleNormal="70" workbookViewId="0">
      <pane ySplit="3" topLeftCell="A18" activePane="bottomLeft" state="frozen"/>
      <selection pane="bottomLeft" activeCell="B46" sqref="B46:D53"/>
    </sheetView>
  </sheetViews>
  <sheetFormatPr defaultColWidth="8.5546875" defaultRowHeight="14.4" x14ac:dyDescent="0.3"/>
  <cols>
    <col min="1" max="1" width="38" customWidth="1"/>
    <col min="2" max="12" width="21.88671875" customWidth="1"/>
    <col min="14" max="14" width="3.6640625" bestFit="1" customWidth="1"/>
  </cols>
  <sheetData>
    <row r="1" spans="1:12" ht="24" customHeight="1" x14ac:dyDescent="0.3">
      <c r="A1" s="415" t="s">
        <v>588</v>
      </c>
      <c r="B1" s="415"/>
      <c r="C1" s="415"/>
      <c r="D1" s="415"/>
      <c r="E1" s="415"/>
      <c r="F1" s="415"/>
    </row>
    <row r="2" spans="1:12" ht="15" customHeight="1" x14ac:dyDescent="0.3">
      <c r="A2" s="416" t="s">
        <v>661</v>
      </c>
      <c r="B2" s="416"/>
      <c r="C2" s="416"/>
      <c r="D2" s="416"/>
      <c r="E2" s="416"/>
      <c r="F2" s="416"/>
    </row>
    <row r="3" spans="1:12" x14ac:dyDescent="0.3">
      <c r="A3" s="125" t="s">
        <v>4202</v>
      </c>
    </row>
    <row r="4" spans="1:12" ht="24" thickBot="1" x14ac:dyDescent="0.5">
      <c r="A4" s="127">
        <f>Reconciliation!D55</f>
        <v>768088.7</v>
      </c>
    </row>
    <row r="5" spans="1:12" ht="35.1" customHeight="1" x14ac:dyDescent="0.3">
      <c r="A5" s="11" t="s">
        <v>485</v>
      </c>
      <c r="B5" s="11" t="s">
        <v>286</v>
      </c>
      <c r="C5" s="212" t="s">
        <v>288</v>
      </c>
      <c r="D5" s="11" t="s">
        <v>290</v>
      </c>
      <c r="E5" s="11" t="s">
        <v>292</v>
      </c>
      <c r="F5" s="206" t="s">
        <v>662</v>
      </c>
      <c r="G5" s="231" t="s">
        <v>663</v>
      </c>
      <c r="H5" s="232" t="s">
        <v>664</v>
      </c>
      <c r="I5" s="233" t="s">
        <v>665</v>
      </c>
      <c r="J5" s="225" t="s">
        <v>666</v>
      </c>
      <c r="K5" s="226" t="s">
        <v>667</v>
      </c>
      <c r="L5" s="227" t="s">
        <v>668</v>
      </c>
    </row>
    <row r="6" spans="1:12" ht="15" customHeight="1" x14ac:dyDescent="0.3">
      <c r="A6" s="439" t="s">
        <v>285</v>
      </c>
      <c r="B6" s="439"/>
      <c r="C6" s="451"/>
      <c r="D6" s="439"/>
      <c r="E6" s="439"/>
      <c r="F6" s="440"/>
      <c r="G6" s="238"/>
      <c r="H6" s="239"/>
      <c r="I6" s="240"/>
      <c r="J6" s="241"/>
      <c r="K6" s="241"/>
      <c r="L6" s="241"/>
    </row>
    <row r="7" spans="1:12" ht="15" customHeight="1" x14ac:dyDescent="0.3">
      <c r="A7" s="1" t="s">
        <v>514</v>
      </c>
      <c r="B7" s="35">
        <v>1350000</v>
      </c>
      <c r="C7" s="213">
        <v>0</v>
      </c>
      <c r="D7" s="35">
        <v>0</v>
      </c>
      <c r="E7" s="35">
        <v>0</v>
      </c>
      <c r="F7" s="207">
        <f t="shared" ref="F7:F12" si="0">SUM(B7:E7)</f>
        <v>1350000</v>
      </c>
      <c r="G7" s="242">
        <f t="shared" ref="G7:G12" si="1">F7</f>
        <v>1350000</v>
      </c>
      <c r="H7" s="243">
        <f t="shared" ref="H7:H12" si="2">F7</f>
        <v>1350000</v>
      </c>
      <c r="I7" s="244">
        <f t="shared" ref="I7:I12" si="3">F7</f>
        <v>1350000</v>
      </c>
      <c r="J7" s="245">
        <f t="shared" ref="J7:J12" si="4">F7</f>
        <v>1350000</v>
      </c>
      <c r="K7" s="245">
        <f t="shared" ref="K7:K12" si="5">F7</f>
        <v>1350000</v>
      </c>
      <c r="L7" s="245">
        <f t="shared" ref="L7:L12" si="6">F7</f>
        <v>1350000</v>
      </c>
    </row>
    <row r="8" spans="1:12" ht="15" customHeight="1" x14ac:dyDescent="0.3">
      <c r="A8" s="1" t="s">
        <v>593</v>
      </c>
      <c r="B8" s="35">
        <v>0</v>
      </c>
      <c r="C8" s="213">
        <v>0</v>
      </c>
      <c r="D8" s="35">
        <v>0</v>
      </c>
      <c r="E8" s="35">
        <v>0</v>
      </c>
      <c r="F8" s="207">
        <f t="shared" si="0"/>
        <v>0</v>
      </c>
      <c r="G8" s="242">
        <f t="shared" si="1"/>
        <v>0</v>
      </c>
      <c r="H8" s="243">
        <f t="shared" si="2"/>
        <v>0</v>
      </c>
      <c r="I8" s="244">
        <f t="shared" si="3"/>
        <v>0</v>
      </c>
      <c r="J8" s="245">
        <f t="shared" si="4"/>
        <v>0</v>
      </c>
      <c r="K8" s="245">
        <f t="shared" si="5"/>
        <v>0</v>
      </c>
      <c r="L8" s="245">
        <f t="shared" si="6"/>
        <v>0</v>
      </c>
    </row>
    <row r="9" spans="1:12" ht="15" customHeight="1" x14ac:dyDescent="0.3">
      <c r="A9" s="1" t="s">
        <v>594</v>
      </c>
      <c r="B9" s="35">
        <v>0</v>
      </c>
      <c r="C9" s="213">
        <v>577075.81000000006</v>
      </c>
      <c r="D9" s="35">
        <v>864000</v>
      </c>
      <c r="E9" s="35">
        <v>864000</v>
      </c>
      <c r="F9" s="207">
        <f t="shared" si="0"/>
        <v>2305075.81</v>
      </c>
      <c r="G9" s="242">
        <f t="shared" si="1"/>
        <v>2305075.81</v>
      </c>
      <c r="H9" s="243">
        <f t="shared" si="2"/>
        <v>2305075.81</v>
      </c>
      <c r="I9" s="244">
        <f t="shared" si="3"/>
        <v>2305075.81</v>
      </c>
      <c r="J9" s="245">
        <f t="shared" si="4"/>
        <v>2305075.81</v>
      </c>
      <c r="K9" s="245">
        <f t="shared" si="5"/>
        <v>2305075.81</v>
      </c>
      <c r="L9" s="245">
        <f t="shared" si="6"/>
        <v>2305075.81</v>
      </c>
    </row>
    <row r="10" spans="1:12" ht="15" customHeight="1" x14ac:dyDescent="0.3">
      <c r="A10" s="215" t="s">
        <v>525</v>
      </c>
      <c r="B10" s="216">
        <v>400000</v>
      </c>
      <c r="C10" s="217">
        <v>0</v>
      </c>
      <c r="D10" s="217">
        <v>0</v>
      </c>
      <c r="E10" s="217">
        <v>0</v>
      </c>
      <c r="F10" s="218">
        <f>SUM(B10:E10)</f>
        <v>400000</v>
      </c>
      <c r="G10" s="242">
        <f t="shared" si="1"/>
        <v>400000</v>
      </c>
      <c r="H10" s="243">
        <f t="shared" si="2"/>
        <v>400000</v>
      </c>
      <c r="I10" s="244">
        <f t="shared" si="3"/>
        <v>400000</v>
      </c>
      <c r="J10" s="245">
        <f t="shared" si="4"/>
        <v>400000</v>
      </c>
      <c r="K10" s="245">
        <f t="shared" si="5"/>
        <v>400000</v>
      </c>
      <c r="L10" s="245">
        <f t="shared" si="6"/>
        <v>400000</v>
      </c>
    </row>
    <row r="11" spans="1:12" ht="15" customHeight="1" x14ac:dyDescent="0.3">
      <c r="A11" s="1" t="s">
        <v>541</v>
      </c>
      <c r="B11" s="35">
        <v>0</v>
      </c>
      <c r="C11" s="236">
        <v>810000</v>
      </c>
      <c r="D11" s="35">
        <v>0</v>
      </c>
      <c r="E11" s="35">
        <v>0</v>
      </c>
      <c r="F11" s="207">
        <f t="shared" si="0"/>
        <v>810000</v>
      </c>
      <c r="G11" s="242">
        <f t="shared" si="1"/>
        <v>810000</v>
      </c>
      <c r="H11" s="243">
        <f t="shared" si="2"/>
        <v>810000</v>
      </c>
      <c r="I11" s="244">
        <f t="shared" si="3"/>
        <v>810000</v>
      </c>
      <c r="J11" s="245">
        <f t="shared" si="4"/>
        <v>810000</v>
      </c>
      <c r="K11" s="245">
        <f t="shared" si="5"/>
        <v>810000</v>
      </c>
      <c r="L11" s="245">
        <f t="shared" si="6"/>
        <v>810000</v>
      </c>
    </row>
    <row r="12" spans="1:12" ht="15" customHeight="1" x14ac:dyDescent="0.3">
      <c r="A12" s="1" t="s">
        <v>595</v>
      </c>
      <c r="B12" s="35">
        <v>181479.39</v>
      </c>
      <c r="C12" s="35">
        <v>0</v>
      </c>
      <c r="D12" s="35">
        <v>0</v>
      </c>
      <c r="E12" s="35">
        <v>0</v>
      </c>
      <c r="F12" s="207">
        <f t="shared" si="0"/>
        <v>181479.39</v>
      </c>
      <c r="G12" s="242">
        <f t="shared" si="1"/>
        <v>181479.39</v>
      </c>
      <c r="H12" s="243">
        <f t="shared" si="2"/>
        <v>181479.39</v>
      </c>
      <c r="I12" s="244">
        <f t="shared" si="3"/>
        <v>181479.39</v>
      </c>
      <c r="J12" s="245">
        <f t="shared" si="4"/>
        <v>181479.39</v>
      </c>
      <c r="K12" s="245">
        <f t="shared" si="5"/>
        <v>181479.39</v>
      </c>
      <c r="L12" s="245">
        <f t="shared" si="6"/>
        <v>181479.39</v>
      </c>
    </row>
    <row r="13" spans="1:12" x14ac:dyDescent="0.3">
      <c r="B13" s="36"/>
      <c r="C13" s="36"/>
      <c r="D13" s="36"/>
      <c r="E13" s="36"/>
      <c r="G13" s="246"/>
      <c r="H13" s="247"/>
      <c r="I13" s="248"/>
      <c r="J13" s="249"/>
      <c r="K13" s="249"/>
      <c r="L13" s="249"/>
    </row>
    <row r="14" spans="1:12" ht="15" customHeight="1" x14ac:dyDescent="0.3">
      <c r="A14" s="439" t="s">
        <v>287</v>
      </c>
      <c r="B14" s="439"/>
      <c r="C14" s="439"/>
      <c r="D14" s="439"/>
      <c r="E14" s="439"/>
      <c r="F14" s="440"/>
      <c r="G14" s="238"/>
      <c r="H14" s="239"/>
      <c r="I14" s="240"/>
      <c r="J14" s="241"/>
      <c r="K14" s="241"/>
      <c r="L14" s="241"/>
    </row>
    <row r="15" spans="1:12" ht="15" customHeight="1" x14ac:dyDescent="0.3">
      <c r="A15" s="1" t="s">
        <v>596</v>
      </c>
      <c r="B15" s="35">
        <v>0</v>
      </c>
      <c r="C15" s="35">
        <v>0</v>
      </c>
      <c r="D15" s="35">
        <v>0</v>
      </c>
      <c r="E15" s="35">
        <v>0</v>
      </c>
      <c r="F15" s="207">
        <f>SUM(B15:E15)</f>
        <v>0</v>
      </c>
      <c r="G15" s="242">
        <f>F15</f>
        <v>0</v>
      </c>
      <c r="H15" s="243">
        <f>F15</f>
        <v>0</v>
      </c>
      <c r="I15" s="244">
        <f>F15</f>
        <v>0</v>
      </c>
      <c r="J15" s="245">
        <f>F15</f>
        <v>0</v>
      </c>
      <c r="K15" s="245">
        <f>F15</f>
        <v>0</v>
      </c>
      <c r="L15" s="245">
        <f>F15</f>
        <v>0</v>
      </c>
    </row>
    <row r="16" spans="1:12" ht="15" customHeight="1" x14ac:dyDescent="0.3">
      <c r="A16" s="1" t="s">
        <v>597</v>
      </c>
      <c r="B16" s="35">
        <v>0</v>
      </c>
      <c r="C16" s="35">
        <v>0</v>
      </c>
      <c r="D16" s="35">
        <v>0</v>
      </c>
      <c r="E16" s="35">
        <v>0</v>
      </c>
      <c r="F16" s="207">
        <f>SUM(B16:E16)</f>
        <v>0</v>
      </c>
      <c r="G16" s="242">
        <f>F16</f>
        <v>0</v>
      </c>
      <c r="H16" s="243">
        <f>F16</f>
        <v>0</v>
      </c>
      <c r="I16" s="244">
        <f>F16</f>
        <v>0</v>
      </c>
      <c r="J16" s="245">
        <f>F16</f>
        <v>0</v>
      </c>
      <c r="K16" s="245">
        <f>F16</f>
        <v>0</v>
      </c>
      <c r="L16" s="245">
        <f>F16</f>
        <v>0</v>
      </c>
    </row>
    <row r="17" spans="1:14" ht="15" customHeight="1" x14ac:dyDescent="0.3">
      <c r="A17" s="215" t="s">
        <v>598</v>
      </c>
      <c r="B17" s="216">
        <v>0</v>
      </c>
      <c r="C17" s="216">
        <v>0</v>
      </c>
      <c r="D17" s="216">
        <v>0</v>
      </c>
      <c r="E17" s="216">
        <v>0</v>
      </c>
      <c r="F17" s="214">
        <f>SUM(B17:E17)</f>
        <v>0</v>
      </c>
      <c r="G17" s="242">
        <f>F17</f>
        <v>0</v>
      </c>
      <c r="H17" s="243">
        <f>F17</f>
        <v>0</v>
      </c>
      <c r="I17" s="244">
        <f>F17</f>
        <v>0</v>
      </c>
      <c r="J17" s="245">
        <f>F17</f>
        <v>0</v>
      </c>
      <c r="K17" s="245">
        <f>F17</f>
        <v>0</v>
      </c>
      <c r="L17" s="245">
        <f>F17</f>
        <v>0</v>
      </c>
    </row>
    <row r="18" spans="1:14" ht="15" customHeight="1" x14ac:dyDescent="0.3">
      <c r="A18" s="1" t="s">
        <v>599</v>
      </c>
      <c r="B18" s="35">
        <v>0</v>
      </c>
      <c r="C18" s="35">
        <v>0</v>
      </c>
      <c r="D18" s="35">
        <v>0</v>
      </c>
      <c r="E18" s="35">
        <v>0</v>
      </c>
      <c r="F18" s="219">
        <f>SUM(B18:E18)</f>
        <v>0</v>
      </c>
      <c r="G18" s="242">
        <f>F18</f>
        <v>0</v>
      </c>
      <c r="H18" s="243">
        <f>F18</f>
        <v>0</v>
      </c>
      <c r="I18" s="244">
        <f>F18</f>
        <v>0</v>
      </c>
      <c r="J18" s="245">
        <f>F18</f>
        <v>0</v>
      </c>
      <c r="K18" s="245">
        <f>F18</f>
        <v>0</v>
      </c>
      <c r="L18" s="245">
        <f>F18</f>
        <v>0</v>
      </c>
    </row>
    <row r="19" spans="1:14" x14ac:dyDescent="0.3">
      <c r="B19" s="36"/>
      <c r="C19" s="36"/>
      <c r="D19" s="36"/>
      <c r="E19" s="36"/>
      <c r="G19" s="246"/>
      <c r="H19" s="247"/>
      <c r="I19" s="248"/>
      <c r="J19" s="249"/>
      <c r="K19" s="249"/>
      <c r="L19" s="249"/>
    </row>
    <row r="20" spans="1:14" ht="15" customHeight="1" x14ac:dyDescent="0.3">
      <c r="A20" s="439" t="s">
        <v>289</v>
      </c>
      <c r="B20" s="439"/>
      <c r="C20" s="439"/>
      <c r="D20" s="439"/>
      <c r="E20" s="439"/>
      <c r="F20" s="452"/>
      <c r="G20" s="238"/>
      <c r="H20" s="239"/>
      <c r="I20" s="240"/>
      <c r="J20" s="241"/>
      <c r="K20" s="241"/>
      <c r="L20" s="241"/>
    </row>
    <row r="21" spans="1:14" ht="15" customHeight="1" x14ac:dyDescent="0.3">
      <c r="A21" s="1" t="s">
        <v>546</v>
      </c>
      <c r="B21" s="35">
        <v>0</v>
      </c>
      <c r="C21" s="35">
        <v>0</v>
      </c>
      <c r="D21" s="35">
        <v>0</v>
      </c>
      <c r="E21" s="35">
        <v>0</v>
      </c>
      <c r="F21" s="219">
        <f>SUM(B21:E21)</f>
        <v>0</v>
      </c>
      <c r="G21" s="242">
        <f>F21</f>
        <v>0</v>
      </c>
      <c r="H21" s="243">
        <f>F21</f>
        <v>0</v>
      </c>
      <c r="I21" s="244">
        <f>F21</f>
        <v>0</v>
      </c>
      <c r="J21" s="245">
        <f>F21</f>
        <v>0</v>
      </c>
      <c r="K21" s="245">
        <f>F21</f>
        <v>0</v>
      </c>
      <c r="L21" s="245">
        <f>F21</f>
        <v>0</v>
      </c>
    </row>
    <row r="22" spans="1:14" ht="15" customHeight="1" x14ac:dyDescent="0.3">
      <c r="A22" s="1" t="s">
        <v>600</v>
      </c>
      <c r="B22" s="35">
        <v>0</v>
      </c>
      <c r="C22" s="35">
        <v>0</v>
      </c>
      <c r="D22" s="35">
        <v>0</v>
      </c>
      <c r="E22" s="35">
        <v>0</v>
      </c>
      <c r="F22" s="219">
        <f>SUM(B22:E22)</f>
        <v>0</v>
      </c>
      <c r="G22" s="242">
        <f>F22</f>
        <v>0</v>
      </c>
      <c r="H22" s="243">
        <f>F22</f>
        <v>0</v>
      </c>
      <c r="I22" s="244">
        <f>F22</f>
        <v>0</v>
      </c>
      <c r="J22" s="245">
        <f>F22</f>
        <v>0</v>
      </c>
      <c r="K22" s="245">
        <f>F22</f>
        <v>0</v>
      </c>
      <c r="L22" s="245">
        <f>F22</f>
        <v>0</v>
      </c>
    </row>
    <row r="23" spans="1:14" ht="15" customHeight="1" x14ac:dyDescent="0.3">
      <c r="A23" s="215" t="s">
        <v>558</v>
      </c>
      <c r="B23" s="216">
        <v>0</v>
      </c>
      <c r="C23" s="216">
        <v>0</v>
      </c>
      <c r="D23" s="216">
        <v>0</v>
      </c>
      <c r="E23" s="211">
        <v>0</v>
      </c>
      <c r="F23" s="207">
        <f>SUM(B23:E23)</f>
        <v>0</v>
      </c>
      <c r="G23" s="242">
        <f>F23</f>
        <v>0</v>
      </c>
      <c r="H23" s="243">
        <f>F23</f>
        <v>0</v>
      </c>
      <c r="I23" s="244">
        <f>F23</f>
        <v>0</v>
      </c>
      <c r="J23" s="245">
        <f>F23</f>
        <v>0</v>
      </c>
      <c r="K23" s="245">
        <f>F23</f>
        <v>0</v>
      </c>
      <c r="L23" s="245">
        <f>F23</f>
        <v>0</v>
      </c>
    </row>
    <row r="24" spans="1:14" x14ac:dyDescent="0.3">
      <c r="B24" s="36"/>
      <c r="C24" s="36"/>
      <c r="D24" s="36"/>
      <c r="E24" s="36"/>
      <c r="G24" s="246"/>
      <c r="H24" s="247"/>
      <c r="I24" s="248"/>
      <c r="J24" s="249"/>
      <c r="K24" s="249"/>
      <c r="L24" s="249"/>
    </row>
    <row r="25" spans="1:14" ht="15" customHeight="1" x14ac:dyDescent="0.3">
      <c r="A25" s="439" t="s">
        <v>291</v>
      </c>
      <c r="B25" s="439"/>
      <c r="C25" s="439"/>
      <c r="D25" s="439"/>
      <c r="E25" s="451"/>
      <c r="F25" s="440"/>
      <c r="G25" s="238"/>
      <c r="H25" s="239"/>
      <c r="I25" s="240"/>
      <c r="J25" s="241"/>
      <c r="K25" s="241"/>
      <c r="L25" s="241"/>
    </row>
    <row r="26" spans="1:14" ht="15" customHeight="1" x14ac:dyDescent="0.3">
      <c r="A26" s="1" t="s">
        <v>586</v>
      </c>
      <c r="B26" s="35">
        <v>0</v>
      </c>
      <c r="C26" s="35">
        <v>0</v>
      </c>
      <c r="D26" s="35">
        <v>0</v>
      </c>
      <c r="E26" s="213">
        <v>0</v>
      </c>
      <c r="F26" s="207">
        <f>SUM(B26:E26)</f>
        <v>0</v>
      </c>
      <c r="G26" s="242">
        <f>F26</f>
        <v>0</v>
      </c>
      <c r="H26" s="243">
        <f>F26</f>
        <v>0</v>
      </c>
      <c r="I26" s="244">
        <f>F26</f>
        <v>0</v>
      </c>
      <c r="J26" s="245">
        <f>F26</f>
        <v>0</v>
      </c>
      <c r="K26" s="245">
        <f>F26</f>
        <v>0</v>
      </c>
      <c r="L26" s="245">
        <f>F26</f>
        <v>0</v>
      </c>
    </row>
    <row r="27" spans="1:14" ht="15" customHeight="1" x14ac:dyDescent="0.3">
      <c r="A27" s="1" t="s">
        <v>601</v>
      </c>
      <c r="B27" s="35">
        <v>0</v>
      </c>
      <c r="C27" s="35">
        <v>0</v>
      </c>
      <c r="D27" s="35">
        <v>0</v>
      </c>
      <c r="E27" s="213">
        <v>0</v>
      </c>
      <c r="F27" s="207">
        <f>SUM(B27:E27)</f>
        <v>0</v>
      </c>
      <c r="G27" s="242">
        <f>F27</f>
        <v>0</v>
      </c>
      <c r="H27" s="243">
        <f>F27</f>
        <v>0</v>
      </c>
      <c r="I27" s="244">
        <f>F27</f>
        <v>0</v>
      </c>
      <c r="J27" s="245">
        <f>F27</f>
        <v>0</v>
      </c>
      <c r="K27" s="245">
        <f>F27</f>
        <v>0</v>
      </c>
      <c r="L27" s="245">
        <f>F27</f>
        <v>0</v>
      </c>
    </row>
    <row r="28" spans="1:14" ht="15" customHeight="1" x14ac:dyDescent="0.3">
      <c r="A28" s="1" t="s">
        <v>602</v>
      </c>
      <c r="B28" s="35">
        <v>0</v>
      </c>
      <c r="C28" s="35">
        <v>0</v>
      </c>
      <c r="D28" s="35">
        <v>0</v>
      </c>
      <c r="E28" s="213">
        <v>0</v>
      </c>
      <c r="F28" s="207">
        <f>SUM(B28:E28)</f>
        <v>0</v>
      </c>
      <c r="G28" s="242">
        <f>F28</f>
        <v>0</v>
      </c>
      <c r="H28" s="243">
        <f>F28</f>
        <v>0</v>
      </c>
      <c r="I28" s="244">
        <f>F28</f>
        <v>0</v>
      </c>
      <c r="J28" s="245">
        <f>F28</f>
        <v>0</v>
      </c>
      <c r="K28" s="245">
        <f>F28</f>
        <v>0</v>
      </c>
      <c r="L28" s="245">
        <f>F28</f>
        <v>0</v>
      </c>
    </row>
    <row r="29" spans="1:14" ht="15" customHeight="1" x14ac:dyDescent="0.3">
      <c r="A29" s="210" t="s">
        <v>603</v>
      </c>
      <c r="B29" s="211">
        <v>0</v>
      </c>
      <c r="C29" s="211">
        <v>0</v>
      </c>
      <c r="D29" s="211">
        <v>0</v>
      </c>
      <c r="E29" s="35">
        <v>0</v>
      </c>
      <c r="F29" s="207">
        <f>SUM(B29:E29)</f>
        <v>0</v>
      </c>
      <c r="G29" s="242">
        <f>F29</f>
        <v>0</v>
      </c>
      <c r="H29" s="243">
        <f>F29</f>
        <v>0</v>
      </c>
      <c r="I29" s="244">
        <f>F29</f>
        <v>0</v>
      </c>
      <c r="J29" s="245">
        <f>F29</f>
        <v>0</v>
      </c>
      <c r="K29" s="245">
        <f>F29</f>
        <v>0</v>
      </c>
      <c r="L29" s="245">
        <f>F29</f>
        <v>0</v>
      </c>
    </row>
    <row r="30" spans="1:14" x14ac:dyDescent="0.3">
      <c r="B30" s="36"/>
      <c r="C30" s="36"/>
      <c r="D30" s="36"/>
      <c r="E30" s="36"/>
      <c r="G30" s="246"/>
      <c r="H30" s="247"/>
      <c r="I30" s="248"/>
      <c r="J30" s="249"/>
      <c r="K30" s="249"/>
      <c r="L30" s="249"/>
    </row>
    <row r="31" spans="1:14" ht="15" customHeight="1" x14ac:dyDescent="0.3">
      <c r="A31" s="439" t="s">
        <v>293</v>
      </c>
      <c r="B31" s="439"/>
      <c r="C31" s="439"/>
      <c r="D31" s="439"/>
      <c r="E31" s="439"/>
      <c r="F31" s="440"/>
      <c r="G31" s="238"/>
      <c r="H31" s="239"/>
      <c r="I31" s="240"/>
      <c r="J31" s="241"/>
      <c r="K31" s="241"/>
      <c r="L31" s="241"/>
    </row>
    <row r="32" spans="1:14" ht="30" customHeight="1" x14ac:dyDescent="0.3">
      <c r="A32" s="1" t="s">
        <v>506</v>
      </c>
      <c r="B32" s="35">
        <v>0</v>
      </c>
      <c r="C32" s="35">
        <v>64327.5</v>
      </c>
      <c r="D32" s="35">
        <v>0</v>
      </c>
      <c r="E32" s="35">
        <v>0</v>
      </c>
      <c r="F32" s="207">
        <f t="shared" ref="F32:F43" si="7">SUM(B32:E32)</f>
        <v>64327.5</v>
      </c>
      <c r="G32" s="242">
        <v>35000</v>
      </c>
      <c r="H32" s="243">
        <v>0</v>
      </c>
      <c r="I32" s="244">
        <v>0</v>
      </c>
      <c r="J32" s="245">
        <f t="shared" ref="J32:J43" si="8">I32</f>
        <v>0</v>
      </c>
      <c r="K32" s="245">
        <f t="shared" ref="K32:K43" si="9">G32</f>
        <v>35000</v>
      </c>
      <c r="L32" s="245">
        <f t="shared" ref="L32:L43" si="10">MAX(G32,H32)</f>
        <v>35000</v>
      </c>
      <c r="N32" s="237">
        <f t="shared" ref="N32:N43" si="11">I32/4</f>
        <v>0</v>
      </c>
    </row>
    <row r="33" spans="1:14" ht="15" customHeight="1" x14ac:dyDescent="0.3">
      <c r="A33" s="1" t="s">
        <v>604</v>
      </c>
      <c r="B33" s="35">
        <v>146736.04999999999</v>
      </c>
      <c r="C33" s="35">
        <v>23017.3</v>
      </c>
      <c r="D33" s="35">
        <v>19393.099999999999</v>
      </c>
      <c r="E33" s="35">
        <v>30377.38</v>
      </c>
      <c r="F33" s="208">
        <f t="shared" si="7"/>
        <v>219523.83</v>
      </c>
      <c r="G33" s="242">
        <v>135218</v>
      </c>
      <c r="H33" s="243">
        <v>166504.41</v>
      </c>
      <c r="I33" s="244">
        <v>37727.440000000002</v>
      </c>
      <c r="J33" s="245">
        <f t="shared" si="8"/>
        <v>37727.440000000002</v>
      </c>
      <c r="K33" s="245">
        <f t="shared" si="9"/>
        <v>135218</v>
      </c>
      <c r="L33" s="245">
        <f t="shared" si="10"/>
        <v>166504.41</v>
      </c>
      <c r="N33" s="237">
        <f t="shared" si="11"/>
        <v>9431.86</v>
      </c>
    </row>
    <row r="34" spans="1:14" ht="15" customHeight="1" x14ac:dyDescent="0.3">
      <c r="A34" s="1" t="s">
        <v>605</v>
      </c>
      <c r="B34" s="35">
        <v>0</v>
      </c>
      <c r="C34" s="35">
        <v>0</v>
      </c>
      <c r="D34" s="35">
        <v>0</v>
      </c>
      <c r="E34" s="35">
        <v>1324.9</v>
      </c>
      <c r="F34" s="208">
        <f t="shared" si="7"/>
        <v>1324.9</v>
      </c>
      <c r="G34" s="242">
        <v>33201</v>
      </c>
      <c r="H34" s="243">
        <v>318561.23</v>
      </c>
      <c r="I34" s="244">
        <v>49733.4</v>
      </c>
      <c r="J34" s="245">
        <f t="shared" si="8"/>
        <v>49733.4</v>
      </c>
      <c r="K34" s="245">
        <f t="shared" si="9"/>
        <v>33201</v>
      </c>
      <c r="L34" s="245">
        <f t="shared" si="10"/>
        <v>318561.23</v>
      </c>
      <c r="N34" s="237">
        <f t="shared" si="11"/>
        <v>12433.35</v>
      </c>
    </row>
    <row r="35" spans="1:14" ht="15" customHeight="1" x14ac:dyDescent="0.3">
      <c r="A35" s="1" t="s">
        <v>607</v>
      </c>
      <c r="B35" s="35">
        <v>26945.41</v>
      </c>
      <c r="C35" s="35">
        <v>48089.06</v>
      </c>
      <c r="D35" s="35">
        <v>42218.1</v>
      </c>
      <c r="E35" s="35">
        <v>21613.74</v>
      </c>
      <c r="F35" s="208">
        <f t="shared" si="7"/>
        <v>138866.31</v>
      </c>
      <c r="G35" s="242">
        <v>167150</v>
      </c>
      <c r="H35" s="243">
        <v>190408.77</v>
      </c>
      <c r="I35" s="244">
        <v>47655.96</v>
      </c>
      <c r="J35" s="245">
        <f t="shared" si="8"/>
        <v>47655.96</v>
      </c>
      <c r="K35" s="245">
        <f t="shared" si="9"/>
        <v>167150</v>
      </c>
      <c r="L35" s="245">
        <f t="shared" si="10"/>
        <v>190408.77</v>
      </c>
      <c r="N35" s="237">
        <f t="shared" si="11"/>
        <v>11913.99</v>
      </c>
    </row>
    <row r="36" spans="1:14" ht="15" customHeight="1" x14ac:dyDescent="0.3">
      <c r="A36" s="221" t="s">
        <v>608</v>
      </c>
      <c r="B36" s="217">
        <v>600</v>
      </c>
      <c r="C36" s="217">
        <v>7509.5</v>
      </c>
      <c r="D36" s="217">
        <v>1700</v>
      </c>
      <c r="E36" s="217">
        <v>4160.97</v>
      </c>
      <c r="F36" s="222">
        <f t="shared" si="7"/>
        <v>13970.470000000001</v>
      </c>
      <c r="G36" s="242">
        <v>41250</v>
      </c>
      <c r="H36" s="243">
        <v>22352.01</v>
      </c>
      <c r="I36" s="244">
        <v>1000</v>
      </c>
      <c r="J36" s="245">
        <f t="shared" si="8"/>
        <v>1000</v>
      </c>
      <c r="K36" s="245">
        <f t="shared" si="9"/>
        <v>41250</v>
      </c>
      <c r="L36" s="245">
        <f t="shared" si="10"/>
        <v>41250</v>
      </c>
      <c r="N36" s="237">
        <f t="shared" si="11"/>
        <v>250</v>
      </c>
    </row>
    <row r="37" spans="1:14" ht="15" customHeight="1" x14ac:dyDescent="0.3">
      <c r="A37" s="1" t="s">
        <v>500</v>
      </c>
      <c r="B37" s="35">
        <v>3898</v>
      </c>
      <c r="C37" s="35">
        <v>0</v>
      </c>
      <c r="D37" s="35">
        <v>0</v>
      </c>
      <c r="E37" s="35">
        <v>0</v>
      </c>
      <c r="F37" s="208">
        <f t="shared" si="7"/>
        <v>3898</v>
      </c>
      <c r="G37" s="242">
        <v>200000</v>
      </c>
      <c r="H37" s="243">
        <v>296373.64</v>
      </c>
      <c r="I37" s="244">
        <v>195303.56</v>
      </c>
      <c r="J37" s="245">
        <f t="shared" si="8"/>
        <v>195303.56</v>
      </c>
      <c r="K37" s="245">
        <f t="shared" si="9"/>
        <v>200000</v>
      </c>
      <c r="L37" s="245">
        <f t="shared" si="10"/>
        <v>296373.64</v>
      </c>
      <c r="N37" s="237">
        <f t="shared" si="11"/>
        <v>48825.89</v>
      </c>
    </row>
    <row r="38" spans="1:14" ht="15" customHeight="1" x14ac:dyDescent="0.3">
      <c r="A38" s="1" t="s">
        <v>609</v>
      </c>
      <c r="B38" s="35">
        <v>1778.28</v>
      </c>
      <c r="C38" s="35">
        <v>5299.38</v>
      </c>
      <c r="D38" s="35">
        <v>23685.64</v>
      </c>
      <c r="E38" s="35">
        <v>12474.51</v>
      </c>
      <c r="F38" s="208">
        <f t="shared" si="7"/>
        <v>43237.81</v>
      </c>
      <c r="G38" s="242">
        <v>133000</v>
      </c>
      <c r="H38" s="243">
        <v>103124.53</v>
      </c>
      <c r="I38" s="244">
        <v>38737.72</v>
      </c>
      <c r="J38" s="245">
        <f t="shared" si="8"/>
        <v>38737.72</v>
      </c>
      <c r="K38" s="245">
        <f t="shared" si="9"/>
        <v>133000</v>
      </c>
      <c r="L38" s="245">
        <f t="shared" si="10"/>
        <v>133000</v>
      </c>
      <c r="N38" s="237">
        <f t="shared" si="11"/>
        <v>9684.43</v>
      </c>
    </row>
    <row r="39" spans="1:14" ht="15" customHeight="1" x14ac:dyDescent="0.3">
      <c r="A39" s="1" t="s">
        <v>610</v>
      </c>
      <c r="B39" s="35">
        <v>1800</v>
      </c>
      <c r="C39" s="35">
        <v>0</v>
      </c>
      <c r="D39" s="35">
        <v>78306.12</v>
      </c>
      <c r="E39" s="35">
        <v>7640.01</v>
      </c>
      <c r="F39" s="208">
        <f t="shared" si="7"/>
        <v>87746.12999999999</v>
      </c>
      <c r="G39" s="242">
        <v>30000</v>
      </c>
      <c r="H39" s="243">
        <v>87746.13</v>
      </c>
      <c r="I39" s="244">
        <v>0</v>
      </c>
      <c r="J39" s="245">
        <f t="shared" si="8"/>
        <v>0</v>
      </c>
      <c r="K39" s="245">
        <f t="shared" si="9"/>
        <v>30000</v>
      </c>
      <c r="L39" s="245">
        <f t="shared" si="10"/>
        <v>87746.13</v>
      </c>
      <c r="N39" s="237">
        <f t="shared" si="11"/>
        <v>0</v>
      </c>
    </row>
    <row r="40" spans="1:14" ht="15" customHeight="1" x14ac:dyDescent="0.3">
      <c r="A40" s="1" t="s">
        <v>611</v>
      </c>
      <c r="B40" s="35">
        <v>6637.69</v>
      </c>
      <c r="C40" s="35">
        <v>2618.7800000000002</v>
      </c>
      <c r="D40" s="35">
        <v>9372.7900000000009</v>
      </c>
      <c r="E40" s="35">
        <v>780.79</v>
      </c>
      <c r="F40" s="208">
        <f t="shared" si="7"/>
        <v>19410.050000000003</v>
      </c>
      <c r="G40" s="242">
        <v>50000</v>
      </c>
      <c r="H40" s="243">
        <v>22609.37</v>
      </c>
      <c r="I40" s="244">
        <v>21548.12</v>
      </c>
      <c r="J40" s="245">
        <f t="shared" si="8"/>
        <v>21548.12</v>
      </c>
      <c r="K40" s="245">
        <f t="shared" si="9"/>
        <v>50000</v>
      </c>
      <c r="L40" s="245">
        <f t="shared" si="10"/>
        <v>50000</v>
      </c>
      <c r="N40" s="237">
        <f t="shared" si="11"/>
        <v>5387.03</v>
      </c>
    </row>
    <row r="41" spans="1:14" ht="15" customHeight="1" x14ac:dyDescent="0.3">
      <c r="A41" s="1" t="s">
        <v>612</v>
      </c>
      <c r="B41" s="35">
        <v>0</v>
      </c>
      <c r="C41" s="35">
        <v>0</v>
      </c>
      <c r="D41" s="35">
        <v>0</v>
      </c>
      <c r="E41" s="35">
        <v>0</v>
      </c>
      <c r="F41" s="208">
        <f t="shared" si="7"/>
        <v>0</v>
      </c>
      <c r="G41" s="242">
        <v>0</v>
      </c>
      <c r="H41" s="243">
        <v>0</v>
      </c>
      <c r="I41" s="244">
        <v>0</v>
      </c>
      <c r="J41" s="245">
        <f t="shared" si="8"/>
        <v>0</v>
      </c>
      <c r="K41" s="245">
        <f t="shared" si="9"/>
        <v>0</v>
      </c>
      <c r="L41" s="245">
        <f t="shared" si="10"/>
        <v>0</v>
      </c>
      <c r="N41" s="237">
        <f t="shared" si="11"/>
        <v>0</v>
      </c>
    </row>
    <row r="42" spans="1:14" ht="15" customHeight="1" x14ac:dyDescent="0.3">
      <c r="A42" s="1" t="s">
        <v>613</v>
      </c>
      <c r="B42" s="35">
        <v>1944.16</v>
      </c>
      <c r="C42" s="35">
        <v>0</v>
      </c>
      <c r="D42" s="35">
        <v>0</v>
      </c>
      <c r="E42" s="35">
        <v>5036.2299999999996</v>
      </c>
      <c r="F42" s="208">
        <f t="shared" si="7"/>
        <v>6980.3899999999994</v>
      </c>
      <c r="G42" s="242">
        <v>8848.36</v>
      </c>
      <c r="H42" s="243">
        <v>21039.11</v>
      </c>
      <c r="I42" s="244">
        <v>1796.96</v>
      </c>
      <c r="J42" s="245">
        <f t="shared" si="8"/>
        <v>1796.96</v>
      </c>
      <c r="K42" s="245">
        <f t="shared" si="9"/>
        <v>8848.36</v>
      </c>
      <c r="L42" s="245">
        <f t="shared" si="10"/>
        <v>21039.11</v>
      </c>
      <c r="N42" s="237">
        <f t="shared" si="11"/>
        <v>449.24</v>
      </c>
    </row>
    <row r="43" spans="1:14" ht="15" customHeight="1" x14ac:dyDescent="0.3">
      <c r="A43" s="1" t="s">
        <v>535</v>
      </c>
      <c r="B43" s="35">
        <v>24660.41</v>
      </c>
      <c r="C43" s="35">
        <v>25442.42</v>
      </c>
      <c r="D43" s="35">
        <v>24582.639999999999</v>
      </c>
      <c r="E43" s="35">
        <v>29541.66</v>
      </c>
      <c r="F43" s="208">
        <f t="shared" si="7"/>
        <v>104227.13</v>
      </c>
      <c r="G43" s="242">
        <v>125000</v>
      </c>
      <c r="H43" s="243">
        <v>207532.23</v>
      </c>
      <c r="I43" s="244">
        <v>28112</v>
      </c>
      <c r="J43" s="245">
        <f t="shared" si="8"/>
        <v>28112</v>
      </c>
      <c r="K43" s="245">
        <f t="shared" si="9"/>
        <v>125000</v>
      </c>
      <c r="L43" s="245">
        <f t="shared" si="10"/>
        <v>207532.23</v>
      </c>
      <c r="N43" s="237">
        <f t="shared" si="11"/>
        <v>7028</v>
      </c>
    </row>
    <row r="44" spans="1:14" x14ac:dyDescent="0.3">
      <c r="B44" s="36"/>
      <c r="C44" s="36"/>
      <c r="D44" s="36"/>
      <c r="E44" s="36"/>
      <c r="G44" s="246"/>
      <c r="H44" s="247"/>
      <c r="I44" s="248"/>
      <c r="J44" s="249"/>
      <c r="K44" s="249"/>
      <c r="L44" s="249"/>
    </row>
    <row r="45" spans="1:14" ht="15" customHeight="1" x14ac:dyDescent="0.3">
      <c r="A45" s="439" t="s">
        <v>294</v>
      </c>
      <c r="B45" s="439"/>
      <c r="C45" s="439"/>
      <c r="D45" s="439"/>
      <c r="E45" s="439"/>
      <c r="F45" s="440"/>
      <c r="G45" s="238"/>
      <c r="H45" s="239"/>
      <c r="I45" s="240"/>
      <c r="J45" s="241"/>
      <c r="K45" s="241"/>
      <c r="L45" s="241"/>
    </row>
    <row r="46" spans="1:14" ht="15" customHeight="1" x14ac:dyDescent="0.3">
      <c r="A46" s="1" t="s">
        <v>614</v>
      </c>
      <c r="B46" s="35">
        <v>69332.84</v>
      </c>
      <c r="C46" s="35">
        <v>131558.03</v>
      </c>
      <c r="D46" s="35">
        <v>152594.46</v>
      </c>
      <c r="E46" s="35">
        <v>85068.73</v>
      </c>
      <c r="F46" s="207">
        <f t="shared" ref="F46:F53" si="12">SUM(B46:E46)</f>
        <v>438554.05999999994</v>
      </c>
      <c r="G46" s="242">
        <v>130936.79</v>
      </c>
      <c r="H46" s="243">
        <v>138470.32</v>
      </c>
      <c r="I46" s="244">
        <v>136478.47</v>
      </c>
      <c r="J46" s="245">
        <f t="shared" ref="J46:J53" si="13">I46</f>
        <v>136478.47</v>
      </c>
      <c r="K46" s="245">
        <f t="shared" ref="K46:K53" si="14">G46</f>
        <v>130936.79</v>
      </c>
      <c r="L46" s="245">
        <f t="shared" ref="L46:L53" si="15">MAX(G46,H46)</f>
        <v>138470.32</v>
      </c>
      <c r="N46" s="237">
        <f t="shared" ref="N46:N53" si="16">I46/4</f>
        <v>34119.6175</v>
      </c>
    </row>
    <row r="47" spans="1:14" ht="15" customHeight="1" x14ac:dyDescent="0.3">
      <c r="A47" s="1" t="s">
        <v>615</v>
      </c>
      <c r="B47" s="35">
        <v>33508</v>
      </c>
      <c r="C47" s="35">
        <v>30914.71</v>
      </c>
      <c r="D47" s="35">
        <v>54108.46</v>
      </c>
      <c r="E47" s="35">
        <v>43121.64</v>
      </c>
      <c r="F47" s="207">
        <f t="shared" si="12"/>
        <v>161652.81</v>
      </c>
      <c r="G47" s="242">
        <v>48263.83</v>
      </c>
      <c r="H47" s="243">
        <v>51040.72</v>
      </c>
      <c r="I47" s="244">
        <v>50306.52</v>
      </c>
      <c r="J47" s="245">
        <f t="shared" si="13"/>
        <v>50306.52</v>
      </c>
      <c r="K47" s="245">
        <f t="shared" si="14"/>
        <v>48263.83</v>
      </c>
      <c r="L47" s="245">
        <f t="shared" si="15"/>
        <v>51040.72</v>
      </c>
      <c r="N47" s="237">
        <f t="shared" si="16"/>
        <v>12576.63</v>
      </c>
    </row>
    <row r="48" spans="1:14" ht="15" customHeight="1" x14ac:dyDescent="0.3">
      <c r="A48" s="221" t="s">
        <v>616</v>
      </c>
      <c r="B48" s="217">
        <v>50012.7</v>
      </c>
      <c r="C48" s="217">
        <v>36393.019999999997</v>
      </c>
      <c r="D48" s="217">
        <v>38825.08</v>
      </c>
      <c r="E48" s="217">
        <v>25195.06</v>
      </c>
      <c r="F48" s="218">
        <f t="shared" si="12"/>
        <v>150425.86000000002</v>
      </c>
      <c r="G48" s="242">
        <v>44911.86</v>
      </c>
      <c r="H48" s="243">
        <v>47495.89</v>
      </c>
      <c r="I48" s="244">
        <v>46812.68</v>
      </c>
      <c r="J48" s="245">
        <f t="shared" si="13"/>
        <v>46812.68</v>
      </c>
      <c r="K48" s="245">
        <f t="shared" si="14"/>
        <v>44911.86</v>
      </c>
      <c r="L48" s="245">
        <f t="shared" si="15"/>
        <v>47495.89</v>
      </c>
      <c r="N48" s="237">
        <f t="shared" si="16"/>
        <v>11703.17</v>
      </c>
    </row>
    <row r="49" spans="1:14" ht="15" customHeight="1" x14ac:dyDescent="0.3">
      <c r="A49" s="1" t="s">
        <v>617</v>
      </c>
      <c r="B49" s="35">
        <v>34758.99</v>
      </c>
      <c r="C49" s="35">
        <v>42922.559999999998</v>
      </c>
      <c r="D49" s="35">
        <v>80771.509999999995</v>
      </c>
      <c r="E49" s="35">
        <v>39079.47</v>
      </c>
      <c r="F49" s="207">
        <f t="shared" si="12"/>
        <v>197532.53</v>
      </c>
      <c r="G49" s="242">
        <v>58976.25</v>
      </c>
      <c r="H49" s="243">
        <v>62369.49</v>
      </c>
      <c r="I49" s="244">
        <v>61472.33</v>
      </c>
      <c r="J49" s="245">
        <f t="shared" si="13"/>
        <v>61472.33</v>
      </c>
      <c r="K49" s="245">
        <f t="shared" si="14"/>
        <v>58976.25</v>
      </c>
      <c r="L49" s="245">
        <f t="shared" si="15"/>
        <v>62369.49</v>
      </c>
      <c r="N49" s="237">
        <f t="shared" si="16"/>
        <v>15368.0825</v>
      </c>
    </row>
    <row r="50" spans="1:14" ht="15" customHeight="1" x14ac:dyDescent="0.3">
      <c r="A50" s="210" t="s">
        <v>618</v>
      </c>
      <c r="B50" s="211">
        <v>420</v>
      </c>
      <c r="C50" s="211">
        <v>920.13</v>
      </c>
      <c r="D50" s="211">
        <v>7187.26</v>
      </c>
      <c r="E50" s="211">
        <v>2969.91</v>
      </c>
      <c r="F50" s="214">
        <f t="shared" si="12"/>
        <v>11497.3</v>
      </c>
      <c r="G50" s="242">
        <v>3432.69</v>
      </c>
      <c r="H50" s="243">
        <v>3630.19</v>
      </c>
      <c r="I50" s="244">
        <v>3577.97</v>
      </c>
      <c r="J50" s="245">
        <f t="shared" si="13"/>
        <v>3577.97</v>
      </c>
      <c r="K50" s="245">
        <f t="shared" si="14"/>
        <v>3432.69</v>
      </c>
      <c r="L50" s="245">
        <f t="shared" si="15"/>
        <v>3630.19</v>
      </c>
      <c r="N50" s="237">
        <f t="shared" si="16"/>
        <v>894.49249999999995</v>
      </c>
    </row>
    <row r="51" spans="1:14" ht="15" customHeight="1" x14ac:dyDescent="0.3">
      <c r="A51" s="1" t="s">
        <v>619</v>
      </c>
      <c r="B51" s="35">
        <v>11300.17</v>
      </c>
      <c r="C51" s="35">
        <v>14925.54</v>
      </c>
      <c r="D51" s="35">
        <v>19015.84</v>
      </c>
      <c r="E51" s="35">
        <v>24548.62</v>
      </c>
      <c r="F51" s="207">
        <f t="shared" si="12"/>
        <v>69790.17</v>
      </c>
      <c r="G51" s="242">
        <v>20836.89</v>
      </c>
      <c r="H51" s="243">
        <v>22035.75</v>
      </c>
      <c r="I51" s="244">
        <v>21718.77</v>
      </c>
      <c r="J51" s="245">
        <f t="shared" si="13"/>
        <v>21718.77</v>
      </c>
      <c r="K51" s="245">
        <f t="shared" si="14"/>
        <v>20836.89</v>
      </c>
      <c r="L51" s="245">
        <f t="shared" si="15"/>
        <v>22035.75</v>
      </c>
      <c r="N51" s="237">
        <f t="shared" si="16"/>
        <v>5429.6925000000001</v>
      </c>
    </row>
    <row r="52" spans="1:14" ht="15" customHeight="1" x14ac:dyDescent="0.3">
      <c r="A52" s="1" t="s">
        <v>620</v>
      </c>
      <c r="B52" s="35">
        <v>10557.67</v>
      </c>
      <c r="C52" s="35">
        <v>1243.05</v>
      </c>
      <c r="D52" s="35">
        <v>2136.1</v>
      </c>
      <c r="E52" s="35">
        <v>2320.04</v>
      </c>
      <c r="F52" s="207">
        <f t="shared" si="12"/>
        <v>16256.86</v>
      </c>
      <c r="G52" s="242">
        <v>4853.7299999999996</v>
      </c>
      <c r="H52" s="243">
        <v>5132.99</v>
      </c>
      <c r="I52" s="244">
        <v>5059.1499999999996</v>
      </c>
      <c r="J52" s="245">
        <f t="shared" si="13"/>
        <v>5059.1499999999996</v>
      </c>
      <c r="K52" s="245">
        <f t="shared" si="14"/>
        <v>4853.7299999999996</v>
      </c>
      <c r="L52" s="245">
        <f t="shared" si="15"/>
        <v>5132.99</v>
      </c>
      <c r="N52" s="237">
        <f t="shared" si="16"/>
        <v>1264.7874999999999</v>
      </c>
    </row>
    <row r="53" spans="1:14" ht="15" customHeight="1" x14ac:dyDescent="0.3">
      <c r="A53" s="1" t="s">
        <v>621</v>
      </c>
      <c r="B53" s="35">
        <v>30109.63</v>
      </c>
      <c r="C53" s="35">
        <v>43033.93</v>
      </c>
      <c r="D53" s="35">
        <v>29086.959999999999</v>
      </c>
      <c r="E53" s="35">
        <v>24334.83</v>
      </c>
      <c r="F53" s="207">
        <f t="shared" si="12"/>
        <v>126565.34999999999</v>
      </c>
      <c r="G53" s="242">
        <v>37787.949999999997</v>
      </c>
      <c r="H53" s="243">
        <v>39962.11</v>
      </c>
      <c r="I53" s="244">
        <v>39387.269999999997</v>
      </c>
      <c r="J53" s="245">
        <f t="shared" si="13"/>
        <v>39387.269999999997</v>
      </c>
      <c r="K53" s="245">
        <f t="shared" si="14"/>
        <v>37787.949999999997</v>
      </c>
      <c r="L53" s="245">
        <f t="shared" si="15"/>
        <v>39962.11</v>
      </c>
      <c r="N53" s="237">
        <f t="shared" si="16"/>
        <v>9846.8174999999992</v>
      </c>
    </row>
    <row r="54" spans="1:14" x14ac:dyDescent="0.3">
      <c r="B54" s="36"/>
      <c r="C54" s="36"/>
      <c r="D54" s="36"/>
      <c r="E54" s="36"/>
      <c r="G54" s="246"/>
      <c r="H54" s="247"/>
      <c r="I54" s="248"/>
      <c r="J54" s="249"/>
      <c r="K54" s="249"/>
      <c r="L54" s="249"/>
    </row>
    <row r="55" spans="1:14" ht="15" customHeight="1" x14ac:dyDescent="0.3">
      <c r="A55" s="439" t="s">
        <v>296</v>
      </c>
      <c r="B55" s="439"/>
      <c r="C55" s="439"/>
      <c r="D55" s="439"/>
      <c r="E55" s="439"/>
      <c r="F55" s="440"/>
      <c r="G55" s="238"/>
      <c r="H55" s="239"/>
      <c r="I55" s="240"/>
      <c r="J55" s="241"/>
      <c r="K55" s="241"/>
      <c r="L55" s="241"/>
    </row>
    <row r="56" spans="1:14" ht="15" customHeight="1" x14ac:dyDescent="0.3">
      <c r="A56" s="1" t="s">
        <v>622</v>
      </c>
      <c r="B56" s="35">
        <v>0</v>
      </c>
      <c r="C56" s="35">
        <v>0</v>
      </c>
      <c r="D56" s="35">
        <v>0</v>
      </c>
      <c r="E56" s="35">
        <v>0</v>
      </c>
      <c r="F56" s="207">
        <f t="shared" ref="F56:F65" si="17">SUM(B56:E56)</f>
        <v>0</v>
      </c>
      <c r="G56" s="242">
        <f t="shared" ref="G56:G65" si="18">F56</f>
        <v>0</v>
      </c>
      <c r="H56" s="243">
        <f t="shared" ref="H56:H65" si="19">F56</f>
        <v>0</v>
      </c>
      <c r="I56" s="244">
        <f t="shared" ref="I56:I65" si="20">F56</f>
        <v>0</v>
      </c>
      <c r="J56" s="245">
        <f t="shared" ref="J56:J65" si="21">F56</f>
        <v>0</v>
      </c>
      <c r="K56" s="245">
        <f t="shared" ref="K56:K65" si="22">F56</f>
        <v>0</v>
      </c>
      <c r="L56" s="245">
        <f t="shared" ref="L56:L65" si="23">F56</f>
        <v>0</v>
      </c>
    </row>
    <row r="57" spans="1:14" ht="15" customHeight="1" x14ac:dyDescent="0.3">
      <c r="A57" s="1" t="s">
        <v>623</v>
      </c>
      <c r="B57" s="35">
        <v>0</v>
      </c>
      <c r="C57" s="35">
        <v>0</v>
      </c>
      <c r="D57" s="35">
        <v>0</v>
      </c>
      <c r="E57" s="35">
        <v>0</v>
      </c>
      <c r="F57" s="207">
        <f t="shared" si="17"/>
        <v>0</v>
      </c>
      <c r="G57" s="242">
        <f t="shared" si="18"/>
        <v>0</v>
      </c>
      <c r="H57" s="243">
        <f t="shared" si="19"/>
        <v>0</v>
      </c>
      <c r="I57" s="244">
        <f t="shared" si="20"/>
        <v>0</v>
      </c>
      <c r="J57" s="245">
        <f t="shared" si="21"/>
        <v>0</v>
      </c>
      <c r="K57" s="245">
        <f t="shared" si="22"/>
        <v>0</v>
      </c>
      <c r="L57" s="245">
        <f t="shared" si="23"/>
        <v>0</v>
      </c>
    </row>
    <row r="58" spans="1:14" ht="15" customHeight="1" x14ac:dyDescent="0.3">
      <c r="A58" s="1" t="s">
        <v>624</v>
      </c>
      <c r="B58" s="35">
        <v>0</v>
      </c>
      <c r="C58" s="35">
        <v>0</v>
      </c>
      <c r="D58" s="35">
        <v>0</v>
      </c>
      <c r="E58" s="35">
        <v>0</v>
      </c>
      <c r="F58" s="207">
        <f t="shared" si="17"/>
        <v>0</v>
      </c>
      <c r="G58" s="242">
        <f t="shared" si="18"/>
        <v>0</v>
      </c>
      <c r="H58" s="243">
        <f t="shared" si="19"/>
        <v>0</v>
      </c>
      <c r="I58" s="244">
        <f t="shared" si="20"/>
        <v>0</v>
      </c>
      <c r="J58" s="245">
        <f t="shared" si="21"/>
        <v>0</v>
      </c>
      <c r="K58" s="245">
        <f t="shared" si="22"/>
        <v>0</v>
      </c>
      <c r="L58" s="245">
        <f t="shared" si="23"/>
        <v>0</v>
      </c>
    </row>
    <row r="59" spans="1:14" ht="15" customHeight="1" x14ac:dyDescent="0.3">
      <c r="A59" s="1" t="s">
        <v>625</v>
      </c>
      <c r="B59" s="35">
        <v>0</v>
      </c>
      <c r="C59" s="35">
        <v>0</v>
      </c>
      <c r="D59" s="35">
        <v>0</v>
      </c>
      <c r="E59" s="35">
        <v>0</v>
      </c>
      <c r="F59" s="207">
        <f t="shared" si="17"/>
        <v>0</v>
      </c>
      <c r="G59" s="242">
        <f t="shared" si="18"/>
        <v>0</v>
      </c>
      <c r="H59" s="243">
        <f t="shared" si="19"/>
        <v>0</v>
      </c>
      <c r="I59" s="244">
        <f t="shared" si="20"/>
        <v>0</v>
      </c>
      <c r="J59" s="245">
        <f t="shared" si="21"/>
        <v>0</v>
      </c>
      <c r="K59" s="245">
        <f t="shared" si="22"/>
        <v>0</v>
      </c>
      <c r="L59" s="245">
        <f t="shared" si="23"/>
        <v>0</v>
      </c>
    </row>
    <row r="60" spans="1:14" ht="15" customHeight="1" x14ac:dyDescent="0.3">
      <c r="A60" s="1" t="s">
        <v>626</v>
      </c>
      <c r="B60" s="35">
        <v>0</v>
      </c>
      <c r="C60" s="35">
        <v>0</v>
      </c>
      <c r="D60" s="35">
        <v>0</v>
      </c>
      <c r="E60" s="35">
        <v>0</v>
      </c>
      <c r="F60" s="207">
        <f t="shared" si="17"/>
        <v>0</v>
      </c>
      <c r="G60" s="242">
        <f t="shared" si="18"/>
        <v>0</v>
      </c>
      <c r="H60" s="243">
        <f t="shared" si="19"/>
        <v>0</v>
      </c>
      <c r="I60" s="244">
        <f t="shared" si="20"/>
        <v>0</v>
      </c>
      <c r="J60" s="245">
        <f t="shared" si="21"/>
        <v>0</v>
      </c>
      <c r="K60" s="245">
        <f t="shared" si="22"/>
        <v>0</v>
      </c>
      <c r="L60" s="245">
        <f t="shared" si="23"/>
        <v>0</v>
      </c>
    </row>
    <row r="61" spans="1:14" ht="15" customHeight="1" x14ac:dyDescent="0.3">
      <c r="A61" s="1" t="s">
        <v>627</v>
      </c>
      <c r="B61" s="35">
        <v>0</v>
      </c>
      <c r="C61" s="35">
        <v>0</v>
      </c>
      <c r="D61" s="35">
        <v>0</v>
      </c>
      <c r="E61" s="35">
        <v>0</v>
      </c>
      <c r="F61" s="207">
        <f t="shared" si="17"/>
        <v>0</v>
      </c>
      <c r="G61" s="242">
        <f t="shared" si="18"/>
        <v>0</v>
      </c>
      <c r="H61" s="243">
        <f t="shared" si="19"/>
        <v>0</v>
      </c>
      <c r="I61" s="244">
        <f t="shared" si="20"/>
        <v>0</v>
      </c>
      <c r="J61" s="245">
        <f t="shared" si="21"/>
        <v>0</v>
      </c>
      <c r="K61" s="245">
        <f t="shared" si="22"/>
        <v>0</v>
      </c>
      <c r="L61" s="245">
        <f t="shared" si="23"/>
        <v>0</v>
      </c>
    </row>
    <row r="62" spans="1:14" ht="15" customHeight="1" x14ac:dyDescent="0.3">
      <c r="A62" s="1" t="s">
        <v>628</v>
      </c>
      <c r="B62" s="35">
        <v>0</v>
      </c>
      <c r="C62" s="35">
        <v>0</v>
      </c>
      <c r="D62" s="35">
        <v>0</v>
      </c>
      <c r="E62" s="35">
        <v>0</v>
      </c>
      <c r="F62" s="207">
        <f t="shared" si="17"/>
        <v>0</v>
      </c>
      <c r="G62" s="242">
        <f t="shared" si="18"/>
        <v>0</v>
      </c>
      <c r="H62" s="243">
        <f t="shared" si="19"/>
        <v>0</v>
      </c>
      <c r="I62" s="244">
        <f t="shared" si="20"/>
        <v>0</v>
      </c>
      <c r="J62" s="245">
        <f t="shared" si="21"/>
        <v>0</v>
      </c>
      <c r="K62" s="245">
        <f t="shared" si="22"/>
        <v>0</v>
      </c>
      <c r="L62" s="245">
        <f t="shared" si="23"/>
        <v>0</v>
      </c>
    </row>
    <row r="63" spans="1:14" ht="15" customHeight="1" x14ac:dyDescent="0.3">
      <c r="A63" s="1" t="s">
        <v>629</v>
      </c>
      <c r="B63" s="35">
        <v>0</v>
      </c>
      <c r="C63" s="35">
        <v>0</v>
      </c>
      <c r="D63" s="35">
        <v>0</v>
      </c>
      <c r="E63" s="35">
        <v>0</v>
      </c>
      <c r="F63" s="207">
        <f t="shared" si="17"/>
        <v>0</v>
      </c>
      <c r="G63" s="242">
        <f t="shared" si="18"/>
        <v>0</v>
      </c>
      <c r="H63" s="243">
        <f t="shared" si="19"/>
        <v>0</v>
      </c>
      <c r="I63" s="244">
        <f t="shared" si="20"/>
        <v>0</v>
      </c>
      <c r="J63" s="245">
        <f t="shared" si="21"/>
        <v>0</v>
      </c>
      <c r="K63" s="245">
        <f t="shared" si="22"/>
        <v>0</v>
      </c>
      <c r="L63" s="245">
        <f t="shared" si="23"/>
        <v>0</v>
      </c>
    </row>
    <row r="64" spans="1:14" ht="15" customHeight="1" x14ac:dyDescent="0.3">
      <c r="A64" s="1" t="s">
        <v>630</v>
      </c>
      <c r="B64" s="35">
        <v>0</v>
      </c>
      <c r="C64" s="35">
        <v>0</v>
      </c>
      <c r="D64" s="35">
        <v>0</v>
      </c>
      <c r="E64" s="35">
        <v>0</v>
      </c>
      <c r="F64" s="207">
        <f t="shared" si="17"/>
        <v>0</v>
      </c>
      <c r="G64" s="242">
        <f t="shared" si="18"/>
        <v>0</v>
      </c>
      <c r="H64" s="243">
        <f t="shared" si="19"/>
        <v>0</v>
      </c>
      <c r="I64" s="244">
        <f t="shared" si="20"/>
        <v>0</v>
      </c>
      <c r="J64" s="245">
        <f t="shared" si="21"/>
        <v>0</v>
      </c>
      <c r="K64" s="245">
        <f t="shared" si="22"/>
        <v>0</v>
      </c>
      <c r="L64" s="245">
        <f t="shared" si="23"/>
        <v>0</v>
      </c>
    </row>
    <row r="65" spans="1:12" ht="15" customHeight="1" x14ac:dyDescent="0.3">
      <c r="A65" s="1" t="s">
        <v>631</v>
      </c>
      <c r="B65" s="35">
        <v>0</v>
      </c>
      <c r="C65" s="35">
        <v>0</v>
      </c>
      <c r="D65" s="35">
        <v>0</v>
      </c>
      <c r="E65" s="35">
        <v>0</v>
      </c>
      <c r="F65" s="207">
        <f t="shared" si="17"/>
        <v>0</v>
      </c>
      <c r="G65" s="242">
        <f t="shared" si="18"/>
        <v>0</v>
      </c>
      <c r="H65" s="243">
        <f t="shared" si="19"/>
        <v>0</v>
      </c>
      <c r="I65" s="244">
        <f t="shared" si="20"/>
        <v>0</v>
      </c>
      <c r="J65" s="245">
        <f t="shared" si="21"/>
        <v>0</v>
      </c>
      <c r="K65" s="245">
        <f t="shared" si="22"/>
        <v>0</v>
      </c>
      <c r="L65" s="245">
        <f t="shared" si="23"/>
        <v>0</v>
      </c>
    </row>
    <row r="66" spans="1:12" x14ac:dyDescent="0.3">
      <c r="B66" s="36"/>
      <c r="C66" s="36"/>
      <c r="D66" s="36"/>
      <c r="E66" s="36"/>
      <c r="G66" s="246"/>
      <c r="H66" s="247"/>
      <c r="I66" s="248"/>
      <c r="J66" s="249"/>
      <c r="K66" s="249"/>
      <c r="L66" s="249"/>
    </row>
    <row r="67" spans="1:12" ht="15" customHeight="1" x14ac:dyDescent="0.3">
      <c r="A67" s="439" t="s">
        <v>298</v>
      </c>
      <c r="B67" s="439"/>
      <c r="C67" s="439"/>
      <c r="D67" s="439"/>
      <c r="E67" s="439"/>
      <c r="F67" s="440"/>
      <c r="G67" s="238"/>
      <c r="H67" s="239"/>
      <c r="I67" s="240"/>
      <c r="J67" s="241"/>
      <c r="K67" s="241"/>
      <c r="L67" s="241"/>
    </row>
    <row r="68" spans="1:12" ht="15" customHeight="1" x14ac:dyDescent="0.3">
      <c r="A68" s="1" t="s">
        <v>632</v>
      </c>
      <c r="B68" s="35">
        <v>0</v>
      </c>
      <c r="C68" s="35">
        <v>0</v>
      </c>
      <c r="D68" s="35">
        <v>0</v>
      </c>
      <c r="E68" s="35">
        <v>0</v>
      </c>
      <c r="F68" s="207">
        <f t="shared" ref="F68:F73" si="24">SUM(B68:E68)</f>
        <v>0</v>
      </c>
      <c r="G68" s="242">
        <f t="shared" ref="G68:G73" si="25">F68</f>
        <v>0</v>
      </c>
      <c r="H68" s="243">
        <f t="shared" ref="H68:H73" si="26">F68</f>
        <v>0</v>
      </c>
      <c r="I68" s="244">
        <f t="shared" ref="I68:I73" si="27">F68</f>
        <v>0</v>
      </c>
      <c r="J68" s="245">
        <f t="shared" ref="J68:J73" si="28">F68</f>
        <v>0</v>
      </c>
      <c r="K68" s="245">
        <f t="shared" ref="K68:K73" si="29">F68</f>
        <v>0</v>
      </c>
      <c r="L68" s="245">
        <f t="shared" ref="L68:L73" si="30">F68</f>
        <v>0</v>
      </c>
    </row>
    <row r="69" spans="1:12" ht="15" customHeight="1" x14ac:dyDescent="0.3">
      <c r="A69" s="1" t="s">
        <v>633</v>
      </c>
      <c r="B69" s="35">
        <v>0</v>
      </c>
      <c r="C69" s="35">
        <v>0</v>
      </c>
      <c r="D69" s="35">
        <v>0</v>
      </c>
      <c r="E69" s="35">
        <v>0</v>
      </c>
      <c r="F69" s="207">
        <f t="shared" si="24"/>
        <v>0</v>
      </c>
      <c r="G69" s="242">
        <f t="shared" si="25"/>
        <v>0</v>
      </c>
      <c r="H69" s="243">
        <f t="shared" si="26"/>
        <v>0</v>
      </c>
      <c r="I69" s="244">
        <f t="shared" si="27"/>
        <v>0</v>
      </c>
      <c r="J69" s="245">
        <f t="shared" si="28"/>
        <v>0</v>
      </c>
      <c r="K69" s="245">
        <f t="shared" si="29"/>
        <v>0</v>
      </c>
      <c r="L69" s="245">
        <f t="shared" si="30"/>
        <v>0</v>
      </c>
    </row>
    <row r="70" spans="1:12" ht="15" customHeight="1" x14ac:dyDescent="0.3">
      <c r="A70" s="1" t="s">
        <v>634</v>
      </c>
      <c r="B70" s="35">
        <v>0</v>
      </c>
      <c r="C70" s="35">
        <v>0</v>
      </c>
      <c r="D70" s="35">
        <v>0</v>
      </c>
      <c r="E70" s="35">
        <v>0</v>
      </c>
      <c r="F70" s="207">
        <f t="shared" si="24"/>
        <v>0</v>
      </c>
      <c r="G70" s="242">
        <f t="shared" si="25"/>
        <v>0</v>
      </c>
      <c r="H70" s="243">
        <f t="shared" si="26"/>
        <v>0</v>
      </c>
      <c r="I70" s="244">
        <f t="shared" si="27"/>
        <v>0</v>
      </c>
      <c r="J70" s="245">
        <f t="shared" si="28"/>
        <v>0</v>
      </c>
      <c r="K70" s="245">
        <f t="shared" si="29"/>
        <v>0</v>
      </c>
      <c r="L70" s="245">
        <f t="shared" si="30"/>
        <v>0</v>
      </c>
    </row>
    <row r="71" spans="1:12" ht="15" customHeight="1" x14ac:dyDescent="0.3">
      <c r="A71" s="1" t="s">
        <v>635</v>
      </c>
      <c r="B71" s="35">
        <v>0</v>
      </c>
      <c r="C71" s="35">
        <v>0</v>
      </c>
      <c r="D71" s="35">
        <v>0</v>
      </c>
      <c r="E71" s="35">
        <v>0</v>
      </c>
      <c r="F71" s="207">
        <f t="shared" si="24"/>
        <v>0</v>
      </c>
      <c r="G71" s="242">
        <f t="shared" si="25"/>
        <v>0</v>
      </c>
      <c r="H71" s="243">
        <f t="shared" si="26"/>
        <v>0</v>
      </c>
      <c r="I71" s="244">
        <f t="shared" si="27"/>
        <v>0</v>
      </c>
      <c r="J71" s="245">
        <f t="shared" si="28"/>
        <v>0</v>
      </c>
      <c r="K71" s="245">
        <f t="shared" si="29"/>
        <v>0</v>
      </c>
      <c r="L71" s="245">
        <f t="shared" si="30"/>
        <v>0</v>
      </c>
    </row>
    <row r="72" spans="1:12" ht="15" customHeight="1" x14ac:dyDescent="0.3">
      <c r="A72" s="1" t="s">
        <v>636</v>
      </c>
      <c r="B72" s="35">
        <v>0</v>
      </c>
      <c r="C72" s="35">
        <v>0</v>
      </c>
      <c r="D72" s="35">
        <v>0</v>
      </c>
      <c r="E72" s="35">
        <v>0</v>
      </c>
      <c r="F72" s="207">
        <f t="shared" si="24"/>
        <v>0</v>
      </c>
      <c r="G72" s="242">
        <f t="shared" si="25"/>
        <v>0</v>
      </c>
      <c r="H72" s="243">
        <f t="shared" si="26"/>
        <v>0</v>
      </c>
      <c r="I72" s="244">
        <f t="shared" si="27"/>
        <v>0</v>
      </c>
      <c r="J72" s="245">
        <f t="shared" si="28"/>
        <v>0</v>
      </c>
      <c r="K72" s="245">
        <f t="shared" si="29"/>
        <v>0</v>
      </c>
      <c r="L72" s="245">
        <f t="shared" si="30"/>
        <v>0</v>
      </c>
    </row>
    <row r="73" spans="1:12" ht="15" customHeight="1" x14ac:dyDescent="0.3">
      <c r="A73" s="1" t="s">
        <v>637</v>
      </c>
      <c r="B73" s="35">
        <v>0</v>
      </c>
      <c r="C73" s="35">
        <v>0</v>
      </c>
      <c r="D73" s="35">
        <v>0</v>
      </c>
      <c r="E73" s="35">
        <v>0</v>
      </c>
      <c r="F73" s="207">
        <f t="shared" si="24"/>
        <v>0</v>
      </c>
      <c r="G73" s="242">
        <f t="shared" si="25"/>
        <v>0</v>
      </c>
      <c r="H73" s="243">
        <f t="shared" si="26"/>
        <v>0</v>
      </c>
      <c r="I73" s="244">
        <f t="shared" si="27"/>
        <v>0</v>
      </c>
      <c r="J73" s="245">
        <f t="shared" si="28"/>
        <v>0</v>
      </c>
      <c r="K73" s="245">
        <f t="shared" si="29"/>
        <v>0</v>
      </c>
      <c r="L73" s="245">
        <f t="shared" si="30"/>
        <v>0</v>
      </c>
    </row>
    <row r="74" spans="1:12" x14ac:dyDescent="0.3">
      <c r="B74" s="36"/>
      <c r="C74" s="36"/>
      <c r="D74" s="36"/>
      <c r="E74" s="36"/>
      <c r="G74" s="246"/>
      <c r="H74" s="247"/>
      <c r="I74" s="248"/>
      <c r="J74" s="249"/>
      <c r="K74" s="249"/>
      <c r="L74" s="249"/>
    </row>
    <row r="75" spans="1:12" ht="15" customHeight="1" x14ac:dyDescent="0.3">
      <c r="A75" s="439" t="s">
        <v>299</v>
      </c>
      <c r="B75" s="439"/>
      <c r="C75" s="439"/>
      <c r="D75" s="439"/>
      <c r="E75" s="439"/>
      <c r="F75" s="440"/>
      <c r="G75" s="238"/>
      <c r="H75" s="239"/>
      <c r="I75" s="240"/>
      <c r="J75" s="241"/>
      <c r="K75" s="241"/>
      <c r="L75" s="241"/>
    </row>
    <row r="76" spans="1:12" ht="15" customHeight="1" x14ac:dyDescent="0.3">
      <c r="A76" s="1" t="s">
        <v>638</v>
      </c>
      <c r="B76" s="35">
        <v>0</v>
      </c>
      <c r="C76" s="35">
        <v>0</v>
      </c>
      <c r="D76" s="35">
        <v>0</v>
      </c>
      <c r="E76" s="35">
        <v>0</v>
      </c>
      <c r="F76" s="207">
        <f t="shared" ref="F76:F81" si="31">SUM(B76:E76)</f>
        <v>0</v>
      </c>
      <c r="G76" s="242">
        <f t="shared" ref="G76:G81" si="32">F76</f>
        <v>0</v>
      </c>
      <c r="H76" s="243">
        <f t="shared" ref="H76:H81" si="33">F76</f>
        <v>0</v>
      </c>
      <c r="I76" s="244">
        <f t="shared" ref="I76:I81" si="34">F76</f>
        <v>0</v>
      </c>
      <c r="J76" s="245">
        <f t="shared" ref="J76:J81" si="35">F76</f>
        <v>0</v>
      </c>
      <c r="K76" s="245">
        <f t="shared" ref="K76:K81" si="36">F76</f>
        <v>0</v>
      </c>
      <c r="L76" s="245">
        <f t="shared" ref="L76:L81" si="37">F76</f>
        <v>0</v>
      </c>
    </row>
    <row r="77" spans="1:12" ht="15" customHeight="1" x14ac:dyDescent="0.3">
      <c r="A77" s="1" t="s">
        <v>639</v>
      </c>
      <c r="B77" s="35">
        <v>0</v>
      </c>
      <c r="C77" s="35">
        <v>0</v>
      </c>
      <c r="D77" s="35">
        <v>0</v>
      </c>
      <c r="E77" s="35">
        <v>0</v>
      </c>
      <c r="F77" s="207">
        <f t="shared" si="31"/>
        <v>0</v>
      </c>
      <c r="G77" s="242">
        <f t="shared" si="32"/>
        <v>0</v>
      </c>
      <c r="H77" s="243">
        <f t="shared" si="33"/>
        <v>0</v>
      </c>
      <c r="I77" s="244">
        <f t="shared" si="34"/>
        <v>0</v>
      </c>
      <c r="J77" s="245">
        <f t="shared" si="35"/>
        <v>0</v>
      </c>
      <c r="K77" s="245">
        <f t="shared" si="36"/>
        <v>0</v>
      </c>
      <c r="L77" s="245">
        <f t="shared" si="37"/>
        <v>0</v>
      </c>
    </row>
    <row r="78" spans="1:12" ht="15" customHeight="1" x14ac:dyDescent="0.3">
      <c r="A78" s="1" t="s">
        <v>533</v>
      </c>
      <c r="B78" s="35">
        <v>0</v>
      </c>
      <c r="C78" s="35">
        <v>0</v>
      </c>
      <c r="D78" s="35">
        <v>0</v>
      </c>
      <c r="E78" s="35">
        <v>0</v>
      </c>
      <c r="F78" s="207">
        <f t="shared" si="31"/>
        <v>0</v>
      </c>
      <c r="G78" s="242">
        <f t="shared" si="32"/>
        <v>0</v>
      </c>
      <c r="H78" s="243">
        <f t="shared" si="33"/>
        <v>0</v>
      </c>
      <c r="I78" s="244">
        <f t="shared" si="34"/>
        <v>0</v>
      </c>
      <c r="J78" s="245">
        <f t="shared" si="35"/>
        <v>0</v>
      </c>
      <c r="K78" s="245">
        <f t="shared" si="36"/>
        <v>0</v>
      </c>
      <c r="L78" s="245">
        <f t="shared" si="37"/>
        <v>0</v>
      </c>
    </row>
    <row r="79" spans="1:12" ht="15" customHeight="1" x14ac:dyDescent="0.3">
      <c r="A79" s="1" t="s">
        <v>640</v>
      </c>
      <c r="B79" s="35">
        <v>5000</v>
      </c>
      <c r="C79" s="35">
        <v>70764.100000000006</v>
      </c>
      <c r="D79" s="35">
        <v>26959.95</v>
      </c>
      <c r="E79" s="35">
        <v>8710</v>
      </c>
      <c r="F79" s="207">
        <f t="shared" si="31"/>
        <v>111434.05</v>
      </c>
      <c r="G79" s="242">
        <f t="shared" si="32"/>
        <v>111434.05</v>
      </c>
      <c r="H79" s="243">
        <f t="shared" si="33"/>
        <v>111434.05</v>
      </c>
      <c r="I79" s="244">
        <f t="shared" si="34"/>
        <v>111434.05</v>
      </c>
      <c r="J79" s="245">
        <f t="shared" si="35"/>
        <v>111434.05</v>
      </c>
      <c r="K79" s="245">
        <f t="shared" si="36"/>
        <v>111434.05</v>
      </c>
      <c r="L79" s="245">
        <f t="shared" si="37"/>
        <v>111434.05</v>
      </c>
    </row>
    <row r="80" spans="1:12" ht="15" customHeight="1" x14ac:dyDescent="0.3">
      <c r="A80" s="1" t="s">
        <v>641</v>
      </c>
      <c r="B80" s="35">
        <v>0</v>
      </c>
      <c r="C80" s="35">
        <v>66600</v>
      </c>
      <c r="D80" s="35">
        <v>0</v>
      </c>
      <c r="E80" s="35">
        <v>0</v>
      </c>
      <c r="F80" s="207">
        <f t="shared" si="31"/>
        <v>66600</v>
      </c>
      <c r="G80" s="242">
        <f t="shared" si="32"/>
        <v>66600</v>
      </c>
      <c r="H80" s="243">
        <f t="shared" si="33"/>
        <v>66600</v>
      </c>
      <c r="I80" s="244">
        <f t="shared" si="34"/>
        <v>66600</v>
      </c>
      <c r="J80" s="245">
        <f t="shared" si="35"/>
        <v>66600</v>
      </c>
      <c r="K80" s="245">
        <f t="shared" si="36"/>
        <v>66600</v>
      </c>
      <c r="L80" s="245">
        <f t="shared" si="37"/>
        <v>66600</v>
      </c>
    </row>
    <row r="81" spans="1:12" ht="15" customHeight="1" x14ac:dyDescent="0.3">
      <c r="A81" s="1" t="s">
        <v>642</v>
      </c>
      <c r="B81" s="35">
        <v>0</v>
      </c>
      <c r="C81" s="35">
        <v>0</v>
      </c>
      <c r="D81" s="35">
        <v>0</v>
      </c>
      <c r="E81" s="35">
        <v>0</v>
      </c>
      <c r="F81" s="207">
        <f t="shared" si="31"/>
        <v>0</v>
      </c>
      <c r="G81" s="242">
        <f t="shared" si="32"/>
        <v>0</v>
      </c>
      <c r="H81" s="243">
        <f t="shared" si="33"/>
        <v>0</v>
      </c>
      <c r="I81" s="244">
        <f t="shared" si="34"/>
        <v>0</v>
      </c>
      <c r="J81" s="245">
        <f t="shared" si="35"/>
        <v>0</v>
      </c>
      <c r="K81" s="245">
        <f t="shared" si="36"/>
        <v>0</v>
      </c>
      <c r="L81" s="245">
        <f t="shared" si="37"/>
        <v>0</v>
      </c>
    </row>
    <row r="82" spans="1:12" x14ac:dyDescent="0.3">
      <c r="B82" s="36"/>
      <c r="C82" s="36"/>
      <c r="D82" s="36"/>
      <c r="E82" s="36"/>
      <c r="G82" s="246"/>
      <c r="H82" s="247"/>
      <c r="I82" s="248"/>
      <c r="J82" s="249"/>
      <c r="K82" s="249"/>
      <c r="L82" s="249"/>
    </row>
    <row r="83" spans="1:12" ht="15" customHeight="1" x14ac:dyDescent="0.3">
      <c r="A83" s="439" t="s">
        <v>301</v>
      </c>
      <c r="B83" s="439"/>
      <c r="C83" s="439"/>
      <c r="D83" s="439"/>
      <c r="E83" s="439"/>
      <c r="F83" s="440"/>
      <c r="G83" s="238"/>
      <c r="H83" s="239"/>
      <c r="I83" s="240"/>
      <c r="J83" s="241"/>
      <c r="K83" s="241"/>
      <c r="L83" s="241"/>
    </row>
    <row r="84" spans="1:12" ht="15" customHeight="1" x14ac:dyDescent="0.3">
      <c r="A84" s="1" t="s">
        <v>643</v>
      </c>
      <c r="B84" s="35">
        <v>0</v>
      </c>
      <c r="C84" s="35">
        <v>0</v>
      </c>
      <c r="D84" s="35">
        <v>0</v>
      </c>
      <c r="E84" s="35">
        <v>0</v>
      </c>
      <c r="F84" s="207">
        <f t="shared" ref="F84:F89" si="38">SUM(B84:E84)</f>
        <v>0</v>
      </c>
      <c r="G84" s="242">
        <f t="shared" ref="G84:G89" si="39">F84</f>
        <v>0</v>
      </c>
      <c r="H84" s="243">
        <f t="shared" ref="H84:H89" si="40">F84</f>
        <v>0</v>
      </c>
      <c r="I84" s="244">
        <f t="shared" ref="I84:I89" si="41">F84</f>
        <v>0</v>
      </c>
      <c r="J84" s="245">
        <f t="shared" ref="J84:J89" si="42">F84</f>
        <v>0</v>
      </c>
      <c r="K84" s="245">
        <f t="shared" ref="K84:K89" si="43">F84</f>
        <v>0</v>
      </c>
      <c r="L84" s="245">
        <f t="shared" ref="L84:L89" si="44">F84</f>
        <v>0</v>
      </c>
    </row>
    <row r="85" spans="1:12" ht="15" customHeight="1" x14ac:dyDescent="0.3">
      <c r="A85" s="1" t="s">
        <v>644</v>
      </c>
      <c r="B85" s="35">
        <v>0</v>
      </c>
      <c r="C85" s="35">
        <v>0</v>
      </c>
      <c r="D85" s="35">
        <v>0</v>
      </c>
      <c r="E85" s="35">
        <v>0</v>
      </c>
      <c r="F85" s="207">
        <f t="shared" si="38"/>
        <v>0</v>
      </c>
      <c r="G85" s="242">
        <f t="shared" si="39"/>
        <v>0</v>
      </c>
      <c r="H85" s="243">
        <f t="shared" si="40"/>
        <v>0</v>
      </c>
      <c r="I85" s="244">
        <f t="shared" si="41"/>
        <v>0</v>
      </c>
      <c r="J85" s="245">
        <f t="shared" si="42"/>
        <v>0</v>
      </c>
      <c r="K85" s="245">
        <f t="shared" si="43"/>
        <v>0</v>
      </c>
      <c r="L85" s="245">
        <f t="shared" si="44"/>
        <v>0</v>
      </c>
    </row>
    <row r="86" spans="1:12" ht="15" customHeight="1" x14ac:dyDescent="0.3">
      <c r="A86" s="1" t="s">
        <v>645</v>
      </c>
      <c r="B86" s="35">
        <v>0</v>
      </c>
      <c r="C86" s="35">
        <v>0</v>
      </c>
      <c r="D86" s="35">
        <v>0</v>
      </c>
      <c r="E86" s="35">
        <v>0</v>
      </c>
      <c r="F86" s="207">
        <f t="shared" si="38"/>
        <v>0</v>
      </c>
      <c r="G86" s="242">
        <f t="shared" si="39"/>
        <v>0</v>
      </c>
      <c r="H86" s="243">
        <f t="shared" si="40"/>
        <v>0</v>
      </c>
      <c r="I86" s="244">
        <f t="shared" si="41"/>
        <v>0</v>
      </c>
      <c r="J86" s="245">
        <f t="shared" si="42"/>
        <v>0</v>
      </c>
      <c r="K86" s="245">
        <f t="shared" si="43"/>
        <v>0</v>
      </c>
      <c r="L86" s="245">
        <f t="shared" si="44"/>
        <v>0</v>
      </c>
    </row>
    <row r="87" spans="1:12" ht="15" customHeight="1" x14ac:dyDescent="0.3">
      <c r="A87" s="1" t="s">
        <v>646</v>
      </c>
      <c r="B87" s="35">
        <v>50000</v>
      </c>
      <c r="C87" s="236">
        <v>50000</v>
      </c>
      <c r="D87" s="35">
        <v>0</v>
      </c>
      <c r="E87" s="35">
        <v>0</v>
      </c>
      <c r="F87" s="207">
        <f t="shared" si="38"/>
        <v>100000</v>
      </c>
      <c r="G87" s="242">
        <f t="shared" si="39"/>
        <v>100000</v>
      </c>
      <c r="H87" s="243">
        <f t="shared" si="40"/>
        <v>100000</v>
      </c>
      <c r="I87" s="244">
        <f t="shared" si="41"/>
        <v>100000</v>
      </c>
      <c r="J87" s="245">
        <f t="shared" si="42"/>
        <v>100000</v>
      </c>
      <c r="K87" s="245">
        <f t="shared" si="43"/>
        <v>100000</v>
      </c>
      <c r="L87" s="245">
        <f t="shared" si="44"/>
        <v>100000</v>
      </c>
    </row>
    <row r="88" spans="1:12" ht="15" customHeight="1" x14ac:dyDescent="0.3">
      <c r="A88" s="1" t="s">
        <v>647</v>
      </c>
      <c r="B88" s="35">
        <v>0</v>
      </c>
      <c r="C88" s="35">
        <v>0</v>
      </c>
      <c r="D88" s="35">
        <v>0</v>
      </c>
      <c r="E88" s="35">
        <v>0</v>
      </c>
      <c r="F88" s="207">
        <f t="shared" si="38"/>
        <v>0</v>
      </c>
      <c r="G88" s="242">
        <f t="shared" si="39"/>
        <v>0</v>
      </c>
      <c r="H88" s="243">
        <f t="shared" si="40"/>
        <v>0</v>
      </c>
      <c r="I88" s="244">
        <f t="shared" si="41"/>
        <v>0</v>
      </c>
      <c r="J88" s="245">
        <f t="shared" si="42"/>
        <v>0</v>
      </c>
      <c r="K88" s="245">
        <f t="shared" si="43"/>
        <v>0</v>
      </c>
      <c r="L88" s="245">
        <f t="shared" si="44"/>
        <v>0</v>
      </c>
    </row>
    <row r="89" spans="1:12" ht="15" customHeight="1" x14ac:dyDescent="0.3">
      <c r="A89" s="1" t="s">
        <v>648</v>
      </c>
      <c r="B89" s="35">
        <v>110000</v>
      </c>
      <c r="C89" s="35">
        <v>0</v>
      </c>
      <c r="D89" s="35">
        <v>0</v>
      </c>
      <c r="E89" s="35">
        <v>0</v>
      </c>
      <c r="F89" s="207">
        <f t="shared" si="38"/>
        <v>110000</v>
      </c>
      <c r="G89" s="242">
        <f t="shared" si="39"/>
        <v>110000</v>
      </c>
      <c r="H89" s="243">
        <f t="shared" si="40"/>
        <v>110000</v>
      </c>
      <c r="I89" s="244">
        <f t="shared" si="41"/>
        <v>110000</v>
      </c>
      <c r="J89" s="245">
        <f t="shared" si="42"/>
        <v>110000</v>
      </c>
      <c r="K89" s="245">
        <f t="shared" si="43"/>
        <v>110000</v>
      </c>
      <c r="L89" s="245">
        <f t="shared" si="44"/>
        <v>110000</v>
      </c>
    </row>
    <row r="90" spans="1:12" x14ac:dyDescent="0.3">
      <c r="B90" s="36"/>
      <c r="C90" s="36"/>
      <c r="D90" s="36"/>
      <c r="E90" s="36"/>
      <c r="G90" s="246"/>
      <c r="H90" s="247"/>
      <c r="I90" s="248"/>
      <c r="J90" s="249"/>
      <c r="K90" s="249"/>
      <c r="L90" s="249"/>
    </row>
    <row r="91" spans="1:12" ht="15" customHeight="1" x14ac:dyDescent="0.3">
      <c r="A91" s="439" t="s">
        <v>303</v>
      </c>
      <c r="B91" s="439"/>
      <c r="C91" s="439"/>
      <c r="D91" s="439"/>
      <c r="E91" s="439"/>
      <c r="F91" s="440"/>
      <c r="G91" s="238"/>
      <c r="H91" s="239"/>
      <c r="I91" s="240"/>
      <c r="J91" s="241"/>
      <c r="K91" s="241"/>
      <c r="L91" s="241"/>
    </row>
    <row r="92" spans="1:12" ht="15" customHeight="1" x14ac:dyDescent="0.3">
      <c r="A92" s="1" t="s">
        <v>579</v>
      </c>
      <c r="B92" s="35">
        <v>0</v>
      </c>
      <c r="C92" s="35">
        <v>0</v>
      </c>
      <c r="D92" s="35">
        <v>0</v>
      </c>
      <c r="E92" s="35">
        <v>0</v>
      </c>
      <c r="F92" s="207">
        <f>SUM(B92:E92)</f>
        <v>0</v>
      </c>
      <c r="G92" s="242">
        <f>F92</f>
        <v>0</v>
      </c>
      <c r="H92" s="243">
        <f>F92</f>
        <v>0</v>
      </c>
      <c r="I92" s="244">
        <f>F92</f>
        <v>0</v>
      </c>
      <c r="J92" s="245">
        <f>F92</f>
        <v>0</v>
      </c>
      <c r="K92" s="245">
        <f>F92</f>
        <v>0</v>
      </c>
      <c r="L92" s="245">
        <f>F92</f>
        <v>0</v>
      </c>
    </row>
    <row r="93" spans="1:12" ht="15" thickBot="1" x14ac:dyDescent="0.35">
      <c r="B93" s="36"/>
      <c r="C93" s="36"/>
      <c r="D93" s="36"/>
      <c r="E93" s="36"/>
      <c r="G93" s="234"/>
      <c r="H93" s="209"/>
      <c r="I93" s="235"/>
      <c r="J93" s="224"/>
      <c r="K93" s="224"/>
      <c r="L93" s="224"/>
    </row>
    <row r="94" spans="1:12" ht="15" customHeight="1" thickBot="1" x14ac:dyDescent="0.35">
      <c r="A94" s="14" t="s">
        <v>649</v>
      </c>
      <c r="B94" s="199">
        <f>SUMIF($A$6:$A$93,"&lt;&gt;1.*",B$6:B$93)+SUMIF($A$6:$A$93,"&lt;&gt;2.*",B$6:B$93)*0</f>
        <v>2551479.39</v>
      </c>
      <c r="C94" s="199">
        <f>SUMIF($A$6:$A$93,"&lt;&gt;1.*",C$6:C$93)+SUMIF($A$6:$A$93,"&lt;&gt;2.*",C$6:C$93)*0</f>
        <v>2052654.82</v>
      </c>
      <c r="D94" s="199">
        <f>SUMIF($A$6:$A$93,"&lt;&gt;1.*",D$6:D$93)+SUMIF($A$6:$A$93,"&lt;&gt;2.*",D$6:D$93)*0</f>
        <v>1473944.01</v>
      </c>
      <c r="E94" s="199">
        <f>SUMIF($A$6:$A$93,"&lt;&gt;1.*",E$6:E$93)+SUMIF($A$6:$A$93,"&lt;&gt;2.*",E$6:E$93)*0</f>
        <v>1232298.4900000002</v>
      </c>
      <c r="F94" s="205">
        <f>SUM(F6:F93)-SUMPRODUCT((F6:F93&lt;&gt;"")*(ISNUMBER(F6:F93)=FALSE())*0)</f>
        <v>7310376.7099999981</v>
      </c>
      <c r="G94" s="250" cm="1">
        <f t="array" ref="G94">SUM(G6:G93)-SUMPRODUCT((G6:G93&lt;&gt;"")*(ISNUMBER(G6:G93)=FALSE())*0)</f>
        <v>6743256.6000000015</v>
      </c>
      <c r="H94" s="251" cm="1">
        <f t="array" ref="H94">SUM(H6:H93)-SUMPRODUCT((H6:H93&lt;&gt;"")*(ISNUMBER(H6:H93)=FALSE())*0)</f>
        <v>7240978.1400000006</v>
      </c>
      <c r="I94" s="252" cm="1">
        <f t="array" ref="I94">SUM(I6:I93)-SUMPRODUCT((I6:I93&lt;&gt;"")*(ISNUMBER(I6:I93)=FALSE())*0)</f>
        <v>6221017.5699999984</v>
      </c>
      <c r="J94" s="253" cm="1">
        <f t="array" ref="J94">SUM(J6:J93)-SUMPRODUCT((J6:J93&lt;&gt;"")*(ISNUMBER(J6:J93)=FALSE())*0)</f>
        <v>6221017.5699999984</v>
      </c>
      <c r="K94" s="253" cm="1">
        <f t="array" ref="K94">SUM(K6:K93)-SUMPRODUCT((K6:K93&lt;&gt;"")*(ISNUMBER(K6:K93)=FALSE())*0)</f>
        <v>6743256.6000000015</v>
      </c>
      <c r="L94" s="253" cm="1">
        <f t="array" ref="L94">SUM(L6:L93)-SUMPRODUCT((L6:L93&lt;&gt;"")*(ISNUMBER(L6:L93)=FALSE())*0)</f>
        <v>7352142.2300000004</v>
      </c>
    </row>
    <row r="95" spans="1:12" x14ac:dyDescent="0.3">
      <c r="C95" s="237"/>
    </row>
  </sheetData>
  <mergeCells count="13">
    <mergeCell ref="A25:F25"/>
    <mergeCell ref="A1:F1"/>
    <mergeCell ref="A2:F2"/>
    <mergeCell ref="A6:F6"/>
    <mergeCell ref="A14:F14"/>
    <mergeCell ref="A20:F20"/>
    <mergeCell ref="A91:F91"/>
    <mergeCell ref="A31:F31"/>
    <mergeCell ref="A45:F45"/>
    <mergeCell ref="A55:F55"/>
    <mergeCell ref="A67:F67"/>
    <mergeCell ref="A75:F75"/>
    <mergeCell ref="A83:F83"/>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AE330-8A71-47AA-AAD9-FDA6060C8D85}">
  <sheetPr>
    <tabColor rgb="FF002060"/>
  </sheetPr>
  <dimension ref="A1:L72"/>
  <sheetViews>
    <sheetView showGridLines="0" zoomScale="80" zoomScaleNormal="80" workbookViewId="0">
      <selection activeCell="C23" sqref="C23:E23"/>
    </sheetView>
  </sheetViews>
  <sheetFormatPr defaultRowHeight="14.4" outlineLevelCol="1" x14ac:dyDescent="0.3"/>
  <cols>
    <col min="1" max="1" width="41.88671875" customWidth="1"/>
    <col min="2" max="5" width="25.44140625" customWidth="1"/>
    <col min="6" max="6" width="21.88671875" customWidth="1"/>
    <col min="8" max="11" width="14.5546875" hidden="1" customWidth="1" outlineLevel="1"/>
    <col min="12" max="12" width="8.6640625" collapsed="1"/>
  </cols>
  <sheetData>
    <row r="1" spans="1:6" ht="25.8" x14ac:dyDescent="0.5">
      <c r="A1" s="254" t="s">
        <v>669</v>
      </c>
    </row>
    <row r="2" spans="1:6" x14ac:dyDescent="0.3">
      <c r="A2" s="255" t="s">
        <v>670</v>
      </c>
    </row>
    <row r="3" spans="1:6" x14ac:dyDescent="0.3">
      <c r="A3" s="323" t="s">
        <v>671</v>
      </c>
      <c r="B3" s="324"/>
      <c r="C3" s="324"/>
      <c r="D3" s="324"/>
      <c r="E3" s="324"/>
    </row>
    <row r="4" spans="1:6" x14ac:dyDescent="0.3">
      <c r="A4" s="3" t="s">
        <v>672</v>
      </c>
      <c r="B4" s="327">
        <v>0</v>
      </c>
      <c r="C4" s="325" t="s">
        <v>673</v>
      </c>
    </row>
    <row r="5" spans="1:6" x14ac:dyDescent="0.3">
      <c r="A5" s="2" t="s">
        <v>674</v>
      </c>
      <c r="B5" s="326" t="s">
        <v>675</v>
      </c>
    </row>
    <row r="7" spans="1:6" x14ac:dyDescent="0.3">
      <c r="A7" s="256" t="s">
        <v>676</v>
      </c>
      <c r="B7" s="223"/>
      <c r="C7" s="328"/>
    </row>
    <row r="8" spans="1:6" x14ac:dyDescent="0.3">
      <c r="A8" s="113" t="s">
        <v>677</v>
      </c>
      <c r="B8" s="257">
        <f>Reconciliation!D48</f>
        <v>3700000</v>
      </c>
    </row>
    <row r="9" spans="1:6" x14ac:dyDescent="0.3">
      <c r="A9" s="113" t="s">
        <v>678</v>
      </c>
      <c r="B9" s="257">
        <f>Reconciliation!D49+Reconciliation!D50</f>
        <v>-6385632.8700000001</v>
      </c>
    </row>
    <row r="10" spans="1:6" x14ac:dyDescent="0.3">
      <c r="A10" s="91" t="s">
        <v>679</v>
      </c>
      <c r="B10" s="257">
        <f>Reconciliation!D51</f>
        <v>3442729.9</v>
      </c>
      <c r="C10" s="328"/>
    </row>
    <row r="11" spans="1:6" x14ac:dyDescent="0.3">
      <c r="A11" s="91" t="s">
        <v>458</v>
      </c>
      <c r="B11" s="257">
        <f>Reconciliation!D52</f>
        <v>10991.669999999998</v>
      </c>
    </row>
    <row r="12" spans="1:6" x14ac:dyDescent="0.3">
      <c r="A12" s="113" t="s">
        <v>4203</v>
      </c>
      <c r="B12" s="258">
        <f>Expense_Projection_Models!A4</f>
        <v>768088.7</v>
      </c>
    </row>
    <row r="14" spans="1:6" x14ac:dyDescent="0.3">
      <c r="A14" s="256" t="s">
        <v>680</v>
      </c>
      <c r="B14" s="223"/>
      <c r="C14" s="223"/>
      <c r="D14" s="223"/>
      <c r="E14" s="223"/>
      <c r="F14" s="223"/>
    </row>
    <row r="15" spans="1:6" x14ac:dyDescent="0.3">
      <c r="A15" s="18"/>
      <c r="B15" s="259" t="s">
        <v>681</v>
      </c>
      <c r="C15" s="259" t="s">
        <v>675</v>
      </c>
      <c r="D15" s="259" t="s">
        <v>682</v>
      </c>
      <c r="E15" s="259" t="s">
        <v>683</v>
      </c>
      <c r="F15" s="259" t="s">
        <v>684</v>
      </c>
    </row>
    <row r="16" spans="1:6" x14ac:dyDescent="0.3">
      <c r="A16" s="113" t="s">
        <v>685</v>
      </c>
      <c r="B16" s="18"/>
      <c r="C16" s="18"/>
      <c r="D16" s="18"/>
      <c r="E16" s="18"/>
      <c r="F16" s="18"/>
    </row>
    <row r="17" spans="1:6" x14ac:dyDescent="0.3">
      <c r="A17" s="91" t="s">
        <v>686</v>
      </c>
      <c r="B17" s="257">
        <v>2417093.25</v>
      </c>
      <c r="C17" s="257">
        <f>(Expense_Projection_Models!$J$94-$B17)*(Expense_Projection_Models!C$94/SUM(Expense_Projection_Models!$C$94:$E$94))+IF(C$15="Q2",$B$4,0)</f>
        <v>1640746.3883593981</v>
      </c>
      <c r="D17" s="257">
        <f>(Expense_Projection_Models!$J$94-$B17)*(Expense_Projection_Models!D$94/SUM(Expense_Projection_Models!$C$94:$E$94))+IF(D$15="Q2",$B$4,0)</f>
        <v>1178166.0937280571</v>
      </c>
      <c r="E17" s="257">
        <f>(Expense_Projection_Models!$J$94-$B17)*(Expense_Projection_Models!E$94/SUM(Expense_Projection_Models!$C$94:$E$94))+IF(E$15="Q2",$B$4,0)</f>
        <v>985011.83791254298</v>
      </c>
      <c r="F17" s="258">
        <f>SUM(B17:E17)</f>
        <v>6221017.5699999984</v>
      </c>
    </row>
    <row r="18" spans="1:6" x14ac:dyDescent="0.3">
      <c r="A18" s="91" t="s">
        <v>687</v>
      </c>
      <c r="B18" s="257">
        <v>2547947.4300000002</v>
      </c>
      <c r="C18" s="257">
        <f>(Expense_Projection_Models!$K$94-$B18)*(Expense_Projection_Models!C$94/SUM(Expense_Projection_Models!$C$94:$E$94))+IF(C$15="Q2",$B$4,0)</f>
        <v>1809562.3860173353</v>
      </c>
      <c r="D18" s="257">
        <f>(Expense_Projection_Models!$K$94-$B18)*(Expense_Projection_Models!D$94/SUM(Expense_Projection_Models!$C$94:$E$94))+IF(D$15="Q2",$B$4,0)</f>
        <v>1299387.3171484133</v>
      </c>
      <c r="E18" s="257">
        <f>(Expense_Projection_Models!$K$94-$B18)*(Expense_Projection_Models!E$94/SUM(Expense_Projection_Models!$C$94:$E$94))+IF(E$15="Q2",$B$4,0)</f>
        <v>1086359.4668342532</v>
      </c>
      <c r="F18" s="257">
        <f>SUM(B18:E18)</f>
        <v>6743256.6000000015</v>
      </c>
    </row>
    <row r="19" spans="1:6" x14ac:dyDescent="0.3">
      <c r="A19" s="91" t="s">
        <v>688</v>
      </c>
      <c r="B19" s="257">
        <v>2697976.91</v>
      </c>
      <c r="C19" s="257">
        <f>(Expense_Projection_Models!$L$94-$B19)*(Expense_Projection_Models!C$94/SUM(Expense_Projection_Models!$C$94:$E$94))+IF(C$15="Q2",$B$4,0)</f>
        <v>2007480.7743855342</v>
      </c>
      <c r="D19" s="257">
        <f>(Expense_Projection_Models!$L$94-$B19)*(Expense_Projection_Models!D$94/SUM(Expense_Projection_Models!$C$94:$E$94))+IF(D$15="Q2",$B$4,0)</f>
        <v>1441506.0115152332</v>
      </c>
      <c r="E19" s="257">
        <f>(Expense_Projection_Models!$L$94-$B19)*(Expense_Projection_Models!E$94/SUM(Expense_Projection_Models!$C$94:$E$94))+IF(E$15="Q2",$B$4,0)</f>
        <v>1205178.5340992329</v>
      </c>
      <c r="F19" s="257">
        <f>SUM(B19:E19)</f>
        <v>7352142.2300000004</v>
      </c>
    </row>
    <row r="21" spans="1:6" x14ac:dyDescent="0.3">
      <c r="A21" s="256" t="s">
        <v>689</v>
      </c>
      <c r="B21" s="223"/>
      <c r="C21" s="223"/>
      <c r="D21" s="223"/>
      <c r="E21" s="223"/>
    </row>
    <row r="22" spans="1:6" x14ac:dyDescent="0.3">
      <c r="A22" s="18"/>
      <c r="B22" s="259" t="s">
        <v>690</v>
      </c>
      <c r="C22" s="259" t="s">
        <v>691</v>
      </c>
      <c r="D22" s="259" t="s">
        <v>692</v>
      </c>
      <c r="E22" s="259" t="s">
        <v>693</v>
      </c>
    </row>
    <row r="23" spans="1:6" x14ac:dyDescent="0.3">
      <c r="A23" s="91" t="s">
        <v>694</v>
      </c>
      <c r="B23" s="258">
        <f>B12</f>
        <v>768088.7</v>
      </c>
      <c r="C23" s="257">
        <f>B23-C17</f>
        <v>-872657.68835939816</v>
      </c>
      <c r="D23" s="257">
        <f>C23-D17</f>
        <v>-2050823.7820874553</v>
      </c>
      <c r="E23" s="257">
        <f t="shared" ref="C23:E25" si="0">D23-E17</f>
        <v>-3035835.6199999982</v>
      </c>
    </row>
    <row r="24" spans="1:6" x14ac:dyDescent="0.3">
      <c r="A24" s="91" t="s">
        <v>695</v>
      </c>
      <c r="B24" s="257">
        <f>B12</f>
        <v>768088.7</v>
      </c>
      <c r="C24" s="257">
        <f t="shared" si="0"/>
        <v>-1041473.6860173354</v>
      </c>
      <c r="D24" s="257">
        <f t="shared" si="0"/>
        <v>-2340861.0031657489</v>
      </c>
      <c r="E24" s="257">
        <f t="shared" si="0"/>
        <v>-3427220.4700000021</v>
      </c>
    </row>
    <row r="25" spans="1:6" x14ac:dyDescent="0.3">
      <c r="A25" s="91" t="s">
        <v>696</v>
      </c>
      <c r="B25" s="257">
        <f>B12</f>
        <v>768088.7</v>
      </c>
      <c r="C25" s="257">
        <f t="shared" si="0"/>
        <v>-1239392.0743855343</v>
      </c>
      <c r="D25" s="257">
        <f t="shared" si="0"/>
        <v>-2680898.0859007677</v>
      </c>
      <c r="E25" s="257">
        <f t="shared" si="0"/>
        <v>-3886076.6200000006</v>
      </c>
    </row>
    <row r="27" spans="1:6" x14ac:dyDescent="0.3">
      <c r="A27" s="256" t="s">
        <v>697</v>
      </c>
      <c r="B27" s="223"/>
      <c r="C27" s="223"/>
      <c r="D27" s="223"/>
    </row>
    <row r="28" spans="1:6" ht="30" customHeight="1" x14ac:dyDescent="0.3">
      <c r="A28" s="18"/>
      <c r="B28" s="260" t="s">
        <v>698</v>
      </c>
      <c r="C28" s="260" t="s">
        <v>699</v>
      </c>
      <c r="D28" s="260" t="s">
        <v>700</v>
      </c>
    </row>
    <row r="29" spans="1:6" x14ac:dyDescent="0.3">
      <c r="A29" s="91" t="s">
        <v>694</v>
      </c>
      <c r="B29" s="257">
        <f>SUM(C17:E17)</f>
        <v>3803924.3199999984</v>
      </c>
      <c r="C29" s="257">
        <f>B12</f>
        <v>768088.7</v>
      </c>
      <c r="D29" s="258">
        <f>MAX(0,B29-C29)</f>
        <v>3035835.6199999982</v>
      </c>
    </row>
    <row r="30" spans="1:6" x14ac:dyDescent="0.3">
      <c r="A30" s="91" t="s">
        <v>695</v>
      </c>
      <c r="B30" s="257">
        <f>SUM(C18:E18)</f>
        <v>4195309.1700000018</v>
      </c>
      <c r="C30" s="257">
        <f>B12</f>
        <v>768088.7</v>
      </c>
      <c r="D30" s="258">
        <f>MAX(0,B30-C30)</f>
        <v>3427220.4700000016</v>
      </c>
    </row>
    <row r="31" spans="1:6" x14ac:dyDescent="0.3">
      <c r="A31" s="91" t="s">
        <v>696</v>
      </c>
      <c r="B31" s="257">
        <f>SUM(C19:E19)</f>
        <v>4654165.32</v>
      </c>
      <c r="C31" s="257">
        <f>B12</f>
        <v>768088.7</v>
      </c>
      <c r="D31" s="258">
        <f>MAX(0,B31-C31)</f>
        <v>3886076.62</v>
      </c>
    </row>
    <row r="33" spans="1:6" x14ac:dyDescent="0.3">
      <c r="A33" s="162" t="s">
        <v>701</v>
      </c>
      <c r="B33" s="41"/>
      <c r="C33" s="41"/>
      <c r="D33" s="41"/>
      <c r="E33" s="41"/>
    </row>
    <row r="34" spans="1:6" x14ac:dyDescent="0.3">
      <c r="A34" s="220" t="s">
        <v>702</v>
      </c>
      <c r="B34" s="255" t="s">
        <v>703</v>
      </c>
    </row>
    <row r="35" spans="1:6" x14ac:dyDescent="0.3">
      <c r="A35" s="220" t="s">
        <v>704</v>
      </c>
      <c r="B35" s="255" t="s">
        <v>705</v>
      </c>
    </row>
    <row r="36" spans="1:6" x14ac:dyDescent="0.3">
      <c r="A36" s="220" t="s">
        <v>706</v>
      </c>
      <c r="B36" s="255" t="s">
        <v>707</v>
      </c>
    </row>
    <row r="37" spans="1:6" x14ac:dyDescent="0.3">
      <c r="A37" s="220" t="s">
        <v>708</v>
      </c>
      <c r="B37" s="255" t="s">
        <v>709</v>
      </c>
    </row>
    <row r="40" spans="1:6" x14ac:dyDescent="0.3">
      <c r="A40" s="256" t="s">
        <v>710</v>
      </c>
      <c r="B40" s="223"/>
      <c r="C40" s="223"/>
      <c r="D40" s="223"/>
      <c r="E40" s="223"/>
      <c r="F40" s="223"/>
    </row>
    <row r="41" spans="1:6" ht="30" customHeight="1" x14ac:dyDescent="0.3">
      <c r="A41" s="18"/>
      <c r="B41" s="260" t="s">
        <v>662</v>
      </c>
      <c r="C41" s="228" t="s">
        <v>666</v>
      </c>
      <c r="D41" s="229" t="s">
        <v>667</v>
      </c>
      <c r="E41" s="230" t="s">
        <v>668</v>
      </c>
      <c r="F41" s="260" t="s">
        <v>711</v>
      </c>
    </row>
    <row r="42" spans="1:6" x14ac:dyDescent="0.3">
      <c r="A42" s="91" t="s">
        <v>712</v>
      </c>
      <c r="B42" s="257">
        <f>SUM(Expense_Projection_Models!F7:F12)</f>
        <v>5046555.2</v>
      </c>
      <c r="C42" s="257">
        <f>SUM(Expense_Projection_Models!J7:J12)</f>
        <v>5046555.2</v>
      </c>
      <c r="D42" s="257">
        <f>SUM(Expense_Projection_Models!K7:K12)</f>
        <v>5046555.2</v>
      </c>
      <c r="E42" s="257">
        <f>SUM(Expense_Projection_Models!L7:L12)</f>
        <v>5046555.2</v>
      </c>
      <c r="F42" s="261">
        <f t="shared" ref="F42:F51" si="1">IF(D$52=0,0,D42/D$52)</f>
        <v>0.74838546111384818</v>
      </c>
    </row>
    <row r="43" spans="1:6" x14ac:dyDescent="0.3">
      <c r="A43" s="91" t="s">
        <v>713</v>
      </c>
      <c r="B43" s="257">
        <f>SUM(Expense_Projection_Models!F15:F18)</f>
        <v>0</v>
      </c>
      <c r="C43" s="257">
        <f>SUM(Expense_Projection_Models!J15:J18)</f>
        <v>0</v>
      </c>
      <c r="D43" s="257">
        <f>SUM(Expense_Projection_Models!K15:K18)</f>
        <v>0</v>
      </c>
      <c r="E43" s="257">
        <f>SUM(Expense_Projection_Models!L15:L18)</f>
        <v>0</v>
      </c>
      <c r="F43" s="261">
        <f t="shared" si="1"/>
        <v>0</v>
      </c>
    </row>
    <row r="44" spans="1:6" x14ac:dyDescent="0.3">
      <c r="A44" s="91" t="s">
        <v>714</v>
      </c>
      <c r="B44" s="257">
        <f>SUM(Expense_Projection_Models!F21:F23)+$B$4</f>
        <v>0</v>
      </c>
      <c r="C44" s="257">
        <f>SUM(Expense_Projection_Models!J21:J23)+$B$4</f>
        <v>0</v>
      </c>
      <c r="D44" s="257">
        <f>SUM(Expense_Projection_Models!K21:K23)+$B$4</f>
        <v>0</v>
      </c>
      <c r="E44" s="257">
        <f>SUM(Expense_Projection_Models!L21:L23)+$B$4</f>
        <v>0</v>
      </c>
      <c r="F44" s="261">
        <f t="shared" si="1"/>
        <v>0</v>
      </c>
    </row>
    <row r="45" spans="1:6" x14ac:dyDescent="0.3">
      <c r="A45" s="91" t="s">
        <v>715</v>
      </c>
      <c r="B45" s="257">
        <f>SUM(Expense_Projection_Models!F26:F29)</f>
        <v>0</v>
      </c>
      <c r="C45" s="257">
        <f>SUM(Expense_Projection_Models!J26:J29)</f>
        <v>0</v>
      </c>
      <c r="D45" s="257">
        <f>SUM(Expense_Projection_Models!K26:K29)</f>
        <v>0</v>
      </c>
      <c r="E45" s="257">
        <f>SUM(Expense_Projection_Models!L26:L29)</f>
        <v>0</v>
      </c>
      <c r="F45" s="261">
        <f t="shared" si="1"/>
        <v>0</v>
      </c>
    </row>
    <row r="46" spans="1:6" x14ac:dyDescent="0.3">
      <c r="A46" s="91" t="s">
        <v>716</v>
      </c>
      <c r="B46" s="257">
        <f>SUM(Expense_Projection_Models!F32:F43)</f>
        <v>703512.52</v>
      </c>
      <c r="C46" s="257">
        <f>SUM(Expense_Projection_Models!J32:J43)</f>
        <v>421615.16</v>
      </c>
      <c r="D46" s="257">
        <f>SUM(Expense_Projection_Models!K32:K43)</f>
        <v>958667.36</v>
      </c>
      <c r="E46" s="257">
        <f>SUM(Expense_Projection_Models!L32:L43)</f>
        <v>1547415.5200000003</v>
      </c>
      <c r="F46" s="261">
        <f t="shared" si="1"/>
        <v>0.14216682188840329</v>
      </c>
    </row>
    <row r="47" spans="1:6" x14ac:dyDescent="0.3">
      <c r="A47" s="91" t="s">
        <v>717</v>
      </c>
      <c r="B47" s="257">
        <f>SUM(Expense_Projection_Models!F46:F53)</f>
        <v>1172274.94</v>
      </c>
      <c r="C47" s="257">
        <f>SUM(Expense_Projection_Models!J46:J53)</f>
        <v>364813.16000000003</v>
      </c>
      <c r="D47" s="257">
        <f>SUM(Expense_Projection_Models!K46:K53)</f>
        <v>349999.99</v>
      </c>
      <c r="E47" s="257">
        <f>SUM(Expense_Projection_Models!L46:L53)</f>
        <v>370137.45999999996</v>
      </c>
      <c r="F47" s="261">
        <f t="shared" si="1"/>
        <v>5.1903703323406075E-2</v>
      </c>
    </row>
    <row r="48" spans="1:6" x14ac:dyDescent="0.3">
      <c r="A48" s="91" t="s">
        <v>718</v>
      </c>
      <c r="B48" s="257">
        <f>SUM(Expense_Projection_Models!F56:F65)</f>
        <v>0</v>
      </c>
      <c r="C48" s="257">
        <f>SUM(Expense_Projection_Models!J56:J65)</f>
        <v>0</v>
      </c>
      <c r="D48" s="257">
        <f>SUM(Expense_Projection_Models!K56:K65)</f>
        <v>0</v>
      </c>
      <c r="E48" s="257">
        <f>SUM(Expense_Projection_Models!L56:L65)</f>
        <v>0</v>
      </c>
      <c r="F48" s="261">
        <f t="shared" si="1"/>
        <v>0</v>
      </c>
    </row>
    <row r="49" spans="1:11" x14ac:dyDescent="0.3">
      <c r="A49" s="91" t="s">
        <v>719</v>
      </c>
      <c r="B49" s="257">
        <f>SUM(Expense_Projection_Models!F68:F73)</f>
        <v>0</v>
      </c>
      <c r="C49" s="257">
        <f>SUM(Expense_Projection_Models!J68:J73)</f>
        <v>0</v>
      </c>
      <c r="D49" s="257">
        <f>SUM(Expense_Projection_Models!K68:K73)</f>
        <v>0</v>
      </c>
      <c r="E49" s="257">
        <f>SUM(Expense_Projection_Models!L68:L73)</f>
        <v>0</v>
      </c>
      <c r="F49" s="261">
        <f t="shared" si="1"/>
        <v>0</v>
      </c>
    </row>
    <row r="50" spans="1:11" x14ac:dyDescent="0.3">
      <c r="A50" s="91" t="s">
        <v>720</v>
      </c>
      <c r="B50" s="257">
        <f>SUM(Expense_Projection_Models!F76:F81)</f>
        <v>178034.05</v>
      </c>
      <c r="C50" s="257">
        <f>SUM(Expense_Projection_Models!J76:J81)</f>
        <v>178034.05</v>
      </c>
      <c r="D50" s="257">
        <f>SUM(Expense_Projection_Models!K76:K81)</f>
        <v>178034.05</v>
      </c>
      <c r="E50" s="257">
        <f>SUM(Expense_Projection_Models!L76:L81)</f>
        <v>178034.05</v>
      </c>
      <c r="F50" s="261">
        <f t="shared" si="1"/>
        <v>2.6401790790521004E-2</v>
      </c>
    </row>
    <row r="51" spans="1:11" ht="15" thickBot="1" x14ac:dyDescent="0.35">
      <c r="A51" s="262" t="s">
        <v>721</v>
      </c>
      <c r="B51" s="263">
        <f>SUM(Expense_Projection_Models!F84:F92)</f>
        <v>210000</v>
      </c>
      <c r="C51" s="263">
        <f>SUM(Expense_Projection_Models!J84:J92)</f>
        <v>210000</v>
      </c>
      <c r="D51" s="263">
        <f>SUM(Expense_Projection_Models!K84:K92)</f>
        <v>210000</v>
      </c>
      <c r="E51" s="263">
        <f>SUM(Expense_Projection_Models!L84:L92)</f>
        <v>210000</v>
      </c>
      <c r="F51" s="264">
        <f t="shared" si="1"/>
        <v>3.1142222883821444E-2</v>
      </c>
    </row>
    <row r="52" spans="1:11" ht="15" thickBot="1" x14ac:dyDescent="0.35">
      <c r="A52" s="265" t="s">
        <v>722</v>
      </c>
      <c r="B52" s="266">
        <f>SUM(B42:B51)</f>
        <v>7310376.71</v>
      </c>
      <c r="C52" s="266">
        <f>SUM(C42:C51)</f>
        <v>6221017.5700000003</v>
      </c>
      <c r="D52" s="266">
        <f>SUM(D42:D51)</f>
        <v>6743256.6000000006</v>
      </c>
      <c r="E52" s="266">
        <f>SUM(E42:E51)</f>
        <v>7352142.2300000004</v>
      </c>
      <c r="F52" s="267">
        <f>SUM(F42:F51)</f>
        <v>0.99999999999999989</v>
      </c>
    </row>
    <row r="55" spans="1:11" x14ac:dyDescent="0.3">
      <c r="H55" t="s">
        <v>281</v>
      </c>
      <c r="I55" t="s">
        <v>723</v>
      </c>
      <c r="J55" t="s">
        <v>724</v>
      </c>
      <c r="K55" t="s">
        <v>725</v>
      </c>
    </row>
    <row r="56" spans="1:11" x14ac:dyDescent="0.3">
      <c r="H56" t="s">
        <v>726</v>
      </c>
      <c r="I56">
        <f>B17</f>
        <v>2417093.25</v>
      </c>
      <c r="J56">
        <f>B18</f>
        <v>2547947.4300000002</v>
      </c>
      <c r="K56">
        <f>B19</f>
        <v>2697976.91</v>
      </c>
    </row>
    <row r="57" spans="1:11" x14ac:dyDescent="0.3">
      <c r="H57" t="s">
        <v>675</v>
      </c>
      <c r="I57">
        <f>C17</f>
        <v>1640746.3883593981</v>
      </c>
      <c r="J57">
        <f>C18</f>
        <v>1809562.3860173353</v>
      </c>
      <c r="K57">
        <f>C19</f>
        <v>2007480.7743855342</v>
      </c>
    </row>
    <row r="58" spans="1:11" x14ac:dyDescent="0.3">
      <c r="H58" t="s">
        <v>682</v>
      </c>
      <c r="I58">
        <f>D17</f>
        <v>1178166.0937280571</v>
      </c>
      <c r="J58">
        <f>D18</f>
        <v>1299387.3171484133</v>
      </c>
      <c r="K58">
        <f>D19</f>
        <v>1441506.0115152332</v>
      </c>
    </row>
    <row r="59" spans="1:11" x14ac:dyDescent="0.3">
      <c r="H59" t="s">
        <v>683</v>
      </c>
      <c r="I59">
        <f>E17</f>
        <v>985011.83791254298</v>
      </c>
      <c r="J59">
        <f>E18</f>
        <v>1086359.4668342532</v>
      </c>
      <c r="K59">
        <f>E19</f>
        <v>1205178.5340992329</v>
      </c>
    </row>
    <row r="62" spans="1:11" x14ac:dyDescent="0.3">
      <c r="H62" t="s">
        <v>281</v>
      </c>
      <c r="I62" t="s">
        <v>723</v>
      </c>
      <c r="J62" t="s">
        <v>724</v>
      </c>
      <c r="K62" t="s">
        <v>725</v>
      </c>
    </row>
    <row r="63" spans="1:11" x14ac:dyDescent="0.3">
      <c r="H63" t="s">
        <v>727</v>
      </c>
      <c r="I63">
        <f>B12</f>
        <v>768088.7</v>
      </c>
      <c r="J63">
        <f>B12</f>
        <v>768088.7</v>
      </c>
      <c r="K63">
        <f>B12</f>
        <v>768088.7</v>
      </c>
    </row>
    <row r="64" spans="1:11" x14ac:dyDescent="0.3">
      <c r="H64" t="s">
        <v>691</v>
      </c>
      <c r="I64">
        <f>C23</f>
        <v>-872657.68835939816</v>
      </c>
      <c r="J64">
        <f>C24</f>
        <v>-1041473.6860173354</v>
      </c>
      <c r="K64">
        <f>C25</f>
        <v>-1239392.0743855343</v>
      </c>
    </row>
    <row r="65" spans="8:11" x14ac:dyDescent="0.3">
      <c r="H65" t="s">
        <v>692</v>
      </c>
      <c r="I65">
        <f>D23</f>
        <v>-2050823.7820874553</v>
      </c>
      <c r="J65">
        <f>D24</f>
        <v>-2340861.0031657489</v>
      </c>
      <c r="K65">
        <f>D25</f>
        <v>-2680898.0859007677</v>
      </c>
    </row>
    <row r="66" spans="8:11" x14ac:dyDescent="0.3">
      <c r="H66" t="s">
        <v>693</v>
      </c>
      <c r="I66">
        <f>E23</f>
        <v>-3035835.6199999982</v>
      </c>
      <c r="J66">
        <f>E24</f>
        <v>-3427220.4700000021</v>
      </c>
      <c r="K66">
        <f>E25</f>
        <v>-3886076.6200000006</v>
      </c>
    </row>
    <row r="69" spans="8:11" x14ac:dyDescent="0.3">
      <c r="H69" t="s">
        <v>728</v>
      </c>
      <c r="I69" t="s">
        <v>700</v>
      </c>
    </row>
    <row r="70" spans="8:11" x14ac:dyDescent="0.3">
      <c r="H70" t="s">
        <v>723</v>
      </c>
      <c r="I70">
        <f>D29</f>
        <v>3035835.6199999982</v>
      </c>
    </row>
    <row r="71" spans="8:11" x14ac:dyDescent="0.3">
      <c r="H71" t="s">
        <v>724</v>
      </c>
      <c r="I71">
        <f>D30</f>
        <v>3427220.4700000016</v>
      </c>
    </row>
    <row r="72" spans="8:11" x14ac:dyDescent="0.3">
      <c r="H72" t="s">
        <v>725</v>
      </c>
      <c r="I72">
        <f>D31</f>
        <v>3886076.62</v>
      </c>
    </row>
  </sheetData>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39F17-C612-4E77-A450-17BD1BEB3B74}">
  <sheetPr>
    <tabColor rgb="FF002060"/>
    <pageSetUpPr fitToPage="1"/>
  </sheetPr>
  <dimension ref="A2:G45"/>
  <sheetViews>
    <sheetView workbookViewId="0">
      <pane ySplit="6" topLeftCell="A10" activePane="bottomLeft" state="frozen"/>
      <selection pane="bottomLeft" activeCell="H16" sqref="H16"/>
    </sheetView>
  </sheetViews>
  <sheetFormatPr defaultRowHeight="14.4" x14ac:dyDescent="0.3"/>
  <cols>
    <col min="1" max="1" width="7.88671875" customWidth="1"/>
    <col min="2" max="7" width="10" customWidth="1"/>
  </cols>
  <sheetData>
    <row r="2" spans="1:7" ht="15.6" x14ac:dyDescent="0.3">
      <c r="A2" s="339" t="s">
        <v>729</v>
      </c>
    </row>
    <row r="3" spans="1:7" x14ac:dyDescent="0.3">
      <c r="A3" s="340" t="s">
        <v>730</v>
      </c>
    </row>
    <row r="4" spans="1:7" x14ac:dyDescent="0.3">
      <c r="A4" s="340" t="s">
        <v>731</v>
      </c>
    </row>
    <row r="6" spans="1:7" ht="26.4" x14ac:dyDescent="0.3">
      <c r="A6" s="341" t="s">
        <v>732</v>
      </c>
      <c r="B6" s="342" t="s">
        <v>733</v>
      </c>
      <c r="C6" s="342" t="s">
        <v>734</v>
      </c>
      <c r="D6" s="342" t="s">
        <v>735</v>
      </c>
      <c r="E6" s="342" t="s">
        <v>736</v>
      </c>
      <c r="F6" s="342" t="s">
        <v>737</v>
      </c>
      <c r="G6" s="342" t="s">
        <v>738</v>
      </c>
    </row>
    <row r="7" spans="1:7" x14ac:dyDescent="0.3">
      <c r="A7" s="340" t="s">
        <v>739</v>
      </c>
      <c r="B7" s="343">
        <v>2570.7600000000002</v>
      </c>
      <c r="C7" s="343">
        <v>2070.8200000000002</v>
      </c>
      <c r="D7" s="343">
        <v>0</v>
      </c>
      <c r="E7" s="343">
        <v>499.94</v>
      </c>
      <c r="F7" s="343">
        <v>0</v>
      </c>
      <c r="G7" s="343">
        <v>0</v>
      </c>
    </row>
    <row r="8" spans="1:7" x14ac:dyDescent="0.3">
      <c r="A8" s="340" t="s">
        <v>740</v>
      </c>
      <c r="B8" s="343">
        <v>56197.9</v>
      </c>
      <c r="C8" s="343">
        <v>246.09</v>
      </c>
      <c r="D8" s="343">
        <v>39181.599999999999</v>
      </c>
      <c r="E8" s="343">
        <v>16770.21</v>
      </c>
      <c r="F8" s="343">
        <v>0</v>
      </c>
      <c r="G8" s="343">
        <v>0</v>
      </c>
    </row>
    <row r="9" spans="1:7" x14ac:dyDescent="0.3">
      <c r="A9" s="340" t="s">
        <v>741</v>
      </c>
      <c r="B9" s="343">
        <v>1198.3499999999999</v>
      </c>
      <c r="C9" s="343">
        <v>399.45</v>
      </c>
      <c r="D9" s="343">
        <v>399.45</v>
      </c>
      <c r="E9" s="343">
        <v>0</v>
      </c>
      <c r="F9" s="343">
        <v>399.45</v>
      </c>
      <c r="G9" s="343">
        <v>0</v>
      </c>
    </row>
    <row r="10" spans="1:7" x14ac:dyDescent="0.3">
      <c r="A10" s="340" t="s">
        <v>742</v>
      </c>
      <c r="B10" s="343">
        <v>19316.04</v>
      </c>
      <c r="C10" s="343">
        <v>11478.82</v>
      </c>
      <c r="D10" s="343">
        <v>1015.59</v>
      </c>
      <c r="E10" s="343">
        <v>0</v>
      </c>
      <c r="F10" s="343">
        <v>0</v>
      </c>
      <c r="G10" s="343">
        <v>6821.63</v>
      </c>
    </row>
    <row r="11" spans="1:7" x14ac:dyDescent="0.3">
      <c r="A11" s="340" t="s">
        <v>743</v>
      </c>
      <c r="B11" s="343">
        <v>215795.25</v>
      </c>
      <c r="C11" s="343">
        <v>0</v>
      </c>
      <c r="D11" s="343">
        <v>2982.15</v>
      </c>
      <c r="E11" s="343">
        <v>0</v>
      </c>
      <c r="F11" s="343">
        <v>0</v>
      </c>
      <c r="G11" s="343">
        <v>212813.1</v>
      </c>
    </row>
    <row r="12" spans="1:7" x14ac:dyDescent="0.3">
      <c r="A12" s="340" t="s">
        <v>744</v>
      </c>
      <c r="B12" s="343">
        <v>3273.6</v>
      </c>
      <c r="C12" s="343">
        <v>1091.2</v>
      </c>
      <c r="D12" s="343">
        <v>1091.2</v>
      </c>
      <c r="E12" s="343">
        <v>1091.2</v>
      </c>
      <c r="F12" s="343">
        <v>0</v>
      </c>
      <c r="G12" s="343">
        <v>0</v>
      </c>
    </row>
    <row r="13" spans="1:7" x14ac:dyDescent="0.3">
      <c r="A13" s="340" t="s">
        <v>745</v>
      </c>
      <c r="B13" s="343">
        <v>46134.2</v>
      </c>
      <c r="C13" s="343">
        <v>7283.65</v>
      </c>
      <c r="D13" s="343">
        <v>22464.11</v>
      </c>
      <c r="E13" s="343">
        <v>16386.439999999999</v>
      </c>
      <c r="F13" s="343">
        <v>0</v>
      </c>
      <c r="G13" s="343">
        <v>0</v>
      </c>
    </row>
    <row r="14" spans="1:7" x14ac:dyDescent="0.3">
      <c r="A14" s="340" t="s">
        <v>746</v>
      </c>
      <c r="B14" s="343">
        <v>77493.88</v>
      </c>
      <c r="C14" s="343">
        <v>0</v>
      </c>
      <c r="D14" s="343">
        <v>29159.93</v>
      </c>
      <c r="E14" s="343">
        <v>0</v>
      </c>
      <c r="F14" s="343">
        <v>0</v>
      </c>
      <c r="G14" s="343">
        <v>48333.95</v>
      </c>
    </row>
    <row r="15" spans="1:7" x14ac:dyDescent="0.3">
      <c r="A15" s="340" t="s">
        <v>747</v>
      </c>
      <c r="B15" s="343">
        <v>400</v>
      </c>
      <c r="C15" s="343">
        <v>200</v>
      </c>
      <c r="D15" s="343">
        <v>200</v>
      </c>
      <c r="E15" s="343">
        <v>0</v>
      </c>
      <c r="F15" s="343">
        <v>0</v>
      </c>
      <c r="G15" s="343">
        <v>0</v>
      </c>
    </row>
    <row r="16" spans="1:7" x14ac:dyDescent="0.3">
      <c r="A16" s="340" t="s">
        <v>748</v>
      </c>
      <c r="B16" s="343">
        <v>2380.4699999999998</v>
      </c>
      <c r="C16" s="343">
        <v>0</v>
      </c>
      <c r="D16" s="343">
        <v>2380.4699999999998</v>
      </c>
      <c r="E16" s="343">
        <v>0</v>
      </c>
      <c r="F16" s="343">
        <v>0</v>
      </c>
      <c r="G16" s="343">
        <v>0</v>
      </c>
    </row>
    <row r="17" spans="1:7" x14ac:dyDescent="0.3">
      <c r="A17" s="340" t="s">
        <v>749</v>
      </c>
      <c r="B17" s="343">
        <v>750</v>
      </c>
      <c r="C17" s="343">
        <v>0</v>
      </c>
      <c r="D17" s="343">
        <v>0</v>
      </c>
      <c r="E17" s="343">
        <v>750</v>
      </c>
      <c r="F17" s="343">
        <v>0</v>
      </c>
      <c r="G17" s="343">
        <v>0</v>
      </c>
    </row>
    <row r="18" spans="1:7" x14ac:dyDescent="0.3">
      <c r="A18" s="340" t="s">
        <v>750</v>
      </c>
      <c r="B18" s="343">
        <v>30845.84</v>
      </c>
      <c r="C18" s="343">
        <v>10175.5</v>
      </c>
      <c r="D18" s="343">
        <v>319.33999999999997</v>
      </c>
      <c r="E18" s="343">
        <v>20351</v>
      </c>
      <c r="F18" s="343">
        <v>0</v>
      </c>
      <c r="G18" s="343">
        <v>0</v>
      </c>
    </row>
    <row r="19" spans="1:7" x14ac:dyDescent="0.3">
      <c r="A19" s="340" t="s">
        <v>751</v>
      </c>
      <c r="B19" s="343">
        <v>324.75</v>
      </c>
      <c r="C19" s="343">
        <v>64.95</v>
      </c>
      <c r="D19" s="343">
        <v>64.95</v>
      </c>
      <c r="E19" s="343">
        <v>64.95</v>
      </c>
      <c r="F19" s="343">
        <v>64.95</v>
      </c>
      <c r="G19" s="343">
        <v>64.95</v>
      </c>
    </row>
    <row r="20" spans="1:7" x14ac:dyDescent="0.3">
      <c r="A20" s="340" t="s">
        <v>752</v>
      </c>
      <c r="B20" s="343">
        <v>3552.12</v>
      </c>
      <c r="C20" s="343">
        <v>2450.1799999999998</v>
      </c>
      <c r="D20" s="343">
        <v>1101.94</v>
      </c>
      <c r="E20" s="343">
        <v>0</v>
      </c>
      <c r="F20" s="343">
        <v>0</v>
      </c>
      <c r="G20" s="343">
        <v>0</v>
      </c>
    </row>
    <row r="21" spans="1:7" x14ac:dyDescent="0.3">
      <c r="A21" s="340" t="s">
        <v>753</v>
      </c>
      <c r="B21" s="343">
        <v>15017.42</v>
      </c>
      <c r="C21" s="343">
        <v>7839.97</v>
      </c>
      <c r="D21" s="343">
        <v>5074.6899999999996</v>
      </c>
      <c r="E21" s="343">
        <v>2102.7600000000002</v>
      </c>
      <c r="F21" s="343">
        <v>0</v>
      </c>
      <c r="G21" s="343">
        <v>0</v>
      </c>
    </row>
    <row r="22" spans="1:7" x14ac:dyDescent="0.3">
      <c r="A22" s="340" t="s">
        <v>754</v>
      </c>
      <c r="B22" s="343">
        <v>12660</v>
      </c>
      <c r="C22" s="343">
        <v>0</v>
      </c>
      <c r="D22" s="343">
        <v>0</v>
      </c>
      <c r="E22" s="343">
        <v>0</v>
      </c>
      <c r="F22" s="343">
        <v>12660</v>
      </c>
      <c r="G22" s="343">
        <v>0</v>
      </c>
    </row>
    <row r="23" spans="1:7" x14ac:dyDescent="0.3">
      <c r="A23" s="340" t="s">
        <v>755</v>
      </c>
      <c r="B23" s="343">
        <v>12937.33</v>
      </c>
      <c r="C23" s="343">
        <v>0</v>
      </c>
      <c r="D23" s="343">
        <v>12937.33</v>
      </c>
      <c r="E23" s="343">
        <v>0</v>
      </c>
      <c r="F23" s="343">
        <v>0</v>
      </c>
      <c r="G23" s="343">
        <v>0</v>
      </c>
    </row>
    <row r="24" spans="1:7" x14ac:dyDescent="0.3">
      <c r="A24" s="340" t="s">
        <v>756</v>
      </c>
      <c r="B24" s="343">
        <v>24844.13</v>
      </c>
      <c r="C24" s="343">
        <v>15131.99</v>
      </c>
      <c r="D24" s="343">
        <v>4213.04</v>
      </c>
      <c r="E24" s="343">
        <v>5499.1</v>
      </c>
      <c r="F24" s="343">
        <v>0</v>
      </c>
      <c r="G24" s="343">
        <v>0</v>
      </c>
    </row>
    <row r="25" spans="1:7" x14ac:dyDescent="0.3">
      <c r="A25" s="340" t="s">
        <v>757</v>
      </c>
      <c r="B25" s="343">
        <v>7737.16</v>
      </c>
      <c r="C25" s="343">
        <v>7156.18</v>
      </c>
      <c r="D25" s="343">
        <v>580.98</v>
      </c>
      <c r="E25" s="343">
        <v>0</v>
      </c>
      <c r="F25" s="343">
        <v>0</v>
      </c>
      <c r="G25" s="343">
        <v>0</v>
      </c>
    </row>
    <row r="26" spans="1:7" x14ac:dyDescent="0.3">
      <c r="A26" s="340" t="s">
        <v>758</v>
      </c>
      <c r="B26" s="343">
        <v>25400.98</v>
      </c>
      <c r="C26" s="343">
        <v>0</v>
      </c>
      <c r="D26" s="343">
        <v>0</v>
      </c>
      <c r="E26" s="343">
        <v>0</v>
      </c>
      <c r="F26" s="343">
        <v>0</v>
      </c>
      <c r="G26" s="343">
        <v>25400.98</v>
      </c>
    </row>
    <row r="27" spans="1:7" x14ac:dyDescent="0.3">
      <c r="A27" s="340" t="s">
        <v>759</v>
      </c>
      <c r="B27" s="343">
        <v>2844.83</v>
      </c>
      <c r="C27" s="343">
        <v>0</v>
      </c>
      <c r="D27" s="343">
        <v>0</v>
      </c>
      <c r="E27" s="343">
        <v>2058.9299999999998</v>
      </c>
      <c r="F27" s="343">
        <v>785.9</v>
      </c>
      <c r="G27" s="343">
        <v>0</v>
      </c>
    </row>
    <row r="28" spans="1:7" x14ac:dyDescent="0.3">
      <c r="A28" s="340" t="s">
        <v>760</v>
      </c>
      <c r="B28" s="343">
        <v>6500</v>
      </c>
      <c r="C28" s="343">
        <v>0</v>
      </c>
      <c r="D28" s="343">
        <v>0</v>
      </c>
      <c r="E28" s="343">
        <v>6500</v>
      </c>
      <c r="F28" s="343">
        <v>0</v>
      </c>
      <c r="G28" s="343">
        <v>0</v>
      </c>
    </row>
    <row r="29" spans="1:7" x14ac:dyDescent="0.3">
      <c r="A29" s="340" t="s">
        <v>761</v>
      </c>
      <c r="B29" s="343">
        <v>127143</v>
      </c>
      <c r="C29" s="343">
        <v>0</v>
      </c>
      <c r="D29" s="343">
        <v>0</v>
      </c>
      <c r="E29" s="343">
        <v>0</v>
      </c>
      <c r="F29" s="343">
        <v>0</v>
      </c>
      <c r="G29" s="343">
        <v>127143</v>
      </c>
    </row>
    <row r="30" spans="1:7" x14ac:dyDescent="0.3">
      <c r="A30" s="340" t="s">
        <v>762</v>
      </c>
      <c r="B30" s="343">
        <v>15989.72</v>
      </c>
      <c r="C30" s="343">
        <v>0</v>
      </c>
      <c r="D30" s="343">
        <v>15989.72</v>
      </c>
      <c r="E30" s="343">
        <v>0</v>
      </c>
      <c r="F30" s="343">
        <v>0</v>
      </c>
      <c r="G30" s="343">
        <v>0</v>
      </c>
    </row>
    <row r="31" spans="1:7" x14ac:dyDescent="0.3">
      <c r="A31" s="340" t="s">
        <v>763</v>
      </c>
      <c r="B31" s="343">
        <v>1719.58</v>
      </c>
      <c r="C31" s="343">
        <v>0</v>
      </c>
      <c r="D31" s="343">
        <v>0</v>
      </c>
      <c r="E31" s="343">
        <v>0</v>
      </c>
      <c r="F31" s="343">
        <v>0</v>
      </c>
      <c r="G31" s="343">
        <v>1719.58</v>
      </c>
    </row>
    <row r="32" spans="1:7" x14ac:dyDescent="0.3">
      <c r="A32" s="340" t="s">
        <v>764</v>
      </c>
      <c r="B32" s="343">
        <v>3399.07</v>
      </c>
      <c r="C32" s="343">
        <v>0</v>
      </c>
      <c r="D32" s="343">
        <v>627.86</v>
      </c>
      <c r="E32" s="343">
        <v>2771.21</v>
      </c>
      <c r="F32" s="343">
        <v>0</v>
      </c>
      <c r="G32" s="343">
        <v>0</v>
      </c>
    </row>
    <row r="33" spans="1:7" x14ac:dyDescent="0.3">
      <c r="A33" s="340" t="s">
        <v>765</v>
      </c>
      <c r="B33" s="343">
        <v>17901.349999999999</v>
      </c>
      <c r="C33" s="343">
        <v>6763.14</v>
      </c>
      <c r="D33" s="343">
        <v>11138.21</v>
      </c>
      <c r="E33" s="343">
        <v>0</v>
      </c>
      <c r="F33" s="343">
        <v>0</v>
      </c>
      <c r="G33" s="343">
        <v>0</v>
      </c>
    </row>
    <row r="34" spans="1:7" x14ac:dyDescent="0.3">
      <c r="A34" s="340" t="s">
        <v>766</v>
      </c>
      <c r="B34" s="343">
        <v>3975</v>
      </c>
      <c r="C34" s="343">
        <v>0</v>
      </c>
      <c r="D34" s="343">
        <v>3975</v>
      </c>
      <c r="E34" s="343">
        <v>0</v>
      </c>
      <c r="F34" s="343">
        <v>0</v>
      </c>
      <c r="G34" s="343">
        <v>0</v>
      </c>
    </row>
    <row r="35" spans="1:7" x14ac:dyDescent="0.3">
      <c r="A35" s="340" t="s">
        <v>767</v>
      </c>
      <c r="B35" s="343">
        <v>1022.94</v>
      </c>
      <c r="C35" s="343">
        <v>0</v>
      </c>
      <c r="D35" s="343">
        <v>0</v>
      </c>
      <c r="E35" s="343">
        <v>0</v>
      </c>
      <c r="F35" s="343">
        <v>591.41999999999996</v>
      </c>
      <c r="G35" s="343">
        <v>431.52</v>
      </c>
    </row>
    <row r="36" spans="1:7" x14ac:dyDescent="0.3">
      <c r="A36" s="340" t="s">
        <v>768</v>
      </c>
      <c r="B36" s="343">
        <v>7082.12</v>
      </c>
      <c r="C36" s="343">
        <v>7082.12</v>
      </c>
      <c r="D36" s="343">
        <v>0</v>
      </c>
      <c r="E36" s="343">
        <v>0</v>
      </c>
      <c r="F36" s="343">
        <v>0</v>
      </c>
      <c r="G36" s="343">
        <v>0</v>
      </c>
    </row>
    <row r="37" spans="1:7" x14ac:dyDescent="0.3">
      <c r="A37" s="340" t="s">
        <v>769</v>
      </c>
      <c r="B37" s="343">
        <v>439</v>
      </c>
      <c r="C37" s="343">
        <v>0</v>
      </c>
      <c r="D37" s="343">
        <v>439</v>
      </c>
      <c r="E37" s="343">
        <v>0</v>
      </c>
      <c r="F37" s="343">
        <v>0</v>
      </c>
      <c r="G37" s="343">
        <v>0</v>
      </c>
    </row>
    <row r="38" spans="1:7" x14ac:dyDescent="0.3">
      <c r="A38" s="340" t="s">
        <v>770</v>
      </c>
      <c r="B38" s="343">
        <v>178.61</v>
      </c>
      <c r="C38" s="343">
        <v>0</v>
      </c>
      <c r="D38" s="343">
        <v>0</v>
      </c>
      <c r="E38" s="343">
        <v>178.61</v>
      </c>
      <c r="F38" s="343">
        <v>0</v>
      </c>
      <c r="G38" s="343">
        <v>0</v>
      </c>
    </row>
    <row r="39" spans="1:7" x14ac:dyDescent="0.3">
      <c r="A39" s="340" t="s">
        <v>771</v>
      </c>
      <c r="B39" s="343">
        <v>76195</v>
      </c>
      <c r="C39" s="343">
        <v>0</v>
      </c>
      <c r="D39" s="343">
        <v>1102.28</v>
      </c>
      <c r="E39" s="343">
        <v>2839.91</v>
      </c>
      <c r="F39" s="343">
        <v>0</v>
      </c>
      <c r="G39" s="343">
        <v>72252.81</v>
      </c>
    </row>
    <row r="40" spans="1:7" x14ac:dyDescent="0.3">
      <c r="A40" s="340" t="s">
        <v>772</v>
      </c>
      <c r="B40" s="343">
        <v>20000</v>
      </c>
      <c r="C40" s="343">
        <v>0</v>
      </c>
      <c r="D40" s="343">
        <v>0</v>
      </c>
      <c r="E40" s="343">
        <v>0</v>
      </c>
      <c r="F40" s="343">
        <v>10000</v>
      </c>
      <c r="G40" s="343">
        <v>10000</v>
      </c>
    </row>
    <row r="41" spans="1:7" x14ac:dyDescent="0.3">
      <c r="A41" s="340" t="s">
        <v>773</v>
      </c>
      <c r="B41" s="343">
        <v>8660</v>
      </c>
      <c r="C41" s="343">
        <v>0</v>
      </c>
      <c r="D41" s="343">
        <v>4330</v>
      </c>
      <c r="E41" s="343">
        <v>0</v>
      </c>
      <c r="F41" s="343">
        <v>4330</v>
      </c>
      <c r="G41" s="343">
        <v>0</v>
      </c>
    </row>
    <row r="42" spans="1:7" x14ac:dyDescent="0.3">
      <c r="A42" s="340" t="s">
        <v>774</v>
      </c>
      <c r="B42" s="343">
        <v>7750</v>
      </c>
      <c r="C42" s="343">
        <v>0</v>
      </c>
      <c r="D42" s="343">
        <v>7000</v>
      </c>
      <c r="E42" s="343">
        <v>500</v>
      </c>
      <c r="F42" s="343">
        <v>250</v>
      </c>
      <c r="G42" s="343">
        <v>0</v>
      </c>
    </row>
    <row r="43" spans="1:7" x14ac:dyDescent="0.3">
      <c r="A43" s="340" t="s">
        <v>775</v>
      </c>
      <c r="B43" s="343">
        <v>13175</v>
      </c>
      <c r="C43" s="343">
        <v>0</v>
      </c>
      <c r="D43" s="343">
        <v>0</v>
      </c>
      <c r="E43" s="343">
        <v>0</v>
      </c>
      <c r="F43" s="343">
        <v>13175</v>
      </c>
      <c r="G43" s="343">
        <v>0</v>
      </c>
    </row>
    <row r="44" spans="1:7" ht="15" thickBot="1" x14ac:dyDescent="0.35">
      <c r="A44" s="344" t="s">
        <v>776</v>
      </c>
      <c r="B44" s="345">
        <f t="shared" ref="B44:G44" si="0">SUM(B7:B43)</f>
        <v>872805.39999999967</v>
      </c>
      <c r="C44" s="345">
        <f t="shared" si="0"/>
        <v>79434.059999999983</v>
      </c>
      <c r="D44" s="345">
        <f t="shared" si="0"/>
        <v>167768.83999999997</v>
      </c>
      <c r="E44" s="345">
        <f t="shared" si="0"/>
        <v>78364.259999999995</v>
      </c>
      <c r="F44" s="345">
        <f t="shared" si="0"/>
        <v>42256.72</v>
      </c>
      <c r="G44" s="345">
        <f t="shared" si="0"/>
        <v>504981.52</v>
      </c>
    </row>
    <row r="45" spans="1:7" ht="15" thickTop="1" x14ac:dyDescent="0.3"/>
  </sheetData>
  <printOptions horizontalCentered="1"/>
  <pageMargins left="0.5" right="0.5" top="0.5" bottom="0.5" header="0.25" footer="0.25"/>
  <pageSetup fitToHeight="0" orientation="landscape"/>
  <headerFooter>
    <oddHeader>&amp;L AP Aging</oddHeader>
    <oddFooter>&amp;L Page &amp;P of &amp;N &amp;R &amp;I AP Aging 2.6 generated04/13/2026 at 11:30am CDT&amp;I</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D3572-5134-4B08-8D0B-47F9D3D95682}">
  <sheetPr>
    <tabColor rgb="FF002060"/>
    <pageSetUpPr fitToPage="1"/>
  </sheetPr>
  <dimension ref="A2:R102"/>
  <sheetViews>
    <sheetView workbookViewId="0">
      <pane ySplit="8" topLeftCell="A56" activePane="bottomLeft" state="frozen"/>
      <selection activeCell="A74" sqref="A74:XFD74"/>
      <selection pane="bottomLeft" activeCell="T63" sqref="T63"/>
    </sheetView>
  </sheetViews>
  <sheetFormatPr defaultRowHeight="14.4" x14ac:dyDescent="0.3"/>
  <cols>
    <col min="1" max="1" width="27.88671875" customWidth="1"/>
    <col min="2" max="3" width="20.6640625" customWidth="1"/>
    <col min="5" max="6" width="20.6640625" hidden="1" customWidth="1"/>
    <col min="7" max="8" width="14.44140625" hidden="1" customWidth="1"/>
    <col min="9" max="9" width="17.44140625" hidden="1" customWidth="1"/>
    <col min="10" max="10" width="64.88671875" hidden="1" customWidth="1"/>
    <col min="11" max="11" width="20.44140625" hidden="1" customWidth="1"/>
    <col min="12" max="18" width="17.44140625" hidden="1" customWidth="1"/>
  </cols>
  <sheetData>
    <row r="2" spans="1:18" ht="15.6" x14ac:dyDescent="0.3">
      <c r="A2" s="339" t="s">
        <v>777</v>
      </c>
    </row>
    <row r="3" spans="1:18" x14ac:dyDescent="0.3">
      <c r="A3" s="340" t="s">
        <v>730</v>
      </c>
    </row>
    <row r="4" spans="1:18" x14ac:dyDescent="0.3">
      <c r="A4" s="340" t="s">
        <v>778</v>
      </c>
    </row>
    <row r="5" spans="1:18" x14ac:dyDescent="0.3">
      <c r="A5" s="340" t="s">
        <v>731</v>
      </c>
    </row>
    <row r="7" spans="1:18" x14ac:dyDescent="0.3">
      <c r="A7" s="341" t="s">
        <v>779</v>
      </c>
      <c r="B7" s="342" t="s">
        <v>780</v>
      </c>
      <c r="C7" s="342" t="s">
        <v>731</v>
      </c>
      <c r="E7" s="348" t="s">
        <v>781</v>
      </c>
      <c r="F7" s="353" t="s">
        <v>782</v>
      </c>
      <c r="G7" s="354" t="s">
        <v>783</v>
      </c>
      <c r="H7" s="354" t="s">
        <v>784</v>
      </c>
      <c r="I7" s="353" t="s">
        <v>785</v>
      </c>
      <c r="J7" s="354" t="s">
        <v>786</v>
      </c>
      <c r="K7" s="354" t="s">
        <v>787</v>
      </c>
      <c r="L7" s="353" t="s">
        <v>788</v>
      </c>
      <c r="M7" s="353" t="s">
        <v>789</v>
      </c>
      <c r="N7" s="353" t="s">
        <v>790</v>
      </c>
      <c r="O7" s="353" t="s">
        <v>791</v>
      </c>
      <c r="P7" s="353" t="s">
        <v>792</v>
      </c>
      <c r="Q7" s="353" t="s">
        <v>793</v>
      </c>
      <c r="R7" s="353" t="s">
        <v>794</v>
      </c>
    </row>
    <row r="8" spans="1:18" x14ac:dyDescent="0.3">
      <c r="A8" s="349" t="s">
        <v>795</v>
      </c>
    </row>
    <row r="9" spans="1:18" x14ac:dyDescent="0.3">
      <c r="A9" s="355" t="s">
        <v>796</v>
      </c>
    </row>
    <row r="10" spans="1:18" x14ac:dyDescent="0.3">
      <c r="A10" s="356" t="s">
        <v>797</v>
      </c>
    </row>
    <row r="11" spans="1:18" x14ac:dyDescent="0.3">
      <c r="A11" s="357" t="s">
        <v>798</v>
      </c>
      <c r="B11" s="343">
        <v>36654.17</v>
      </c>
      <c r="C11" s="343">
        <v>488611.17</v>
      </c>
      <c r="E11" s="343">
        <v>488611.17</v>
      </c>
      <c r="F11" s="358">
        <v>0</v>
      </c>
      <c r="G11" s="340" t="s">
        <v>730</v>
      </c>
      <c r="H11" s="340" t="s">
        <v>730</v>
      </c>
      <c r="I11" s="358">
        <v>100139438</v>
      </c>
      <c r="J11" s="340" t="s">
        <v>799</v>
      </c>
      <c r="K11" s="340" t="s">
        <v>800</v>
      </c>
      <c r="L11" s="358">
        <v>161864</v>
      </c>
      <c r="M11" s="358">
        <v>1002</v>
      </c>
      <c r="N11" s="358">
        <v>1</v>
      </c>
      <c r="O11" s="358">
        <v>488611.17</v>
      </c>
      <c r="P11" s="358">
        <v>1</v>
      </c>
      <c r="Q11" s="358">
        <v>0</v>
      </c>
      <c r="R11" s="358">
        <v>36654.17</v>
      </c>
    </row>
    <row r="12" spans="1:18" x14ac:dyDescent="0.3">
      <c r="A12" s="357" t="s">
        <v>801</v>
      </c>
      <c r="B12" s="343">
        <v>5000</v>
      </c>
      <c r="C12" s="343">
        <v>5000</v>
      </c>
      <c r="E12" s="343">
        <v>5000</v>
      </c>
      <c r="F12" s="358">
        <v>0</v>
      </c>
      <c r="G12" s="340" t="s">
        <v>730</v>
      </c>
      <c r="H12" s="340" t="s">
        <v>730</v>
      </c>
      <c r="I12" s="358">
        <v>100139438</v>
      </c>
      <c r="J12" s="340" t="s">
        <v>799</v>
      </c>
      <c r="K12" s="340" t="s">
        <v>800</v>
      </c>
      <c r="L12" s="358">
        <v>161867</v>
      </c>
      <c r="M12" s="358">
        <v>1005</v>
      </c>
      <c r="N12" s="358">
        <v>1</v>
      </c>
      <c r="O12" s="358">
        <v>5000</v>
      </c>
      <c r="P12" s="358">
        <v>1</v>
      </c>
      <c r="Q12" s="358">
        <v>0</v>
      </c>
      <c r="R12" s="358">
        <v>5000</v>
      </c>
    </row>
    <row r="13" spans="1:18" x14ac:dyDescent="0.3">
      <c r="A13" s="357" t="s">
        <v>802</v>
      </c>
      <c r="B13" s="343">
        <v>1177234.47</v>
      </c>
      <c r="C13" s="343">
        <v>401234.47</v>
      </c>
      <c r="E13" s="343">
        <v>401234.47</v>
      </c>
      <c r="F13" s="358">
        <v>0</v>
      </c>
      <c r="G13" s="340" t="s">
        <v>730</v>
      </c>
      <c r="H13" s="340" t="s">
        <v>730</v>
      </c>
      <c r="I13" s="358">
        <v>100139438</v>
      </c>
      <c r="J13" s="340" t="s">
        <v>799</v>
      </c>
      <c r="K13" s="340" t="s">
        <v>800</v>
      </c>
      <c r="L13" s="358">
        <v>161871</v>
      </c>
      <c r="M13" s="358">
        <v>1009</v>
      </c>
      <c r="N13" s="358">
        <v>1</v>
      </c>
      <c r="O13" s="358">
        <v>401234.47</v>
      </c>
      <c r="P13" s="358">
        <v>1</v>
      </c>
      <c r="Q13" s="358">
        <v>0</v>
      </c>
      <c r="R13" s="358">
        <v>1177234.47</v>
      </c>
    </row>
    <row r="14" spans="1:18" x14ac:dyDescent="0.3">
      <c r="A14" s="357" t="s">
        <v>803</v>
      </c>
      <c r="B14" s="343">
        <v>44541.53</v>
      </c>
      <c r="C14" s="343">
        <v>27881.21</v>
      </c>
      <c r="E14" s="343">
        <v>27881.21</v>
      </c>
      <c r="F14" s="358">
        <v>0</v>
      </c>
      <c r="G14" s="340" t="s">
        <v>730</v>
      </c>
      <c r="H14" s="340" t="s">
        <v>730</v>
      </c>
      <c r="I14" s="358">
        <v>100139438</v>
      </c>
      <c r="J14" s="340" t="s">
        <v>799</v>
      </c>
      <c r="K14" s="340" t="s">
        <v>800</v>
      </c>
      <c r="L14" s="358">
        <v>158913</v>
      </c>
      <c r="M14" s="358">
        <v>1014</v>
      </c>
      <c r="N14" s="358">
        <v>1</v>
      </c>
      <c r="O14" s="358">
        <v>27881.21</v>
      </c>
      <c r="P14" s="358">
        <v>1</v>
      </c>
      <c r="Q14" s="358">
        <v>0</v>
      </c>
      <c r="R14" s="358">
        <v>44541.53</v>
      </c>
    </row>
    <row r="15" spans="1:18" x14ac:dyDescent="0.3">
      <c r="A15" s="344" t="s">
        <v>797</v>
      </c>
      <c r="B15" s="352">
        <f>SUM(B11:B14)</f>
        <v>1263430.17</v>
      </c>
      <c r="C15" s="352">
        <f>SUM(C11:C14)</f>
        <v>922726.84999999986</v>
      </c>
      <c r="E15" s="352">
        <f>SUM(E11:E14)</f>
        <v>922726.84999999986</v>
      </c>
      <c r="F15" s="359">
        <v>0</v>
      </c>
      <c r="G15" s="340"/>
      <c r="H15" s="340"/>
      <c r="I15" s="358"/>
      <c r="J15" s="340"/>
      <c r="K15" s="340"/>
      <c r="L15" s="358"/>
      <c r="M15" s="358"/>
      <c r="N15" s="358"/>
      <c r="O15" s="358"/>
      <c r="P15" s="358"/>
      <c r="Q15" s="358"/>
      <c r="R15" s="358"/>
    </row>
    <row r="16" spans="1:18" x14ac:dyDescent="0.3">
      <c r="B16" s="343"/>
      <c r="C16" s="343"/>
      <c r="E16" s="343"/>
      <c r="F16" s="358"/>
      <c r="G16" s="340"/>
      <c r="H16" s="340"/>
      <c r="I16" s="358"/>
      <c r="J16" s="340"/>
      <c r="K16" s="340"/>
      <c r="L16" s="358"/>
      <c r="M16" s="358"/>
      <c r="N16" s="358"/>
      <c r="O16" s="358"/>
      <c r="P16" s="358"/>
      <c r="Q16" s="358"/>
      <c r="R16" s="358"/>
    </row>
    <row r="17" spans="1:18" x14ac:dyDescent="0.3">
      <c r="A17" s="356" t="s">
        <v>804</v>
      </c>
      <c r="B17" s="343"/>
      <c r="C17" s="343"/>
      <c r="E17" s="343"/>
      <c r="F17" s="358"/>
      <c r="G17" s="340"/>
      <c r="H17" s="340"/>
      <c r="I17" s="358"/>
      <c r="J17" s="340"/>
      <c r="K17" s="340"/>
      <c r="L17" s="358"/>
      <c r="M17" s="358"/>
      <c r="N17" s="358"/>
      <c r="O17" s="358"/>
      <c r="P17" s="358"/>
      <c r="Q17" s="358"/>
      <c r="R17" s="358"/>
    </row>
    <row r="18" spans="1:18" x14ac:dyDescent="0.3">
      <c r="A18" s="357" t="s">
        <v>804</v>
      </c>
      <c r="B18" s="343">
        <v>543213.80000000005</v>
      </c>
      <c r="C18" s="343">
        <v>673916.58</v>
      </c>
      <c r="E18" s="343">
        <v>673916.58</v>
      </c>
      <c r="F18" s="358">
        <v>0</v>
      </c>
      <c r="G18" s="340" t="s">
        <v>730</v>
      </c>
      <c r="H18" s="340" t="s">
        <v>730</v>
      </c>
      <c r="I18" s="358">
        <v>100139438</v>
      </c>
      <c r="J18" s="340" t="s">
        <v>805</v>
      </c>
      <c r="K18" s="340" t="s">
        <v>806</v>
      </c>
      <c r="L18" s="358">
        <v>158892</v>
      </c>
      <c r="M18" s="358">
        <v>1204</v>
      </c>
      <c r="N18" s="358">
        <v>1</v>
      </c>
      <c r="O18" s="358">
        <v>673916.58</v>
      </c>
      <c r="P18" s="358">
        <v>1</v>
      </c>
      <c r="Q18" s="358">
        <v>0</v>
      </c>
      <c r="R18" s="358">
        <v>543213.80000000005</v>
      </c>
    </row>
    <row r="19" spans="1:18" x14ac:dyDescent="0.3">
      <c r="A19" s="357" t="s">
        <v>807</v>
      </c>
      <c r="B19" s="343">
        <v>-365098.18</v>
      </c>
      <c r="C19" s="343">
        <v>-365098.18</v>
      </c>
      <c r="E19" s="343">
        <v>-365098.18</v>
      </c>
      <c r="F19" s="358">
        <v>0</v>
      </c>
      <c r="G19" s="340" t="s">
        <v>730</v>
      </c>
      <c r="H19" s="340" t="s">
        <v>730</v>
      </c>
      <c r="I19" s="358">
        <v>100139438</v>
      </c>
      <c r="J19" s="340" t="s">
        <v>805</v>
      </c>
      <c r="K19" s="340" t="s">
        <v>806</v>
      </c>
      <c r="L19" s="358">
        <v>161884</v>
      </c>
      <c r="M19" s="358">
        <v>1206</v>
      </c>
      <c r="N19" s="358">
        <v>1</v>
      </c>
      <c r="O19" s="358">
        <v>-365098.18</v>
      </c>
      <c r="P19" s="358">
        <v>-1</v>
      </c>
      <c r="Q19" s="358">
        <v>0</v>
      </c>
      <c r="R19" s="358">
        <v>-365098.18</v>
      </c>
    </row>
    <row r="20" spans="1:18" x14ac:dyDescent="0.3">
      <c r="A20" s="357" t="s">
        <v>808</v>
      </c>
      <c r="B20" s="343">
        <v>111951.57</v>
      </c>
      <c r="C20" s="343">
        <v>48835.7</v>
      </c>
      <c r="E20" s="343">
        <v>48835.7</v>
      </c>
      <c r="F20" s="358">
        <v>0</v>
      </c>
      <c r="G20" s="340" t="s">
        <v>730</v>
      </c>
      <c r="H20" s="340" t="s">
        <v>730</v>
      </c>
      <c r="I20" s="358">
        <v>100139438</v>
      </c>
      <c r="J20" s="340" t="s">
        <v>805</v>
      </c>
      <c r="K20" s="340" t="s">
        <v>806</v>
      </c>
      <c r="L20" s="358">
        <v>161886</v>
      </c>
      <c r="M20" s="358">
        <v>1208</v>
      </c>
      <c r="N20" s="358">
        <v>1</v>
      </c>
      <c r="O20" s="358">
        <v>48835.7</v>
      </c>
      <c r="P20" s="358">
        <v>1</v>
      </c>
      <c r="Q20" s="358">
        <v>0</v>
      </c>
      <c r="R20" s="358">
        <v>111951.57</v>
      </c>
    </row>
    <row r="21" spans="1:18" x14ac:dyDescent="0.3">
      <c r="A21" s="344" t="s">
        <v>804</v>
      </c>
      <c r="B21" s="352">
        <f>SUM(B18:B20)</f>
        <v>290067.19000000006</v>
      </c>
      <c r="C21" s="352">
        <f>SUM(C18:C20)</f>
        <v>357654.1</v>
      </c>
      <c r="E21" s="352">
        <f>SUM(E18:E20)</f>
        <v>357654.1</v>
      </c>
      <c r="F21" s="359">
        <v>0</v>
      </c>
      <c r="G21" s="340"/>
      <c r="H21" s="340"/>
      <c r="I21" s="358"/>
      <c r="J21" s="340"/>
      <c r="K21" s="340"/>
      <c r="L21" s="358"/>
      <c r="M21" s="358"/>
      <c r="N21" s="358"/>
      <c r="O21" s="358"/>
      <c r="P21" s="358"/>
      <c r="Q21" s="358"/>
      <c r="R21" s="358"/>
    </row>
    <row r="22" spans="1:18" x14ac:dyDescent="0.3">
      <c r="B22" s="343"/>
      <c r="C22" s="343"/>
      <c r="E22" s="343"/>
      <c r="F22" s="358"/>
      <c r="G22" s="340"/>
      <c r="H22" s="340"/>
      <c r="I22" s="358"/>
      <c r="J22" s="340"/>
      <c r="K22" s="340"/>
      <c r="L22" s="358"/>
      <c r="M22" s="358"/>
      <c r="N22" s="358"/>
      <c r="O22" s="358"/>
      <c r="P22" s="358"/>
      <c r="Q22" s="358"/>
      <c r="R22" s="358"/>
    </row>
    <row r="23" spans="1:18" x14ac:dyDescent="0.3">
      <c r="A23" s="356" t="s">
        <v>809</v>
      </c>
      <c r="B23" s="343"/>
      <c r="C23" s="343"/>
      <c r="E23" s="343"/>
      <c r="F23" s="358"/>
      <c r="G23" s="340"/>
      <c r="H23" s="340"/>
      <c r="I23" s="358"/>
      <c r="J23" s="340"/>
      <c r="K23" s="340"/>
      <c r="L23" s="358"/>
      <c r="M23" s="358"/>
      <c r="N23" s="358"/>
      <c r="O23" s="358"/>
      <c r="P23" s="358"/>
      <c r="Q23" s="358"/>
      <c r="R23" s="358"/>
    </row>
    <row r="24" spans="1:18" x14ac:dyDescent="0.3">
      <c r="A24" s="357" t="s">
        <v>810</v>
      </c>
      <c r="B24" s="343">
        <v>0</v>
      </c>
      <c r="C24" s="343">
        <v>403843.57</v>
      </c>
      <c r="E24" s="343">
        <v>403843.57</v>
      </c>
      <c r="F24" s="358">
        <v>0</v>
      </c>
      <c r="G24" s="340" t="s">
        <v>730</v>
      </c>
      <c r="H24" s="340" t="s">
        <v>730</v>
      </c>
      <c r="I24" s="358">
        <v>100139438</v>
      </c>
      <c r="J24" s="340" t="s">
        <v>811</v>
      </c>
      <c r="K24" s="340" t="s">
        <v>812</v>
      </c>
      <c r="L24" s="358">
        <v>161876</v>
      </c>
      <c r="M24" s="358">
        <v>1020</v>
      </c>
      <c r="N24" s="358">
        <v>1</v>
      </c>
      <c r="O24" s="358">
        <v>403843.57</v>
      </c>
      <c r="P24" s="358">
        <v>1</v>
      </c>
      <c r="Q24" s="358">
        <v>0</v>
      </c>
      <c r="R24" s="358">
        <v>0</v>
      </c>
    </row>
    <row r="25" spans="1:18" x14ac:dyDescent="0.3">
      <c r="A25" s="357" t="s">
        <v>813</v>
      </c>
      <c r="B25" s="343">
        <v>679445.41</v>
      </c>
      <c r="C25" s="343">
        <v>769317.68</v>
      </c>
      <c r="E25" s="343">
        <v>769317.68</v>
      </c>
      <c r="F25" s="358">
        <v>0</v>
      </c>
      <c r="G25" s="340" t="s">
        <v>730</v>
      </c>
      <c r="H25" s="340" t="s">
        <v>730</v>
      </c>
      <c r="I25" s="358">
        <v>100139438</v>
      </c>
      <c r="J25" s="340" t="s">
        <v>811</v>
      </c>
      <c r="K25" s="340" t="s">
        <v>812</v>
      </c>
      <c r="L25" s="358">
        <v>161877</v>
      </c>
      <c r="M25" s="358">
        <v>1025</v>
      </c>
      <c r="N25" s="358">
        <v>1</v>
      </c>
      <c r="O25" s="358">
        <v>769317.68</v>
      </c>
      <c r="P25" s="358">
        <v>1</v>
      </c>
      <c r="Q25" s="358">
        <v>0</v>
      </c>
      <c r="R25" s="358">
        <v>679445.41</v>
      </c>
    </row>
    <row r="26" spans="1:18" x14ac:dyDescent="0.3">
      <c r="A26" s="357" t="s">
        <v>814</v>
      </c>
      <c r="B26" s="343">
        <v>151250</v>
      </c>
      <c r="C26" s="343">
        <v>151250</v>
      </c>
      <c r="E26" s="343">
        <v>151250</v>
      </c>
      <c r="F26" s="358">
        <v>0</v>
      </c>
      <c r="G26" s="340" t="s">
        <v>730</v>
      </c>
      <c r="H26" s="340" t="s">
        <v>730</v>
      </c>
      <c r="I26" s="358">
        <v>100139438</v>
      </c>
      <c r="J26" s="340" t="s">
        <v>811</v>
      </c>
      <c r="K26" s="340" t="s">
        <v>812</v>
      </c>
      <c r="L26" s="358">
        <v>161881</v>
      </c>
      <c r="M26" s="358">
        <v>1036</v>
      </c>
      <c r="N26" s="358">
        <v>1</v>
      </c>
      <c r="O26" s="358">
        <v>151250</v>
      </c>
      <c r="P26" s="358">
        <v>1</v>
      </c>
      <c r="Q26" s="358">
        <v>0</v>
      </c>
      <c r="R26" s="358">
        <v>151250</v>
      </c>
    </row>
    <row r="27" spans="1:18" x14ac:dyDescent="0.3">
      <c r="A27" s="344" t="s">
        <v>809</v>
      </c>
      <c r="B27" s="352">
        <f>SUM(B24:B26)</f>
        <v>830695.41</v>
      </c>
      <c r="C27" s="352">
        <f>SUM(C24:C26)</f>
        <v>1324411.25</v>
      </c>
      <c r="E27" s="352">
        <f>SUM(E24:E26)</f>
        <v>1324411.25</v>
      </c>
      <c r="F27" s="359">
        <v>0</v>
      </c>
      <c r="G27" s="340"/>
      <c r="H27" s="340"/>
      <c r="I27" s="358"/>
      <c r="J27" s="340"/>
      <c r="K27" s="340"/>
      <c r="L27" s="358"/>
      <c r="M27" s="358"/>
      <c r="N27" s="358"/>
      <c r="O27" s="358"/>
      <c r="P27" s="358"/>
      <c r="Q27" s="358"/>
      <c r="R27" s="358"/>
    </row>
    <row r="28" spans="1:18" x14ac:dyDescent="0.3">
      <c r="B28" s="343"/>
      <c r="C28" s="343"/>
      <c r="E28" s="343"/>
      <c r="F28" s="358"/>
      <c r="G28" s="340"/>
      <c r="H28" s="340"/>
      <c r="I28" s="358"/>
      <c r="J28" s="340"/>
      <c r="K28" s="340"/>
      <c r="L28" s="358"/>
      <c r="M28" s="358"/>
      <c r="N28" s="358"/>
      <c r="O28" s="358"/>
      <c r="P28" s="358"/>
      <c r="Q28" s="358"/>
      <c r="R28" s="358"/>
    </row>
    <row r="29" spans="1:18" x14ac:dyDescent="0.3">
      <c r="A29" s="356" t="s">
        <v>815</v>
      </c>
      <c r="B29" s="343"/>
      <c r="C29" s="343"/>
      <c r="E29" s="343"/>
      <c r="F29" s="358"/>
      <c r="G29" s="340"/>
      <c r="H29" s="340"/>
      <c r="I29" s="358"/>
      <c r="J29" s="340"/>
      <c r="K29" s="340"/>
      <c r="L29" s="358"/>
      <c r="M29" s="358"/>
      <c r="N29" s="358"/>
      <c r="O29" s="358"/>
      <c r="P29" s="358"/>
      <c r="Q29" s="358"/>
      <c r="R29" s="358"/>
    </row>
    <row r="30" spans="1:18" x14ac:dyDescent="0.3">
      <c r="A30" s="357" t="s">
        <v>816</v>
      </c>
      <c r="B30" s="343">
        <v>723185.12</v>
      </c>
      <c r="C30" s="343">
        <v>723185.12</v>
      </c>
      <c r="E30" s="343">
        <v>723185.12</v>
      </c>
      <c r="F30" s="358">
        <v>0</v>
      </c>
      <c r="G30" s="340" t="s">
        <v>730</v>
      </c>
      <c r="H30" s="340" t="s">
        <v>730</v>
      </c>
      <c r="I30" s="358">
        <v>100139438</v>
      </c>
      <c r="J30" s="340" t="s">
        <v>817</v>
      </c>
      <c r="K30" s="340" t="s">
        <v>818</v>
      </c>
      <c r="L30" s="358">
        <v>161918</v>
      </c>
      <c r="M30" s="358">
        <v>1510</v>
      </c>
      <c r="N30" s="358">
        <v>1</v>
      </c>
      <c r="O30" s="358">
        <v>723185.12</v>
      </c>
      <c r="P30" s="358">
        <v>1</v>
      </c>
      <c r="Q30" s="358">
        <v>0</v>
      </c>
      <c r="R30" s="358">
        <v>723185.12</v>
      </c>
    </row>
    <row r="31" spans="1:18" x14ac:dyDescent="0.3">
      <c r="A31" s="357" t="s">
        <v>819</v>
      </c>
      <c r="B31" s="343">
        <v>736.3</v>
      </c>
      <c r="C31" s="343">
        <v>4653.4799999999996</v>
      </c>
      <c r="E31" s="343">
        <v>4653.4799999999996</v>
      </c>
      <c r="F31" s="358">
        <v>0</v>
      </c>
      <c r="G31" s="340" t="s">
        <v>730</v>
      </c>
      <c r="H31" s="340" t="s">
        <v>730</v>
      </c>
      <c r="I31" s="358">
        <v>100139438</v>
      </c>
      <c r="J31" s="340" t="s">
        <v>817</v>
      </c>
      <c r="K31" s="340" t="s">
        <v>818</v>
      </c>
      <c r="L31" s="358">
        <v>161919</v>
      </c>
      <c r="M31" s="358">
        <v>1520</v>
      </c>
      <c r="N31" s="358">
        <v>1</v>
      </c>
      <c r="O31" s="358">
        <v>4653.4799999999996</v>
      </c>
      <c r="P31" s="358">
        <v>1</v>
      </c>
      <c r="Q31" s="358">
        <v>0</v>
      </c>
      <c r="R31" s="358">
        <v>736.3</v>
      </c>
    </row>
    <row r="32" spans="1:18" x14ac:dyDescent="0.3">
      <c r="A32" s="344" t="s">
        <v>815</v>
      </c>
      <c r="B32" s="352">
        <f>SUM(B30:B31)</f>
        <v>723921.42</v>
      </c>
      <c r="C32" s="352">
        <f>SUM(C30:C31)</f>
        <v>727838.6</v>
      </c>
      <c r="E32" s="352">
        <f>SUM(E30:E31)</f>
        <v>727838.6</v>
      </c>
      <c r="F32" s="359">
        <v>0</v>
      </c>
      <c r="G32" s="340"/>
      <c r="H32" s="340"/>
      <c r="I32" s="358"/>
      <c r="J32" s="340"/>
      <c r="K32" s="340"/>
      <c r="L32" s="358"/>
      <c r="M32" s="358"/>
      <c r="N32" s="358"/>
      <c r="O32" s="358"/>
      <c r="P32" s="358"/>
      <c r="Q32" s="358"/>
      <c r="R32" s="358"/>
    </row>
    <row r="33" spans="1:18" x14ac:dyDescent="0.3">
      <c r="B33" s="343"/>
      <c r="C33" s="343"/>
      <c r="E33" s="343"/>
      <c r="F33" s="358"/>
      <c r="G33" s="340"/>
      <c r="H33" s="340"/>
      <c r="I33" s="358"/>
      <c r="J33" s="340"/>
      <c r="K33" s="340"/>
      <c r="L33" s="358"/>
      <c r="M33" s="358"/>
      <c r="N33" s="358"/>
      <c r="O33" s="358"/>
      <c r="P33" s="358"/>
      <c r="Q33" s="358"/>
      <c r="R33" s="358"/>
    </row>
    <row r="34" spans="1:18" x14ac:dyDescent="0.3">
      <c r="A34" s="344" t="s">
        <v>796</v>
      </c>
      <c r="B34" s="352">
        <f>SUM(B11:B14)+SUM(B18:B20)+SUM(B24:B26)+SUM(B30:B31)</f>
        <v>3108114.19</v>
      </c>
      <c r="C34" s="352">
        <f>SUM(C11:C14)+SUM(C18:C20)+SUM(C24:C26)+SUM(C30:C31)</f>
        <v>3332630.8</v>
      </c>
      <c r="E34" s="352">
        <f>SUM(E11:E14)+SUM(E18:E20)+SUM(E24:E26)+SUM(E30:E31)</f>
        <v>3332630.8</v>
      </c>
      <c r="F34" s="359">
        <v>0</v>
      </c>
      <c r="G34" s="340"/>
      <c r="H34" s="340"/>
      <c r="I34" s="358"/>
      <c r="J34" s="340"/>
      <c r="K34" s="340"/>
      <c r="L34" s="358"/>
      <c r="M34" s="358"/>
      <c r="N34" s="358"/>
      <c r="O34" s="358"/>
      <c r="P34" s="358"/>
      <c r="Q34" s="358"/>
      <c r="R34" s="358"/>
    </row>
    <row r="35" spans="1:18" x14ac:dyDescent="0.3">
      <c r="B35" s="343"/>
      <c r="C35" s="343"/>
      <c r="E35" s="343"/>
      <c r="F35" s="358"/>
      <c r="G35" s="340"/>
      <c r="H35" s="340"/>
      <c r="I35" s="358"/>
      <c r="J35" s="340"/>
      <c r="K35" s="340"/>
      <c r="L35" s="358"/>
      <c r="M35" s="358"/>
      <c r="N35" s="358"/>
      <c r="O35" s="358"/>
      <c r="P35" s="358"/>
      <c r="Q35" s="358"/>
      <c r="R35" s="358"/>
    </row>
    <row r="36" spans="1:18" x14ac:dyDescent="0.3">
      <c r="A36" s="355" t="s">
        <v>820</v>
      </c>
      <c r="B36" s="343"/>
      <c r="C36" s="343"/>
      <c r="E36" s="343"/>
      <c r="F36" s="358"/>
      <c r="G36" s="340"/>
      <c r="H36" s="340"/>
      <c r="I36" s="358"/>
      <c r="J36" s="340"/>
      <c r="K36" s="340"/>
      <c r="L36" s="358"/>
      <c r="M36" s="358"/>
      <c r="N36" s="358"/>
      <c r="O36" s="358"/>
      <c r="P36" s="358"/>
      <c r="Q36" s="358"/>
      <c r="R36" s="358"/>
    </row>
    <row r="37" spans="1:18" x14ac:dyDescent="0.3">
      <c r="A37" s="356" t="s">
        <v>820</v>
      </c>
      <c r="B37" s="343"/>
      <c r="C37" s="343"/>
      <c r="E37" s="343"/>
      <c r="F37" s="358"/>
      <c r="G37" s="340"/>
      <c r="H37" s="340"/>
      <c r="I37" s="358"/>
      <c r="J37" s="340"/>
      <c r="K37" s="340"/>
      <c r="L37" s="358"/>
      <c r="M37" s="358"/>
      <c r="N37" s="358"/>
      <c r="O37" s="358"/>
      <c r="P37" s="358"/>
      <c r="Q37" s="358"/>
      <c r="R37" s="358"/>
    </row>
    <row r="38" spans="1:18" x14ac:dyDescent="0.3">
      <c r="A38" s="357" t="s">
        <v>821</v>
      </c>
      <c r="B38" s="343">
        <v>4013770</v>
      </c>
      <c r="C38" s="343">
        <v>4013770</v>
      </c>
      <c r="E38" s="343">
        <v>4013770</v>
      </c>
      <c r="F38" s="358">
        <v>0</v>
      </c>
      <c r="G38" s="340" t="s">
        <v>730</v>
      </c>
      <c r="H38" s="340" t="s">
        <v>730</v>
      </c>
      <c r="I38" s="358">
        <v>100139438</v>
      </c>
      <c r="J38" s="340" t="s">
        <v>822</v>
      </c>
      <c r="K38" s="340" t="s">
        <v>823</v>
      </c>
      <c r="L38" s="358">
        <v>161896</v>
      </c>
      <c r="M38" s="358">
        <v>1405</v>
      </c>
      <c r="N38" s="358">
        <v>1</v>
      </c>
      <c r="O38" s="358">
        <v>4013770</v>
      </c>
      <c r="P38" s="358">
        <v>1</v>
      </c>
      <c r="Q38" s="358">
        <v>0</v>
      </c>
      <c r="R38" s="358">
        <v>4013770</v>
      </c>
    </row>
    <row r="39" spans="1:18" x14ac:dyDescent="0.3">
      <c r="A39" s="357" t="s">
        <v>824</v>
      </c>
      <c r="B39" s="343">
        <v>112283224.23</v>
      </c>
      <c r="C39" s="343">
        <v>112283224.23</v>
      </c>
      <c r="E39" s="343">
        <v>112283224.23</v>
      </c>
      <c r="F39" s="358">
        <v>0</v>
      </c>
      <c r="G39" s="340" t="s">
        <v>730</v>
      </c>
      <c r="H39" s="340" t="s">
        <v>730</v>
      </c>
      <c r="I39" s="358">
        <v>100139438</v>
      </c>
      <c r="J39" s="340" t="s">
        <v>822</v>
      </c>
      <c r="K39" s="340" t="s">
        <v>823</v>
      </c>
      <c r="L39" s="358">
        <v>161897</v>
      </c>
      <c r="M39" s="358">
        <v>1410</v>
      </c>
      <c r="N39" s="358">
        <v>1</v>
      </c>
      <c r="O39" s="358">
        <v>112283224.23</v>
      </c>
      <c r="P39" s="358">
        <v>1</v>
      </c>
      <c r="Q39" s="358">
        <v>0</v>
      </c>
      <c r="R39" s="358">
        <v>112283224.23</v>
      </c>
    </row>
    <row r="40" spans="1:18" x14ac:dyDescent="0.3">
      <c r="A40" s="357" t="s">
        <v>825</v>
      </c>
      <c r="B40" s="343">
        <v>857154.3</v>
      </c>
      <c r="C40" s="343">
        <v>857154.3</v>
      </c>
      <c r="E40" s="343">
        <v>857154.3</v>
      </c>
      <c r="F40" s="358">
        <v>0</v>
      </c>
      <c r="G40" s="340" t="s">
        <v>730</v>
      </c>
      <c r="H40" s="340" t="s">
        <v>730</v>
      </c>
      <c r="I40" s="358">
        <v>100139438</v>
      </c>
      <c r="J40" s="340" t="s">
        <v>822</v>
      </c>
      <c r="K40" s="340" t="s">
        <v>823</v>
      </c>
      <c r="L40" s="358">
        <v>161901</v>
      </c>
      <c r="M40" s="358">
        <v>1420</v>
      </c>
      <c r="N40" s="358">
        <v>1</v>
      </c>
      <c r="O40" s="358">
        <v>857154.3</v>
      </c>
      <c r="P40" s="358">
        <v>1</v>
      </c>
      <c r="Q40" s="358">
        <v>0</v>
      </c>
      <c r="R40" s="358">
        <v>857154.3</v>
      </c>
    </row>
    <row r="41" spans="1:18" x14ac:dyDescent="0.3">
      <c r="A41" s="357" t="s">
        <v>826</v>
      </c>
      <c r="B41" s="343">
        <v>550577.04</v>
      </c>
      <c r="C41" s="343">
        <v>550577.04</v>
      </c>
      <c r="E41" s="343">
        <v>550577.04</v>
      </c>
      <c r="F41" s="358">
        <v>0</v>
      </c>
      <c r="G41" s="340" t="s">
        <v>730</v>
      </c>
      <c r="H41" s="340" t="s">
        <v>730</v>
      </c>
      <c r="I41" s="358">
        <v>100139438</v>
      </c>
      <c r="J41" s="340" t="s">
        <v>822</v>
      </c>
      <c r="K41" s="340" t="s">
        <v>823</v>
      </c>
      <c r="L41" s="358">
        <v>161905</v>
      </c>
      <c r="M41" s="358">
        <v>1430</v>
      </c>
      <c r="N41" s="358">
        <v>1</v>
      </c>
      <c r="O41" s="358">
        <v>550577.04</v>
      </c>
      <c r="P41" s="358">
        <v>1</v>
      </c>
      <c r="Q41" s="358">
        <v>0</v>
      </c>
      <c r="R41" s="358">
        <v>550577.04</v>
      </c>
    </row>
    <row r="42" spans="1:18" x14ac:dyDescent="0.3">
      <c r="A42" s="357" t="s">
        <v>827</v>
      </c>
      <c r="B42" s="343">
        <v>795717.61</v>
      </c>
      <c r="C42" s="343">
        <v>795717.61</v>
      </c>
      <c r="E42" s="343">
        <v>795717.61</v>
      </c>
      <c r="F42" s="358">
        <v>0</v>
      </c>
      <c r="G42" s="340" t="s">
        <v>730</v>
      </c>
      <c r="H42" s="340" t="s">
        <v>730</v>
      </c>
      <c r="I42" s="358">
        <v>100139438</v>
      </c>
      <c r="J42" s="340" t="s">
        <v>822</v>
      </c>
      <c r="K42" s="340" t="s">
        <v>823</v>
      </c>
      <c r="L42" s="358">
        <v>1984544</v>
      </c>
      <c r="M42" s="358">
        <v>1432</v>
      </c>
      <c r="N42" s="358">
        <v>1</v>
      </c>
      <c r="O42" s="358">
        <v>795717.61</v>
      </c>
      <c r="P42" s="358">
        <v>1</v>
      </c>
      <c r="Q42" s="358">
        <v>0</v>
      </c>
      <c r="R42" s="358">
        <v>795717.61</v>
      </c>
    </row>
    <row r="43" spans="1:18" x14ac:dyDescent="0.3">
      <c r="A43" s="357" t="s">
        <v>828</v>
      </c>
      <c r="B43" s="343">
        <v>2354534.77</v>
      </c>
      <c r="C43" s="343">
        <v>2354534.77</v>
      </c>
      <c r="E43" s="343">
        <v>2354534.77</v>
      </c>
      <c r="F43" s="358">
        <v>0</v>
      </c>
      <c r="G43" s="340" t="s">
        <v>730</v>
      </c>
      <c r="H43" s="340" t="s">
        <v>730</v>
      </c>
      <c r="I43" s="358">
        <v>100139438</v>
      </c>
      <c r="J43" s="340" t="s">
        <v>822</v>
      </c>
      <c r="K43" s="340" t="s">
        <v>823</v>
      </c>
      <c r="L43" s="358">
        <v>1984545</v>
      </c>
      <c r="M43" s="358">
        <v>1433</v>
      </c>
      <c r="N43" s="358">
        <v>1</v>
      </c>
      <c r="O43" s="358">
        <v>2354534.77</v>
      </c>
      <c r="P43" s="358">
        <v>1</v>
      </c>
      <c r="Q43" s="358">
        <v>0</v>
      </c>
      <c r="R43" s="358">
        <v>2354534.77</v>
      </c>
    </row>
    <row r="44" spans="1:18" x14ac:dyDescent="0.3">
      <c r="A44" s="357" t="s">
        <v>829</v>
      </c>
      <c r="B44" s="343">
        <v>564039.38</v>
      </c>
      <c r="C44" s="343">
        <v>564039.38</v>
      </c>
      <c r="E44" s="343">
        <v>564039.38</v>
      </c>
      <c r="F44" s="358">
        <v>0</v>
      </c>
      <c r="G44" s="340" t="s">
        <v>730</v>
      </c>
      <c r="H44" s="340" t="s">
        <v>730</v>
      </c>
      <c r="I44" s="358">
        <v>100139438</v>
      </c>
      <c r="J44" s="340" t="s">
        <v>822</v>
      </c>
      <c r="K44" s="340" t="s">
        <v>823</v>
      </c>
      <c r="L44" s="358">
        <v>1984546</v>
      </c>
      <c r="M44" s="358">
        <v>1434</v>
      </c>
      <c r="N44" s="358">
        <v>1</v>
      </c>
      <c r="O44" s="358">
        <v>564039.38</v>
      </c>
      <c r="P44" s="358">
        <v>1</v>
      </c>
      <c r="Q44" s="358">
        <v>0</v>
      </c>
      <c r="R44" s="358">
        <v>564039.38</v>
      </c>
    </row>
    <row r="45" spans="1:18" x14ac:dyDescent="0.3">
      <c r="A45" s="357" t="s">
        <v>830</v>
      </c>
      <c r="B45" s="343">
        <v>110749.99</v>
      </c>
      <c r="C45" s="343">
        <v>110749.99</v>
      </c>
      <c r="E45" s="343">
        <v>110749.99</v>
      </c>
      <c r="F45" s="358">
        <v>0</v>
      </c>
      <c r="G45" s="340" t="s">
        <v>730</v>
      </c>
      <c r="H45" s="340" t="s">
        <v>730</v>
      </c>
      <c r="I45" s="358">
        <v>100139438</v>
      </c>
      <c r="J45" s="340" t="s">
        <v>822</v>
      </c>
      <c r="K45" s="340" t="s">
        <v>823</v>
      </c>
      <c r="L45" s="358">
        <v>1984548</v>
      </c>
      <c r="M45" s="358">
        <v>1437</v>
      </c>
      <c r="N45" s="358">
        <v>1</v>
      </c>
      <c r="O45" s="358">
        <v>110749.99</v>
      </c>
      <c r="P45" s="358">
        <v>1</v>
      </c>
      <c r="Q45" s="358">
        <v>0</v>
      </c>
      <c r="R45" s="358">
        <v>110749.99</v>
      </c>
    </row>
    <row r="46" spans="1:18" x14ac:dyDescent="0.3">
      <c r="A46" s="357" t="s">
        <v>831</v>
      </c>
      <c r="B46" s="343">
        <v>527979.56999999995</v>
      </c>
      <c r="C46" s="343">
        <v>527979.56999999995</v>
      </c>
      <c r="E46" s="343">
        <v>527979.56999999995</v>
      </c>
      <c r="F46" s="358">
        <v>0</v>
      </c>
      <c r="G46" s="340" t="s">
        <v>730</v>
      </c>
      <c r="H46" s="340" t="s">
        <v>730</v>
      </c>
      <c r="I46" s="358">
        <v>100139438</v>
      </c>
      <c r="J46" s="340" t="s">
        <v>822</v>
      </c>
      <c r="K46" s="340" t="s">
        <v>823</v>
      </c>
      <c r="L46" s="358">
        <v>1984549</v>
      </c>
      <c r="M46" s="358">
        <v>1438</v>
      </c>
      <c r="N46" s="358">
        <v>1</v>
      </c>
      <c r="O46" s="358">
        <v>527979.56999999995</v>
      </c>
      <c r="P46" s="358">
        <v>1</v>
      </c>
      <c r="Q46" s="358">
        <v>0</v>
      </c>
      <c r="R46" s="358">
        <v>527979.56999999995</v>
      </c>
    </row>
    <row r="47" spans="1:18" x14ac:dyDescent="0.3">
      <c r="A47" s="357" t="s">
        <v>832</v>
      </c>
      <c r="B47" s="343">
        <v>56095.21</v>
      </c>
      <c r="C47" s="343">
        <v>56095.21</v>
      </c>
      <c r="E47" s="343">
        <v>56095.21</v>
      </c>
      <c r="F47" s="358">
        <v>0</v>
      </c>
      <c r="G47" s="340" t="s">
        <v>730</v>
      </c>
      <c r="H47" s="340" t="s">
        <v>730</v>
      </c>
      <c r="I47" s="358">
        <v>100139438</v>
      </c>
      <c r="J47" s="340" t="s">
        <v>822</v>
      </c>
      <c r="K47" s="340" t="s">
        <v>823</v>
      </c>
      <c r="L47" s="358">
        <v>2042327</v>
      </c>
      <c r="M47" s="358">
        <v>1439</v>
      </c>
      <c r="N47" s="358">
        <v>1</v>
      </c>
      <c r="O47" s="358">
        <v>56095.21</v>
      </c>
      <c r="P47" s="358">
        <v>1</v>
      </c>
      <c r="Q47" s="358">
        <v>0</v>
      </c>
      <c r="R47" s="358">
        <v>56095.21</v>
      </c>
    </row>
    <row r="48" spans="1:18" x14ac:dyDescent="0.3">
      <c r="A48" s="357" t="s">
        <v>833</v>
      </c>
      <c r="B48" s="343">
        <v>49393.09</v>
      </c>
      <c r="C48" s="343">
        <v>49393.09</v>
      </c>
      <c r="E48" s="343">
        <v>49393.09</v>
      </c>
      <c r="F48" s="358">
        <v>0</v>
      </c>
      <c r="G48" s="340" t="s">
        <v>730</v>
      </c>
      <c r="H48" s="340" t="s">
        <v>730</v>
      </c>
      <c r="I48" s="358">
        <v>100139438</v>
      </c>
      <c r="J48" s="340" t="s">
        <v>822</v>
      </c>
      <c r="K48" s="340" t="s">
        <v>823</v>
      </c>
      <c r="L48" s="358">
        <v>2042333</v>
      </c>
      <c r="M48" s="358">
        <v>1442</v>
      </c>
      <c r="N48" s="358">
        <v>1</v>
      </c>
      <c r="O48" s="358">
        <v>49393.09</v>
      </c>
      <c r="P48" s="358">
        <v>1</v>
      </c>
      <c r="Q48" s="358">
        <v>0</v>
      </c>
      <c r="R48" s="358">
        <v>49393.09</v>
      </c>
    </row>
    <row r="49" spans="1:18" x14ac:dyDescent="0.3">
      <c r="A49" s="357" t="s">
        <v>834</v>
      </c>
      <c r="B49" s="343">
        <v>1058533.79</v>
      </c>
      <c r="C49" s="343">
        <v>1058533.79</v>
      </c>
      <c r="E49" s="343">
        <v>1058533.79</v>
      </c>
      <c r="F49" s="358">
        <v>0</v>
      </c>
      <c r="G49" s="340" t="s">
        <v>730</v>
      </c>
      <c r="H49" s="340" t="s">
        <v>730</v>
      </c>
      <c r="I49" s="358">
        <v>100139438</v>
      </c>
      <c r="J49" s="340" t="s">
        <v>822</v>
      </c>
      <c r="K49" s="340" t="s">
        <v>823</v>
      </c>
      <c r="L49" s="358">
        <v>2042803</v>
      </c>
      <c r="M49" s="358">
        <v>1444</v>
      </c>
      <c r="N49" s="358">
        <v>1</v>
      </c>
      <c r="O49" s="358">
        <v>1058533.79</v>
      </c>
      <c r="P49" s="358">
        <v>1</v>
      </c>
      <c r="Q49" s="358">
        <v>0</v>
      </c>
      <c r="R49" s="358">
        <v>1058533.79</v>
      </c>
    </row>
    <row r="50" spans="1:18" x14ac:dyDescent="0.3">
      <c r="A50" s="357" t="s">
        <v>835</v>
      </c>
      <c r="B50" s="343">
        <v>325060.69</v>
      </c>
      <c r="C50" s="343">
        <v>325060.69</v>
      </c>
      <c r="E50" s="343">
        <v>325060.69</v>
      </c>
      <c r="F50" s="358">
        <v>0</v>
      </c>
      <c r="G50" s="340" t="s">
        <v>730</v>
      </c>
      <c r="H50" s="340" t="s">
        <v>730</v>
      </c>
      <c r="I50" s="358">
        <v>100139438</v>
      </c>
      <c r="J50" s="340" t="s">
        <v>822</v>
      </c>
      <c r="K50" s="340" t="s">
        <v>823</v>
      </c>
      <c r="L50" s="358">
        <v>2042809</v>
      </c>
      <c r="M50" s="358">
        <v>1446</v>
      </c>
      <c r="N50" s="358">
        <v>1</v>
      </c>
      <c r="O50" s="358">
        <v>325060.69</v>
      </c>
      <c r="P50" s="358">
        <v>1</v>
      </c>
      <c r="Q50" s="358">
        <v>0</v>
      </c>
      <c r="R50" s="358">
        <v>325060.69</v>
      </c>
    </row>
    <row r="51" spans="1:18" x14ac:dyDescent="0.3">
      <c r="A51" s="357" t="s">
        <v>836</v>
      </c>
      <c r="B51" s="343">
        <v>171754.5</v>
      </c>
      <c r="C51" s="343">
        <v>171754.5</v>
      </c>
      <c r="E51" s="343">
        <v>171754.5</v>
      </c>
      <c r="F51" s="358">
        <v>0</v>
      </c>
      <c r="G51" s="340" t="s">
        <v>730</v>
      </c>
      <c r="H51" s="340" t="s">
        <v>730</v>
      </c>
      <c r="I51" s="358">
        <v>100139438</v>
      </c>
      <c r="J51" s="340" t="s">
        <v>822</v>
      </c>
      <c r="K51" s="340" t="s">
        <v>823</v>
      </c>
      <c r="L51" s="358">
        <v>2046190</v>
      </c>
      <c r="M51" s="358">
        <v>1451</v>
      </c>
      <c r="N51" s="358">
        <v>1</v>
      </c>
      <c r="O51" s="358">
        <v>171754.5</v>
      </c>
      <c r="P51" s="358">
        <v>1</v>
      </c>
      <c r="Q51" s="358">
        <v>0</v>
      </c>
      <c r="R51" s="358">
        <v>171754.5</v>
      </c>
    </row>
    <row r="52" spans="1:18" x14ac:dyDescent="0.3">
      <c r="A52" s="357" t="s">
        <v>837</v>
      </c>
      <c r="B52" s="343">
        <v>1472048.81</v>
      </c>
      <c r="C52" s="343">
        <v>1472048.81</v>
      </c>
      <c r="E52" s="343">
        <v>1472048.81</v>
      </c>
      <c r="F52" s="358">
        <v>0</v>
      </c>
      <c r="G52" s="340" t="s">
        <v>730</v>
      </c>
      <c r="H52" s="340" t="s">
        <v>730</v>
      </c>
      <c r="I52" s="358">
        <v>100139438</v>
      </c>
      <c r="J52" s="340" t="s">
        <v>822</v>
      </c>
      <c r="K52" s="340" t="s">
        <v>823</v>
      </c>
      <c r="L52" s="358">
        <v>161911</v>
      </c>
      <c r="M52" s="358">
        <v>1460</v>
      </c>
      <c r="N52" s="358">
        <v>1</v>
      </c>
      <c r="O52" s="358">
        <v>1472048.81</v>
      </c>
      <c r="P52" s="358">
        <v>1</v>
      </c>
      <c r="Q52" s="358">
        <v>0</v>
      </c>
      <c r="R52" s="358">
        <v>1472048.81</v>
      </c>
    </row>
    <row r="53" spans="1:18" x14ac:dyDescent="0.3">
      <c r="A53" s="357" t="s">
        <v>838</v>
      </c>
      <c r="B53" s="343">
        <v>60906.59</v>
      </c>
      <c r="C53" s="343">
        <v>60906.59</v>
      </c>
      <c r="E53" s="343">
        <v>60906.59</v>
      </c>
      <c r="F53" s="358">
        <v>0</v>
      </c>
      <c r="G53" s="340" t="s">
        <v>730</v>
      </c>
      <c r="H53" s="340" t="s">
        <v>730</v>
      </c>
      <c r="I53" s="358">
        <v>100139438</v>
      </c>
      <c r="J53" s="340" t="s">
        <v>822</v>
      </c>
      <c r="K53" s="340" t="s">
        <v>823</v>
      </c>
      <c r="L53" s="358">
        <v>2046142</v>
      </c>
      <c r="M53" s="358">
        <v>1461</v>
      </c>
      <c r="N53" s="358">
        <v>1</v>
      </c>
      <c r="O53" s="358">
        <v>60906.59</v>
      </c>
      <c r="P53" s="358">
        <v>1</v>
      </c>
      <c r="Q53" s="358">
        <v>0</v>
      </c>
      <c r="R53" s="358">
        <v>60906.59</v>
      </c>
    </row>
    <row r="54" spans="1:18" x14ac:dyDescent="0.3">
      <c r="A54" s="357" t="s">
        <v>839</v>
      </c>
      <c r="B54" s="343">
        <v>1503876</v>
      </c>
      <c r="C54" s="343">
        <v>1503876</v>
      </c>
      <c r="E54" s="343">
        <v>1503876</v>
      </c>
      <c r="F54" s="358">
        <v>0</v>
      </c>
      <c r="G54" s="340" t="s">
        <v>730</v>
      </c>
      <c r="H54" s="340" t="s">
        <v>730</v>
      </c>
      <c r="I54" s="358">
        <v>100139438</v>
      </c>
      <c r="J54" s="340" t="s">
        <v>822</v>
      </c>
      <c r="K54" s="340" t="s">
        <v>823</v>
      </c>
      <c r="L54" s="358">
        <v>2046136</v>
      </c>
      <c r="M54" s="358">
        <v>1469</v>
      </c>
      <c r="N54" s="358">
        <v>1</v>
      </c>
      <c r="O54" s="358">
        <v>1503876</v>
      </c>
      <c r="P54" s="358">
        <v>1</v>
      </c>
      <c r="Q54" s="358">
        <v>0</v>
      </c>
      <c r="R54" s="358">
        <v>1503876</v>
      </c>
    </row>
    <row r="55" spans="1:18" x14ac:dyDescent="0.3">
      <c r="A55" s="357" t="s">
        <v>840</v>
      </c>
      <c r="B55" s="343">
        <v>5057122.26</v>
      </c>
      <c r="C55" s="343">
        <v>5057122.26</v>
      </c>
      <c r="E55" s="343">
        <v>5057122.26</v>
      </c>
      <c r="F55" s="358">
        <v>0</v>
      </c>
      <c r="G55" s="340" t="s">
        <v>730</v>
      </c>
      <c r="H55" s="340" t="s">
        <v>730</v>
      </c>
      <c r="I55" s="358">
        <v>100139438</v>
      </c>
      <c r="J55" s="340" t="s">
        <v>822</v>
      </c>
      <c r="K55" s="340" t="s">
        <v>823</v>
      </c>
      <c r="L55" s="358">
        <v>161913</v>
      </c>
      <c r="M55" s="358">
        <v>1470</v>
      </c>
      <c r="N55" s="358">
        <v>1</v>
      </c>
      <c r="O55" s="358">
        <v>5057122.26</v>
      </c>
      <c r="P55" s="358">
        <v>1</v>
      </c>
      <c r="Q55" s="358">
        <v>0</v>
      </c>
      <c r="R55" s="358">
        <v>5057122.26</v>
      </c>
    </row>
    <row r="56" spans="1:18" x14ac:dyDescent="0.3">
      <c r="A56" s="357" t="s">
        <v>841</v>
      </c>
      <c r="B56" s="343">
        <v>768540</v>
      </c>
      <c r="C56" s="343">
        <v>768540</v>
      </c>
      <c r="E56" s="343">
        <v>768540</v>
      </c>
      <c r="F56" s="358">
        <v>0</v>
      </c>
      <c r="G56" s="340" t="s">
        <v>730</v>
      </c>
      <c r="H56" s="340" t="s">
        <v>730</v>
      </c>
      <c r="I56" s="358">
        <v>100139438</v>
      </c>
      <c r="J56" s="340" t="s">
        <v>822</v>
      </c>
      <c r="K56" s="340" t="s">
        <v>823</v>
      </c>
      <c r="L56" s="358">
        <v>2043072</v>
      </c>
      <c r="M56" s="358">
        <v>1476</v>
      </c>
      <c r="N56" s="358">
        <v>1</v>
      </c>
      <c r="O56" s="358">
        <v>768540</v>
      </c>
      <c r="P56" s="358">
        <v>1</v>
      </c>
      <c r="Q56" s="358">
        <v>0</v>
      </c>
      <c r="R56" s="358">
        <v>768540</v>
      </c>
    </row>
    <row r="57" spans="1:18" x14ac:dyDescent="0.3">
      <c r="A57" s="357" t="s">
        <v>842</v>
      </c>
      <c r="B57" s="343">
        <v>344575.85</v>
      </c>
      <c r="C57" s="343">
        <v>344575.85</v>
      </c>
      <c r="E57" s="343">
        <v>344575.85</v>
      </c>
      <c r="F57" s="358">
        <v>0</v>
      </c>
      <c r="G57" s="340" t="s">
        <v>730</v>
      </c>
      <c r="H57" s="340" t="s">
        <v>730</v>
      </c>
      <c r="I57" s="358">
        <v>100139438</v>
      </c>
      <c r="J57" s="340" t="s">
        <v>822</v>
      </c>
      <c r="K57" s="340" t="s">
        <v>823</v>
      </c>
      <c r="L57" s="358">
        <v>2046098</v>
      </c>
      <c r="M57" s="358">
        <v>1473</v>
      </c>
      <c r="N57" s="358">
        <v>1</v>
      </c>
      <c r="O57" s="358">
        <v>344575.85</v>
      </c>
      <c r="P57" s="358">
        <v>1</v>
      </c>
      <c r="Q57" s="358">
        <v>0</v>
      </c>
      <c r="R57" s="358">
        <v>344575.85</v>
      </c>
    </row>
    <row r="58" spans="1:18" x14ac:dyDescent="0.3">
      <c r="A58" s="344" t="s">
        <v>820</v>
      </c>
      <c r="B58" s="352">
        <f>SUM(B38:B57)</f>
        <v>132925653.67999999</v>
      </c>
      <c r="C58" s="352">
        <f>SUM(C38:C57)</f>
        <v>132925653.67999999</v>
      </c>
      <c r="E58" s="352">
        <f>SUM(E38:E57)</f>
        <v>132925653.67999999</v>
      </c>
      <c r="F58" s="359">
        <v>0</v>
      </c>
      <c r="G58" s="340"/>
      <c r="H58" s="340"/>
      <c r="I58" s="358"/>
      <c r="J58" s="340"/>
      <c r="K58" s="340"/>
      <c r="L58" s="358"/>
      <c r="M58" s="358"/>
      <c r="N58" s="358"/>
      <c r="O58" s="358"/>
      <c r="P58" s="358"/>
      <c r="Q58" s="358"/>
      <c r="R58" s="358"/>
    </row>
    <row r="59" spans="1:18" x14ac:dyDescent="0.3">
      <c r="B59" s="343"/>
      <c r="C59" s="343"/>
      <c r="E59" s="343"/>
      <c r="F59" s="358"/>
      <c r="G59" s="340"/>
      <c r="H59" s="340"/>
      <c r="I59" s="358"/>
      <c r="J59" s="340"/>
      <c r="K59" s="340"/>
      <c r="L59" s="358"/>
      <c r="M59" s="358"/>
      <c r="N59" s="358"/>
      <c r="O59" s="358"/>
      <c r="P59" s="358"/>
      <c r="Q59" s="358"/>
      <c r="R59" s="358"/>
    </row>
    <row r="60" spans="1:18" x14ac:dyDescent="0.3">
      <c r="A60" s="356" t="s">
        <v>843</v>
      </c>
      <c r="B60" s="343"/>
      <c r="C60" s="343"/>
      <c r="E60" s="343"/>
      <c r="F60" s="358"/>
      <c r="G60" s="340"/>
      <c r="H60" s="340"/>
      <c r="I60" s="358"/>
      <c r="J60" s="340"/>
      <c r="K60" s="340"/>
      <c r="L60" s="358"/>
      <c r="M60" s="358"/>
      <c r="N60" s="358"/>
      <c r="O60" s="358"/>
      <c r="P60" s="358"/>
      <c r="Q60" s="358"/>
      <c r="R60" s="358"/>
    </row>
    <row r="61" spans="1:18" x14ac:dyDescent="0.3">
      <c r="A61" s="357" t="s">
        <v>844</v>
      </c>
      <c r="B61" s="343">
        <v>-4569767.33</v>
      </c>
      <c r="C61" s="343">
        <v>-4569767.33</v>
      </c>
      <c r="E61" s="343">
        <v>-4569767.33</v>
      </c>
      <c r="F61" s="358">
        <v>0</v>
      </c>
      <c r="G61" s="340" t="s">
        <v>730</v>
      </c>
      <c r="H61" s="340" t="s">
        <v>730</v>
      </c>
      <c r="I61" s="358">
        <v>100139438</v>
      </c>
      <c r="J61" s="340" t="s">
        <v>845</v>
      </c>
      <c r="K61" s="340" t="s">
        <v>846</v>
      </c>
      <c r="L61" s="358">
        <v>2043717</v>
      </c>
      <c r="M61" s="358">
        <v>1467</v>
      </c>
      <c r="N61" s="358">
        <v>1</v>
      </c>
      <c r="O61" s="358">
        <v>-4569767.33</v>
      </c>
      <c r="P61" s="358">
        <v>-1</v>
      </c>
      <c r="Q61" s="358">
        <v>0</v>
      </c>
      <c r="R61" s="358">
        <v>-4569767.33</v>
      </c>
    </row>
    <row r="62" spans="1:18" x14ac:dyDescent="0.3">
      <c r="A62" s="344" t="s">
        <v>843</v>
      </c>
      <c r="B62" s="352">
        <f>SUM(B61:B61)</f>
        <v>-4569767.33</v>
      </c>
      <c r="C62" s="352">
        <f>SUM(C61:C61)</f>
        <v>-4569767.33</v>
      </c>
      <c r="E62" s="352">
        <f>SUM(E61:E61)</f>
        <v>-4569767.33</v>
      </c>
      <c r="F62" s="359">
        <v>0</v>
      </c>
      <c r="G62" s="340"/>
      <c r="H62" s="340"/>
      <c r="I62" s="358"/>
      <c r="J62" s="340"/>
      <c r="K62" s="340"/>
      <c r="L62" s="358"/>
      <c r="M62" s="358"/>
      <c r="N62" s="358"/>
      <c r="O62" s="358"/>
      <c r="P62" s="358"/>
      <c r="Q62" s="358"/>
      <c r="R62" s="358"/>
    </row>
    <row r="63" spans="1:18" x14ac:dyDescent="0.3">
      <c r="B63" s="343"/>
      <c r="C63" s="343"/>
      <c r="E63" s="343"/>
      <c r="F63" s="358"/>
      <c r="G63" s="340"/>
      <c r="H63" s="340"/>
      <c r="I63" s="358"/>
      <c r="J63" s="340"/>
      <c r="K63" s="340"/>
      <c r="L63" s="358"/>
      <c r="M63" s="358"/>
      <c r="N63" s="358"/>
      <c r="O63" s="358"/>
      <c r="P63" s="358"/>
      <c r="Q63" s="358"/>
      <c r="R63" s="358"/>
    </row>
    <row r="64" spans="1:18" x14ac:dyDescent="0.3">
      <c r="A64" s="344" t="s">
        <v>820</v>
      </c>
      <c r="B64" s="352">
        <f>SUM(B38:B57)+SUM(B61:B61)</f>
        <v>128355886.34999999</v>
      </c>
      <c r="C64" s="352">
        <f>SUM(C38:C57)+SUM(C61:C61)</f>
        <v>128355886.34999999</v>
      </c>
      <c r="E64" s="352">
        <f>SUM(E38:E57)+SUM(E61:E61)</f>
        <v>128355886.34999999</v>
      </c>
      <c r="F64" s="359">
        <v>0</v>
      </c>
      <c r="G64" s="340"/>
      <c r="H64" s="340"/>
      <c r="I64" s="358"/>
      <c r="J64" s="340"/>
      <c r="K64" s="340"/>
      <c r="L64" s="358"/>
      <c r="M64" s="358"/>
      <c r="N64" s="358"/>
      <c r="O64" s="358"/>
      <c r="P64" s="358"/>
      <c r="Q64" s="358"/>
      <c r="R64" s="358"/>
    </row>
    <row r="65" spans="1:18" x14ac:dyDescent="0.3">
      <c r="B65" s="343"/>
      <c r="C65" s="343"/>
      <c r="E65" s="343"/>
      <c r="F65" s="358"/>
      <c r="G65" s="340"/>
      <c r="H65" s="340"/>
      <c r="I65" s="358"/>
      <c r="J65" s="340"/>
      <c r="K65" s="340"/>
      <c r="L65" s="358"/>
      <c r="M65" s="358"/>
      <c r="N65" s="358"/>
      <c r="O65" s="358"/>
      <c r="P65" s="358"/>
      <c r="Q65" s="358"/>
      <c r="R65" s="358"/>
    </row>
    <row r="66" spans="1:18" x14ac:dyDescent="0.3">
      <c r="A66" s="355" t="s">
        <v>847</v>
      </c>
      <c r="B66" s="343"/>
      <c r="C66" s="343"/>
      <c r="E66" s="343"/>
      <c r="F66" s="358"/>
      <c r="G66" s="340"/>
      <c r="H66" s="340"/>
      <c r="I66" s="358"/>
      <c r="J66" s="340"/>
      <c r="K66" s="340"/>
      <c r="L66" s="358"/>
      <c r="M66" s="358"/>
      <c r="N66" s="358"/>
      <c r="O66" s="358"/>
      <c r="P66" s="358"/>
      <c r="Q66" s="358"/>
      <c r="R66" s="358"/>
    </row>
    <row r="67" spans="1:18" x14ac:dyDescent="0.3">
      <c r="A67" s="360" t="s">
        <v>848</v>
      </c>
      <c r="B67" s="343">
        <v>0</v>
      </c>
      <c r="C67" s="343">
        <v>22.99</v>
      </c>
      <c r="E67" s="343">
        <v>22.99</v>
      </c>
      <c r="F67" s="358">
        <v>0</v>
      </c>
      <c r="G67" s="340" t="s">
        <v>730</v>
      </c>
      <c r="H67" s="340" t="s">
        <v>730</v>
      </c>
      <c r="I67" s="358">
        <v>100139438</v>
      </c>
      <c r="J67" s="340" t="s">
        <v>849</v>
      </c>
      <c r="K67" s="340" t="s">
        <v>850</v>
      </c>
      <c r="L67" s="358">
        <v>161921</v>
      </c>
      <c r="M67" s="358">
        <v>1999</v>
      </c>
      <c r="N67" s="358">
        <v>1</v>
      </c>
      <c r="O67" s="358">
        <v>22.99</v>
      </c>
      <c r="P67" s="358">
        <v>1</v>
      </c>
      <c r="Q67" s="358">
        <v>0</v>
      </c>
      <c r="R67" s="358">
        <v>0</v>
      </c>
    </row>
    <row r="68" spans="1:18" x14ac:dyDescent="0.3">
      <c r="A68" s="344" t="s">
        <v>847</v>
      </c>
      <c r="B68" s="352">
        <f>SUM(B67:B67)</f>
        <v>0</v>
      </c>
      <c r="C68" s="352">
        <f>SUM(C67:C67)</f>
        <v>22.99</v>
      </c>
      <c r="E68" s="352">
        <f>SUM(E67:E67)</f>
        <v>22.99</v>
      </c>
      <c r="F68" s="359">
        <v>0</v>
      </c>
      <c r="G68" s="340"/>
      <c r="H68" s="340"/>
      <c r="I68" s="358"/>
      <c r="J68" s="340"/>
      <c r="K68" s="340"/>
      <c r="L68" s="358"/>
      <c r="M68" s="358"/>
      <c r="N68" s="358"/>
      <c r="O68" s="358"/>
      <c r="P68" s="358"/>
      <c r="Q68" s="358"/>
      <c r="R68" s="358"/>
    </row>
    <row r="69" spans="1:18" x14ac:dyDescent="0.3">
      <c r="B69" s="343"/>
      <c r="C69" s="343"/>
      <c r="E69" s="343"/>
      <c r="F69" s="358"/>
      <c r="G69" s="340"/>
      <c r="H69" s="340"/>
      <c r="I69" s="358"/>
      <c r="J69" s="340"/>
      <c r="K69" s="340"/>
      <c r="L69" s="358"/>
      <c r="M69" s="358"/>
      <c r="N69" s="358"/>
      <c r="O69" s="358"/>
      <c r="P69" s="358"/>
      <c r="Q69" s="358"/>
      <c r="R69" s="358"/>
    </row>
    <row r="70" spans="1:18" ht="15" thickBot="1" x14ac:dyDescent="0.35">
      <c r="A70" s="344" t="s">
        <v>795</v>
      </c>
      <c r="B70" s="345">
        <f>SUM(B11:B14)+SUM(B18:B20)+SUM(B24:B26)+SUM(B30:B31)+SUM(B38:B57)+SUM(B61:B61)+SUM(B67:B67)</f>
        <v>131464000.54000001</v>
      </c>
      <c r="C70" s="345">
        <f>SUM(C11:C14)+SUM(C18:C20)+SUM(C24:C26)+SUM(C30:C31)+SUM(C38:C57)+SUM(C61:C61)+SUM(C67:C67)</f>
        <v>131688540.13999999</v>
      </c>
      <c r="E70" s="345">
        <f>SUM(E11:E14)+SUM(E18:E20)+SUM(E24:E26)+SUM(E30:E31)+SUM(E38:E57)+SUM(E61:E61)+SUM(E67:E67)</f>
        <v>131688540.13999999</v>
      </c>
      <c r="F70" s="361">
        <v>0</v>
      </c>
      <c r="G70" s="340"/>
      <c r="H70" s="340"/>
      <c r="I70" s="358"/>
      <c r="J70" s="340"/>
      <c r="K70" s="340"/>
      <c r="L70" s="358"/>
      <c r="M70" s="358"/>
      <c r="N70" s="358"/>
      <c r="O70" s="358"/>
      <c r="P70" s="358"/>
      <c r="Q70" s="358"/>
      <c r="R70" s="358"/>
    </row>
    <row r="71" spans="1:18" ht="15" thickTop="1" x14ac:dyDescent="0.3">
      <c r="B71" s="343"/>
      <c r="C71" s="343"/>
      <c r="E71" s="343"/>
      <c r="F71" s="358"/>
      <c r="G71" s="340"/>
      <c r="H71" s="340"/>
      <c r="I71" s="358"/>
      <c r="J71" s="340"/>
      <c r="K71" s="340"/>
      <c r="L71" s="358"/>
      <c r="M71" s="358"/>
      <c r="N71" s="358"/>
      <c r="O71" s="358"/>
      <c r="P71" s="358"/>
      <c r="Q71" s="358"/>
      <c r="R71" s="358"/>
    </row>
    <row r="72" spans="1:18" x14ac:dyDescent="0.3">
      <c r="A72" s="349" t="s">
        <v>851</v>
      </c>
      <c r="B72" s="343"/>
      <c r="C72" s="343"/>
      <c r="E72" s="343"/>
      <c r="F72" s="358"/>
      <c r="G72" s="340"/>
      <c r="H72" s="340"/>
      <c r="I72" s="358"/>
      <c r="J72" s="340"/>
      <c r="K72" s="340"/>
      <c r="L72" s="358"/>
      <c r="M72" s="358"/>
      <c r="N72" s="358"/>
      <c r="O72" s="358"/>
      <c r="P72" s="358"/>
      <c r="Q72" s="358"/>
      <c r="R72" s="358"/>
    </row>
    <row r="73" spans="1:18" x14ac:dyDescent="0.3">
      <c r="A73" s="355" t="s">
        <v>852</v>
      </c>
      <c r="B73" s="343"/>
      <c r="C73" s="343"/>
      <c r="E73" s="343"/>
      <c r="F73" s="358"/>
      <c r="G73" s="340"/>
      <c r="H73" s="340"/>
      <c r="I73" s="358"/>
      <c r="J73" s="340"/>
      <c r="K73" s="340"/>
      <c r="L73" s="358"/>
      <c r="M73" s="358"/>
      <c r="N73" s="358"/>
      <c r="O73" s="358"/>
      <c r="P73" s="358"/>
      <c r="Q73" s="358"/>
      <c r="R73" s="358"/>
    </row>
    <row r="74" spans="1:18" x14ac:dyDescent="0.3">
      <c r="A74" s="356" t="s">
        <v>853</v>
      </c>
      <c r="B74" s="343"/>
      <c r="C74" s="343"/>
      <c r="E74" s="343"/>
      <c r="F74" s="358"/>
      <c r="G74" s="340"/>
      <c r="H74" s="340"/>
      <c r="I74" s="358"/>
      <c r="J74" s="340"/>
      <c r="K74" s="340"/>
      <c r="L74" s="358"/>
      <c r="M74" s="358"/>
      <c r="N74" s="358"/>
      <c r="O74" s="358"/>
      <c r="P74" s="358"/>
      <c r="Q74" s="358"/>
      <c r="R74" s="358"/>
    </row>
    <row r="75" spans="1:18" x14ac:dyDescent="0.3">
      <c r="A75" s="357" t="s">
        <v>854</v>
      </c>
      <c r="B75" s="343">
        <v>742440.73</v>
      </c>
      <c r="C75" s="343">
        <v>872805.4</v>
      </c>
      <c r="E75" s="343">
        <v>872805.4</v>
      </c>
      <c r="F75" s="358">
        <v>0</v>
      </c>
      <c r="G75" s="340" t="s">
        <v>730</v>
      </c>
      <c r="H75" s="340" t="s">
        <v>730</v>
      </c>
      <c r="I75" s="358">
        <v>100139438</v>
      </c>
      <c r="J75" s="340" t="s">
        <v>855</v>
      </c>
      <c r="K75" s="340" t="s">
        <v>856</v>
      </c>
      <c r="L75" s="358">
        <v>158890</v>
      </c>
      <c r="M75" s="358">
        <v>2001</v>
      </c>
      <c r="N75" s="358">
        <v>1</v>
      </c>
      <c r="O75" s="358">
        <v>872805.4</v>
      </c>
      <c r="P75" s="358">
        <v>1</v>
      </c>
      <c r="Q75" s="358">
        <v>0</v>
      </c>
      <c r="R75" s="358">
        <v>742440.73</v>
      </c>
    </row>
    <row r="76" spans="1:18" x14ac:dyDescent="0.3">
      <c r="A76" s="357" t="s">
        <v>857</v>
      </c>
      <c r="B76" s="343">
        <v>346219.24</v>
      </c>
      <c r="C76" s="343">
        <v>272267.28000000003</v>
      </c>
      <c r="E76" s="343">
        <v>272267.28000000003</v>
      </c>
      <c r="F76" s="358">
        <v>0</v>
      </c>
      <c r="G76" s="340" t="s">
        <v>730</v>
      </c>
      <c r="H76" s="340" t="s">
        <v>730</v>
      </c>
      <c r="I76" s="358">
        <v>100139438</v>
      </c>
      <c r="J76" s="340" t="s">
        <v>855</v>
      </c>
      <c r="K76" s="340" t="s">
        <v>856</v>
      </c>
      <c r="L76" s="358">
        <v>158910</v>
      </c>
      <c r="M76" s="358">
        <v>2002</v>
      </c>
      <c r="N76" s="358">
        <v>1</v>
      </c>
      <c r="O76" s="358">
        <v>272267.28000000003</v>
      </c>
      <c r="P76" s="358">
        <v>1</v>
      </c>
      <c r="Q76" s="358">
        <v>0</v>
      </c>
      <c r="R76" s="358">
        <v>346219.24</v>
      </c>
    </row>
    <row r="77" spans="1:18" x14ac:dyDescent="0.3">
      <c r="A77" s="357" t="s">
        <v>858</v>
      </c>
      <c r="B77" s="343">
        <v>50405.96</v>
      </c>
      <c r="C77" s="343">
        <v>13021.36</v>
      </c>
      <c r="E77" s="343">
        <v>13021.36</v>
      </c>
      <c r="F77" s="358">
        <v>0</v>
      </c>
      <c r="G77" s="340" t="s">
        <v>730</v>
      </c>
      <c r="H77" s="340" t="s">
        <v>730</v>
      </c>
      <c r="I77" s="358">
        <v>100139438</v>
      </c>
      <c r="J77" s="340" t="s">
        <v>855</v>
      </c>
      <c r="K77" s="340" t="s">
        <v>856</v>
      </c>
      <c r="L77" s="358">
        <v>158914</v>
      </c>
      <c r="M77" s="358">
        <v>2018</v>
      </c>
      <c r="N77" s="358">
        <v>1</v>
      </c>
      <c r="O77" s="358">
        <v>13021.36</v>
      </c>
      <c r="P77" s="358">
        <v>1</v>
      </c>
      <c r="Q77" s="358">
        <v>0</v>
      </c>
      <c r="R77" s="358">
        <v>50405.96</v>
      </c>
    </row>
    <row r="78" spans="1:18" x14ac:dyDescent="0.3">
      <c r="A78" s="357" t="s">
        <v>859</v>
      </c>
      <c r="B78" s="343">
        <v>10297.76</v>
      </c>
      <c r="C78" s="343">
        <v>0</v>
      </c>
      <c r="E78" s="343">
        <v>0</v>
      </c>
      <c r="F78" s="358">
        <v>0</v>
      </c>
      <c r="G78" s="340" t="s">
        <v>730</v>
      </c>
      <c r="H78" s="340" t="s">
        <v>730</v>
      </c>
      <c r="I78" s="358">
        <v>100139438</v>
      </c>
      <c r="J78" s="340" t="s">
        <v>855</v>
      </c>
      <c r="K78" s="340" t="s">
        <v>856</v>
      </c>
      <c r="L78" s="358">
        <v>161929</v>
      </c>
      <c r="M78" s="358">
        <v>2050</v>
      </c>
      <c r="N78" s="358">
        <v>1</v>
      </c>
      <c r="O78" s="358">
        <v>0</v>
      </c>
      <c r="P78" s="358">
        <v>0</v>
      </c>
      <c r="Q78" s="358">
        <v>0</v>
      </c>
      <c r="R78" s="358">
        <v>10297.76</v>
      </c>
    </row>
    <row r="79" spans="1:18" x14ac:dyDescent="0.3">
      <c r="A79" s="357" t="s">
        <v>860</v>
      </c>
      <c r="B79" s="343">
        <v>657400.43999999994</v>
      </c>
      <c r="C79" s="343">
        <v>657400.43999999994</v>
      </c>
      <c r="E79" s="343">
        <v>657400.43999999994</v>
      </c>
      <c r="F79" s="358">
        <v>0</v>
      </c>
      <c r="G79" s="340" t="s">
        <v>730</v>
      </c>
      <c r="H79" s="340" t="s">
        <v>730</v>
      </c>
      <c r="I79" s="358">
        <v>100139438</v>
      </c>
      <c r="J79" s="340" t="s">
        <v>855</v>
      </c>
      <c r="K79" s="340" t="s">
        <v>856</v>
      </c>
      <c r="L79" s="358">
        <v>158922</v>
      </c>
      <c r="M79" s="358">
        <v>2060</v>
      </c>
      <c r="N79" s="358">
        <v>1</v>
      </c>
      <c r="O79" s="358">
        <v>657400.43999999994</v>
      </c>
      <c r="P79" s="358">
        <v>1</v>
      </c>
      <c r="Q79" s="358">
        <v>0</v>
      </c>
      <c r="R79" s="358">
        <v>657400.43999999994</v>
      </c>
    </row>
    <row r="80" spans="1:18" x14ac:dyDescent="0.3">
      <c r="A80" s="357" t="s">
        <v>861</v>
      </c>
      <c r="B80" s="343">
        <v>384654.64</v>
      </c>
      <c r="C80" s="343">
        <v>0</v>
      </c>
      <c r="E80" s="343">
        <v>0</v>
      </c>
      <c r="F80" s="358">
        <v>0</v>
      </c>
      <c r="G80" s="340" t="s">
        <v>730</v>
      </c>
      <c r="H80" s="340" t="s">
        <v>730</v>
      </c>
      <c r="I80" s="358">
        <v>100139438</v>
      </c>
      <c r="J80" s="340" t="s">
        <v>855</v>
      </c>
      <c r="K80" s="340" t="s">
        <v>856</v>
      </c>
      <c r="L80" s="358">
        <v>161931</v>
      </c>
      <c r="M80" s="358">
        <v>2065</v>
      </c>
      <c r="N80" s="358">
        <v>1</v>
      </c>
      <c r="O80" s="358">
        <v>0</v>
      </c>
      <c r="P80" s="358">
        <v>0</v>
      </c>
      <c r="Q80" s="358">
        <v>0</v>
      </c>
      <c r="R80" s="358">
        <v>384654.64</v>
      </c>
    </row>
    <row r="81" spans="1:18" x14ac:dyDescent="0.3">
      <c r="A81" s="357" t="s">
        <v>862</v>
      </c>
      <c r="B81" s="343">
        <v>85776</v>
      </c>
      <c r="C81" s="343">
        <v>84926</v>
      </c>
      <c r="E81" s="343">
        <v>84926</v>
      </c>
      <c r="F81" s="358">
        <v>0</v>
      </c>
      <c r="G81" s="340" t="s">
        <v>730</v>
      </c>
      <c r="H81" s="340" t="s">
        <v>730</v>
      </c>
      <c r="I81" s="358">
        <v>100139438</v>
      </c>
      <c r="J81" s="340" t="s">
        <v>855</v>
      </c>
      <c r="K81" s="340" t="s">
        <v>856</v>
      </c>
      <c r="L81" s="358">
        <v>158920</v>
      </c>
      <c r="M81" s="358">
        <v>2501</v>
      </c>
      <c r="N81" s="358">
        <v>1</v>
      </c>
      <c r="O81" s="358">
        <v>84926</v>
      </c>
      <c r="P81" s="358">
        <v>1</v>
      </c>
      <c r="Q81" s="358">
        <v>0</v>
      </c>
      <c r="R81" s="358">
        <v>85776</v>
      </c>
    </row>
    <row r="82" spans="1:18" x14ac:dyDescent="0.3">
      <c r="A82" s="344" t="s">
        <v>853</v>
      </c>
      <c r="B82" s="352">
        <f>SUM(B75:B81)</f>
        <v>2277194.77</v>
      </c>
      <c r="C82" s="352">
        <f>SUM(C75:C81)</f>
        <v>1900420.4800000002</v>
      </c>
      <c r="E82" s="352">
        <f>SUM(E75:E81)</f>
        <v>1900420.4800000002</v>
      </c>
      <c r="F82" s="359">
        <v>0</v>
      </c>
      <c r="G82" s="340"/>
      <c r="H82" s="340"/>
      <c r="I82" s="358"/>
      <c r="J82" s="340"/>
      <c r="K82" s="340"/>
      <c r="L82" s="358"/>
      <c r="M82" s="358"/>
      <c r="N82" s="358"/>
      <c r="O82" s="358"/>
      <c r="P82" s="358"/>
      <c r="Q82" s="358"/>
      <c r="R82" s="358"/>
    </row>
    <row r="83" spans="1:18" x14ac:dyDescent="0.3">
      <c r="B83" s="343"/>
      <c r="C83" s="343"/>
      <c r="E83" s="343"/>
      <c r="F83" s="358"/>
      <c r="G83" s="340"/>
      <c r="H83" s="340"/>
      <c r="I83" s="358"/>
      <c r="J83" s="340"/>
      <c r="K83" s="340"/>
      <c r="L83" s="358"/>
      <c r="M83" s="358"/>
      <c r="N83" s="358"/>
      <c r="O83" s="358"/>
      <c r="P83" s="358"/>
      <c r="Q83" s="358"/>
      <c r="R83" s="358"/>
    </row>
    <row r="84" spans="1:18" x14ac:dyDescent="0.3">
      <c r="A84" s="356" t="s">
        <v>863</v>
      </c>
      <c r="B84" s="343"/>
      <c r="C84" s="343"/>
      <c r="E84" s="343"/>
      <c r="F84" s="358"/>
      <c r="G84" s="340"/>
      <c r="H84" s="340"/>
      <c r="I84" s="358"/>
      <c r="J84" s="340"/>
      <c r="K84" s="340"/>
      <c r="L84" s="358"/>
      <c r="M84" s="358"/>
      <c r="N84" s="358"/>
      <c r="O84" s="358"/>
      <c r="P84" s="358"/>
      <c r="Q84" s="358"/>
      <c r="R84" s="358"/>
    </row>
    <row r="85" spans="1:18" x14ac:dyDescent="0.3">
      <c r="A85" s="357" t="s">
        <v>864</v>
      </c>
      <c r="B85" s="343">
        <v>65012051.829999998</v>
      </c>
      <c r="C85" s="343">
        <v>65012051.829999998</v>
      </c>
      <c r="E85" s="343">
        <v>65012051.829999998</v>
      </c>
      <c r="F85" s="358">
        <v>0</v>
      </c>
      <c r="G85" s="340" t="s">
        <v>730</v>
      </c>
      <c r="H85" s="340" t="s">
        <v>730</v>
      </c>
      <c r="I85" s="358">
        <v>100139438</v>
      </c>
      <c r="J85" s="340" t="s">
        <v>865</v>
      </c>
      <c r="K85" s="340" t="s">
        <v>866</v>
      </c>
      <c r="L85" s="358">
        <v>158908</v>
      </c>
      <c r="M85" s="358">
        <v>2110</v>
      </c>
      <c r="N85" s="358">
        <v>1</v>
      </c>
      <c r="O85" s="358">
        <v>65012051.829999998</v>
      </c>
      <c r="P85" s="358">
        <v>1</v>
      </c>
      <c r="Q85" s="358">
        <v>0</v>
      </c>
      <c r="R85" s="358">
        <v>65012051.829999998</v>
      </c>
    </row>
    <row r="86" spans="1:18" x14ac:dyDescent="0.3">
      <c r="A86" s="344" t="s">
        <v>863</v>
      </c>
      <c r="B86" s="352">
        <f>SUM(B85:B85)</f>
        <v>65012051.829999998</v>
      </c>
      <c r="C86" s="352">
        <f>SUM(C85:C85)</f>
        <v>65012051.829999998</v>
      </c>
      <c r="E86" s="352">
        <f>SUM(E85:E85)</f>
        <v>65012051.829999998</v>
      </c>
      <c r="F86" s="359">
        <v>0</v>
      </c>
      <c r="G86" s="340"/>
      <c r="H86" s="340"/>
      <c r="I86" s="358"/>
      <c r="J86" s="340"/>
      <c r="K86" s="340"/>
      <c r="L86" s="358"/>
      <c r="M86" s="358"/>
      <c r="N86" s="358"/>
      <c r="O86" s="358"/>
      <c r="P86" s="358"/>
      <c r="Q86" s="358"/>
      <c r="R86" s="358"/>
    </row>
    <row r="87" spans="1:18" x14ac:dyDescent="0.3">
      <c r="B87" s="343"/>
      <c r="C87" s="343"/>
      <c r="E87" s="343"/>
      <c r="F87" s="358"/>
      <c r="G87" s="340"/>
      <c r="H87" s="340"/>
      <c r="I87" s="358"/>
      <c r="J87" s="340"/>
      <c r="K87" s="340"/>
      <c r="L87" s="358"/>
      <c r="M87" s="358"/>
      <c r="N87" s="358"/>
      <c r="O87" s="358"/>
      <c r="P87" s="358"/>
      <c r="Q87" s="358"/>
      <c r="R87" s="358"/>
    </row>
    <row r="88" spans="1:18" x14ac:dyDescent="0.3">
      <c r="A88" s="344" t="s">
        <v>852</v>
      </c>
      <c r="B88" s="352">
        <f>SUM(B75:B81)+SUM(B85:B85)</f>
        <v>67289246.599999994</v>
      </c>
      <c r="C88" s="352">
        <f>SUM(C75:C81)+SUM(C85:C85)</f>
        <v>66912472.309999995</v>
      </c>
      <c r="E88" s="352">
        <f>SUM(E75:E81)+SUM(E85:E85)</f>
        <v>66912472.309999995</v>
      </c>
      <c r="F88" s="359">
        <v>0</v>
      </c>
      <c r="G88" s="340"/>
      <c r="H88" s="340"/>
      <c r="I88" s="358"/>
      <c r="J88" s="340"/>
      <c r="K88" s="340"/>
      <c r="L88" s="358"/>
      <c r="M88" s="358"/>
      <c r="N88" s="358"/>
      <c r="O88" s="358"/>
      <c r="P88" s="358"/>
      <c r="Q88" s="358"/>
      <c r="R88" s="358"/>
    </row>
    <row r="89" spans="1:18" x14ac:dyDescent="0.3">
      <c r="B89" s="343"/>
      <c r="C89" s="343"/>
      <c r="E89" s="343"/>
      <c r="F89" s="358"/>
      <c r="G89" s="340"/>
      <c r="H89" s="340"/>
      <c r="I89" s="358"/>
      <c r="J89" s="340"/>
      <c r="K89" s="340"/>
      <c r="L89" s="358"/>
      <c r="M89" s="358"/>
      <c r="N89" s="358"/>
      <c r="O89" s="358"/>
      <c r="P89" s="358"/>
      <c r="Q89" s="358"/>
      <c r="R89" s="358"/>
    </row>
    <row r="90" spans="1:18" x14ac:dyDescent="0.3">
      <c r="A90" s="355" t="s">
        <v>867</v>
      </c>
      <c r="B90" s="343"/>
      <c r="C90" s="343"/>
      <c r="E90" s="343"/>
      <c r="F90" s="358"/>
      <c r="G90" s="340"/>
      <c r="H90" s="340"/>
      <c r="I90" s="358"/>
      <c r="J90" s="340"/>
      <c r="K90" s="340"/>
      <c r="L90" s="358"/>
      <c r="M90" s="358"/>
      <c r="N90" s="358"/>
      <c r="O90" s="358"/>
      <c r="P90" s="358"/>
      <c r="Q90" s="358"/>
      <c r="R90" s="358"/>
    </row>
    <row r="91" spans="1:18" x14ac:dyDescent="0.3">
      <c r="A91" s="356" t="s">
        <v>868</v>
      </c>
      <c r="B91" s="343"/>
      <c r="C91" s="343"/>
      <c r="E91" s="343"/>
      <c r="F91" s="358"/>
      <c r="G91" s="340"/>
      <c r="H91" s="340"/>
      <c r="I91" s="358"/>
      <c r="J91" s="340"/>
      <c r="K91" s="340"/>
      <c r="L91" s="358"/>
      <c r="M91" s="358"/>
      <c r="N91" s="358"/>
      <c r="O91" s="358"/>
      <c r="P91" s="358"/>
      <c r="Q91" s="358"/>
      <c r="R91" s="358"/>
    </row>
    <row r="92" spans="1:18" x14ac:dyDescent="0.3">
      <c r="A92" s="357" t="s">
        <v>869</v>
      </c>
      <c r="B92" s="343">
        <v>72572899.870000005</v>
      </c>
      <c r="C92" s="343">
        <v>72572899.870000005</v>
      </c>
      <c r="E92" s="343">
        <v>72572899.870000005</v>
      </c>
      <c r="F92" s="358">
        <v>0</v>
      </c>
      <c r="G92" s="340" t="s">
        <v>730</v>
      </c>
      <c r="H92" s="340" t="s">
        <v>730</v>
      </c>
      <c r="I92" s="358">
        <v>100139438</v>
      </c>
      <c r="J92" s="340" t="s">
        <v>870</v>
      </c>
      <c r="K92" s="340" t="s">
        <v>871</v>
      </c>
      <c r="L92" s="358">
        <v>161939</v>
      </c>
      <c r="M92" s="358">
        <v>3000</v>
      </c>
      <c r="N92" s="358">
        <v>1</v>
      </c>
      <c r="O92" s="358">
        <v>72572899.870000005</v>
      </c>
      <c r="P92" s="358">
        <v>1</v>
      </c>
      <c r="Q92" s="358">
        <v>0</v>
      </c>
      <c r="R92" s="358">
        <v>72572899.870000005</v>
      </c>
    </row>
    <row r="93" spans="1:18" x14ac:dyDescent="0.3">
      <c r="A93" s="357" t="s">
        <v>872</v>
      </c>
      <c r="B93" s="343">
        <v>-1290000</v>
      </c>
      <c r="C93" s="343">
        <v>-1290000</v>
      </c>
      <c r="E93" s="343">
        <v>-1290000</v>
      </c>
      <c r="F93" s="358">
        <v>0</v>
      </c>
      <c r="G93" s="340" t="s">
        <v>730</v>
      </c>
      <c r="H93" s="340" t="s">
        <v>730</v>
      </c>
      <c r="I93" s="358">
        <v>100139438</v>
      </c>
      <c r="J93" s="340" t="s">
        <v>870</v>
      </c>
      <c r="K93" s="340" t="s">
        <v>871</v>
      </c>
      <c r="L93" s="358">
        <v>2043878</v>
      </c>
      <c r="M93" s="358">
        <v>3510</v>
      </c>
      <c r="N93" s="358">
        <v>1</v>
      </c>
      <c r="O93" s="358">
        <v>-1290000</v>
      </c>
      <c r="P93" s="358">
        <v>-1</v>
      </c>
      <c r="Q93" s="358">
        <v>0</v>
      </c>
      <c r="R93" s="358">
        <v>-1290000</v>
      </c>
    </row>
    <row r="94" spans="1:18" x14ac:dyDescent="0.3">
      <c r="A94" s="344" t="s">
        <v>868</v>
      </c>
      <c r="B94" s="352">
        <f>SUM(B92:B93)</f>
        <v>71282899.870000005</v>
      </c>
      <c r="C94" s="352">
        <f>SUM(C92:C93)</f>
        <v>71282899.870000005</v>
      </c>
      <c r="E94" s="352">
        <f>SUM(E92:E93)</f>
        <v>71282899.870000005</v>
      </c>
      <c r="F94" s="359">
        <v>0</v>
      </c>
      <c r="G94" s="340"/>
      <c r="H94" s="340"/>
      <c r="I94" s="358"/>
      <c r="J94" s="340"/>
      <c r="K94" s="340"/>
      <c r="L94" s="358"/>
      <c r="M94" s="358"/>
      <c r="N94" s="358"/>
      <c r="O94" s="358"/>
      <c r="P94" s="358"/>
      <c r="Q94" s="358"/>
      <c r="R94" s="358"/>
    </row>
    <row r="95" spans="1:18" x14ac:dyDescent="0.3">
      <c r="B95" s="343"/>
      <c r="C95" s="343"/>
      <c r="E95" s="343"/>
      <c r="F95" s="358"/>
      <c r="G95" s="340"/>
      <c r="H95" s="340"/>
      <c r="I95" s="358"/>
      <c r="J95" s="340"/>
      <c r="K95" s="340"/>
      <c r="L95" s="358"/>
      <c r="M95" s="358"/>
      <c r="N95" s="358"/>
      <c r="O95" s="358"/>
      <c r="P95" s="358"/>
      <c r="Q95" s="358"/>
      <c r="R95" s="358"/>
    </row>
    <row r="96" spans="1:18" x14ac:dyDescent="0.3">
      <c r="A96" s="356" t="s">
        <v>873</v>
      </c>
      <c r="B96" s="343"/>
      <c r="C96" s="343"/>
      <c r="E96" s="343"/>
      <c r="F96" s="358"/>
      <c r="G96" s="340"/>
      <c r="H96" s="340"/>
      <c r="I96" s="358"/>
      <c r="J96" s="340"/>
      <c r="K96" s="340"/>
      <c r="L96" s="358"/>
      <c r="M96" s="358"/>
      <c r="N96" s="358"/>
      <c r="O96" s="358"/>
      <c r="P96" s="358"/>
      <c r="Q96" s="358"/>
      <c r="R96" s="358"/>
    </row>
    <row r="97" spans="1:18" x14ac:dyDescent="0.3">
      <c r="A97" s="357" t="s">
        <v>873</v>
      </c>
      <c r="B97" s="343">
        <v>-7108145.9299999997</v>
      </c>
      <c r="C97" s="343">
        <v>-6506832.04</v>
      </c>
      <c r="E97" s="343">
        <v>-6506832.04</v>
      </c>
      <c r="F97" s="358">
        <v>0</v>
      </c>
      <c r="G97" s="340" t="s">
        <v>730</v>
      </c>
      <c r="H97" s="340" t="s">
        <v>730</v>
      </c>
      <c r="I97" s="358">
        <v>100139438</v>
      </c>
      <c r="J97" s="340" t="s">
        <v>874</v>
      </c>
      <c r="K97" s="340" t="s">
        <v>875</v>
      </c>
      <c r="L97" s="358">
        <v>158916</v>
      </c>
      <c r="M97" s="358">
        <v>4010</v>
      </c>
      <c r="N97" s="358">
        <v>1</v>
      </c>
      <c r="O97" s="358">
        <v>-6506832.04</v>
      </c>
      <c r="P97" s="358">
        <v>-1</v>
      </c>
      <c r="Q97" s="358">
        <v>0</v>
      </c>
      <c r="R97" s="358">
        <v>-7108145.9299999997</v>
      </c>
    </row>
    <row r="98" spans="1:18" x14ac:dyDescent="0.3">
      <c r="A98" s="344" t="s">
        <v>873</v>
      </c>
      <c r="B98" s="352">
        <f>SUM(B97:B97)</f>
        <v>-7108145.9299999997</v>
      </c>
      <c r="C98" s="352">
        <f>SUM(C97:C97)</f>
        <v>-6506832.04</v>
      </c>
      <c r="E98" s="352">
        <f>SUM(E97:E97)</f>
        <v>-6506832.04</v>
      </c>
      <c r="F98" s="359">
        <v>0</v>
      </c>
    </row>
    <row r="100" spans="1:18" x14ac:dyDescent="0.3">
      <c r="A100" s="344" t="s">
        <v>867</v>
      </c>
      <c r="B100" s="352">
        <f>SUM(B92:B93)+SUM(B97:B97)</f>
        <v>64174753.940000005</v>
      </c>
      <c r="C100" s="352">
        <f>SUM(C92:C93)+SUM(C97:C97)</f>
        <v>64776067.830000006</v>
      </c>
      <c r="E100" s="352">
        <f>SUM(E92:E93)+SUM(E97:E97)</f>
        <v>64776067.830000006</v>
      </c>
      <c r="F100" s="359">
        <v>0</v>
      </c>
    </row>
    <row r="102" spans="1:18" ht="15" thickBot="1" x14ac:dyDescent="0.35">
      <c r="A102" s="344" t="s">
        <v>851</v>
      </c>
      <c r="B102" s="345">
        <f>SUM(B75:B81)+SUM(B85:B85)+SUM(B92:B93)+SUM(B97:B97)</f>
        <v>131464000.53999999</v>
      </c>
      <c r="C102" s="345">
        <f>SUM(C75:C81)+SUM(C85:C85)+SUM(C92:C93)+SUM(C97:C97)</f>
        <v>131688540.14</v>
      </c>
      <c r="E102" s="345">
        <f>SUM(E75:E81)+SUM(E85:E85)+SUM(E92:E93)+SUM(E97:E97)</f>
        <v>131688540.14</v>
      </c>
      <c r="F102" s="361">
        <v>0</v>
      </c>
    </row>
  </sheetData>
  <printOptions horizontalCentered="1"/>
  <pageMargins left="0.5" right="0.5" top="0.5" bottom="0.5" header="0.25" footer="0.25"/>
  <pageSetup fitToHeight="0" orientation="portrait"/>
  <headerFooter>
    <oddHeader>&amp;L Balance Sheet</oddHeader>
    <oddFooter>&amp;L Page &amp;P of &amp;N &amp;R &amp;I Balance Sheet 3.2 generated04/13/2026 at 12:01pm CDT&amp;I</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0F295-9003-4E09-A8AF-1265D7462027}">
  <sheetPr>
    <tabColor rgb="FF002060"/>
    <pageSetUpPr fitToPage="1"/>
  </sheetPr>
  <dimension ref="A2:O6214"/>
  <sheetViews>
    <sheetView workbookViewId="0">
      <pane ySplit="7" topLeftCell="A1671" activePane="bottomLeft" state="frozen"/>
      <selection activeCell="B75" sqref="B75"/>
      <selection pane="bottomLeft" sqref="A1:XFD1048576"/>
    </sheetView>
  </sheetViews>
  <sheetFormatPr defaultRowHeight="14.4" x14ac:dyDescent="0.3"/>
  <cols>
    <col min="1" max="2" width="15.6640625" customWidth="1"/>
    <col min="3" max="3" width="14.33203125" customWidth="1"/>
    <col min="4" max="4" width="12.109375" customWidth="1"/>
    <col min="5" max="7" width="15.6640625" customWidth="1"/>
    <col min="8" max="8" width="14.33203125" customWidth="1"/>
    <col min="9" max="9" width="15" customWidth="1"/>
    <col min="10" max="10" width="12.88671875" customWidth="1"/>
    <col min="11" max="12" width="14.33203125" customWidth="1"/>
    <col min="13" max="13" width="15.6640625" customWidth="1"/>
    <col min="15" max="15" width="15.6640625" hidden="1" customWidth="1"/>
  </cols>
  <sheetData>
    <row r="2" spans="1:15" ht="15.6" x14ac:dyDescent="0.3">
      <c r="A2" s="339" t="s">
        <v>876</v>
      </c>
    </row>
    <row r="3" spans="1:15" x14ac:dyDescent="0.3">
      <c r="A3" s="340" t="s">
        <v>730</v>
      </c>
    </row>
    <row r="4" spans="1:15" x14ac:dyDescent="0.3">
      <c r="A4" s="340" t="s">
        <v>778</v>
      </c>
    </row>
    <row r="5" spans="1:15" x14ac:dyDescent="0.3">
      <c r="A5" s="340" t="s">
        <v>877</v>
      </c>
    </row>
    <row r="7" spans="1:15" ht="26.4" x14ac:dyDescent="0.3">
      <c r="A7" s="341" t="s">
        <v>878</v>
      </c>
      <c r="B7" s="346" t="s">
        <v>879</v>
      </c>
      <c r="C7" s="346" t="s">
        <v>880</v>
      </c>
      <c r="D7" s="347" t="s">
        <v>881</v>
      </c>
      <c r="E7" s="341" t="s">
        <v>882</v>
      </c>
      <c r="F7" s="341" t="s">
        <v>883</v>
      </c>
      <c r="G7" s="341" t="s">
        <v>884</v>
      </c>
      <c r="H7" s="341" t="s">
        <v>885</v>
      </c>
      <c r="I7" s="341" t="s">
        <v>886</v>
      </c>
      <c r="J7" s="342" t="s">
        <v>887</v>
      </c>
      <c r="K7" s="342" t="s">
        <v>324</v>
      </c>
      <c r="L7" s="342" t="s">
        <v>323</v>
      </c>
      <c r="M7" s="342" t="s">
        <v>888</v>
      </c>
      <c r="O7" s="348" t="s">
        <v>889</v>
      </c>
    </row>
    <row r="8" spans="1:15" x14ac:dyDescent="0.3">
      <c r="A8" s="349" t="s">
        <v>890</v>
      </c>
    </row>
    <row r="9" spans="1:15" x14ac:dyDescent="0.3">
      <c r="A9" s="340" t="s">
        <v>891</v>
      </c>
      <c r="F9" s="340" t="s">
        <v>892</v>
      </c>
      <c r="K9" s="343">
        <v>0</v>
      </c>
      <c r="L9" s="343">
        <v>0</v>
      </c>
      <c r="M9" s="343">
        <v>-797045.15</v>
      </c>
      <c r="O9" s="343">
        <v>-797045.15</v>
      </c>
    </row>
    <row r="10" spans="1:15" x14ac:dyDescent="0.3">
      <c r="A10" s="340" t="s">
        <v>891</v>
      </c>
      <c r="B10" s="350">
        <v>45873</v>
      </c>
      <c r="C10" s="350">
        <v>46106</v>
      </c>
      <c r="D10" s="351">
        <v>46082</v>
      </c>
      <c r="E10" s="340" t="s">
        <v>893</v>
      </c>
      <c r="F10" s="340" t="s">
        <v>894</v>
      </c>
      <c r="G10" s="340" t="s">
        <v>895</v>
      </c>
      <c r="I10" s="340" t="s">
        <v>896</v>
      </c>
      <c r="K10" s="343">
        <v>0</v>
      </c>
      <c r="L10" s="343">
        <v>-5255.12</v>
      </c>
      <c r="M10" s="343">
        <v>-802300.27</v>
      </c>
      <c r="O10" s="343">
        <v>0</v>
      </c>
    </row>
    <row r="11" spans="1:15" x14ac:dyDescent="0.3">
      <c r="A11" s="340" t="s">
        <v>891</v>
      </c>
      <c r="B11" s="350">
        <v>45878</v>
      </c>
      <c r="C11" s="350">
        <v>46106</v>
      </c>
      <c r="D11" s="351">
        <v>46082</v>
      </c>
      <c r="E11" s="340" t="s">
        <v>897</v>
      </c>
      <c r="F11" s="340" t="s">
        <v>894</v>
      </c>
      <c r="G11" s="340"/>
      <c r="I11" s="340" t="s">
        <v>896</v>
      </c>
      <c r="K11" s="343">
        <v>0</v>
      </c>
      <c r="L11" s="343">
        <v>-7500</v>
      </c>
      <c r="M11" s="343">
        <v>-809800.27</v>
      </c>
      <c r="O11" s="343">
        <v>0</v>
      </c>
    </row>
    <row r="12" spans="1:15" x14ac:dyDescent="0.3">
      <c r="A12" s="340" t="s">
        <v>891</v>
      </c>
      <c r="B12" s="350">
        <v>45878</v>
      </c>
      <c r="C12" s="350">
        <v>46106</v>
      </c>
      <c r="D12" s="351">
        <v>46082</v>
      </c>
      <c r="E12" s="340" t="s">
        <v>898</v>
      </c>
      <c r="F12" s="340" t="s">
        <v>894</v>
      </c>
      <c r="G12" s="340"/>
      <c r="I12" s="340" t="s">
        <v>896</v>
      </c>
      <c r="K12" s="343">
        <v>0</v>
      </c>
      <c r="L12" s="343">
        <v>-7500</v>
      </c>
      <c r="M12" s="343">
        <v>-817300.27</v>
      </c>
      <c r="O12" s="343">
        <v>0</v>
      </c>
    </row>
    <row r="13" spans="1:15" x14ac:dyDescent="0.3">
      <c r="A13" s="340" t="s">
        <v>891</v>
      </c>
      <c r="B13" s="350">
        <v>45878</v>
      </c>
      <c r="C13" s="350">
        <v>46106</v>
      </c>
      <c r="D13" s="351">
        <v>46082</v>
      </c>
      <c r="E13" s="340" t="s">
        <v>899</v>
      </c>
      <c r="F13" s="340" t="s">
        <v>894</v>
      </c>
      <c r="G13" s="340"/>
      <c r="I13" s="340" t="s">
        <v>896</v>
      </c>
      <c r="K13" s="343">
        <v>0</v>
      </c>
      <c r="L13" s="343">
        <v>-7500</v>
      </c>
      <c r="M13" s="343">
        <v>-824800.27</v>
      </c>
      <c r="O13" s="343">
        <v>0</v>
      </c>
    </row>
    <row r="14" spans="1:15" x14ac:dyDescent="0.3">
      <c r="A14" s="340" t="s">
        <v>891</v>
      </c>
      <c r="B14" s="350">
        <v>45965</v>
      </c>
      <c r="C14" s="350">
        <v>46106</v>
      </c>
      <c r="D14" s="351">
        <v>46082</v>
      </c>
      <c r="E14" s="340" t="s">
        <v>900</v>
      </c>
      <c r="F14" s="340" t="s">
        <v>894</v>
      </c>
      <c r="G14" s="340" t="s">
        <v>901</v>
      </c>
      <c r="I14" s="340" t="s">
        <v>896</v>
      </c>
      <c r="K14" s="343">
        <v>0</v>
      </c>
      <c r="L14" s="343">
        <v>-16692.72</v>
      </c>
      <c r="M14" s="343">
        <v>-841492.99</v>
      </c>
      <c r="O14" s="343">
        <v>0</v>
      </c>
    </row>
    <row r="15" spans="1:15" x14ac:dyDescent="0.3">
      <c r="A15" s="340" t="s">
        <v>891</v>
      </c>
      <c r="B15" s="350">
        <v>45967</v>
      </c>
      <c r="C15" s="350">
        <v>46069</v>
      </c>
      <c r="D15" s="351">
        <v>46054</v>
      </c>
      <c r="E15" s="340" t="s">
        <v>902</v>
      </c>
      <c r="F15" s="340" t="s">
        <v>894</v>
      </c>
      <c r="G15" s="340" t="s">
        <v>903</v>
      </c>
      <c r="I15" s="340" t="s">
        <v>739</v>
      </c>
      <c r="K15" s="343">
        <v>0</v>
      </c>
      <c r="L15" s="343">
        <v>-547.01</v>
      </c>
      <c r="M15" s="343">
        <v>-842040</v>
      </c>
      <c r="O15" s="343">
        <v>0</v>
      </c>
    </row>
    <row r="16" spans="1:15" x14ac:dyDescent="0.3">
      <c r="A16" s="340" t="s">
        <v>891</v>
      </c>
      <c r="B16" s="350">
        <v>45980</v>
      </c>
      <c r="C16" s="350">
        <v>46106</v>
      </c>
      <c r="D16" s="351">
        <v>46082</v>
      </c>
      <c r="E16" s="340" t="s">
        <v>904</v>
      </c>
      <c r="F16" s="340" t="s">
        <v>894</v>
      </c>
      <c r="G16" s="340" t="s">
        <v>905</v>
      </c>
      <c r="I16" s="340" t="s">
        <v>896</v>
      </c>
      <c r="K16" s="343">
        <v>0</v>
      </c>
      <c r="L16" s="343">
        <v>-650</v>
      </c>
      <c r="M16" s="343">
        <v>-842690</v>
      </c>
      <c r="O16" s="343">
        <v>0</v>
      </c>
    </row>
    <row r="17" spans="1:15" x14ac:dyDescent="0.3">
      <c r="A17" s="340" t="s">
        <v>891</v>
      </c>
      <c r="B17" s="350">
        <v>45980</v>
      </c>
      <c r="C17" s="350">
        <v>46106</v>
      </c>
      <c r="D17" s="351">
        <v>46082</v>
      </c>
      <c r="E17" s="340" t="s">
        <v>906</v>
      </c>
      <c r="F17" s="340" t="s">
        <v>894</v>
      </c>
      <c r="G17" s="340" t="s">
        <v>905</v>
      </c>
      <c r="I17" s="340" t="s">
        <v>896</v>
      </c>
      <c r="K17" s="343">
        <v>0</v>
      </c>
      <c r="L17" s="343">
        <v>-676</v>
      </c>
      <c r="M17" s="343">
        <v>-843366</v>
      </c>
      <c r="O17" s="343">
        <v>0</v>
      </c>
    </row>
    <row r="18" spans="1:15" x14ac:dyDescent="0.3">
      <c r="A18" s="340" t="s">
        <v>891</v>
      </c>
      <c r="B18" s="350">
        <v>45980</v>
      </c>
      <c r="C18" s="350">
        <v>46106</v>
      </c>
      <c r="D18" s="351">
        <v>46082</v>
      </c>
      <c r="E18" s="340" t="s">
        <v>907</v>
      </c>
      <c r="F18" s="340" t="s">
        <v>894</v>
      </c>
      <c r="G18" s="340" t="s">
        <v>905</v>
      </c>
      <c r="I18" s="340" t="s">
        <v>896</v>
      </c>
      <c r="K18" s="343">
        <v>0</v>
      </c>
      <c r="L18" s="343">
        <v>-676</v>
      </c>
      <c r="M18" s="343">
        <v>-844042</v>
      </c>
      <c r="O18" s="343">
        <v>0</v>
      </c>
    </row>
    <row r="19" spans="1:15" x14ac:dyDescent="0.3">
      <c r="A19" s="340" t="s">
        <v>891</v>
      </c>
      <c r="B19" s="350">
        <v>45980</v>
      </c>
      <c r="C19" s="350">
        <v>46106</v>
      </c>
      <c r="D19" s="351">
        <v>46082</v>
      </c>
      <c r="E19" s="340" t="s">
        <v>908</v>
      </c>
      <c r="F19" s="340" t="s">
        <v>894</v>
      </c>
      <c r="G19" s="340" t="s">
        <v>905</v>
      </c>
      <c r="I19" s="340" t="s">
        <v>896</v>
      </c>
      <c r="K19" s="343">
        <v>0</v>
      </c>
      <c r="L19" s="343">
        <v>-676</v>
      </c>
      <c r="M19" s="343">
        <v>-844718</v>
      </c>
      <c r="O19" s="343">
        <v>0</v>
      </c>
    </row>
    <row r="20" spans="1:15" x14ac:dyDescent="0.3">
      <c r="A20" s="340" t="s">
        <v>891</v>
      </c>
      <c r="B20" s="350">
        <v>45990</v>
      </c>
      <c r="C20" s="350">
        <v>46049</v>
      </c>
      <c r="D20" s="351">
        <v>46023</v>
      </c>
      <c r="E20" s="340" t="s">
        <v>909</v>
      </c>
      <c r="F20" s="340" t="s">
        <v>894</v>
      </c>
      <c r="G20" s="340" t="s">
        <v>910</v>
      </c>
      <c r="I20" s="340" t="s">
        <v>911</v>
      </c>
      <c r="K20" s="343">
        <v>0</v>
      </c>
      <c r="L20" s="343">
        <v>-1458.16</v>
      </c>
      <c r="M20" s="343">
        <v>-846176.16</v>
      </c>
      <c r="O20" s="343">
        <v>0</v>
      </c>
    </row>
    <row r="21" spans="1:15" x14ac:dyDescent="0.3">
      <c r="A21" s="340" t="s">
        <v>891</v>
      </c>
      <c r="B21" s="350">
        <v>45991</v>
      </c>
      <c r="C21" s="350">
        <v>46156</v>
      </c>
      <c r="D21" s="351">
        <v>46143</v>
      </c>
      <c r="E21" s="340" t="s">
        <v>912</v>
      </c>
      <c r="F21" s="340" t="s">
        <v>894</v>
      </c>
      <c r="G21" s="340" t="s">
        <v>913</v>
      </c>
      <c r="I21" s="340" t="s">
        <v>758</v>
      </c>
      <c r="K21" s="343">
        <v>0</v>
      </c>
      <c r="L21" s="343">
        <v>-1101.3699999999999</v>
      </c>
      <c r="M21" s="343">
        <v>-847277.53</v>
      </c>
      <c r="O21" s="343">
        <v>0</v>
      </c>
    </row>
    <row r="22" spans="1:15" x14ac:dyDescent="0.3">
      <c r="A22" s="340" t="s">
        <v>891</v>
      </c>
      <c r="B22" s="350">
        <v>45991</v>
      </c>
      <c r="C22" s="350">
        <v>46156</v>
      </c>
      <c r="D22" s="351">
        <v>46143</v>
      </c>
      <c r="E22" s="340" t="s">
        <v>912</v>
      </c>
      <c r="F22" s="340" t="s">
        <v>894</v>
      </c>
      <c r="G22" s="340" t="s">
        <v>914</v>
      </c>
      <c r="I22" s="340" t="s">
        <v>758</v>
      </c>
      <c r="K22" s="343">
        <v>0</v>
      </c>
      <c r="L22" s="343">
        <v>-597.30999999999995</v>
      </c>
      <c r="M22" s="343">
        <v>-847874.84</v>
      </c>
      <c r="O22" s="343">
        <v>0</v>
      </c>
    </row>
    <row r="23" spans="1:15" x14ac:dyDescent="0.3">
      <c r="A23" s="340" t="s">
        <v>891</v>
      </c>
      <c r="B23" s="350">
        <v>45991</v>
      </c>
      <c r="C23" s="350">
        <v>46156</v>
      </c>
      <c r="D23" s="351">
        <v>46143</v>
      </c>
      <c r="E23" s="340" t="s">
        <v>912</v>
      </c>
      <c r="F23" s="340" t="s">
        <v>894</v>
      </c>
      <c r="G23" s="340" t="s">
        <v>915</v>
      </c>
      <c r="I23" s="340" t="s">
        <v>758</v>
      </c>
      <c r="K23" s="343">
        <v>0</v>
      </c>
      <c r="L23" s="343">
        <v>-1184.58</v>
      </c>
      <c r="M23" s="343">
        <v>-849059.42</v>
      </c>
      <c r="O23" s="343">
        <v>0</v>
      </c>
    </row>
    <row r="24" spans="1:15" x14ac:dyDescent="0.3">
      <c r="A24" s="340" t="s">
        <v>891</v>
      </c>
      <c r="B24" s="350">
        <v>45991</v>
      </c>
      <c r="C24" s="350">
        <v>46156</v>
      </c>
      <c r="D24" s="351">
        <v>46143</v>
      </c>
      <c r="E24" s="340" t="s">
        <v>912</v>
      </c>
      <c r="F24" s="340" t="s">
        <v>894</v>
      </c>
      <c r="G24" s="340" t="s">
        <v>916</v>
      </c>
      <c r="I24" s="340" t="s">
        <v>758</v>
      </c>
      <c r="K24" s="343">
        <v>0</v>
      </c>
      <c r="L24" s="343">
        <v>-419.35</v>
      </c>
      <c r="M24" s="343">
        <v>-849478.77</v>
      </c>
      <c r="O24" s="343">
        <v>0</v>
      </c>
    </row>
    <row r="25" spans="1:15" x14ac:dyDescent="0.3">
      <c r="A25" s="340" t="s">
        <v>891</v>
      </c>
      <c r="B25" s="350">
        <v>45991</v>
      </c>
      <c r="C25" s="350">
        <v>46156</v>
      </c>
      <c r="D25" s="351">
        <v>46143</v>
      </c>
      <c r="E25" s="340" t="s">
        <v>912</v>
      </c>
      <c r="F25" s="340" t="s">
        <v>894</v>
      </c>
      <c r="G25" s="340" t="s">
        <v>917</v>
      </c>
      <c r="I25" s="340" t="s">
        <v>758</v>
      </c>
      <c r="K25" s="343">
        <v>0</v>
      </c>
      <c r="L25" s="343">
        <v>-493.9</v>
      </c>
      <c r="M25" s="343">
        <v>-849972.67</v>
      </c>
      <c r="O25" s="343">
        <v>0</v>
      </c>
    </row>
    <row r="26" spans="1:15" x14ac:dyDescent="0.3">
      <c r="A26" s="340" t="s">
        <v>891</v>
      </c>
      <c r="B26" s="350">
        <v>45991</v>
      </c>
      <c r="C26" s="350">
        <v>46156</v>
      </c>
      <c r="D26" s="351">
        <v>46143</v>
      </c>
      <c r="E26" s="340" t="s">
        <v>912</v>
      </c>
      <c r="F26" s="340" t="s">
        <v>894</v>
      </c>
      <c r="G26" s="340" t="s">
        <v>918</v>
      </c>
      <c r="I26" s="340" t="s">
        <v>758</v>
      </c>
      <c r="K26" s="343">
        <v>0</v>
      </c>
      <c r="L26" s="343">
        <v>-125</v>
      </c>
      <c r="M26" s="343">
        <v>-850097.67</v>
      </c>
      <c r="O26" s="343">
        <v>0</v>
      </c>
    </row>
    <row r="27" spans="1:15" x14ac:dyDescent="0.3">
      <c r="A27" s="340" t="s">
        <v>891</v>
      </c>
      <c r="B27" s="350">
        <v>45991</v>
      </c>
      <c r="C27" s="350">
        <v>46156</v>
      </c>
      <c r="D27" s="351">
        <v>46143</v>
      </c>
      <c r="E27" s="340" t="s">
        <v>912</v>
      </c>
      <c r="F27" s="340" t="s">
        <v>894</v>
      </c>
      <c r="G27" s="340" t="s">
        <v>919</v>
      </c>
      <c r="I27" s="340" t="s">
        <v>758</v>
      </c>
      <c r="K27" s="343">
        <v>0</v>
      </c>
      <c r="L27" s="343">
        <v>-383.2</v>
      </c>
      <c r="M27" s="343">
        <v>-850480.87</v>
      </c>
      <c r="O27" s="343">
        <v>0</v>
      </c>
    </row>
    <row r="28" spans="1:15" x14ac:dyDescent="0.3">
      <c r="A28" s="340" t="s">
        <v>891</v>
      </c>
      <c r="B28" s="350">
        <v>45991</v>
      </c>
      <c r="C28" s="350">
        <v>46156</v>
      </c>
      <c r="D28" s="351">
        <v>46143</v>
      </c>
      <c r="E28" s="340" t="s">
        <v>912</v>
      </c>
      <c r="F28" s="340" t="s">
        <v>894</v>
      </c>
      <c r="G28" s="340" t="s">
        <v>920</v>
      </c>
      <c r="I28" s="340" t="s">
        <v>758</v>
      </c>
      <c r="K28" s="343">
        <v>0</v>
      </c>
      <c r="L28" s="343">
        <v>-128.94</v>
      </c>
      <c r="M28" s="343">
        <v>-850609.81</v>
      </c>
      <c r="O28" s="343">
        <v>0</v>
      </c>
    </row>
    <row r="29" spans="1:15" x14ac:dyDescent="0.3">
      <c r="A29" s="340" t="s">
        <v>891</v>
      </c>
      <c r="B29" s="350">
        <v>45991</v>
      </c>
      <c r="C29" s="350">
        <v>46156</v>
      </c>
      <c r="D29" s="351">
        <v>46143</v>
      </c>
      <c r="E29" s="340" t="s">
        <v>912</v>
      </c>
      <c r="F29" s="340" t="s">
        <v>894</v>
      </c>
      <c r="G29" s="340" t="s">
        <v>921</v>
      </c>
      <c r="I29" s="340" t="s">
        <v>758</v>
      </c>
      <c r="K29" s="343">
        <v>0</v>
      </c>
      <c r="L29" s="343">
        <v>-160.19</v>
      </c>
      <c r="M29" s="343">
        <v>-850770</v>
      </c>
      <c r="O29" s="343">
        <v>0</v>
      </c>
    </row>
    <row r="30" spans="1:15" x14ac:dyDescent="0.3">
      <c r="A30" s="340" t="s">
        <v>891</v>
      </c>
      <c r="B30" s="350">
        <v>45991</v>
      </c>
      <c r="C30" s="350">
        <v>46156</v>
      </c>
      <c r="D30" s="351">
        <v>46143</v>
      </c>
      <c r="E30" s="340" t="s">
        <v>912</v>
      </c>
      <c r="F30" s="340" t="s">
        <v>894</v>
      </c>
      <c r="G30" s="340" t="s">
        <v>922</v>
      </c>
      <c r="I30" s="340" t="s">
        <v>758</v>
      </c>
      <c r="K30" s="343">
        <v>0</v>
      </c>
      <c r="L30" s="343">
        <v>-482.19</v>
      </c>
      <c r="M30" s="343">
        <v>-851252.19</v>
      </c>
      <c r="O30" s="343">
        <v>0</v>
      </c>
    </row>
    <row r="31" spans="1:15" x14ac:dyDescent="0.3">
      <c r="A31" s="340" t="s">
        <v>891</v>
      </c>
      <c r="B31" s="350">
        <v>45991</v>
      </c>
      <c r="C31" s="350">
        <v>46156</v>
      </c>
      <c r="D31" s="351">
        <v>46143</v>
      </c>
      <c r="E31" s="340" t="s">
        <v>912</v>
      </c>
      <c r="F31" s="340" t="s">
        <v>894</v>
      </c>
      <c r="G31" s="340" t="s">
        <v>923</v>
      </c>
      <c r="I31" s="340" t="s">
        <v>758</v>
      </c>
      <c r="K31" s="343">
        <v>0</v>
      </c>
      <c r="L31" s="343">
        <v>-500</v>
      </c>
      <c r="M31" s="343">
        <v>-851752.19</v>
      </c>
      <c r="O31" s="343">
        <v>0</v>
      </c>
    </row>
    <row r="32" spans="1:15" x14ac:dyDescent="0.3">
      <c r="A32" s="340" t="s">
        <v>891</v>
      </c>
      <c r="B32" s="350">
        <v>45991</v>
      </c>
      <c r="C32" s="350">
        <v>46156</v>
      </c>
      <c r="D32" s="351">
        <v>46143</v>
      </c>
      <c r="E32" s="340" t="s">
        <v>912</v>
      </c>
      <c r="F32" s="340" t="s">
        <v>894</v>
      </c>
      <c r="G32" s="340" t="s">
        <v>924</v>
      </c>
      <c r="I32" s="340" t="s">
        <v>758</v>
      </c>
      <c r="K32" s="343">
        <v>0</v>
      </c>
      <c r="L32" s="343">
        <v>-85.56</v>
      </c>
      <c r="M32" s="343">
        <v>-851837.75</v>
      </c>
      <c r="O32" s="343">
        <v>0</v>
      </c>
    </row>
    <row r="33" spans="1:15" x14ac:dyDescent="0.3">
      <c r="A33" s="340" t="s">
        <v>891</v>
      </c>
      <c r="B33" s="350">
        <v>45991</v>
      </c>
      <c r="C33" s="350">
        <v>46156</v>
      </c>
      <c r="D33" s="351">
        <v>46143</v>
      </c>
      <c r="E33" s="340" t="s">
        <v>912</v>
      </c>
      <c r="F33" s="340" t="s">
        <v>894</v>
      </c>
      <c r="G33" s="340" t="s">
        <v>925</v>
      </c>
      <c r="I33" s="340" t="s">
        <v>758</v>
      </c>
      <c r="K33" s="343">
        <v>0</v>
      </c>
      <c r="L33" s="343">
        <v>-122.38</v>
      </c>
      <c r="M33" s="343">
        <v>-851960.13</v>
      </c>
      <c r="O33" s="343">
        <v>0</v>
      </c>
    </row>
    <row r="34" spans="1:15" x14ac:dyDescent="0.3">
      <c r="A34" s="340" t="s">
        <v>891</v>
      </c>
      <c r="B34" s="350">
        <v>45991</v>
      </c>
      <c r="C34" s="350">
        <v>46156</v>
      </c>
      <c r="D34" s="351">
        <v>46143</v>
      </c>
      <c r="E34" s="340" t="s">
        <v>912</v>
      </c>
      <c r="F34" s="340" t="s">
        <v>894</v>
      </c>
      <c r="G34" s="340" t="s">
        <v>926</v>
      </c>
      <c r="I34" s="340" t="s">
        <v>758</v>
      </c>
      <c r="K34" s="343">
        <v>0</v>
      </c>
      <c r="L34" s="343">
        <v>-270.12</v>
      </c>
      <c r="M34" s="343">
        <v>-852230.25</v>
      </c>
      <c r="O34" s="343">
        <v>0</v>
      </c>
    </row>
    <row r="35" spans="1:15" x14ac:dyDescent="0.3">
      <c r="A35" s="340" t="s">
        <v>891</v>
      </c>
      <c r="B35" s="350">
        <v>45991</v>
      </c>
      <c r="C35" s="350">
        <v>46156</v>
      </c>
      <c r="D35" s="351">
        <v>46143</v>
      </c>
      <c r="E35" s="340" t="s">
        <v>912</v>
      </c>
      <c r="F35" s="340" t="s">
        <v>894</v>
      </c>
      <c r="G35" s="340" t="s">
        <v>927</v>
      </c>
      <c r="I35" s="340" t="s">
        <v>758</v>
      </c>
      <c r="K35" s="343">
        <v>0</v>
      </c>
      <c r="L35" s="343">
        <v>-201.87</v>
      </c>
      <c r="M35" s="343">
        <v>-852432.12</v>
      </c>
      <c r="O35" s="343">
        <v>0</v>
      </c>
    </row>
    <row r="36" spans="1:15" x14ac:dyDescent="0.3">
      <c r="A36" s="340" t="s">
        <v>891</v>
      </c>
      <c r="B36" s="350">
        <v>45991</v>
      </c>
      <c r="C36" s="350">
        <v>46156</v>
      </c>
      <c r="D36" s="351">
        <v>46143</v>
      </c>
      <c r="E36" s="340" t="s">
        <v>912</v>
      </c>
      <c r="F36" s="340" t="s">
        <v>894</v>
      </c>
      <c r="G36" s="340" t="s">
        <v>928</v>
      </c>
      <c r="I36" s="340" t="s">
        <v>758</v>
      </c>
      <c r="K36" s="343">
        <v>0</v>
      </c>
      <c r="L36" s="343">
        <v>-47.87</v>
      </c>
      <c r="M36" s="343">
        <v>-852479.99</v>
      </c>
      <c r="O36" s="343">
        <v>0</v>
      </c>
    </row>
    <row r="37" spans="1:15" x14ac:dyDescent="0.3">
      <c r="A37" s="340" t="s">
        <v>891</v>
      </c>
      <c r="B37" s="350">
        <v>45991</v>
      </c>
      <c r="C37" s="350">
        <v>46156</v>
      </c>
      <c r="D37" s="351">
        <v>46143</v>
      </c>
      <c r="E37" s="340" t="s">
        <v>912</v>
      </c>
      <c r="F37" s="340" t="s">
        <v>894</v>
      </c>
      <c r="G37" s="340" t="s">
        <v>825</v>
      </c>
      <c r="I37" s="340" t="s">
        <v>758</v>
      </c>
      <c r="K37" s="343">
        <v>0</v>
      </c>
      <c r="L37" s="343">
        <v>-1283.03</v>
      </c>
      <c r="M37" s="343">
        <v>-853763.02</v>
      </c>
      <c r="O37" s="343">
        <v>0</v>
      </c>
    </row>
    <row r="38" spans="1:15" x14ac:dyDescent="0.3">
      <c r="A38" s="340" t="s">
        <v>891</v>
      </c>
      <c r="B38" s="350">
        <v>46001</v>
      </c>
      <c r="C38" s="350">
        <v>46058</v>
      </c>
      <c r="D38" s="351">
        <v>46054</v>
      </c>
      <c r="E38" s="340" t="s">
        <v>929</v>
      </c>
      <c r="F38" s="340" t="s">
        <v>894</v>
      </c>
      <c r="G38" s="340" t="s">
        <v>930</v>
      </c>
      <c r="I38" s="340" t="s">
        <v>931</v>
      </c>
      <c r="K38" s="343">
        <v>0</v>
      </c>
      <c r="L38" s="343">
        <v>-862</v>
      </c>
      <c r="M38" s="343">
        <v>-854625.02</v>
      </c>
      <c r="O38" s="343">
        <v>0</v>
      </c>
    </row>
    <row r="39" spans="1:15" x14ac:dyDescent="0.3">
      <c r="A39" s="340" t="s">
        <v>891</v>
      </c>
      <c r="B39" s="350">
        <v>46001</v>
      </c>
      <c r="C39" s="350">
        <v>46058</v>
      </c>
      <c r="D39" s="351">
        <v>46054</v>
      </c>
      <c r="E39" s="340" t="s">
        <v>932</v>
      </c>
      <c r="F39" s="340" t="s">
        <v>894</v>
      </c>
      <c r="G39" s="340" t="s">
        <v>933</v>
      </c>
      <c r="I39" s="340" t="s">
        <v>931</v>
      </c>
      <c r="K39" s="343">
        <v>0</v>
      </c>
      <c r="L39" s="343">
        <v>-1350</v>
      </c>
      <c r="M39" s="343">
        <v>-855975.02</v>
      </c>
      <c r="O39" s="343">
        <v>0</v>
      </c>
    </row>
    <row r="40" spans="1:15" x14ac:dyDescent="0.3">
      <c r="A40" s="340" t="s">
        <v>891</v>
      </c>
      <c r="B40" s="350">
        <v>46001</v>
      </c>
      <c r="C40" s="350">
        <v>46058</v>
      </c>
      <c r="D40" s="351">
        <v>46054</v>
      </c>
      <c r="E40" s="340" t="s">
        <v>934</v>
      </c>
      <c r="F40" s="340" t="s">
        <v>894</v>
      </c>
      <c r="G40" s="340" t="s">
        <v>935</v>
      </c>
      <c r="I40" s="340" t="s">
        <v>931</v>
      </c>
      <c r="K40" s="343">
        <v>0</v>
      </c>
      <c r="L40" s="343">
        <v>-1596</v>
      </c>
      <c r="M40" s="343">
        <v>-857571.02</v>
      </c>
      <c r="O40" s="343">
        <v>0</v>
      </c>
    </row>
    <row r="41" spans="1:15" x14ac:dyDescent="0.3">
      <c r="A41" s="340" t="s">
        <v>891</v>
      </c>
      <c r="B41" s="350">
        <v>46001</v>
      </c>
      <c r="C41" s="350">
        <v>46156</v>
      </c>
      <c r="D41" s="351">
        <v>46143</v>
      </c>
      <c r="E41" s="340" t="s">
        <v>936</v>
      </c>
      <c r="F41" s="340" t="s">
        <v>894</v>
      </c>
      <c r="G41" s="340" t="s">
        <v>917</v>
      </c>
      <c r="I41" s="340" t="s">
        <v>758</v>
      </c>
      <c r="K41" s="343">
        <v>0</v>
      </c>
      <c r="L41" s="343">
        <v>-493.9</v>
      </c>
      <c r="M41" s="343">
        <v>-858064.92</v>
      </c>
      <c r="O41" s="343">
        <v>0</v>
      </c>
    </row>
    <row r="42" spans="1:15" x14ac:dyDescent="0.3">
      <c r="A42" s="340" t="s">
        <v>891</v>
      </c>
      <c r="B42" s="350">
        <v>46001</v>
      </c>
      <c r="C42" s="350">
        <v>46156</v>
      </c>
      <c r="D42" s="351">
        <v>46143</v>
      </c>
      <c r="E42" s="340" t="s">
        <v>936</v>
      </c>
      <c r="F42" s="340" t="s">
        <v>894</v>
      </c>
      <c r="G42" s="340" t="s">
        <v>918</v>
      </c>
      <c r="I42" s="340" t="s">
        <v>758</v>
      </c>
      <c r="K42" s="343">
        <v>0</v>
      </c>
      <c r="L42" s="343">
        <v>-125</v>
      </c>
      <c r="M42" s="343">
        <v>-858189.92</v>
      </c>
      <c r="O42" s="343">
        <v>0</v>
      </c>
    </row>
    <row r="43" spans="1:15" x14ac:dyDescent="0.3">
      <c r="A43" s="340" t="s">
        <v>891</v>
      </c>
      <c r="B43" s="350">
        <v>46001</v>
      </c>
      <c r="C43" s="350">
        <v>46156</v>
      </c>
      <c r="D43" s="351">
        <v>46143</v>
      </c>
      <c r="E43" s="340" t="s">
        <v>936</v>
      </c>
      <c r="F43" s="340" t="s">
        <v>894</v>
      </c>
      <c r="G43" s="340" t="s">
        <v>937</v>
      </c>
      <c r="I43" s="340" t="s">
        <v>758</v>
      </c>
      <c r="K43" s="343">
        <v>0</v>
      </c>
      <c r="L43" s="343">
        <v>-110</v>
      </c>
      <c r="M43" s="343">
        <v>-858299.92</v>
      </c>
      <c r="O43" s="343">
        <v>0</v>
      </c>
    </row>
    <row r="44" spans="1:15" x14ac:dyDescent="0.3">
      <c r="A44" s="340" t="s">
        <v>891</v>
      </c>
      <c r="B44" s="350">
        <v>46001</v>
      </c>
      <c r="C44" s="350">
        <v>46156</v>
      </c>
      <c r="D44" s="351">
        <v>46143</v>
      </c>
      <c r="E44" s="340" t="s">
        <v>936</v>
      </c>
      <c r="F44" s="340" t="s">
        <v>894</v>
      </c>
      <c r="G44" s="340" t="s">
        <v>938</v>
      </c>
      <c r="I44" s="340" t="s">
        <v>758</v>
      </c>
      <c r="K44" s="343">
        <v>0</v>
      </c>
      <c r="L44" s="343">
        <v>-122.38</v>
      </c>
      <c r="M44" s="343">
        <v>-858422.3</v>
      </c>
      <c r="O44" s="343">
        <v>0</v>
      </c>
    </row>
    <row r="45" spans="1:15" x14ac:dyDescent="0.3">
      <c r="A45" s="340" t="s">
        <v>891</v>
      </c>
      <c r="B45" s="350">
        <v>46002</v>
      </c>
      <c r="C45" s="350">
        <v>46156</v>
      </c>
      <c r="D45" s="351">
        <v>46143</v>
      </c>
      <c r="E45" s="340" t="s">
        <v>939</v>
      </c>
      <c r="F45" s="340" t="s">
        <v>894</v>
      </c>
      <c r="G45" s="340" t="s">
        <v>917</v>
      </c>
      <c r="I45" s="340" t="s">
        <v>758</v>
      </c>
      <c r="K45" s="343">
        <v>0</v>
      </c>
      <c r="L45" s="343">
        <v>-493.9</v>
      </c>
      <c r="M45" s="343">
        <v>-858916.2</v>
      </c>
      <c r="O45" s="343">
        <v>0</v>
      </c>
    </row>
    <row r="46" spans="1:15" x14ac:dyDescent="0.3">
      <c r="A46" s="340" t="s">
        <v>891</v>
      </c>
      <c r="B46" s="350">
        <v>46002</v>
      </c>
      <c r="C46" s="350">
        <v>46156</v>
      </c>
      <c r="D46" s="351">
        <v>46143</v>
      </c>
      <c r="E46" s="340" t="s">
        <v>939</v>
      </c>
      <c r="F46" s="340" t="s">
        <v>894</v>
      </c>
      <c r="G46" s="340" t="s">
        <v>937</v>
      </c>
      <c r="I46" s="340" t="s">
        <v>758</v>
      </c>
      <c r="K46" s="343">
        <v>0</v>
      </c>
      <c r="L46" s="343">
        <v>-110</v>
      </c>
      <c r="M46" s="343">
        <v>-859026.2</v>
      </c>
      <c r="O46" s="343">
        <v>0</v>
      </c>
    </row>
    <row r="47" spans="1:15" x14ac:dyDescent="0.3">
      <c r="A47" s="340" t="s">
        <v>891</v>
      </c>
      <c r="B47" s="350">
        <v>46002</v>
      </c>
      <c r="C47" s="350">
        <v>46156</v>
      </c>
      <c r="D47" s="351">
        <v>46143</v>
      </c>
      <c r="E47" s="340" t="s">
        <v>939</v>
      </c>
      <c r="F47" s="340" t="s">
        <v>894</v>
      </c>
      <c r="G47" s="340" t="s">
        <v>919</v>
      </c>
      <c r="I47" s="340" t="s">
        <v>758</v>
      </c>
      <c r="K47" s="343">
        <v>0</v>
      </c>
      <c r="L47" s="343">
        <v>-519.19000000000005</v>
      </c>
      <c r="M47" s="343">
        <v>-859545.39</v>
      </c>
      <c r="O47" s="343">
        <v>0</v>
      </c>
    </row>
    <row r="48" spans="1:15" x14ac:dyDescent="0.3">
      <c r="A48" s="340" t="s">
        <v>891</v>
      </c>
      <c r="B48" s="350">
        <v>46002</v>
      </c>
      <c r="C48" s="350">
        <v>46156</v>
      </c>
      <c r="D48" s="351">
        <v>46143</v>
      </c>
      <c r="E48" s="340" t="s">
        <v>939</v>
      </c>
      <c r="F48" s="340" t="s">
        <v>894</v>
      </c>
      <c r="G48" s="340" t="s">
        <v>940</v>
      </c>
      <c r="I48" s="340" t="s">
        <v>758</v>
      </c>
      <c r="K48" s="343">
        <v>0</v>
      </c>
      <c r="L48" s="343">
        <v>-237.25</v>
      </c>
      <c r="M48" s="343">
        <v>-859782.64</v>
      </c>
      <c r="O48" s="343">
        <v>0</v>
      </c>
    </row>
    <row r="49" spans="1:15" x14ac:dyDescent="0.3">
      <c r="A49" s="340" t="s">
        <v>891</v>
      </c>
      <c r="B49" s="350">
        <v>46002</v>
      </c>
      <c r="C49" s="350">
        <v>46156</v>
      </c>
      <c r="D49" s="351">
        <v>46143</v>
      </c>
      <c r="E49" s="340" t="s">
        <v>939</v>
      </c>
      <c r="F49" s="340" t="s">
        <v>894</v>
      </c>
      <c r="G49" s="340" t="s">
        <v>920</v>
      </c>
      <c r="I49" s="340" t="s">
        <v>758</v>
      </c>
      <c r="K49" s="343">
        <v>0</v>
      </c>
      <c r="L49" s="343">
        <v>-128.94</v>
      </c>
      <c r="M49" s="343">
        <v>-859911.58</v>
      </c>
      <c r="O49" s="343">
        <v>0</v>
      </c>
    </row>
    <row r="50" spans="1:15" x14ac:dyDescent="0.3">
      <c r="A50" s="340" t="s">
        <v>891</v>
      </c>
      <c r="B50" s="350">
        <v>46002</v>
      </c>
      <c r="C50" s="350">
        <v>46156</v>
      </c>
      <c r="D50" s="351">
        <v>46143</v>
      </c>
      <c r="E50" s="340" t="s">
        <v>939</v>
      </c>
      <c r="F50" s="340" t="s">
        <v>894</v>
      </c>
      <c r="G50" s="340" t="s">
        <v>921</v>
      </c>
      <c r="I50" s="340" t="s">
        <v>758</v>
      </c>
      <c r="K50" s="343">
        <v>0</v>
      </c>
      <c r="L50" s="343">
        <v>-160.19</v>
      </c>
      <c r="M50" s="343">
        <v>-860071.77</v>
      </c>
      <c r="O50" s="343">
        <v>0</v>
      </c>
    </row>
    <row r="51" spans="1:15" x14ac:dyDescent="0.3">
      <c r="A51" s="340" t="s">
        <v>891</v>
      </c>
      <c r="B51" s="350">
        <v>46002</v>
      </c>
      <c r="C51" s="350">
        <v>46156</v>
      </c>
      <c r="D51" s="351">
        <v>46143</v>
      </c>
      <c r="E51" s="340" t="s">
        <v>939</v>
      </c>
      <c r="F51" s="340" t="s">
        <v>894</v>
      </c>
      <c r="G51" s="340" t="s">
        <v>918</v>
      </c>
      <c r="I51" s="340" t="s">
        <v>758</v>
      </c>
      <c r="K51" s="343">
        <v>0</v>
      </c>
      <c r="L51" s="343">
        <v>-125</v>
      </c>
      <c r="M51" s="343">
        <v>-860196.77</v>
      </c>
      <c r="O51" s="343">
        <v>0</v>
      </c>
    </row>
    <row r="52" spans="1:15" x14ac:dyDescent="0.3">
      <c r="A52" s="340" t="s">
        <v>891</v>
      </c>
      <c r="B52" s="350">
        <v>46002</v>
      </c>
      <c r="C52" s="350">
        <v>46156</v>
      </c>
      <c r="D52" s="351">
        <v>46143</v>
      </c>
      <c r="E52" s="340" t="s">
        <v>939</v>
      </c>
      <c r="F52" s="340" t="s">
        <v>894</v>
      </c>
      <c r="G52" s="340" t="s">
        <v>922</v>
      </c>
      <c r="I52" s="340" t="s">
        <v>758</v>
      </c>
      <c r="K52" s="343">
        <v>0</v>
      </c>
      <c r="L52" s="343">
        <v>-25</v>
      </c>
      <c r="M52" s="343">
        <v>-860221.77</v>
      </c>
      <c r="O52" s="343">
        <v>0</v>
      </c>
    </row>
    <row r="53" spans="1:15" x14ac:dyDescent="0.3">
      <c r="A53" s="340" t="s">
        <v>891</v>
      </c>
      <c r="B53" s="350">
        <v>46002</v>
      </c>
      <c r="C53" s="350">
        <v>46156</v>
      </c>
      <c r="D53" s="351">
        <v>46143</v>
      </c>
      <c r="E53" s="340" t="s">
        <v>939</v>
      </c>
      <c r="F53" s="340" t="s">
        <v>894</v>
      </c>
      <c r="G53" s="340" t="s">
        <v>941</v>
      </c>
      <c r="I53" s="340" t="s">
        <v>758</v>
      </c>
      <c r="K53" s="343">
        <v>0</v>
      </c>
      <c r="L53" s="343">
        <v>-12.5</v>
      </c>
      <c r="M53" s="343">
        <v>-860234.27</v>
      </c>
      <c r="O53" s="343">
        <v>0</v>
      </c>
    </row>
    <row r="54" spans="1:15" x14ac:dyDescent="0.3">
      <c r="A54" s="340" t="s">
        <v>891</v>
      </c>
      <c r="B54" s="350">
        <v>46006</v>
      </c>
      <c r="C54" s="350">
        <v>46048</v>
      </c>
      <c r="D54" s="351">
        <v>46023</v>
      </c>
      <c r="E54" s="340" t="s">
        <v>942</v>
      </c>
      <c r="F54" s="340" t="s">
        <v>894</v>
      </c>
      <c r="G54" s="340"/>
      <c r="I54" s="340" t="s">
        <v>943</v>
      </c>
      <c r="K54" s="343">
        <v>0</v>
      </c>
      <c r="L54" s="343">
        <v>-2000</v>
      </c>
      <c r="M54" s="343">
        <v>-862234.27</v>
      </c>
      <c r="O54" s="343">
        <v>0</v>
      </c>
    </row>
    <row r="55" spans="1:15" x14ac:dyDescent="0.3">
      <c r="A55" s="340" t="s">
        <v>891</v>
      </c>
      <c r="B55" s="350">
        <v>46007</v>
      </c>
      <c r="C55" s="350">
        <v>46156</v>
      </c>
      <c r="D55" s="351">
        <v>46143</v>
      </c>
      <c r="E55" s="340" t="s">
        <v>944</v>
      </c>
      <c r="F55" s="340" t="s">
        <v>894</v>
      </c>
      <c r="G55" s="340" t="s">
        <v>938</v>
      </c>
      <c r="I55" s="340" t="s">
        <v>758</v>
      </c>
      <c r="K55" s="343">
        <v>0</v>
      </c>
      <c r="L55" s="343">
        <v>-122.38</v>
      </c>
      <c r="M55" s="343">
        <v>-862356.65</v>
      </c>
      <c r="O55" s="343">
        <v>0</v>
      </c>
    </row>
    <row r="56" spans="1:15" x14ac:dyDescent="0.3">
      <c r="A56" s="340" t="s">
        <v>891</v>
      </c>
      <c r="B56" s="350">
        <v>46007</v>
      </c>
      <c r="C56" s="350">
        <v>46156</v>
      </c>
      <c r="D56" s="351">
        <v>46143</v>
      </c>
      <c r="E56" s="340" t="s">
        <v>944</v>
      </c>
      <c r="F56" s="340" t="s">
        <v>894</v>
      </c>
      <c r="G56" s="340" t="s">
        <v>945</v>
      </c>
      <c r="I56" s="340" t="s">
        <v>758</v>
      </c>
      <c r="K56" s="343">
        <v>0</v>
      </c>
      <c r="L56" s="343">
        <v>-62.5</v>
      </c>
      <c r="M56" s="343">
        <v>-862419.15</v>
      </c>
      <c r="O56" s="343">
        <v>0</v>
      </c>
    </row>
    <row r="57" spans="1:15" x14ac:dyDescent="0.3">
      <c r="A57" s="340" t="s">
        <v>891</v>
      </c>
      <c r="B57" s="350">
        <v>46007</v>
      </c>
      <c r="C57" s="350">
        <v>46156</v>
      </c>
      <c r="D57" s="351">
        <v>46143</v>
      </c>
      <c r="E57" s="340" t="s">
        <v>944</v>
      </c>
      <c r="F57" s="340" t="s">
        <v>894</v>
      </c>
      <c r="G57" s="340" t="s">
        <v>919</v>
      </c>
      <c r="I57" s="340" t="s">
        <v>758</v>
      </c>
      <c r="K57" s="343">
        <v>0</v>
      </c>
      <c r="L57" s="343">
        <v>-431.8</v>
      </c>
      <c r="M57" s="343">
        <v>-862850.95</v>
      </c>
      <c r="O57" s="343">
        <v>0</v>
      </c>
    </row>
    <row r="58" spans="1:15" x14ac:dyDescent="0.3">
      <c r="A58" s="340" t="s">
        <v>891</v>
      </c>
      <c r="B58" s="350">
        <v>46007</v>
      </c>
      <c r="C58" s="350">
        <v>46156</v>
      </c>
      <c r="D58" s="351">
        <v>46143</v>
      </c>
      <c r="E58" s="340" t="s">
        <v>944</v>
      </c>
      <c r="F58" s="340" t="s">
        <v>894</v>
      </c>
      <c r="G58" s="340" t="s">
        <v>921</v>
      </c>
      <c r="I58" s="340" t="s">
        <v>758</v>
      </c>
      <c r="K58" s="343">
        <v>0</v>
      </c>
      <c r="L58" s="343">
        <v>-160.19</v>
      </c>
      <c r="M58" s="343">
        <v>-863011.14</v>
      </c>
      <c r="O58" s="343">
        <v>0</v>
      </c>
    </row>
    <row r="59" spans="1:15" x14ac:dyDescent="0.3">
      <c r="A59" s="340" t="s">
        <v>891</v>
      </c>
      <c r="B59" s="350">
        <v>46007</v>
      </c>
      <c r="C59" s="350">
        <v>46156</v>
      </c>
      <c r="D59" s="351">
        <v>46143</v>
      </c>
      <c r="E59" s="340" t="s">
        <v>944</v>
      </c>
      <c r="F59" s="340" t="s">
        <v>894</v>
      </c>
      <c r="G59" s="340" t="s">
        <v>920</v>
      </c>
      <c r="I59" s="340" t="s">
        <v>758</v>
      </c>
      <c r="K59" s="343">
        <v>0</v>
      </c>
      <c r="L59" s="343">
        <v>-128.94</v>
      </c>
      <c r="M59" s="343">
        <v>-863140.08</v>
      </c>
      <c r="O59" s="343">
        <v>0</v>
      </c>
    </row>
    <row r="60" spans="1:15" x14ac:dyDescent="0.3">
      <c r="A60" s="340" t="s">
        <v>891</v>
      </c>
      <c r="B60" s="350">
        <v>46007</v>
      </c>
      <c r="C60" s="350">
        <v>46156</v>
      </c>
      <c r="D60" s="351">
        <v>46143</v>
      </c>
      <c r="E60" s="340" t="s">
        <v>944</v>
      </c>
      <c r="F60" s="340" t="s">
        <v>894</v>
      </c>
      <c r="G60" s="340" t="s">
        <v>923</v>
      </c>
      <c r="I60" s="340" t="s">
        <v>758</v>
      </c>
      <c r="K60" s="343">
        <v>0</v>
      </c>
      <c r="L60" s="343">
        <v>-237.5</v>
      </c>
      <c r="M60" s="343">
        <v>-863377.58</v>
      </c>
      <c r="O60" s="343">
        <v>0</v>
      </c>
    </row>
    <row r="61" spans="1:15" x14ac:dyDescent="0.3">
      <c r="A61" s="340" t="s">
        <v>891</v>
      </c>
      <c r="B61" s="350">
        <v>46007</v>
      </c>
      <c r="C61" s="350">
        <v>46156</v>
      </c>
      <c r="D61" s="351">
        <v>46143</v>
      </c>
      <c r="E61" s="340" t="s">
        <v>944</v>
      </c>
      <c r="F61" s="340" t="s">
        <v>894</v>
      </c>
      <c r="G61" s="340" t="s">
        <v>946</v>
      </c>
      <c r="I61" s="340" t="s">
        <v>758</v>
      </c>
      <c r="K61" s="343">
        <v>0</v>
      </c>
      <c r="L61" s="343">
        <v>-49.41</v>
      </c>
      <c r="M61" s="343">
        <v>-863426.99</v>
      </c>
      <c r="O61" s="343">
        <v>0</v>
      </c>
    </row>
    <row r="62" spans="1:15" x14ac:dyDescent="0.3">
      <c r="A62" s="340" t="s">
        <v>891</v>
      </c>
      <c r="B62" s="350">
        <v>46007</v>
      </c>
      <c r="C62" s="350">
        <v>46156</v>
      </c>
      <c r="D62" s="351">
        <v>46143</v>
      </c>
      <c r="E62" s="340" t="s">
        <v>944</v>
      </c>
      <c r="F62" s="340" t="s">
        <v>894</v>
      </c>
      <c r="G62" s="340" t="s">
        <v>917</v>
      </c>
      <c r="I62" s="340" t="s">
        <v>758</v>
      </c>
      <c r="K62" s="343">
        <v>0</v>
      </c>
      <c r="L62" s="343">
        <v>-493.9</v>
      </c>
      <c r="M62" s="343">
        <v>-863920.89</v>
      </c>
      <c r="O62" s="343">
        <v>0</v>
      </c>
    </row>
    <row r="63" spans="1:15" x14ac:dyDescent="0.3">
      <c r="A63" s="340" t="s">
        <v>891</v>
      </c>
      <c r="B63" s="350">
        <v>46007</v>
      </c>
      <c r="C63" s="350">
        <v>46156</v>
      </c>
      <c r="D63" s="351">
        <v>46143</v>
      </c>
      <c r="E63" s="340" t="s">
        <v>944</v>
      </c>
      <c r="F63" s="340" t="s">
        <v>894</v>
      </c>
      <c r="G63" s="340" t="s">
        <v>918</v>
      </c>
      <c r="I63" s="340" t="s">
        <v>758</v>
      </c>
      <c r="K63" s="343">
        <v>0</v>
      </c>
      <c r="L63" s="343">
        <v>-125</v>
      </c>
      <c r="M63" s="343">
        <v>-864045.89</v>
      </c>
      <c r="O63" s="343">
        <v>0</v>
      </c>
    </row>
    <row r="64" spans="1:15" x14ac:dyDescent="0.3">
      <c r="A64" s="340" t="s">
        <v>891</v>
      </c>
      <c r="B64" s="350">
        <v>46007</v>
      </c>
      <c r="C64" s="350">
        <v>46156</v>
      </c>
      <c r="D64" s="351">
        <v>46143</v>
      </c>
      <c r="E64" s="340" t="s">
        <v>944</v>
      </c>
      <c r="F64" s="340" t="s">
        <v>894</v>
      </c>
      <c r="G64" s="340" t="s">
        <v>937</v>
      </c>
      <c r="I64" s="340" t="s">
        <v>758</v>
      </c>
      <c r="K64" s="343">
        <v>0</v>
      </c>
      <c r="L64" s="343">
        <v>-110</v>
      </c>
      <c r="M64" s="343">
        <v>-864155.89</v>
      </c>
      <c r="O64" s="343">
        <v>0</v>
      </c>
    </row>
    <row r="65" spans="1:15" x14ac:dyDescent="0.3">
      <c r="A65" s="340" t="s">
        <v>891</v>
      </c>
      <c r="B65" s="350">
        <v>46007</v>
      </c>
      <c r="C65" s="350">
        <v>46156</v>
      </c>
      <c r="D65" s="351">
        <v>46143</v>
      </c>
      <c r="E65" s="340" t="s">
        <v>947</v>
      </c>
      <c r="F65" s="340" t="s">
        <v>894</v>
      </c>
      <c r="G65" s="340" t="s">
        <v>923</v>
      </c>
      <c r="I65" s="340" t="s">
        <v>758</v>
      </c>
      <c r="K65" s="343">
        <v>0</v>
      </c>
      <c r="L65" s="343">
        <v>-237.5</v>
      </c>
      <c r="M65" s="343">
        <v>-864393.39</v>
      </c>
      <c r="O65" s="343">
        <v>0</v>
      </c>
    </row>
    <row r="66" spans="1:15" x14ac:dyDescent="0.3">
      <c r="A66" s="340" t="s">
        <v>891</v>
      </c>
      <c r="B66" s="350">
        <v>46007</v>
      </c>
      <c r="C66" s="350">
        <v>46156</v>
      </c>
      <c r="D66" s="351">
        <v>46143</v>
      </c>
      <c r="E66" s="340" t="s">
        <v>947</v>
      </c>
      <c r="F66" s="340" t="s">
        <v>894</v>
      </c>
      <c r="G66" s="340" t="s">
        <v>948</v>
      </c>
      <c r="I66" s="340" t="s">
        <v>758</v>
      </c>
      <c r="K66" s="343">
        <v>0</v>
      </c>
      <c r="L66" s="343">
        <v>-111.41</v>
      </c>
      <c r="M66" s="343">
        <v>-864504.8</v>
      </c>
      <c r="O66" s="343">
        <v>0</v>
      </c>
    </row>
    <row r="67" spans="1:15" x14ac:dyDescent="0.3">
      <c r="A67" s="340" t="s">
        <v>891</v>
      </c>
      <c r="B67" s="350">
        <v>46007</v>
      </c>
      <c r="C67" s="350">
        <v>46156</v>
      </c>
      <c r="D67" s="351">
        <v>46143</v>
      </c>
      <c r="E67" s="340" t="s">
        <v>947</v>
      </c>
      <c r="F67" s="340" t="s">
        <v>894</v>
      </c>
      <c r="G67" s="340" t="s">
        <v>949</v>
      </c>
      <c r="I67" s="340" t="s">
        <v>758</v>
      </c>
      <c r="K67" s="343">
        <v>0</v>
      </c>
      <c r="L67" s="343">
        <v>-68.75</v>
      </c>
      <c r="M67" s="343">
        <v>-864573.55</v>
      </c>
      <c r="O67" s="343">
        <v>0</v>
      </c>
    </row>
    <row r="68" spans="1:15" x14ac:dyDescent="0.3">
      <c r="A68" s="340" t="s">
        <v>891</v>
      </c>
      <c r="B68" s="350">
        <v>46007</v>
      </c>
      <c r="C68" s="350">
        <v>46156</v>
      </c>
      <c r="D68" s="351">
        <v>46143</v>
      </c>
      <c r="E68" s="340" t="s">
        <v>947</v>
      </c>
      <c r="F68" s="340" t="s">
        <v>894</v>
      </c>
      <c r="G68" s="340" t="s">
        <v>940</v>
      </c>
      <c r="I68" s="340" t="s">
        <v>758</v>
      </c>
      <c r="K68" s="343">
        <v>0</v>
      </c>
      <c r="L68" s="343">
        <v>-122.38</v>
      </c>
      <c r="M68" s="343">
        <v>-864695.93</v>
      </c>
      <c r="O68" s="343">
        <v>0</v>
      </c>
    </row>
    <row r="69" spans="1:15" x14ac:dyDescent="0.3">
      <c r="A69" s="340" t="s">
        <v>891</v>
      </c>
      <c r="B69" s="350">
        <v>46007</v>
      </c>
      <c r="C69" s="350">
        <v>46156</v>
      </c>
      <c r="D69" s="351">
        <v>46143</v>
      </c>
      <c r="E69" s="340" t="s">
        <v>947</v>
      </c>
      <c r="F69" s="340" t="s">
        <v>894</v>
      </c>
      <c r="G69" s="340" t="s">
        <v>917</v>
      </c>
      <c r="I69" s="340" t="s">
        <v>758</v>
      </c>
      <c r="K69" s="343">
        <v>0</v>
      </c>
      <c r="L69" s="343">
        <v>-493.9</v>
      </c>
      <c r="M69" s="343">
        <v>-865189.83</v>
      </c>
      <c r="O69" s="343">
        <v>0</v>
      </c>
    </row>
    <row r="70" spans="1:15" x14ac:dyDescent="0.3">
      <c r="A70" s="340" t="s">
        <v>891</v>
      </c>
      <c r="B70" s="350">
        <v>46007</v>
      </c>
      <c r="C70" s="350">
        <v>46156</v>
      </c>
      <c r="D70" s="351">
        <v>46143</v>
      </c>
      <c r="E70" s="340" t="s">
        <v>947</v>
      </c>
      <c r="F70" s="340" t="s">
        <v>894</v>
      </c>
      <c r="G70" s="340" t="s">
        <v>918</v>
      </c>
      <c r="I70" s="340" t="s">
        <v>758</v>
      </c>
      <c r="K70" s="343">
        <v>0</v>
      </c>
      <c r="L70" s="343">
        <v>-125</v>
      </c>
      <c r="M70" s="343">
        <v>-865314.83</v>
      </c>
      <c r="O70" s="343">
        <v>0</v>
      </c>
    </row>
    <row r="71" spans="1:15" x14ac:dyDescent="0.3">
      <c r="A71" s="340" t="s">
        <v>891</v>
      </c>
      <c r="B71" s="350">
        <v>46007</v>
      </c>
      <c r="C71" s="350">
        <v>46156</v>
      </c>
      <c r="D71" s="351">
        <v>46143</v>
      </c>
      <c r="E71" s="340" t="s">
        <v>947</v>
      </c>
      <c r="F71" s="340" t="s">
        <v>894</v>
      </c>
      <c r="G71" s="340" t="s">
        <v>937</v>
      </c>
      <c r="I71" s="340" t="s">
        <v>758</v>
      </c>
      <c r="K71" s="343">
        <v>0</v>
      </c>
      <c r="L71" s="343">
        <v>-110</v>
      </c>
      <c r="M71" s="343">
        <v>-865424.83</v>
      </c>
      <c r="O71" s="343">
        <v>0</v>
      </c>
    </row>
    <row r="72" spans="1:15" x14ac:dyDescent="0.3">
      <c r="A72" s="340" t="s">
        <v>891</v>
      </c>
      <c r="B72" s="350">
        <v>46007</v>
      </c>
      <c r="C72" s="350">
        <v>46156</v>
      </c>
      <c r="D72" s="351">
        <v>46143</v>
      </c>
      <c r="E72" s="340" t="s">
        <v>947</v>
      </c>
      <c r="F72" s="340" t="s">
        <v>894</v>
      </c>
      <c r="G72" s="340" t="s">
        <v>919</v>
      </c>
      <c r="I72" s="340" t="s">
        <v>758</v>
      </c>
      <c r="K72" s="343">
        <v>0</v>
      </c>
      <c r="L72" s="343">
        <v>-383.2</v>
      </c>
      <c r="M72" s="343">
        <v>-865808.03</v>
      </c>
      <c r="O72" s="343">
        <v>0</v>
      </c>
    </row>
    <row r="73" spans="1:15" x14ac:dyDescent="0.3">
      <c r="A73" s="340" t="s">
        <v>891</v>
      </c>
      <c r="B73" s="350">
        <v>46007</v>
      </c>
      <c r="C73" s="350">
        <v>46156</v>
      </c>
      <c r="D73" s="351">
        <v>46143</v>
      </c>
      <c r="E73" s="340" t="s">
        <v>947</v>
      </c>
      <c r="F73" s="340" t="s">
        <v>894</v>
      </c>
      <c r="G73" s="340" t="s">
        <v>920</v>
      </c>
      <c r="I73" s="340" t="s">
        <v>758</v>
      </c>
      <c r="K73" s="343">
        <v>0</v>
      </c>
      <c r="L73" s="343">
        <v>-128.94</v>
      </c>
      <c r="M73" s="343">
        <v>-865936.97</v>
      </c>
      <c r="O73" s="343">
        <v>0</v>
      </c>
    </row>
    <row r="74" spans="1:15" x14ac:dyDescent="0.3">
      <c r="A74" s="340" t="s">
        <v>891</v>
      </c>
      <c r="B74" s="350">
        <v>46008</v>
      </c>
      <c r="C74" s="350">
        <v>46059</v>
      </c>
      <c r="D74" s="351">
        <v>46054</v>
      </c>
      <c r="E74" s="340" t="s">
        <v>950</v>
      </c>
      <c r="F74" s="340" t="s">
        <v>894</v>
      </c>
      <c r="G74" s="340" t="s">
        <v>951</v>
      </c>
      <c r="I74" s="340" t="s">
        <v>952</v>
      </c>
      <c r="K74" s="343">
        <v>0</v>
      </c>
      <c r="L74" s="343">
        <v>-460.55</v>
      </c>
      <c r="M74" s="343">
        <v>-866397.52</v>
      </c>
      <c r="O74" s="343">
        <v>0</v>
      </c>
    </row>
    <row r="75" spans="1:15" x14ac:dyDescent="0.3">
      <c r="A75" s="340" t="s">
        <v>891</v>
      </c>
      <c r="B75" s="350">
        <v>46008</v>
      </c>
      <c r="C75" s="350">
        <v>46101</v>
      </c>
      <c r="D75" s="351">
        <v>46082</v>
      </c>
      <c r="E75" s="340" t="s">
        <v>953</v>
      </c>
      <c r="F75" s="340" t="s">
        <v>894</v>
      </c>
      <c r="G75" s="340" t="s">
        <v>954</v>
      </c>
      <c r="I75" s="340" t="s">
        <v>773</v>
      </c>
      <c r="K75" s="343">
        <v>0</v>
      </c>
      <c r="L75" s="343">
        <v>-2095.16</v>
      </c>
      <c r="M75" s="343">
        <v>-868492.68</v>
      </c>
      <c r="O75" s="343">
        <v>0</v>
      </c>
    </row>
    <row r="76" spans="1:15" x14ac:dyDescent="0.3">
      <c r="A76" s="340" t="s">
        <v>891</v>
      </c>
      <c r="B76" s="350">
        <v>46008</v>
      </c>
      <c r="C76" s="350">
        <v>46136</v>
      </c>
      <c r="D76" s="351">
        <v>46113</v>
      </c>
      <c r="E76" s="340" t="s">
        <v>955</v>
      </c>
      <c r="F76" s="340" t="s">
        <v>894</v>
      </c>
      <c r="G76" s="340" t="s">
        <v>956</v>
      </c>
      <c r="I76" s="340" t="s">
        <v>763</v>
      </c>
      <c r="K76" s="343">
        <v>0</v>
      </c>
      <c r="L76" s="343">
        <v>-1719.58</v>
      </c>
      <c r="M76" s="343">
        <v>-870212.26</v>
      </c>
      <c r="O76" s="343">
        <v>0</v>
      </c>
    </row>
    <row r="77" spans="1:15" x14ac:dyDescent="0.3">
      <c r="A77" s="340" t="s">
        <v>891</v>
      </c>
      <c r="B77" s="350">
        <v>46009</v>
      </c>
      <c r="C77" s="350">
        <v>46048</v>
      </c>
      <c r="D77" s="351">
        <v>46023</v>
      </c>
      <c r="E77" s="340" t="s">
        <v>957</v>
      </c>
      <c r="F77" s="340" t="s">
        <v>894</v>
      </c>
      <c r="G77" s="340" t="s">
        <v>958</v>
      </c>
      <c r="I77" s="340" t="s">
        <v>959</v>
      </c>
      <c r="K77" s="343">
        <v>0</v>
      </c>
      <c r="L77" s="343">
        <v>-1860.25</v>
      </c>
      <c r="M77" s="343">
        <v>-872072.51</v>
      </c>
      <c r="O77" s="343">
        <v>0</v>
      </c>
    </row>
    <row r="78" spans="1:15" x14ac:dyDescent="0.3">
      <c r="A78" s="340" t="s">
        <v>891</v>
      </c>
      <c r="B78" s="350">
        <v>46010</v>
      </c>
      <c r="C78" s="350">
        <v>46050</v>
      </c>
      <c r="D78" s="351">
        <v>46023</v>
      </c>
      <c r="E78" s="340" t="s">
        <v>960</v>
      </c>
      <c r="F78" s="340" t="s">
        <v>894</v>
      </c>
      <c r="G78" s="340" t="s">
        <v>961</v>
      </c>
      <c r="I78" s="340" t="s">
        <v>757</v>
      </c>
      <c r="K78" s="343">
        <v>0</v>
      </c>
      <c r="L78" s="343">
        <v>-441.06</v>
      </c>
      <c r="M78" s="343">
        <v>-872513.57</v>
      </c>
      <c r="O78" s="343">
        <v>0</v>
      </c>
    </row>
    <row r="79" spans="1:15" x14ac:dyDescent="0.3">
      <c r="A79" s="340" t="s">
        <v>891</v>
      </c>
      <c r="B79" s="350">
        <v>46010</v>
      </c>
      <c r="C79" s="350">
        <v>46050</v>
      </c>
      <c r="D79" s="351">
        <v>46023</v>
      </c>
      <c r="E79" s="340" t="s">
        <v>962</v>
      </c>
      <c r="F79" s="340" t="s">
        <v>894</v>
      </c>
      <c r="G79" s="340" t="s">
        <v>963</v>
      </c>
      <c r="I79" s="340" t="s">
        <v>964</v>
      </c>
      <c r="K79" s="343">
        <v>0</v>
      </c>
      <c r="L79" s="343">
        <v>-511.96</v>
      </c>
      <c r="M79" s="343">
        <v>-873025.53</v>
      </c>
      <c r="O79" s="343">
        <v>0</v>
      </c>
    </row>
    <row r="80" spans="1:15" x14ac:dyDescent="0.3">
      <c r="A80" s="340" t="s">
        <v>891</v>
      </c>
      <c r="B80" s="350">
        <v>46011</v>
      </c>
      <c r="C80" s="350">
        <v>46058</v>
      </c>
      <c r="D80" s="351">
        <v>46023</v>
      </c>
      <c r="E80" s="340" t="s">
        <v>965</v>
      </c>
      <c r="F80" s="340" t="s">
        <v>894</v>
      </c>
      <c r="G80" s="340" t="s">
        <v>966</v>
      </c>
      <c r="I80" s="340" t="s">
        <v>771</v>
      </c>
      <c r="K80" s="343">
        <v>0</v>
      </c>
      <c r="L80" s="343">
        <v>-1331.51</v>
      </c>
      <c r="M80" s="343">
        <v>-874357.04</v>
      </c>
      <c r="O80" s="343">
        <v>0</v>
      </c>
    </row>
    <row r="81" spans="1:15" x14ac:dyDescent="0.3">
      <c r="A81" s="340" t="s">
        <v>891</v>
      </c>
      <c r="B81" s="350">
        <v>46013</v>
      </c>
      <c r="C81" s="350">
        <v>46058</v>
      </c>
      <c r="D81" s="351">
        <v>46023</v>
      </c>
      <c r="E81" s="340" t="s">
        <v>967</v>
      </c>
      <c r="F81" s="340" t="s">
        <v>894</v>
      </c>
      <c r="G81" s="340" t="s">
        <v>968</v>
      </c>
      <c r="I81" s="340" t="s">
        <v>771</v>
      </c>
      <c r="K81" s="343">
        <v>0</v>
      </c>
      <c r="L81" s="343">
        <v>-37000.51</v>
      </c>
      <c r="M81" s="343">
        <v>-911357.55</v>
      </c>
      <c r="O81" s="343">
        <v>0</v>
      </c>
    </row>
    <row r="82" spans="1:15" x14ac:dyDescent="0.3">
      <c r="A82" s="340" t="s">
        <v>891</v>
      </c>
      <c r="B82" s="350">
        <v>46013</v>
      </c>
      <c r="C82" s="350">
        <v>46075</v>
      </c>
      <c r="D82" s="351">
        <v>46054</v>
      </c>
      <c r="E82" s="340" t="s">
        <v>969</v>
      </c>
      <c r="F82" s="340" t="s">
        <v>894</v>
      </c>
      <c r="G82" s="340" t="s">
        <v>970</v>
      </c>
      <c r="I82" s="340" t="s">
        <v>971</v>
      </c>
      <c r="K82" s="343">
        <v>0</v>
      </c>
      <c r="L82" s="343">
        <v>-449.24</v>
      </c>
      <c r="M82" s="343">
        <v>-911806.79</v>
      </c>
      <c r="O82" s="343">
        <v>0</v>
      </c>
    </row>
    <row r="83" spans="1:15" x14ac:dyDescent="0.3">
      <c r="A83" s="340" t="s">
        <v>891</v>
      </c>
      <c r="B83" s="350">
        <v>46015</v>
      </c>
      <c r="C83" s="350">
        <v>46156</v>
      </c>
      <c r="D83" s="351">
        <v>46143</v>
      </c>
      <c r="E83" s="340" t="s">
        <v>972</v>
      </c>
      <c r="F83" s="340" t="s">
        <v>894</v>
      </c>
      <c r="G83" s="340" t="s">
        <v>917</v>
      </c>
      <c r="I83" s="340" t="s">
        <v>758</v>
      </c>
      <c r="K83" s="343">
        <v>0</v>
      </c>
      <c r="L83" s="343">
        <v>-493.9</v>
      </c>
      <c r="M83" s="343">
        <v>-912300.69</v>
      </c>
      <c r="O83" s="343">
        <v>0</v>
      </c>
    </row>
    <row r="84" spans="1:15" x14ac:dyDescent="0.3">
      <c r="A84" s="340" t="s">
        <v>891</v>
      </c>
      <c r="B84" s="350">
        <v>46015</v>
      </c>
      <c r="C84" s="350">
        <v>46156</v>
      </c>
      <c r="D84" s="351">
        <v>46143</v>
      </c>
      <c r="E84" s="340" t="s">
        <v>972</v>
      </c>
      <c r="F84" s="340" t="s">
        <v>894</v>
      </c>
      <c r="G84" s="340" t="s">
        <v>922</v>
      </c>
      <c r="I84" s="340" t="s">
        <v>758</v>
      </c>
      <c r="K84" s="343">
        <v>0</v>
      </c>
      <c r="L84" s="343">
        <v>-62.5</v>
      </c>
      <c r="M84" s="343">
        <v>-912363.19</v>
      </c>
      <c r="O84" s="343">
        <v>0</v>
      </c>
    </row>
    <row r="85" spans="1:15" x14ac:dyDescent="0.3">
      <c r="A85" s="340" t="s">
        <v>891</v>
      </c>
      <c r="B85" s="350">
        <v>46015</v>
      </c>
      <c r="C85" s="350">
        <v>46156</v>
      </c>
      <c r="D85" s="351">
        <v>46143</v>
      </c>
      <c r="E85" s="340" t="s">
        <v>972</v>
      </c>
      <c r="F85" s="340" t="s">
        <v>894</v>
      </c>
      <c r="G85" s="340" t="s">
        <v>946</v>
      </c>
      <c r="I85" s="340" t="s">
        <v>758</v>
      </c>
      <c r="K85" s="343">
        <v>0</v>
      </c>
      <c r="L85" s="343">
        <v>-220.75</v>
      </c>
      <c r="M85" s="343">
        <v>-912583.94</v>
      </c>
      <c r="O85" s="343">
        <v>0</v>
      </c>
    </row>
    <row r="86" spans="1:15" x14ac:dyDescent="0.3">
      <c r="A86" s="340" t="s">
        <v>891</v>
      </c>
      <c r="B86" s="350">
        <v>46015</v>
      </c>
      <c r="C86" s="350">
        <v>46156</v>
      </c>
      <c r="D86" s="351">
        <v>46143</v>
      </c>
      <c r="E86" s="340" t="s">
        <v>972</v>
      </c>
      <c r="F86" s="340" t="s">
        <v>894</v>
      </c>
      <c r="G86" s="340" t="s">
        <v>973</v>
      </c>
      <c r="I86" s="340" t="s">
        <v>758</v>
      </c>
      <c r="K86" s="343">
        <v>0</v>
      </c>
      <c r="L86" s="343">
        <v>-37.5</v>
      </c>
      <c r="M86" s="343">
        <v>-912621.44</v>
      </c>
      <c r="O86" s="343">
        <v>0</v>
      </c>
    </row>
    <row r="87" spans="1:15" x14ac:dyDescent="0.3">
      <c r="A87" s="340" t="s">
        <v>891</v>
      </c>
      <c r="B87" s="350">
        <v>46015</v>
      </c>
      <c r="C87" s="350">
        <v>46156</v>
      </c>
      <c r="D87" s="351">
        <v>46143</v>
      </c>
      <c r="E87" s="340" t="s">
        <v>972</v>
      </c>
      <c r="F87" s="340" t="s">
        <v>894</v>
      </c>
      <c r="G87" s="340" t="s">
        <v>938</v>
      </c>
      <c r="I87" s="340" t="s">
        <v>758</v>
      </c>
      <c r="K87" s="343">
        <v>0</v>
      </c>
      <c r="L87" s="343">
        <v>-122.38</v>
      </c>
      <c r="M87" s="343">
        <v>-912743.82</v>
      </c>
      <c r="O87" s="343">
        <v>0</v>
      </c>
    </row>
    <row r="88" spans="1:15" x14ac:dyDescent="0.3">
      <c r="A88" s="340" t="s">
        <v>891</v>
      </c>
      <c r="B88" s="350">
        <v>46015</v>
      </c>
      <c r="C88" s="350">
        <v>46156</v>
      </c>
      <c r="D88" s="351">
        <v>46143</v>
      </c>
      <c r="E88" s="340" t="s">
        <v>972</v>
      </c>
      <c r="F88" s="340" t="s">
        <v>894</v>
      </c>
      <c r="G88" s="340" t="s">
        <v>918</v>
      </c>
      <c r="I88" s="340" t="s">
        <v>758</v>
      </c>
      <c r="K88" s="343">
        <v>0</v>
      </c>
      <c r="L88" s="343">
        <v>-125</v>
      </c>
      <c r="M88" s="343">
        <v>-912868.82</v>
      </c>
      <c r="O88" s="343">
        <v>0</v>
      </c>
    </row>
    <row r="89" spans="1:15" x14ac:dyDescent="0.3">
      <c r="A89" s="340" t="s">
        <v>891</v>
      </c>
      <c r="B89" s="350">
        <v>46015</v>
      </c>
      <c r="C89" s="350">
        <v>46156</v>
      </c>
      <c r="D89" s="351">
        <v>46143</v>
      </c>
      <c r="E89" s="340" t="s">
        <v>972</v>
      </c>
      <c r="F89" s="340" t="s">
        <v>894</v>
      </c>
      <c r="G89" s="340" t="s">
        <v>937</v>
      </c>
      <c r="I89" s="340" t="s">
        <v>758</v>
      </c>
      <c r="K89" s="343">
        <v>0</v>
      </c>
      <c r="L89" s="343">
        <v>-110</v>
      </c>
      <c r="M89" s="343">
        <v>-912978.82</v>
      </c>
      <c r="O89" s="343">
        <v>0</v>
      </c>
    </row>
    <row r="90" spans="1:15" x14ac:dyDescent="0.3">
      <c r="A90" s="340" t="s">
        <v>891</v>
      </c>
      <c r="B90" s="350">
        <v>46015</v>
      </c>
      <c r="C90" s="350">
        <v>46156</v>
      </c>
      <c r="D90" s="351">
        <v>46143</v>
      </c>
      <c r="E90" s="340" t="s">
        <v>972</v>
      </c>
      <c r="F90" s="340" t="s">
        <v>894</v>
      </c>
      <c r="G90" s="340" t="s">
        <v>974</v>
      </c>
      <c r="I90" s="340" t="s">
        <v>758</v>
      </c>
      <c r="K90" s="343">
        <v>0</v>
      </c>
      <c r="L90" s="343">
        <v>-106.25</v>
      </c>
      <c r="M90" s="343">
        <v>-913085.07</v>
      </c>
      <c r="O90" s="343">
        <v>0</v>
      </c>
    </row>
    <row r="91" spans="1:15" x14ac:dyDescent="0.3">
      <c r="A91" s="340" t="s">
        <v>891</v>
      </c>
      <c r="B91" s="350">
        <v>46015</v>
      </c>
      <c r="C91" s="350">
        <v>46156</v>
      </c>
      <c r="D91" s="351">
        <v>46143</v>
      </c>
      <c r="E91" s="340" t="s">
        <v>975</v>
      </c>
      <c r="F91" s="340" t="s">
        <v>894</v>
      </c>
      <c r="G91" s="340" t="s">
        <v>918</v>
      </c>
      <c r="I91" s="340" t="s">
        <v>758</v>
      </c>
      <c r="K91" s="343">
        <v>0</v>
      </c>
      <c r="L91" s="343">
        <v>-145</v>
      </c>
      <c r="M91" s="343">
        <v>-913230.07</v>
      </c>
      <c r="O91" s="343">
        <v>0</v>
      </c>
    </row>
    <row r="92" spans="1:15" x14ac:dyDescent="0.3">
      <c r="A92" s="340" t="s">
        <v>891</v>
      </c>
      <c r="B92" s="350">
        <v>46015</v>
      </c>
      <c r="C92" s="350">
        <v>46156</v>
      </c>
      <c r="D92" s="351">
        <v>46143</v>
      </c>
      <c r="E92" s="340" t="s">
        <v>975</v>
      </c>
      <c r="F92" s="340" t="s">
        <v>894</v>
      </c>
      <c r="G92" s="340" t="s">
        <v>937</v>
      </c>
      <c r="I92" s="340" t="s">
        <v>758</v>
      </c>
      <c r="K92" s="343">
        <v>0</v>
      </c>
      <c r="L92" s="343">
        <v>-125</v>
      </c>
      <c r="M92" s="343">
        <v>-913355.07</v>
      </c>
      <c r="O92" s="343">
        <v>0</v>
      </c>
    </row>
    <row r="93" spans="1:15" x14ac:dyDescent="0.3">
      <c r="A93" s="340" t="s">
        <v>891</v>
      </c>
      <c r="B93" s="350">
        <v>46015</v>
      </c>
      <c r="C93" s="350">
        <v>46156</v>
      </c>
      <c r="D93" s="351">
        <v>46143</v>
      </c>
      <c r="E93" s="340" t="s">
        <v>975</v>
      </c>
      <c r="F93" s="340" t="s">
        <v>894</v>
      </c>
      <c r="G93" s="340" t="s">
        <v>919</v>
      </c>
      <c r="I93" s="340" t="s">
        <v>758</v>
      </c>
      <c r="K93" s="343">
        <v>0</v>
      </c>
      <c r="L93" s="343">
        <v>-602.08000000000004</v>
      </c>
      <c r="M93" s="343">
        <v>-913957.15</v>
      </c>
      <c r="O93" s="343">
        <v>0</v>
      </c>
    </row>
    <row r="94" spans="1:15" x14ac:dyDescent="0.3">
      <c r="A94" s="340" t="s">
        <v>891</v>
      </c>
      <c r="B94" s="350">
        <v>46015</v>
      </c>
      <c r="C94" s="350">
        <v>46156</v>
      </c>
      <c r="D94" s="351">
        <v>46143</v>
      </c>
      <c r="E94" s="340" t="s">
        <v>975</v>
      </c>
      <c r="F94" s="340" t="s">
        <v>894</v>
      </c>
      <c r="G94" s="340" t="s">
        <v>917</v>
      </c>
      <c r="I94" s="340" t="s">
        <v>758</v>
      </c>
      <c r="K94" s="343">
        <v>0</v>
      </c>
      <c r="L94" s="343">
        <v>-532.84</v>
      </c>
      <c r="M94" s="343">
        <v>-914489.99</v>
      </c>
      <c r="O94" s="343">
        <v>0</v>
      </c>
    </row>
    <row r="95" spans="1:15" x14ac:dyDescent="0.3">
      <c r="A95" s="340" t="s">
        <v>891</v>
      </c>
      <c r="B95" s="350">
        <v>46015</v>
      </c>
      <c r="C95" s="350">
        <v>46156</v>
      </c>
      <c r="D95" s="351">
        <v>46143</v>
      </c>
      <c r="E95" s="340" t="s">
        <v>975</v>
      </c>
      <c r="F95" s="340" t="s">
        <v>894</v>
      </c>
      <c r="G95" s="340" t="s">
        <v>920</v>
      </c>
      <c r="I95" s="340" t="s">
        <v>758</v>
      </c>
      <c r="K95" s="343">
        <v>0</v>
      </c>
      <c r="L95" s="343">
        <v>-257.88</v>
      </c>
      <c r="M95" s="343">
        <v>-914747.87</v>
      </c>
      <c r="O95" s="343">
        <v>0</v>
      </c>
    </row>
    <row r="96" spans="1:15" x14ac:dyDescent="0.3">
      <c r="A96" s="340" t="s">
        <v>891</v>
      </c>
      <c r="B96" s="350">
        <v>46015</v>
      </c>
      <c r="C96" s="350">
        <v>46156</v>
      </c>
      <c r="D96" s="351">
        <v>46143</v>
      </c>
      <c r="E96" s="340" t="s">
        <v>975</v>
      </c>
      <c r="F96" s="340" t="s">
        <v>894</v>
      </c>
      <c r="G96" s="340" t="s">
        <v>921</v>
      </c>
      <c r="I96" s="340" t="s">
        <v>758</v>
      </c>
      <c r="K96" s="343">
        <v>0</v>
      </c>
      <c r="L96" s="343">
        <v>-160.19</v>
      </c>
      <c r="M96" s="343">
        <v>-914908.06</v>
      </c>
      <c r="O96" s="343">
        <v>0</v>
      </c>
    </row>
    <row r="97" spans="1:15" x14ac:dyDescent="0.3">
      <c r="A97" s="340" t="s">
        <v>891</v>
      </c>
      <c r="B97" s="350">
        <v>46015</v>
      </c>
      <c r="C97" s="350">
        <v>46156</v>
      </c>
      <c r="D97" s="351">
        <v>46143</v>
      </c>
      <c r="E97" s="340" t="s">
        <v>975</v>
      </c>
      <c r="F97" s="340" t="s">
        <v>894</v>
      </c>
      <c r="G97" s="340" t="s">
        <v>922</v>
      </c>
      <c r="I97" s="340" t="s">
        <v>758</v>
      </c>
      <c r="K97" s="343">
        <v>0</v>
      </c>
      <c r="L97" s="343">
        <v>-156.25</v>
      </c>
      <c r="M97" s="343">
        <v>-915064.31</v>
      </c>
      <c r="O97" s="343">
        <v>0</v>
      </c>
    </row>
    <row r="98" spans="1:15" x14ac:dyDescent="0.3">
      <c r="A98" s="340" t="s">
        <v>891</v>
      </c>
      <c r="B98" s="350">
        <v>46015</v>
      </c>
      <c r="C98" s="350">
        <v>46156</v>
      </c>
      <c r="D98" s="351">
        <v>46143</v>
      </c>
      <c r="E98" s="340" t="s">
        <v>975</v>
      </c>
      <c r="F98" s="340" t="s">
        <v>894</v>
      </c>
      <c r="G98" s="340" t="s">
        <v>923</v>
      </c>
      <c r="I98" s="340" t="s">
        <v>758</v>
      </c>
      <c r="K98" s="343">
        <v>0</v>
      </c>
      <c r="L98" s="343">
        <v>-725</v>
      </c>
      <c r="M98" s="343">
        <v>-915789.31</v>
      </c>
      <c r="O98" s="343">
        <v>0</v>
      </c>
    </row>
    <row r="99" spans="1:15" x14ac:dyDescent="0.3">
      <c r="A99" s="340" t="s">
        <v>891</v>
      </c>
      <c r="B99" s="350">
        <v>46015</v>
      </c>
      <c r="C99" s="350">
        <v>46156</v>
      </c>
      <c r="D99" s="351">
        <v>46143</v>
      </c>
      <c r="E99" s="340" t="s">
        <v>975</v>
      </c>
      <c r="F99" s="340" t="s">
        <v>894</v>
      </c>
      <c r="G99" s="340" t="s">
        <v>976</v>
      </c>
      <c r="I99" s="340" t="s">
        <v>758</v>
      </c>
      <c r="K99" s="343">
        <v>0</v>
      </c>
      <c r="L99" s="343">
        <v>-26.44</v>
      </c>
      <c r="M99" s="343">
        <v>-915815.75</v>
      </c>
      <c r="O99" s="343">
        <v>0</v>
      </c>
    </row>
    <row r="100" spans="1:15" x14ac:dyDescent="0.3">
      <c r="A100" s="340" t="s">
        <v>891</v>
      </c>
      <c r="B100" s="350">
        <v>46015</v>
      </c>
      <c r="C100" s="350">
        <v>46156</v>
      </c>
      <c r="D100" s="351">
        <v>46143</v>
      </c>
      <c r="E100" s="340" t="s">
        <v>975</v>
      </c>
      <c r="F100" s="340" t="s">
        <v>894</v>
      </c>
      <c r="G100" s="340" t="s">
        <v>977</v>
      </c>
      <c r="I100" s="340" t="s">
        <v>758</v>
      </c>
      <c r="K100" s="343">
        <v>0</v>
      </c>
      <c r="L100" s="343">
        <v>-145.38</v>
      </c>
      <c r="M100" s="343">
        <v>-915961.13</v>
      </c>
      <c r="O100" s="343">
        <v>0</v>
      </c>
    </row>
    <row r="101" spans="1:15" x14ac:dyDescent="0.3">
      <c r="A101" s="340" t="s">
        <v>891</v>
      </c>
      <c r="B101" s="350">
        <v>46015</v>
      </c>
      <c r="C101" s="350">
        <v>46156</v>
      </c>
      <c r="D101" s="351">
        <v>46143</v>
      </c>
      <c r="E101" s="340" t="s">
        <v>975</v>
      </c>
      <c r="F101" s="340" t="s">
        <v>894</v>
      </c>
      <c r="G101" s="340" t="s">
        <v>940</v>
      </c>
      <c r="I101" s="340" t="s">
        <v>758</v>
      </c>
      <c r="K101" s="343">
        <v>0</v>
      </c>
      <c r="L101" s="343">
        <v>-122.38</v>
      </c>
      <c r="M101" s="343">
        <v>-916083.51</v>
      </c>
      <c r="O101" s="343">
        <v>0</v>
      </c>
    </row>
    <row r="102" spans="1:15" x14ac:dyDescent="0.3">
      <c r="A102" s="340" t="s">
        <v>891</v>
      </c>
      <c r="B102" s="350">
        <v>46017</v>
      </c>
      <c r="C102" s="350">
        <v>46044</v>
      </c>
      <c r="D102" s="351">
        <v>46023</v>
      </c>
      <c r="E102" s="340" t="s">
        <v>978</v>
      </c>
      <c r="F102" s="340" t="s">
        <v>894</v>
      </c>
      <c r="G102" s="340" t="s">
        <v>979</v>
      </c>
      <c r="I102" s="340" t="s">
        <v>980</v>
      </c>
      <c r="K102" s="343">
        <v>0</v>
      </c>
      <c r="L102" s="343">
        <v>-5668.2</v>
      </c>
      <c r="M102" s="343">
        <v>-921751.71</v>
      </c>
      <c r="O102" s="343">
        <v>0</v>
      </c>
    </row>
    <row r="103" spans="1:15" x14ac:dyDescent="0.3">
      <c r="A103" s="340" t="s">
        <v>891</v>
      </c>
      <c r="B103" s="350">
        <v>46019</v>
      </c>
      <c r="C103" s="350">
        <v>46042</v>
      </c>
      <c r="D103" s="351">
        <v>46023</v>
      </c>
      <c r="E103" s="340" t="s">
        <v>981</v>
      </c>
      <c r="F103" s="340" t="s">
        <v>894</v>
      </c>
      <c r="G103" s="340" t="s">
        <v>982</v>
      </c>
      <c r="I103" s="340" t="s">
        <v>764</v>
      </c>
      <c r="K103" s="343">
        <v>0</v>
      </c>
      <c r="L103" s="343">
        <v>-194.85</v>
      </c>
      <c r="M103" s="343">
        <v>-921946.56</v>
      </c>
      <c r="O103" s="343">
        <v>0</v>
      </c>
    </row>
    <row r="104" spans="1:15" x14ac:dyDescent="0.3">
      <c r="A104" s="340" t="s">
        <v>891</v>
      </c>
      <c r="B104" s="350">
        <v>46019</v>
      </c>
      <c r="C104" s="350">
        <v>46042</v>
      </c>
      <c r="D104" s="351">
        <v>46023</v>
      </c>
      <c r="E104" s="340" t="s">
        <v>981</v>
      </c>
      <c r="F104" s="340" t="s">
        <v>894</v>
      </c>
      <c r="G104" s="340" t="s">
        <v>983</v>
      </c>
      <c r="I104" s="340" t="s">
        <v>764</v>
      </c>
      <c r="K104" s="343">
        <v>0</v>
      </c>
      <c r="L104" s="343">
        <v>-173.2</v>
      </c>
      <c r="M104" s="343">
        <v>-922119.76</v>
      </c>
      <c r="O104" s="343">
        <v>0</v>
      </c>
    </row>
    <row r="105" spans="1:15" x14ac:dyDescent="0.3">
      <c r="A105" s="340" t="s">
        <v>891</v>
      </c>
      <c r="B105" s="350">
        <v>46019</v>
      </c>
      <c r="C105" s="350">
        <v>46042</v>
      </c>
      <c r="D105" s="351">
        <v>46023</v>
      </c>
      <c r="E105" s="340" t="s">
        <v>981</v>
      </c>
      <c r="F105" s="340" t="s">
        <v>894</v>
      </c>
      <c r="G105" s="340" t="s">
        <v>984</v>
      </c>
      <c r="I105" s="340" t="s">
        <v>764</v>
      </c>
      <c r="K105" s="343">
        <v>0</v>
      </c>
      <c r="L105" s="343">
        <v>-64.95</v>
      </c>
      <c r="M105" s="343">
        <v>-922184.71</v>
      </c>
      <c r="O105" s="343">
        <v>0</v>
      </c>
    </row>
    <row r="106" spans="1:15" x14ac:dyDescent="0.3">
      <c r="A106" s="340" t="s">
        <v>891</v>
      </c>
      <c r="B106" s="350">
        <v>46019</v>
      </c>
      <c r="C106" s="350">
        <v>46042</v>
      </c>
      <c r="D106" s="351">
        <v>46023</v>
      </c>
      <c r="E106" s="340" t="s">
        <v>981</v>
      </c>
      <c r="F106" s="340" t="s">
        <v>894</v>
      </c>
      <c r="G106" s="340" t="s">
        <v>985</v>
      </c>
      <c r="I106" s="340" t="s">
        <v>764</v>
      </c>
      <c r="K106" s="343">
        <v>0</v>
      </c>
      <c r="L106" s="343">
        <v>-162.38</v>
      </c>
      <c r="M106" s="343">
        <v>-922347.09</v>
      </c>
      <c r="O106" s="343">
        <v>0</v>
      </c>
    </row>
    <row r="107" spans="1:15" x14ac:dyDescent="0.3">
      <c r="A107" s="340" t="s">
        <v>891</v>
      </c>
      <c r="B107" s="350">
        <v>46019</v>
      </c>
      <c r="C107" s="350">
        <v>46042</v>
      </c>
      <c r="D107" s="351">
        <v>46023</v>
      </c>
      <c r="E107" s="340" t="s">
        <v>981</v>
      </c>
      <c r="F107" s="340" t="s">
        <v>894</v>
      </c>
      <c r="G107" s="340" t="s">
        <v>986</v>
      </c>
      <c r="I107" s="340" t="s">
        <v>764</v>
      </c>
      <c r="K107" s="343">
        <v>0</v>
      </c>
      <c r="L107" s="343">
        <v>-151.55000000000001</v>
      </c>
      <c r="M107" s="343">
        <v>-922498.64</v>
      </c>
      <c r="O107" s="343">
        <v>0</v>
      </c>
    </row>
    <row r="108" spans="1:15" x14ac:dyDescent="0.3">
      <c r="A108" s="340" t="s">
        <v>891</v>
      </c>
      <c r="B108" s="350">
        <v>46019</v>
      </c>
      <c r="C108" s="350">
        <v>46042</v>
      </c>
      <c r="D108" s="351">
        <v>46023</v>
      </c>
      <c r="E108" s="340" t="s">
        <v>981</v>
      </c>
      <c r="F108" s="340" t="s">
        <v>894</v>
      </c>
      <c r="G108" s="340" t="s">
        <v>987</v>
      </c>
      <c r="I108" s="340" t="s">
        <v>764</v>
      </c>
      <c r="K108" s="343">
        <v>0</v>
      </c>
      <c r="L108" s="343">
        <v>-97.42</v>
      </c>
      <c r="M108" s="343">
        <v>-922596.06</v>
      </c>
      <c r="O108" s="343">
        <v>0</v>
      </c>
    </row>
    <row r="109" spans="1:15" x14ac:dyDescent="0.3">
      <c r="A109" s="340" t="s">
        <v>891</v>
      </c>
      <c r="B109" s="350">
        <v>46020</v>
      </c>
      <c r="C109" s="350">
        <v>46049</v>
      </c>
      <c r="D109" s="351">
        <v>46023</v>
      </c>
      <c r="E109" s="340" t="s">
        <v>988</v>
      </c>
      <c r="F109" s="340" t="s">
        <v>894</v>
      </c>
      <c r="G109" s="340" t="s">
        <v>910</v>
      </c>
      <c r="I109" s="340" t="s">
        <v>911</v>
      </c>
      <c r="K109" s="343">
        <v>0</v>
      </c>
      <c r="L109" s="343">
        <v>-67.5</v>
      </c>
      <c r="M109" s="343">
        <v>-922663.56</v>
      </c>
      <c r="O109" s="343">
        <v>0</v>
      </c>
    </row>
    <row r="110" spans="1:15" x14ac:dyDescent="0.3">
      <c r="A110" s="340" t="s">
        <v>891</v>
      </c>
      <c r="B110" s="350">
        <v>46020</v>
      </c>
      <c r="C110" s="350">
        <v>46153</v>
      </c>
      <c r="D110" s="351">
        <v>46143</v>
      </c>
      <c r="E110" s="340" t="s">
        <v>989</v>
      </c>
      <c r="F110" s="340" t="s">
        <v>894</v>
      </c>
      <c r="G110" s="340" t="s">
        <v>990</v>
      </c>
      <c r="I110" s="340" t="s">
        <v>757</v>
      </c>
      <c r="K110" s="343">
        <v>0</v>
      </c>
      <c r="L110" s="343">
        <v>-83.05</v>
      </c>
      <c r="M110" s="343">
        <v>-922746.61</v>
      </c>
      <c r="O110" s="343">
        <v>0</v>
      </c>
    </row>
    <row r="111" spans="1:15" x14ac:dyDescent="0.3">
      <c r="A111" s="340" t="s">
        <v>891</v>
      </c>
      <c r="B111" s="350">
        <v>46020</v>
      </c>
      <c r="C111" s="350">
        <v>46153</v>
      </c>
      <c r="D111" s="351">
        <v>46143</v>
      </c>
      <c r="E111" s="340" t="s">
        <v>989</v>
      </c>
      <c r="F111" s="340" t="s">
        <v>894</v>
      </c>
      <c r="G111" s="340" t="s">
        <v>991</v>
      </c>
      <c r="I111" s="340" t="s">
        <v>757</v>
      </c>
      <c r="K111" s="343">
        <v>0</v>
      </c>
      <c r="L111" s="343">
        <v>-497.93</v>
      </c>
      <c r="M111" s="343">
        <v>-923244.54</v>
      </c>
      <c r="O111" s="343">
        <v>0</v>
      </c>
    </row>
    <row r="112" spans="1:15" x14ac:dyDescent="0.3">
      <c r="A112" s="340" t="s">
        <v>891</v>
      </c>
      <c r="B112" s="350">
        <v>46021</v>
      </c>
      <c r="C112" s="350">
        <v>46125</v>
      </c>
      <c r="D112" s="351">
        <v>46113</v>
      </c>
      <c r="E112" s="340" t="s">
        <v>992</v>
      </c>
      <c r="F112" s="340" t="s">
        <v>894</v>
      </c>
      <c r="G112" s="340" t="s">
        <v>993</v>
      </c>
      <c r="I112" s="340" t="s">
        <v>994</v>
      </c>
      <c r="K112" s="343">
        <v>0</v>
      </c>
      <c r="L112" s="343">
        <v>-1235</v>
      </c>
      <c r="M112" s="343">
        <v>-924479.54</v>
      </c>
      <c r="O112" s="343">
        <v>0</v>
      </c>
    </row>
    <row r="113" spans="1:15" x14ac:dyDescent="0.3">
      <c r="A113" s="340" t="s">
        <v>891</v>
      </c>
      <c r="B113" s="350">
        <v>46021</v>
      </c>
      <c r="C113" s="350">
        <v>46125</v>
      </c>
      <c r="D113" s="351">
        <v>46113</v>
      </c>
      <c r="E113" s="340" t="s">
        <v>995</v>
      </c>
      <c r="F113" s="340" t="s">
        <v>894</v>
      </c>
      <c r="G113" s="340" t="s">
        <v>996</v>
      </c>
      <c r="I113" s="340" t="s">
        <v>994</v>
      </c>
      <c r="K113" s="343">
        <v>0</v>
      </c>
      <c r="L113" s="343">
        <v>-1350</v>
      </c>
      <c r="M113" s="343">
        <v>-925829.54</v>
      </c>
      <c r="O113" s="343">
        <v>0</v>
      </c>
    </row>
    <row r="114" spans="1:15" x14ac:dyDescent="0.3">
      <c r="A114" s="340" t="s">
        <v>891</v>
      </c>
      <c r="B114" s="350">
        <v>46022</v>
      </c>
      <c r="C114" s="350">
        <v>46033</v>
      </c>
      <c r="D114" s="351">
        <v>46023</v>
      </c>
      <c r="E114" s="340" t="s">
        <v>997</v>
      </c>
      <c r="F114" s="340" t="s">
        <v>894</v>
      </c>
      <c r="G114" s="340" t="s">
        <v>998</v>
      </c>
      <c r="I114" s="340" t="s">
        <v>757</v>
      </c>
      <c r="K114" s="343">
        <v>0</v>
      </c>
      <c r="L114" s="343">
        <v>-132.93</v>
      </c>
      <c r="M114" s="343">
        <v>-925962.47</v>
      </c>
      <c r="O114" s="343">
        <v>0</v>
      </c>
    </row>
    <row r="115" spans="1:15" x14ac:dyDescent="0.3">
      <c r="A115" s="340" t="s">
        <v>891</v>
      </c>
      <c r="B115" s="350">
        <v>46022</v>
      </c>
      <c r="C115" s="350">
        <v>46033</v>
      </c>
      <c r="D115" s="351">
        <v>46023</v>
      </c>
      <c r="E115" s="340" t="s">
        <v>997</v>
      </c>
      <c r="F115" s="340" t="s">
        <v>894</v>
      </c>
      <c r="G115" s="340" t="s">
        <v>999</v>
      </c>
      <c r="I115" s="340" t="s">
        <v>757</v>
      </c>
      <c r="K115" s="343">
        <v>0</v>
      </c>
      <c r="L115" s="343">
        <v>-35.19</v>
      </c>
      <c r="M115" s="343">
        <v>-925997.66</v>
      </c>
      <c r="O115" s="343">
        <v>0</v>
      </c>
    </row>
    <row r="116" spans="1:15" x14ac:dyDescent="0.3">
      <c r="A116" s="340" t="s">
        <v>891</v>
      </c>
      <c r="B116" s="350">
        <v>46022</v>
      </c>
      <c r="C116" s="350">
        <v>46033</v>
      </c>
      <c r="D116" s="351">
        <v>46023</v>
      </c>
      <c r="E116" s="340" t="s">
        <v>997</v>
      </c>
      <c r="F116" s="340" t="s">
        <v>894</v>
      </c>
      <c r="G116" s="340" t="s">
        <v>1000</v>
      </c>
      <c r="I116" s="340" t="s">
        <v>757</v>
      </c>
      <c r="K116" s="343">
        <v>0</v>
      </c>
      <c r="L116" s="343">
        <v>-65.44</v>
      </c>
      <c r="M116" s="343">
        <v>-926063.1</v>
      </c>
      <c r="O116" s="343">
        <v>0</v>
      </c>
    </row>
    <row r="117" spans="1:15" x14ac:dyDescent="0.3">
      <c r="A117" s="340" t="s">
        <v>891</v>
      </c>
      <c r="B117" s="350">
        <v>46022</v>
      </c>
      <c r="C117" s="350">
        <v>46058</v>
      </c>
      <c r="D117" s="351">
        <v>46023</v>
      </c>
      <c r="E117" s="340" t="s">
        <v>1001</v>
      </c>
      <c r="F117" s="340" t="s">
        <v>894</v>
      </c>
      <c r="G117" s="340" t="s">
        <v>1002</v>
      </c>
      <c r="I117" s="340" t="s">
        <v>750</v>
      </c>
      <c r="K117" s="343">
        <v>0</v>
      </c>
      <c r="L117" s="343">
        <v>-10175.5</v>
      </c>
      <c r="M117" s="343">
        <v>-936238.6</v>
      </c>
      <c r="O117" s="343">
        <v>0</v>
      </c>
    </row>
    <row r="118" spans="1:15" x14ac:dyDescent="0.3">
      <c r="A118" s="340" t="s">
        <v>891</v>
      </c>
      <c r="B118" s="350">
        <v>46023</v>
      </c>
      <c r="C118" s="350">
        <v>46028</v>
      </c>
      <c r="D118" s="351">
        <v>46023</v>
      </c>
      <c r="E118" s="340" t="s">
        <v>1003</v>
      </c>
      <c r="F118" s="340" t="s">
        <v>894</v>
      </c>
      <c r="G118" s="340" t="s">
        <v>1004</v>
      </c>
      <c r="I118" s="340" t="s">
        <v>1005</v>
      </c>
      <c r="K118" s="343">
        <v>0</v>
      </c>
      <c r="L118" s="343">
        <v>-5197</v>
      </c>
      <c r="M118" s="343">
        <v>-941435.6</v>
      </c>
      <c r="O118" s="343">
        <v>0</v>
      </c>
    </row>
    <row r="119" spans="1:15" x14ac:dyDescent="0.3">
      <c r="A119" s="340" t="s">
        <v>891</v>
      </c>
      <c r="B119" s="350">
        <v>46023</v>
      </c>
      <c r="C119" s="350">
        <v>46028</v>
      </c>
      <c r="D119" s="351">
        <v>46023</v>
      </c>
      <c r="E119" s="340" t="s">
        <v>1003</v>
      </c>
      <c r="F119" s="340" t="s">
        <v>894</v>
      </c>
      <c r="G119" s="340" t="s">
        <v>1006</v>
      </c>
      <c r="I119" s="340" t="s">
        <v>1005</v>
      </c>
      <c r="K119" s="343">
        <v>0</v>
      </c>
      <c r="L119" s="343">
        <v>-159.9</v>
      </c>
      <c r="M119" s="343">
        <v>-941595.5</v>
      </c>
      <c r="O119" s="343">
        <v>0</v>
      </c>
    </row>
    <row r="120" spans="1:15" x14ac:dyDescent="0.3">
      <c r="A120" s="340" t="s">
        <v>891</v>
      </c>
      <c r="B120" s="350">
        <v>46023</v>
      </c>
      <c r="C120" s="350">
        <v>46028</v>
      </c>
      <c r="D120" s="351">
        <v>46023</v>
      </c>
      <c r="E120" s="340" t="s">
        <v>1003</v>
      </c>
      <c r="F120" s="340" t="s">
        <v>894</v>
      </c>
      <c r="G120" s="340" t="s">
        <v>1007</v>
      </c>
      <c r="I120" s="340" t="s">
        <v>1005</v>
      </c>
      <c r="K120" s="343">
        <v>0</v>
      </c>
      <c r="L120" s="343">
        <v>-246.28</v>
      </c>
      <c r="M120" s="343">
        <v>-941841.78</v>
      </c>
      <c r="O120" s="343">
        <v>0</v>
      </c>
    </row>
    <row r="121" spans="1:15" x14ac:dyDescent="0.3">
      <c r="A121" s="340" t="s">
        <v>891</v>
      </c>
      <c r="B121" s="350">
        <v>46023</v>
      </c>
      <c r="C121" s="350">
        <v>46042</v>
      </c>
      <c r="D121" s="351">
        <v>46023</v>
      </c>
      <c r="E121" s="340" t="s">
        <v>1008</v>
      </c>
      <c r="F121" s="340" t="s">
        <v>894</v>
      </c>
      <c r="G121" s="340" t="s">
        <v>1009</v>
      </c>
      <c r="I121" s="340" t="s">
        <v>1005</v>
      </c>
      <c r="K121" s="343">
        <v>0</v>
      </c>
      <c r="L121" s="343">
        <v>-426.4</v>
      </c>
      <c r="M121" s="343">
        <v>-942268.18</v>
      </c>
      <c r="O121" s="343">
        <v>0</v>
      </c>
    </row>
    <row r="122" spans="1:15" x14ac:dyDescent="0.3">
      <c r="A122" s="340" t="s">
        <v>891</v>
      </c>
      <c r="B122" s="350">
        <v>46023</v>
      </c>
      <c r="C122" s="350">
        <v>46042</v>
      </c>
      <c r="D122" s="351">
        <v>46023</v>
      </c>
      <c r="E122" s="340" t="s">
        <v>1008</v>
      </c>
      <c r="F122" s="340" t="s">
        <v>894</v>
      </c>
      <c r="G122" s="340" t="s">
        <v>1010</v>
      </c>
      <c r="I122" s="340" t="s">
        <v>1005</v>
      </c>
      <c r="K122" s="343">
        <v>0</v>
      </c>
      <c r="L122" s="343">
        <v>-959.4</v>
      </c>
      <c r="M122" s="343">
        <v>-943227.58</v>
      </c>
      <c r="O122" s="343">
        <v>0</v>
      </c>
    </row>
    <row r="123" spans="1:15" x14ac:dyDescent="0.3">
      <c r="A123" s="340" t="s">
        <v>891</v>
      </c>
      <c r="B123" s="350">
        <v>46023</v>
      </c>
      <c r="C123" s="350">
        <v>46050</v>
      </c>
      <c r="D123" s="351">
        <v>46023</v>
      </c>
      <c r="E123" s="340" t="s">
        <v>1011</v>
      </c>
      <c r="F123" s="340" t="s">
        <v>894</v>
      </c>
      <c r="G123" s="340" t="s">
        <v>768</v>
      </c>
      <c r="I123" s="340" t="s">
        <v>768</v>
      </c>
      <c r="K123" s="343">
        <v>0</v>
      </c>
      <c r="L123" s="343">
        <v>-733.72</v>
      </c>
      <c r="M123" s="343">
        <v>-943961.3</v>
      </c>
      <c r="O123" s="343">
        <v>0</v>
      </c>
    </row>
    <row r="124" spans="1:15" x14ac:dyDescent="0.3">
      <c r="A124" s="340" t="s">
        <v>891</v>
      </c>
      <c r="B124" s="350">
        <v>46023</v>
      </c>
      <c r="C124" s="350">
        <v>46050</v>
      </c>
      <c r="D124" s="351">
        <v>46023</v>
      </c>
      <c r="E124" s="340" t="s">
        <v>1012</v>
      </c>
      <c r="F124" s="340" t="s">
        <v>894</v>
      </c>
      <c r="G124" s="340" t="s">
        <v>1013</v>
      </c>
      <c r="I124" s="340" t="s">
        <v>767</v>
      </c>
      <c r="K124" s="343">
        <v>0</v>
      </c>
      <c r="L124" s="343">
        <v>-159.9</v>
      </c>
      <c r="M124" s="343">
        <v>-944121.2</v>
      </c>
      <c r="O124" s="343">
        <v>0</v>
      </c>
    </row>
    <row r="125" spans="1:15" x14ac:dyDescent="0.3">
      <c r="A125" s="340" t="s">
        <v>891</v>
      </c>
      <c r="B125" s="350">
        <v>46023</v>
      </c>
      <c r="C125" s="350">
        <v>46052</v>
      </c>
      <c r="D125" s="351">
        <v>46023</v>
      </c>
      <c r="E125" s="340" t="s">
        <v>1014</v>
      </c>
      <c r="F125" s="340" t="s">
        <v>894</v>
      </c>
      <c r="G125" s="340" t="s">
        <v>1015</v>
      </c>
      <c r="I125" s="340" t="s">
        <v>751</v>
      </c>
      <c r="K125" s="343">
        <v>0</v>
      </c>
      <c r="L125" s="343">
        <v>-64.95</v>
      </c>
      <c r="M125" s="343">
        <v>-944186.15</v>
      </c>
      <c r="O125" s="343">
        <v>0</v>
      </c>
    </row>
    <row r="126" spans="1:15" x14ac:dyDescent="0.3">
      <c r="A126" s="340" t="s">
        <v>891</v>
      </c>
      <c r="B126" s="350">
        <v>46023</v>
      </c>
      <c r="C126" s="350">
        <v>46091</v>
      </c>
      <c r="D126" s="351">
        <v>46082</v>
      </c>
      <c r="E126" s="340" t="s">
        <v>1016</v>
      </c>
      <c r="F126" s="340" t="s">
        <v>894</v>
      </c>
      <c r="G126" s="340" t="s">
        <v>1017</v>
      </c>
      <c r="I126" s="340" t="s">
        <v>759</v>
      </c>
      <c r="K126" s="343">
        <v>0</v>
      </c>
      <c r="L126" s="343">
        <v>-1571.79</v>
      </c>
      <c r="M126" s="343">
        <v>-945757.94</v>
      </c>
      <c r="O126" s="343">
        <v>0</v>
      </c>
    </row>
    <row r="127" spans="1:15" x14ac:dyDescent="0.3">
      <c r="A127" s="340" t="s">
        <v>891</v>
      </c>
      <c r="B127" s="350">
        <v>46023</v>
      </c>
      <c r="C127" s="350">
        <v>46101</v>
      </c>
      <c r="D127" s="351">
        <v>46082</v>
      </c>
      <c r="E127" s="340" t="s">
        <v>1018</v>
      </c>
      <c r="F127" s="340" t="s">
        <v>894</v>
      </c>
      <c r="G127" s="340" t="s">
        <v>1019</v>
      </c>
      <c r="I127" s="340" t="s">
        <v>773</v>
      </c>
      <c r="K127" s="343">
        <v>0</v>
      </c>
      <c r="L127" s="343">
        <v>-4330</v>
      </c>
      <c r="M127" s="343">
        <v>-950087.94</v>
      </c>
      <c r="O127" s="343">
        <v>0</v>
      </c>
    </row>
    <row r="128" spans="1:15" x14ac:dyDescent="0.3">
      <c r="A128" s="340" t="s">
        <v>891</v>
      </c>
      <c r="B128" s="350">
        <v>46023</v>
      </c>
      <c r="C128" s="350">
        <v>46137</v>
      </c>
      <c r="D128" s="351">
        <v>46113</v>
      </c>
      <c r="E128" s="340" t="s">
        <v>1020</v>
      </c>
      <c r="F128" s="340" t="s">
        <v>894</v>
      </c>
      <c r="G128" s="340" t="s">
        <v>1021</v>
      </c>
      <c r="I128" s="340" t="s">
        <v>1022</v>
      </c>
      <c r="K128" s="343">
        <v>0</v>
      </c>
      <c r="L128" s="343">
        <v>-8729.0300000000007</v>
      </c>
      <c r="M128" s="343">
        <v>-958816.97</v>
      </c>
      <c r="O128" s="343">
        <v>0</v>
      </c>
    </row>
    <row r="129" spans="1:15" x14ac:dyDescent="0.3">
      <c r="A129" s="340" t="s">
        <v>891</v>
      </c>
      <c r="B129" s="350">
        <v>46023</v>
      </c>
      <c r="C129" s="350">
        <v>46143</v>
      </c>
      <c r="D129" s="351">
        <v>46113</v>
      </c>
      <c r="E129" s="340" t="s">
        <v>1023</v>
      </c>
      <c r="F129" s="340" t="s">
        <v>894</v>
      </c>
      <c r="G129" s="340" t="s">
        <v>1024</v>
      </c>
      <c r="I129" s="340" t="s">
        <v>767</v>
      </c>
      <c r="K129" s="343">
        <v>0</v>
      </c>
      <c r="L129" s="343">
        <v>-431.52</v>
      </c>
      <c r="M129" s="343">
        <v>-959248.49</v>
      </c>
      <c r="O129" s="343">
        <v>0</v>
      </c>
    </row>
    <row r="130" spans="1:15" x14ac:dyDescent="0.3">
      <c r="A130" s="340" t="s">
        <v>891</v>
      </c>
      <c r="B130" s="350">
        <v>46024</v>
      </c>
      <c r="C130" s="350">
        <v>46050</v>
      </c>
      <c r="D130" s="351">
        <v>46023</v>
      </c>
      <c r="E130" s="340" t="s">
        <v>1025</v>
      </c>
      <c r="F130" s="340" t="s">
        <v>894</v>
      </c>
      <c r="G130" s="340" t="s">
        <v>1026</v>
      </c>
      <c r="I130" s="340" t="s">
        <v>744</v>
      </c>
      <c r="K130" s="343">
        <v>0</v>
      </c>
      <c r="L130" s="343">
        <v>-492.8</v>
      </c>
      <c r="M130" s="343">
        <v>-959741.29</v>
      </c>
      <c r="O130" s="343">
        <v>0</v>
      </c>
    </row>
    <row r="131" spans="1:15" x14ac:dyDescent="0.3">
      <c r="A131" s="340" t="s">
        <v>891</v>
      </c>
      <c r="B131" s="350">
        <v>46025</v>
      </c>
      <c r="C131" s="350">
        <v>46050</v>
      </c>
      <c r="D131" s="351">
        <v>46023</v>
      </c>
      <c r="E131" s="340" t="s">
        <v>1027</v>
      </c>
      <c r="F131" s="340" t="s">
        <v>894</v>
      </c>
      <c r="G131" s="340" t="s">
        <v>1028</v>
      </c>
      <c r="I131" s="340" t="s">
        <v>756</v>
      </c>
      <c r="K131" s="343">
        <v>0</v>
      </c>
      <c r="L131" s="343">
        <v>-946.11</v>
      </c>
      <c r="M131" s="343">
        <v>-960687.4</v>
      </c>
      <c r="O131" s="343">
        <v>0</v>
      </c>
    </row>
    <row r="132" spans="1:15" x14ac:dyDescent="0.3">
      <c r="A132" s="340" t="s">
        <v>891</v>
      </c>
      <c r="B132" s="350">
        <v>46027</v>
      </c>
      <c r="C132" s="350">
        <v>46033</v>
      </c>
      <c r="D132" s="351">
        <v>46023</v>
      </c>
      <c r="E132" s="340" t="s">
        <v>1029</v>
      </c>
      <c r="F132" s="340" t="s">
        <v>894</v>
      </c>
      <c r="G132" s="340" t="s">
        <v>1030</v>
      </c>
      <c r="I132" s="340" t="s">
        <v>753</v>
      </c>
      <c r="K132" s="343">
        <v>0</v>
      </c>
      <c r="L132" s="343">
        <v>-465.48</v>
      </c>
      <c r="M132" s="343">
        <v>-961152.88</v>
      </c>
      <c r="O132" s="343">
        <v>0</v>
      </c>
    </row>
    <row r="133" spans="1:15" x14ac:dyDescent="0.3">
      <c r="A133" s="340" t="s">
        <v>891</v>
      </c>
      <c r="B133" s="350">
        <v>46027</v>
      </c>
      <c r="C133" s="350">
        <v>46036</v>
      </c>
      <c r="D133" s="351">
        <v>46023</v>
      </c>
      <c r="E133" s="340" t="s">
        <v>1031</v>
      </c>
      <c r="F133" s="340" t="s">
        <v>894</v>
      </c>
      <c r="G133" s="340" t="s">
        <v>1032</v>
      </c>
      <c r="I133" s="340" t="s">
        <v>1033</v>
      </c>
      <c r="K133" s="343">
        <v>0</v>
      </c>
      <c r="L133" s="343">
        <v>-4911</v>
      </c>
      <c r="M133" s="343">
        <v>-966063.88</v>
      </c>
      <c r="O133" s="343">
        <v>0</v>
      </c>
    </row>
    <row r="134" spans="1:15" x14ac:dyDescent="0.3">
      <c r="A134" s="340" t="s">
        <v>891</v>
      </c>
      <c r="B134" s="350">
        <v>46027</v>
      </c>
      <c r="C134" s="350">
        <v>46039</v>
      </c>
      <c r="D134" s="351">
        <v>46023</v>
      </c>
      <c r="E134" s="340" t="s">
        <v>1034</v>
      </c>
      <c r="F134" s="340" t="s">
        <v>894</v>
      </c>
      <c r="G134" s="340" t="s">
        <v>1035</v>
      </c>
      <c r="I134" s="340" t="s">
        <v>757</v>
      </c>
      <c r="K134" s="343">
        <v>0</v>
      </c>
      <c r="L134" s="343">
        <v>-230.63</v>
      </c>
      <c r="M134" s="343">
        <v>-966294.51</v>
      </c>
      <c r="O134" s="343">
        <v>0</v>
      </c>
    </row>
    <row r="135" spans="1:15" x14ac:dyDescent="0.3">
      <c r="A135" s="340" t="s">
        <v>891</v>
      </c>
      <c r="B135" s="350">
        <v>46027</v>
      </c>
      <c r="C135" s="350">
        <v>46039</v>
      </c>
      <c r="D135" s="351">
        <v>46023</v>
      </c>
      <c r="E135" s="340" t="s">
        <v>1034</v>
      </c>
      <c r="F135" s="340" t="s">
        <v>894</v>
      </c>
      <c r="G135" s="340" t="s">
        <v>1036</v>
      </c>
      <c r="I135" s="340" t="s">
        <v>757</v>
      </c>
      <c r="K135" s="343">
        <v>0</v>
      </c>
      <c r="L135" s="343">
        <v>-62.32</v>
      </c>
      <c r="M135" s="343">
        <v>-966356.83</v>
      </c>
      <c r="O135" s="343">
        <v>0</v>
      </c>
    </row>
    <row r="136" spans="1:15" x14ac:dyDescent="0.3">
      <c r="A136" s="340" t="s">
        <v>891</v>
      </c>
      <c r="B136" s="350">
        <v>46027</v>
      </c>
      <c r="C136" s="350">
        <v>46039</v>
      </c>
      <c r="D136" s="351">
        <v>46023</v>
      </c>
      <c r="E136" s="340" t="s">
        <v>1034</v>
      </c>
      <c r="F136" s="340" t="s">
        <v>894</v>
      </c>
      <c r="G136" s="340" t="s">
        <v>1037</v>
      </c>
      <c r="I136" s="340" t="s">
        <v>757</v>
      </c>
      <c r="K136" s="343">
        <v>0</v>
      </c>
      <c r="L136" s="343">
        <v>-248.98</v>
      </c>
      <c r="M136" s="343">
        <v>-966605.81</v>
      </c>
      <c r="O136" s="343">
        <v>0</v>
      </c>
    </row>
    <row r="137" spans="1:15" x14ac:dyDescent="0.3">
      <c r="A137" s="340" t="s">
        <v>891</v>
      </c>
      <c r="B137" s="350">
        <v>46027</v>
      </c>
      <c r="C137" s="350">
        <v>46056</v>
      </c>
      <c r="D137" s="351">
        <v>46023</v>
      </c>
      <c r="E137" s="340" t="s">
        <v>1038</v>
      </c>
      <c r="F137" s="340" t="s">
        <v>894</v>
      </c>
      <c r="G137" s="340" t="s">
        <v>1039</v>
      </c>
      <c r="I137" s="340" t="s">
        <v>746</v>
      </c>
      <c r="K137" s="343">
        <v>0</v>
      </c>
      <c r="L137" s="343">
        <v>-5756.53</v>
      </c>
      <c r="M137" s="343">
        <v>-972362.34</v>
      </c>
      <c r="O137" s="343">
        <v>0</v>
      </c>
    </row>
    <row r="138" spans="1:15" x14ac:dyDescent="0.3">
      <c r="A138" s="340" t="s">
        <v>891</v>
      </c>
      <c r="B138" s="350">
        <v>46027</v>
      </c>
      <c r="C138" s="350">
        <v>46056</v>
      </c>
      <c r="D138" s="351">
        <v>46023</v>
      </c>
      <c r="E138" s="340" t="s">
        <v>1040</v>
      </c>
      <c r="F138" s="340" t="s">
        <v>894</v>
      </c>
      <c r="G138" s="340" t="s">
        <v>1039</v>
      </c>
      <c r="I138" s="340" t="s">
        <v>746</v>
      </c>
      <c r="K138" s="343">
        <v>0</v>
      </c>
      <c r="L138" s="343">
        <v>-7450.99</v>
      </c>
      <c r="M138" s="343">
        <v>-979813.33</v>
      </c>
      <c r="O138" s="343">
        <v>0</v>
      </c>
    </row>
    <row r="139" spans="1:15" x14ac:dyDescent="0.3">
      <c r="A139" s="340" t="s">
        <v>891</v>
      </c>
      <c r="B139" s="350">
        <v>46027</v>
      </c>
      <c r="C139" s="350">
        <v>46056</v>
      </c>
      <c r="D139" s="351">
        <v>46023</v>
      </c>
      <c r="E139" s="340" t="s">
        <v>1041</v>
      </c>
      <c r="F139" s="340" t="s">
        <v>894</v>
      </c>
      <c r="G139" s="340" t="s">
        <v>1039</v>
      </c>
      <c r="I139" s="340" t="s">
        <v>746</v>
      </c>
      <c r="K139" s="343">
        <v>0</v>
      </c>
      <c r="L139" s="343">
        <v>-23069.3</v>
      </c>
      <c r="M139" s="343">
        <v>-1002882.63</v>
      </c>
      <c r="O139" s="343">
        <v>0</v>
      </c>
    </row>
    <row r="140" spans="1:15" x14ac:dyDescent="0.3">
      <c r="A140" s="340" t="s">
        <v>891</v>
      </c>
      <c r="B140" s="350">
        <v>46027</v>
      </c>
      <c r="C140" s="350">
        <v>46056</v>
      </c>
      <c r="D140" s="351">
        <v>46023</v>
      </c>
      <c r="E140" s="340" t="s">
        <v>1042</v>
      </c>
      <c r="F140" s="340" t="s">
        <v>894</v>
      </c>
      <c r="G140" s="340" t="s">
        <v>1039</v>
      </c>
      <c r="I140" s="340" t="s">
        <v>746</v>
      </c>
      <c r="K140" s="343">
        <v>0</v>
      </c>
      <c r="L140" s="343">
        <v>-9936.35</v>
      </c>
      <c r="M140" s="343">
        <v>-1012818.98</v>
      </c>
      <c r="O140" s="343">
        <v>0</v>
      </c>
    </row>
    <row r="141" spans="1:15" x14ac:dyDescent="0.3">
      <c r="A141" s="340" t="s">
        <v>891</v>
      </c>
      <c r="B141" s="350">
        <v>46028</v>
      </c>
      <c r="C141" s="350">
        <v>46033</v>
      </c>
      <c r="D141" s="351">
        <v>46023</v>
      </c>
      <c r="E141" s="340" t="s">
        <v>1043</v>
      </c>
      <c r="F141" s="340" t="s">
        <v>894</v>
      </c>
      <c r="G141" s="340" t="s">
        <v>1044</v>
      </c>
      <c r="I141" s="340" t="s">
        <v>757</v>
      </c>
      <c r="K141" s="343">
        <v>0</v>
      </c>
      <c r="L141" s="343">
        <v>-140.09</v>
      </c>
      <c r="M141" s="343">
        <v>-1012959.07</v>
      </c>
      <c r="O141" s="343">
        <v>0</v>
      </c>
    </row>
    <row r="142" spans="1:15" x14ac:dyDescent="0.3">
      <c r="A142" s="340" t="s">
        <v>891</v>
      </c>
      <c r="B142" s="350">
        <v>46028</v>
      </c>
      <c r="C142" s="350">
        <v>46033</v>
      </c>
      <c r="D142" s="351">
        <v>46023</v>
      </c>
      <c r="E142" s="340" t="s">
        <v>1043</v>
      </c>
      <c r="F142" s="340" t="s">
        <v>894</v>
      </c>
      <c r="G142" s="340" t="s">
        <v>1045</v>
      </c>
      <c r="I142" s="340" t="s">
        <v>757</v>
      </c>
      <c r="K142" s="343">
        <v>0</v>
      </c>
      <c r="L142" s="343">
        <v>-748.11</v>
      </c>
      <c r="M142" s="343">
        <v>-1013707.18</v>
      </c>
      <c r="O142" s="343">
        <v>0</v>
      </c>
    </row>
    <row r="143" spans="1:15" x14ac:dyDescent="0.3">
      <c r="A143" s="340" t="s">
        <v>891</v>
      </c>
      <c r="B143" s="350">
        <v>46028</v>
      </c>
      <c r="C143" s="350">
        <v>46033</v>
      </c>
      <c r="D143" s="351">
        <v>46023</v>
      </c>
      <c r="E143" s="340" t="s">
        <v>1043</v>
      </c>
      <c r="F143" s="340" t="s">
        <v>894</v>
      </c>
      <c r="G143" s="340" t="s">
        <v>1046</v>
      </c>
      <c r="I143" s="340" t="s">
        <v>757</v>
      </c>
      <c r="K143" s="343">
        <v>0</v>
      </c>
      <c r="L143" s="343">
        <v>-264.81</v>
      </c>
      <c r="M143" s="343">
        <v>-1013971.99</v>
      </c>
      <c r="O143" s="343">
        <v>0</v>
      </c>
    </row>
    <row r="144" spans="1:15" x14ac:dyDescent="0.3">
      <c r="A144" s="340" t="s">
        <v>891</v>
      </c>
      <c r="B144" s="350">
        <v>46028</v>
      </c>
      <c r="C144" s="350">
        <v>46033</v>
      </c>
      <c r="D144" s="351">
        <v>46023</v>
      </c>
      <c r="E144" s="340" t="s">
        <v>1043</v>
      </c>
      <c r="F144" s="340" t="s">
        <v>894</v>
      </c>
      <c r="G144" s="340" t="s">
        <v>1047</v>
      </c>
      <c r="I144" s="340" t="s">
        <v>757</v>
      </c>
      <c r="K144" s="343">
        <v>0</v>
      </c>
      <c r="L144" s="343">
        <v>-249.2</v>
      </c>
      <c r="M144" s="343">
        <v>-1014221.19</v>
      </c>
      <c r="O144" s="343">
        <v>0</v>
      </c>
    </row>
    <row r="145" spans="1:15" x14ac:dyDescent="0.3">
      <c r="A145" s="340" t="s">
        <v>891</v>
      </c>
      <c r="B145" s="350">
        <v>46028</v>
      </c>
      <c r="C145" s="350">
        <v>46033</v>
      </c>
      <c r="D145" s="351">
        <v>46023</v>
      </c>
      <c r="E145" s="340" t="s">
        <v>1043</v>
      </c>
      <c r="F145" s="340" t="s">
        <v>894</v>
      </c>
      <c r="G145" s="340" t="s">
        <v>1048</v>
      </c>
      <c r="I145" s="340" t="s">
        <v>757</v>
      </c>
      <c r="K145" s="343">
        <v>0</v>
      </c>
      <c r="L145" s="343">
        <v>-83.2</v>
      </c>
      <c r="M145" s="343">
        <v>-1014304.39</v>
      </c>
      <c r="O145" s="343">
        <v>0</v>
      </c>
    </row>
    <row r="146" spans="1:15" x14ac:dyDescent="0.3">
      <c r="A146" s="340" t="s">
        <v>891</v>
      </c>
      <c r="B146" s="350">
        <v>46028</v>
      </c>
      <c r="C146" s="350">
        <v>46033</v>
      </c>
      <c r="D146" s="351">
        <v>46023</v>
      </c>
      <c r="E146" s="340" t="s">
        <v>1043</v>
      </c>
      <c r="F146" s="340" t="s">
        <v>894</v>
      </c>
      <c r="G146" s="340" t="s">
        <v>1049</v>
      </c>
      <c r="I146" s="340" t="s">
        <v>757</v>
      </c>
      <c r="K146" s="343">
        <v>0</v>
      </c>
      <c r="L146" s="343">
        <v>-831.31</v>
      </c>
      <c r="M146" s="343">
        <v>-1015135.7</v>
      </c>
      <c r="O146" s="343">
        <v>0</v>
      </c>
    </row>
    <row r="147" spans="1:15" x14ac:dyDescent="0.3">
      <c r="A147" s="340" t="s">
        <v>891</v>
      </c>
      <c r="B147" s="350">
        <v>46028</v>
      </c>
      <c r="C147" s="350">
        <v>46033</v>
      </c>
      <c r="D147" s="351">
        <v>46023</v>
      </c>
      <c r="E147" s="340" t="s">
        <v>1043</v>
      </c>
      <c r="F147" s="340" t="s">
        <v>894</v>
      </c>
      <c r="G147" s="340" t="s">
        <v>1050</v>
      </c>
      <c r="I147" s="340" t="s">
        <v>757</v>
      </c>
      <c r="K147" s="343">
        <v>0</v>
      </c>
      <c r="L147" s="343">
        <v>-540.30999999999995</v>
      </c>
      <c r="M147" s="343">
        <v>-1015676.01</v>
      </c>
      <c r="O147" s="343">
        <v>0</v>
      </c>
    </row>
    <row r="148" spans="1:15" x14ac:dyDescent="0.3">
      <c r="A148" s="340" t="s">
        <v>891</v>
      </c>
      <c r="B148" s="350">
        <v>46028</v>
      </c>
      <c r="C148" s="350">
        <v>46033</v>
      </c>
      <c r="D148" s="351">
        <v>46023</v>
      </c>
      <c r="E148" s="340" t="s">
        <v>1043</v>
      </c>
      <c r="F148" s="340" t="s">
        <v>894</v>
      </c>
      <c r="G148" s="340" t="s">
        <v>1051</v>
      </c>
      <c r="I148" s="340" t="s">
        <v>757</v>
      </c>
      <c r="K148" s="343">
        <v>0</v>
      </c>
      <c r="L148" s="343">
        <v>-831.31</v>
      </c>
      <c r="M148" s="343">
        <v>-1016507.32</v>
      </c>
      <c r="O148" s="343">
        <v>0</v>
      </c>
    </row>
    <row r="149" spans="1:15" x14ac:dyDescent="0.3">
      <c r="A149" s="340" t="s">
        <v>891</v>
      </c>
      <c r="B149" s="350">
        <v>46028</v>
      </c>
      <c r="C149" s="350">
        <v>46033</v>
      </c>
      <c r="D149" s="351">
        <v>46023</v>
      </c>
      <c r="E149" s="340" t="s">
        <v>1043</v>
      </c>
      <c r="F149" s="340" t="s">
        <v>894</v>
      </c>
      <c r="G149" s="340" t="s">
        <v>1052</v>
      </c>
      <c r="I149" s="340" t="s">
        <v>757</v>
      </c>
      <c r="K149" s="343">
        <v>0</v>
      </c>
      <c r="L149" s="343">
        <v>-748.13</v>
      </c>
      <c r="M149" s="343">
        <v>-1017255.45</v>
      </c>
      <c r="O149" s="343">
        <v>0</v>
      </c>
    </row>
    <row r="150" spans="1:15" x14ac:dyDescent="0.3">
      <c r="A150" s="340" t="s">
        <v>891</v>
      </c>
      <c r="B150" s="350">
        <v>46028</v>
      </c>
      <c r="C150" s="350">
        <v>46033</v>
      </c>
      <c r="D150" s="351">
        <v>46023</v>
      </c>
      <c r="E150" s="340" t="s">
        <v>1043</v>
      </c>
      <c r="F150" s="340" t="s">
        <v>894</v>
      </c>
      <c r="G150" s="340" t="s">
        <v>1053</v>
      </c>
      <c r="I150" s="340" t="s">
        <v>757</v>
      </c>
      <c r="K150" s="343">
        <v>0</v>
      </c>
      <c r="L150" s="343">
        <v>-103.79</v>
      </c>
      <c r="M150" s="343">
        <v>-1017359.24</v>
      </c>
      <c r="O150" s="343">
        <v>0</v>
      </c>
    </row>
    <row r="151" spans="1:15" x14ac:dyDescent="0.3">
      <c r="A151" s="340" t="s">
        <v>891</v>
      </c>
      <c r="B151" s="350">
        <v>46028</v>
      </c>
      <c r="C151" s="350">
        <v>46033</v>
      </c>
      <c r="D151" s="351">
        <v>46023</v>
      </c>
      <c r="E151" s="340" t="s">
        <v>1043</v>
      </c>
      <c r="F151" s="340" t="s">
        <v>894</v>
      </c>
      <c r="G151" s="340" t="s">
        <v>1054</v>
      </c>
      <c r="I151" s="340" t="s">
        <v>757</v>
      </c>
      <c r="K151" s="343">
        <v>0</v>
      </c>
      <c r="L151" s="343">
        <v>-228.84</v>
      </c>
      <c r="M151" s="343">
        <v>-1017588.08</v>
      </c>
      <c r="O151" s="343">
        <v>0</v>
      </c>
    </row>
    <row r="152" spans="1:15" x14ac:dyDescent="0.3">
      <c r="A152" s="340" t="s">
        <v>891</v>
      </c>
      <c r="B152" s="350">
        <v>46028</v>
      </c>
      <c r="C152" s="350">
        <v>46033</v>
      </c>
      <c r="D152" s="351">
        <v>46023</v>
      </c>
      <c r="E152" s="340" t="s">
        <v>1043</v>
      </c>
      <c r="F152" s="340" t="s">
        <v>894</v>
      </c>
      <c r="G152" s="340" t="s">
        <v>1055</v>
      </c>
      <c r="I152" s="340" t="s">
        <v>757</v>
      </c>
      <c r="K152" s="343">
        <v>0</v>
      </c>
      <c r="L152" s="343">
        <v>-270.07</v>
      </c>
      <c r="M152" s="343">
        <v>-1017858.15</v>
      </c>
      <c r="O152" s="343">
        <v>0</v>
      </c>
    </row>
    <row r="153" spans="1:15" x14ac:dyDescent="0.3">
      <c r="A153" s="340" t="s">
        <v>891</v>
      </c>
      <c r="B153" s="350">
        <v>46028</v>
      </c>
      <c r="C153" s="350">
        <v>46033</v>
      </c>
      <c r="D153" s="351">
        <v>46023</v>
      </c>
      <c r="E153" s="340" t="s">
        <v>1043</v>
      </c>
      <c r="F153" s="340" t="s">
        <v>894</v>
      </c>
      <c r="G153" s="340" t="s">
        <v>1056</v>
      </c>
      <c r="I153" s="340" t="s">
        <v>757</v>
      </c>
      <c r="K153" s="343">
        <v>0</v>
      </c>
      <c r="L153" s="343">
        <v>-415.53</v>
      </c>
      <c r="M153" s="343">
        <v>-1018273.68</v>
      </c>
      <c r="O153" s="343">
        <v>0</v>
      </c>
    </row>
    <row r="154" spans="1:15" x14ac:dyDescent="0.3">
      <c r="A154" s="340" t="s">
        <v>891</v>
      </c>
      <c r="B154" s="350">
        <v>46028</v>
      </c>
      <c r="C154" s="350">
        <v>46036</v>
      </c>
      <c r="D154" s="351">
        <v>46023</v>
      </c>
      <c r="E154" s="340" t="s">
        <v>1057</v>
      </c>
      <c r="F154" s="340" t="s">
        <v>894</v>
      </c>
      <c r="G154" s="340" t="s">
        <v>1058</v>
      </c>
      <c r="I154" s="340" t="s">
        <v>740</v>
      </c>
      <c r="K154" s="343">
        <v>0</v>
      </c>
      <c r="L154" s="343">
        <v>-520</v>
      </c>
      <c r="M154" s="343">
        <v>-1018793.68</v>
      </c>
      <c r="O154" s="343">
        <v>0</v>
      </c>
    </row>
    <row r="155" spans="1:15" x14ac:dyDescent="0.3">
      <c r="A155" s="340" t="s">
        <v>891</v>
      </c>
      <c r="B155" s="350">
        <v>46028</v>
      </c>
      <c r="C155" s="350">
        <v>46036</v>
      </c>
      <c r="D155" s="351">
        <v>46023</v>
      </c>
      <c r="E155" s="340" t="s">
        <v>1059</v>
      </c>
      <c r="F155" s="340" t="s">
        <v>894</v>
      </c>
      <c r="G155" s="340" t="s">
        <v>1060</v>
      </c>
      <c r="I155" s="340" t="s">
        <v>740</v>
      </c>
      <c r="K155" s="343">
        <v>0</v>
      </c>
      <c r="L155" s="343">
        <v>-102.84</v>
      </c>
      <c r="M155" s="343">
        <v>-1018896.52</v>
      </c>
      <c r="O155" s="343">
        <v>0</v>
      </c>
    </row>
    <row r="156" spans="1:15" x14ac:dyDescent="0.3">
      <c r="A156" s="340" t="s">
        <v>891</v>
      </c>
      <c r="B156" s="350">
        <v>46028</v>
      </c>
      <c r="C156" s="350">
        <v>46036</v>
      </c>
      <c r="D156" s="351">
        <v>46023</v>
      </c>
      <c r="E156" s="340" t="s">
        <v>1061</v>
      </c>
      <c r="F156" s="340" t="s">
        <v>894</v>
      </c>
      <c r="G156" s="340" t="s">
        <v>1062</v>
      </c>
      <c r="I156" s="340" t="s">
        <v>740</v>
      </c>
      <c r="K156" s="343">
        <v>0</v>
      </c>
      <c r="L156" s="343">
        <v>-146.13999999999999</v>
      </c>
      <c r="M156" s="343">
        <v>-1019042.66</v>
      </c>
      <c r="O156" s="343">
        <v>0</v>
      </c>
    </row>
    <row r="157" spans="1:15" x14ac:dyDescent="0.3">
      <c r="A157" s="340" t="s">
        <v>891</v>
      </c>
      <c r="B157" s="350">
        <v>46028</v>
      </c>
      <c r="C157" s="350">
        <v>46036</v>
      </c>
      <c r="D157" s="351">
        <v>46023</v>
      </c>
      <c r="E157" s="340" t="s">
        <v>1063</v>
      </c>
      <c r="F157" s="340" t="s">
        <v>894</v>
      </c>
      <c r="G157" s="340" t="s">
        <v>1064</v>
      </c>
      <c r="I157" s="340" t="s">
        <v>740</v>
      </c>
      <c r="K157" s="343">
        <v>0</v>
      </c>
      <c r="L157" s="343">
        <v>-280</v>
      </c>
      <c r="M157" s="343">
        <v>-1019322.66</v>
      </c>
      <c r="O157" s="343">
        <v>0</v>
      </c>
    </row>
    <row r="158" spans="1:15" x14ac:dyDescent="0.3">
      <c r="A158" s="340" t="s">
        <v>891</v>
      </c>
      <c r="B158" s="350">
        <v>46028</v>
      </c>
      <c r="C158" s="350">
        <v>46036</v>
      </c>
      <c r="D158" s="351">
        <v>46023</v>
      </c>
      <c r="E158" s="340" t="s">
        <v>1063</v>
      </c>
      <c r="F158" s="340" t="s">
        <v>894</v>
      </c>
      <c r="G158" s="340" t="s">
        <v>1065</v>
      </c>
      <c r="I158" s="340" t="s">
        <v>740</v>
      </c>
      <c r="K158" s="343">
        <v>0</v>
      </c>
      <c r="L158" s="343">
        <v>-90</v>
      </c>
      <c r="M158" s="343">
        <v>-1019412.66</v>
      </c>
      <c r="O158" s="343">
        <v>0</v>
      </c>
    </row>
    <row r="159" spans="1:15" x14ac:dyDescent="0.3">
      <c r="A159" s="340" t="s">
        <v>891</v>
      </c>
      <c r="B159" s="350">
        <v>46028</v>
      </c>
      <c r="C159" s="350">
        <v>46036</v>
      </c>
      <c r="D159" s="351">
        <v>46023</v>
      </c>
      <c r="E159" s="340" t="s">
        <v>1063</v>
      </c>
      <c r="F159" s="340" t="s">
        <v>894</v>
      </c>
      <c r="G159" s="340" t="s">
        <v>1066</v>
      </c>
      <c r="I159" s="340" t="s">
        <v>740</v>
      </c>
      <c r="K159" s="343">
        <v>0</v>
      </c>
      <c r="L159" s="343">
        <v>-200</v>
      </c>
      <c r="M159" s="343">
        <v>-1019612.66</v>
      </c>
      <c r="O159" s="343">
        <v>0</v>
      </c>
    </row>
    <row r="160" spans="1:15" x14ac:dyDescent="0.3">
      <c r="A160" s="340" t="s">
        <v>891</v>
      </c>
      <c r="B160" s="350">
        <v>46028</v>
      </c>
      <c r="C160" s="350">
        <v>46042</v>
      </c>
      <c r="D160" s="351">
        <v>46023</v>
      </c>
      <c r="E160" s="340" t="s">
        <v>1067</v>
      </c>
      <c r="F160" s="340" t="s">
        <v>894</v>
      </c>
      <c r="G160" s="340" t="s">
        <v>1068</v>
      </c>
      <c r="I160" s="340" t="s">
        <v>757</v>
      </c>
      <c r="K160" s="343">
        <v>0</v>
      </c>
      <c r="L160" s="343">
        <v>-194.84</v>
      </c>
      <c r="M160" s="343">
        <v>-1019807.5</v>
      </c>
      <c r="O160" s="343">
        <v>0</v>
      </c>
    </row>
    <row r="161" spans="1:15" x14ac:dyDescent="0.3">
      <c r="A161" s="340" t="s">
        <v>891</v>
      </c>
      <c r="B161" s="350">
        <v>46028</v>
      </c>
      <c r="C161" s="350">
        <v>46049</v>
      </c>
      <c r="D161" s="351">
        <v>46023</v>
      </c>
      <c r="E161" s="340" t="s">
        <v>1069</v>
      </c>
      <c r="F161" s="340" t="s">
        <v>894</v>
      </c>
      <c r="G161" s="340" t="s">
        <v>1028</v>
      </c>
      <c r="I161" s="340" t="s">
        <v>756</v>
      </c>
      <c r="K161" s="343">
        <v>946.11</v>
      </c>
      <c r="L161" s="343">
        <v>0</v>
      </c>
      <c r="M161" s="343">
        <v>-1018861.39</v>
      </c>
      <c r="O161" s="343">
        <v>0</v>
      </c>
    </row>
    <row r="162" spans="1:15" x14ac:dyDescent="0.3">
      <c r="A162" s="340" t="s">
        <v>891</v>
      </c>
      <c r="B162" s="350">
        <v>46028</v>
      </c>
      <c r="C162" s="350">
        <v>46049</v>
      </c>
      <c r="D162" s="351">
        <v>46023</v>
      </c>
      <c r="E162" s="340" t="s">
        <v>1070</v>
      </c>
      <c r="F162" s="340" t="s">
        <v>894</v>
      </c>
      <c r="G162" s="340" t="s">
        <v>1028</v>
      </c>
      <c r="I162" s="340" t="s">
        <v>756</v>
      </c>
      <c r="K162" s="343">
        <v>0</v>
      </c>
      <c r="L162" s="343">
        <v>-987.24</v>
      </c>
      <c r="M162" s="343">
        <v>-1019848.63</v>
      </c>
      <c r="O162" s="343">
        <v>0</v>
      </c>
    </row>
    <row r="163" spans="1:15" x14ac:dyDescent="0.3">
      <c r="A163" s="340" t="s">
        <v>891</v>
      </c>
      <c r="B163" s="350">
        <v>46030</v>
      </c>
      <c r="C163" s="350">
        <v>46042</v>
      </c>
      <c r="D163" s="351">
        <v>46023</v>
      </c>
      <c r="E163" s="340" t="s">
        <v>1071</v>
      </c>
      <c r="F163" s="340" t="s">
        <v>894</v>
      </c>
      <c r="G163" s="340" t="s">
        <v>1072</v>
      </c>
      <c r="I163" s="340" t="s">
        <v>764</v>
      </c>
      <c r="K163" s="343">
        <v>0</v>
      </c>
      <c r="L163" s="343">
        <v>-173.2</v>
      </c>
      <c r="M163" s="343">
        <v>-1020021.83</v>
      </c>
      <c r="O163" s="343">
        <v>0</v>
      </c>
    </row>
    <row r="164" spans="1:15" x14ac:dyDescent="0.3">
      <c r="A164" s="340" t="s">
        <v>891</v>
      </c>
      <c r="B164" s="350">
        <v>46030</v>
      </c>
      <c r="C164" s="350">
        <v>46042</v>
      </c>
      <c r="D164" s="351">
        <v>46023</v>
      </c>
      <c r="E164" s="340" t="s">
        <v>1071</v>
      </c>
      <c r="F164" s="340" t="s">
        <v>894</v>
      </c>
      <c r="G164" s="340" t="s">
        <v>1073</v>
      </c>
      <c r="I164" s="340" t="s">
        <v>764</v>
      </c>
      <c r="K164" s="343">
        <v>0</v>
      </c>
      <c r="L164" s="343">
        <v>-162.38</v>
      </c>
      <c r="M164" s="343">
        <v>-1020184.21</v>
      </c>
      <c r="O164" s="343">
        <v>0</v>
      </c>
    </row>
    <row r="165" spans="1:15" x14ac:dyDescent="0.3">
      <c r="A165" s="340" t="s">
        <v>891</v>
      </c>
      <c r="B165" s="350">
        <v>46030</v>
      </c>
      <c r="C165" s="350">
        <v>46042</v>
      </c>
      <c r="D165" s="351">
        <v>46023</v>
      </c>
      <c r="E165" s="340" t="s">
        <v>1071</v>
      </c>
      <c r="F165" s="340" t="s">
        <v>894</v>
      </c>
      <c r="G165" s="340" t="s">
        <v>1074</v>
      </c>
      <c r="I165" s="340" t="s">
        <v>764</v>
      </c>
      <c r="K165" s="343">
        <v>0</v>
      </c>
      <c r="L165" s="343">
        <v>-97.43</v>
      </c>
      <c r="M165" s="343">
        <v>-1020281.64</v>
      </c>
      <c r="O165" s="343">
        <v>0</v>
      </c>
    </row>
    <row r="166" spans="1:15" x14ac:dyDescent="0.3">
      <c r="A166" s="340" t="s">
        <v>891</v>
      </c>
      <c r="B166" s="350">
        <v>46030</v>
      </c>
      <c r="C166" s="350">
        <v>46042</v>
      </c>
      <c r="D166" s="351">
        <v>46023</v>
      </c>
      <c r="E166" s="340" t="s">
        <v>1071</v>
      </c>
      <c r="F166" s="340" t="s">
        <v>894</v>
      </c>
      <c r="G166" s="340" t="s">
        <v>1075</v>
      </c>
      <c r="I166" s="340" t="s">
        <v>764</v>
      </c>
      <c r="K166" s="343">
        <v>0</v>
      </c>
      <c r="L166" s="343">
        <v>-86.6</v>
      </c>
      <c r="M166" s="343">
        <v>-1020368.24</v>
      </c>
      <c r="O166" s="343">
        <v>0</v>
      </c>
    </row>
    <row r="167" spans="1:15" x14ac:dyDescent="0.3">
      <c r="A167" s="340" t="s">
        <v>891</v>
      </c>
      <c r="B167" s="350">
        <v>46030</v>
      </c>
      <c r="C167" s="350">
        <v>46042</v>
      </c>
      <c r="D167" s="351">
        <v>46023</v>
      </c>
      <c r="E167" s="340" t="s">
        <v>1071</v>
      </c>
      <c r="F167" s="340" t="s">
        <v>894</v>
      </c>
      <c r="G167" s="340" t="s">
        <v>1076</v>
      </c>
      <c r="I167" s="340" t="s">
        <v>764</v>
      </c>
      <c r="K167" s="343">
        <v>0</v>
      </c>
      <c r="L167" s="343">
        <v>-119.07</v>
      </c>
      <c r="M167" s="343">
        <v>-1020487.31</v>
      </c>
      <c r="O167" s="343">
        <v>0</v>
      </c>
    </row>
    <row r="168" spans="1:15" x14ac:dyDescent="0.3">
      <c r="A168" s="340" t="s">
        <v>891</v>
      </c>
      <c r="B168" s="350">
        <v>46031</v>
      </c>
      <c r="C168" s="350">
        <v>46031</v>
      </c>
      <c r="D168" s="351">
        <v>46023</v>
      </c>
      <c r="E168" s="340" t="s">
        <v>1077</v>
      </c>
      <c r="F168" s="340" t="s">
        <v>1078</v>
      </c>
      <c r="G168" s="340" t="s">
        <v>1079</v>
      </c>
      <c r="I168" s="340" t="s">
        <v>232</v>
      </c>
      <c r="K168" s="343">
        <v>13233.41</v>
      </c>
      <c r="L168" s="343">
        <v>0</v>
      </c>
      <c r="M168" s="343">
        <v>-1007253.9</v>
      </c>
      <c r="O168" s="343">
        <v>0</v>
      </c>
    </row>
    <row r="169" spans="1:15" x14ac:dyDescent="0.3">
      <c r="A169" s="340" t="s">
        <v>891</v>
      </c>
      <c r="B169" s="350">
        <v>46031</v>
      </c>
      <c r="C169" s="350">
        <v>46031</v>
      </c>
      <c r="D169" s="351">
        <v>46023</v>
      </c>
      <c r="E169" s="340" t="s">
        <v>1080</v>
      </c>
      <c r="F169" s="340" t="s">
        <v>1081</v>
      </c>
      <c r="G169" s="340" t="s">
        <v>1079</v>
      </c>
      <c r="I169" s="340" t="s">
        <v>232</v>
      </c>
      <c r="K169" s="343">
        <v>0</v>
      </c>
      <c r="L169" s="343">
        <v>-13233.41</v>
      </c>
      <c r="M169" s="343">
        <v>-1020487.31</v>
      </c>
      <c r="O169" s="343">
        <v>0</v>
      </c>
    </row>
    <row r="170" spans="1:15" x14ac:dyDescent="0.3">
      <c r="A170" s="340" t="s">
        <v>891</v>
      </c>
      <c r="B170" s="350">
        <v>46031</v>
      </c>
      <c r="C170" s="350">
        <v>46031</v>
      </c>
      <c r="D170" s="351">
        <v>46023</v>
      </c>
      <c r="E170" s="340" t="s">
        <v>1082</v>
      </c>
      <c r="F170" s="340" t="s">
        <v>1078</v>
      </c>
      <c r="G170" s="340" t="s">
        <v>1079</v>
      </c>
      <c r="I170" s="340" t="s">
        <v>232</v>
      </c>
      <c r="K170" s="343">
        <v>13233.41</v>
      </c>
      <c r="L170" s="343">
        <v>0</v>
      </c>
      <c r="M170" s="343">
        <v>-1007253.9</v>
      </c>
      <c r="O170" s="343">
        <v>0</v>
      </c>
    </row>
    <row r="171" spans="1:15" x14ac:dyDescent="0.3">
      <c r="A171" s="340" t="s">
        <v>891</v>
      </c>
      <c r="B171" s="350">
        <v>46032</v>
      </c>
      <c r="C171" s="350">
        <v>46042</v>
      </c>
      <c r="D171" s="351">
        <v>46023</v>
      </c>
      <c r="E171" s="340" t="s">
        <v>1083</v>
      </c>
      <c r="F171" s="340" t="s">
        <v>894</v>
      </c>
      <c r="G171" s="340" t="s">
        <v>1007</v>
      </c>
      <c r="I171" s="340" t="s">
        <v>1005</v>
      </c>
      <c r="K171" s="343">
        <v>0</v>
      </c>
      <c r="L171" s="343">
        <v>-269.83</v>
      </c>
      <c r="M171" s="343">
        <v>-1007523.73</v>
      </c>
      <c r="O171" s="343">
        <v>0</v>
      </c>
    </row>
    <row r="172" spans="1:15" x14ac:dyDescent="0.3">
      <c r="A172" s="340" t="s">
        <v>891</v>
      </c>
      <c r="B172" s="350">
        <v>46034</v>
      </c>
      <c r="C172" s="350">
        <v>46036</v>
      </c>
      <c r="D172" s="351">
        <v>46023</v>
      </c>
      <c r="E172" s="340" t="s">
        <v>1084</v>
      </c>
      <c r="F172" s="340" t="s">
        <v>894</v>
      </c>
      <c r="G172" s="340" t="s">
        <v>1085</v>
      </c>
      <c r="I172" s="340" t="s">
        <v>740</v>
      </c>
      <c r="K172" s="343">
        <v>0</v>
      </c>
      <c r="L172" s="343">
        <v>-290</v>
      </c>
      <c r="M172" s="343">
        <v>-1007813.73</v>
      </c>
      <c r="O172" s="343">
        <v>0</v>
      </c>
    </row>
    <row r="173" spans="1:15" x14ac:dyDescent="0.3">
      <c r="A173" s="340" t="s">
        <v>891</v>
      </c>
      <c r="B173" s="350">
        <v>46034</v>
      </c>
      <c r="C173" s="350">
        <v>46036</v>
      </c>
      <c r="D173" s="351">
        <v>46023</v>
      </c>
      <c r="E173" s="340" t="s">
        <v>1084</v>
      </c>
      <c r="F173" s="340" t="s">
        <v>894</v>
      </c>
      <c r="G173" s="340" t="s">
        <v>1086</v>
      </c>
      <c r="I173" s="340" t="s">
        <v>740</v>
      </c>
      <c r="K173" s="343">
        <v>0</v>
      </c>
      <c r="L173" s="343">
        <v>-365</v>
      </c>
      <c r="M173" s="343">
        <v>-1008178.73</v>
      </c>
      <c r="O173" s="343">
        <v>0</v>
      </c>
    </row>
    <row r="174" spans="1:15" x14ac:dyDescent="0.3">
      <c r="A174" s="340" t="s">
        <v>891</v>
      </c>
      <c r="B174" s="350">
        <v>46034</v>
      </c>
      <c r="C174" s="350">
        <v>46039</v>
      </c>
      <c r="D174" s="351">
        <v>46023</v>
      </c>
      <c r="E174" s="340" t="s">
        <v>1087</v>
      </c>
      <c r="F174" s="340" t="s">
        <v>894</v>
      </c>
      <c r="G174" s="340" t="s">
        <v>1088</v>
      </c>
      <c r="I174" s="340" t="s">
        <v>753</v>
      </c>
      <c r="K174" s="343">
        <v>0</v>
      </c>
      <c r="L174" s="343">
        <v>-357.5</v>
      </c>
      <c r="M174" s="343">
        <v>-1008536.23</v>
      </c>
      <c r="O174" s="343">
        <v>0</v>
      </c>
    </row>
    <row r="175" spans="1:15" x14ac:dyDescent="0.3">
      <c r="A175" s="340" t="s">
        <v>891</v>
      </c>
      <c r="B175" s="350">
        <v>46034</v>
      </c>
      <c r="C175" s="350">
        <v>46041</v>
      </c>
      <c r="D175" s="351">
        <v>46023</v>
      </c>
      <c r="E175" s="340" t="s">
        <v>1089</v>
      </c>
      <c r="F175" s="340" t="s">
        <v>894</v>
      </c>
      <c r="G175" s="340" t="s">
        <v>1090</v>
      </c>
      <c r="I175" s="340" t="s">
        <v>753</v>
      </c>
      <c r="K175" s="343">
        <v>0</v>
      </c>
      <c r="L175" s="343">
        <v>-1195</v>
      </c>
      <c r="M175" s="343">
        <v>-1009731.23</v>
      </c>
      <c r="O175" s="343">
        <v>0</v>
      </c>
    </row>
    <row r="176" spans="1:15" x14ac:dyDescent="0.3">
      <c r="A176" s="340" t="s">
        <v>891</v>
      </c>
      <c r="B176" s="350">
        <v>46034</v>
      </c>
      <c r="C176" s="350">
        <v>46097</v>
      </c>
      <c r="D176" s="351">
        <v>46082</v>
      </c>
      <c r="E176" s="340" t="s">
        <v>1091</v>
      </c>
      <c r="F176" s="340" t="s">
        <v>894</v>
      </c>
      <c r="G176" s="340" t="s">
        <v>1092</v>
      </c>
      <c r="I176" s="340" t="s">
        <v>1093</v>
      </c>
      <c r="K176" s="343">
        <v>0</v>
      </c>
      <c r="L176" s="343">
        <v>-409.08</v>
      </c>
      <c r="M176" s="343">
        <v>-1010140.31</v>
      </c>
      <c r="O176" s="343">
        <v>0</v>
      </c>
    </row>
    <row r="177" spans="1:15" x14ac:dyDescent="0.3">
      <c r="A177" s="340" t="s">
        <v>891</v>
      </c>
      <c r="B177" s="350">
        <v>46034</v>
      </c>
      <c r="C177" s="350">
        <v>46097</v>
      </c>
      <c r="D177" s="351">
        <v>46082</v>
      </c>
      <c r="E177" s="340" t="s">
        <v>1091</v>
      </c>
      <c r="F177" s="340" t="s">
        <v>894</v>
      </c>
      <c r="G177" s="340" t="s">
        <v>1094</v>
      </c>
      <c r="I177" s="340" t="s">
        <v>1093</v>
      </c>
      <c r="K177" s="343">
        <v>0</v>
      </c>
      <c r="L177" s="343">
        <v>-73.739999999999995</v>
      </c>
      <c r="M177" s="343">
        <v>-1010214.05</v>
      </c>
      <c r="O177" s="343">
        <v>0</v>
      </c>
    </row>
    <row r="178" spans="1:15" x14ac:dyDescent="0.3">
      <c r="A178" s="340" t="s">
        <v>891</v>
      </c>
      <c r="B178" s="350">
        <v>46035</v>
      </c>
      <c r="C178" s="350">
        <v>46036</v>
      </c>
      <c r="D178" s="351">
        <v>46023</v>
      </c>
      <c r="E178" s="340" t="s">
        <v>1095</v>
      </c>
      <c r="F178" s="340" t="s">
        <v>894</v>
      </c>
      <c r="G178" s="340" t="s">
        <v>1096</v>
      </c>
      <c r="I178" s="340" t="s">
        <v>740</v>
      </c>
      <c r="K178" s="343">
        <v>0</v>
      </c>
      <c r="L178" s="343">
        <v>-630</v>
      </c>
      <c r="M178" s="343">
        <v>-1010844.05</v>
      </c>
      <c r="O178" s="343">
        <v>0</v>
      </c>
    </row>
    <row r="179" spans="1:15" x14ac:dyDescent="0.3">
      <c r="A179" s="340" t="s">
        <v>891</v>
      </c>
      <c r="B179" s="350">
        <v>46035</v>
      </c>
      <c r="C179" s="350">
        <v>46036</v>
      </c>
      <c r="D179" s="351">
        <v>46023</v>
      </c>
      <c r="E179" s="340" t="s">
        <v>1095</v>
      </c>
      <c r="F179" s="340" t="s">
        <v>894</v>
      </c>
      <c r="G179" s="340" t="s">
        <v>1097</v>
      </c>
      <c r="I179" s="340" t="s">
        <v>740</v>
      </c>
      <c r="K179" s="343">
        <v>0</v>
      </c>
      <c r="L179" s="343">
        <v>-520</v>
      </c>
      <c r="M179" s="343">
        <v>-1011364.05</v>
      </c>
      <c r="O179" s="343">
        <v>0</v>
      </c>
    </row>
    <row r="180" spans="1:15" x14ac:dyDescent="0.3">
      <c r="A180" s="340" t="s">
        <v>891</v>
      </c>
      <c r="B180" s="350">
        <v>46035</v>
      </c>
      <c r="C180" s="350">
        <v>46036</v>
      </c>
      <c r="D180" s="351">
        <v>46023</v>
      </c>
      <c r="E180" s="340" t="s">
        <v>1098</v>
      </c>
      <c r="F180" s="340" t="s">
        <v>894</v>
      </c>
      <c r="G180" s="340" t="s">
        <v>1099</v>
      </c>
      <c r="I180" s="340" t="s">
        <v>740</v>
      </c>
      <c r="K180" s="343">
        <v>0</v>
      </c>
      <c r="L180" s="343">
        <v>-276.04000000000002</v>
      </c>
      <c r="M180" s="343">
        <v>-1011640.09</v>
      </c>
      <c r="O180" s="343">
        <v>0</v>
      </c>
    </row>
    <row r="181" spans="1:15" x14ac:dyDescent="0.3">
      <c r="A181" s="340" t="s">
        <v>891</v>
      </c>
      <c r="B181" s="350">
        <v>46035</v>
      </c>
      <c r="C181" s="350">
        <v>46036</v>
      </c>
      <c r="D181" s="351">
        <v>46023</v>
      </c>
      <c r="E181" s="340" t="s">
        <v>1100</v>
      </c>
      <c r="F181" s="340" t="s">
        <v>894</v>
      </c>
      <c r="G181" s="340" t="s">
        <v>1101</v>
      </c>
      <c r="I181" s="340" t="s">
        <v>740</v>
      </c>
      <c r="K181" s="343">
        <v>0</v>
      </c>
      <c r="L181" s="343">
        <v>-129.9</v>
      </c>
      <c r="M181" s="343">
        <v>-1011769.99</v>
      </c>
      <c r="O181" s="343">
        <v>0</v>
      </c>
    </row>
    <row r="182" spans="1:15" x14ac:dyDescent="0.3">
      <c r="A182" s="340" t="s">
        <v>891</v>
      </c>
      <c r="B182" s="350">
        <v>46035</v>
      </c>
      <c r="C182" s="350">
        <v>46036</v>
      </c>
      <c r="D182" s="351">
        <v>46023</v>
      </c>
      <c r="E182" s="340" t="s">
        <v>1102</v>
      </c>
      <c r="F182" s="340" t="s">
        <v>894</v>
      </c>
      <c r="G182" s="340" t="s">
        <v>1103</v>
      </c>
      <c r="I182" s="340" t="s">
        <v>740</v>
      </c>
      <c r="K182" s="343">
        <v>0</v>
      </c>
      <c r="L182" s="343">
        <v>-155</v>
      </c>
      <c r="M182" s="343">
        <v>-1011924.99</v>
      </c>
      <c r="O182" s="343">
        <v>0</v>
      </c>
    </row>
    <row r="183" spans="1:15" x14ac:dyDescent="0.3">
      <c r="A183" s="340" t="s">
        <v>891</v>
      </c>
      <c r="B183" s="350">
        <v>46035</v>
      </c>
      <c r="C183" s="350">
        <v>46036</v>
      </c>
      <c r="D183" s="351">
        <v>46023</v>
      </c>
      <c r="E183" s="340" t="s">
        <v>1104</v>
      </c>
      <c r="F183" s="340" t="s">
        <v>894</v>
      </c>
      <c r="G183" s="340" t="s">
        <v>1105</v>
      </c>
      <c r="I183" s="340" t="s">
        <v>740</v>
      </c>
      <c r="K183" s="343">
        <v>0</v>
      </c>
      <c r="L183" s="343">
        <v>-178.61</v>
      </c>
      <c r="M183" s="343">
        <v>-1012103.6</v>
      </c>
      <c r="O183" s="343">
        <v>0</v>
      </c>
    </row>
    <row r="184" spans="1:15" x14ac:dyDescent="0.3">
      <c r="A184" s="340" t="s">
        <v>891</v>
      </c>
      <c r="B184" s="350">
        <v>46035</v>
      </c>
      <c r="C184" s="350">
        <v>46036</v>
      </c>
      <c r="D184" s="351">
        <v>46023</v>
      </c>
      <c r="E184" s="340" t="s">
        <v>1106</v>
      </c>
      <c r="F184" s="340" t="s">
        <v>894</v>
      </c>
      <c r="G184" s="340" t="s">
        <v>1107</v>
      </c>
      <c r="I184" s="340" t="s">
        <v>740</v>
      </c>
      <c r="K184" s="343">
        <v>0</v>
      </c>
      <c r="L184" s="343">
        <v>-310</v>
      </c>
      <c r="M184" s="343">
        <v>-1012413.6</v>
      </c>
      <c r="O184" s="343">
        <v>0</v>
      </c>
    </row>
    <row r="185" spans="1:15" x14ac:dyDescent="0.3">
      <c r="A185" s="340" t="s">
        <v>891</v>
      </c>
      <c r="B185" s="350">
        <v>46035</v>
      </c>
      <c r="C185" s="350">
        <v>46036</v>
      </c>
      <c r="D185" s="351">
        <v>46023</v>
      </c>
      <c r="E185" s="340" t="s">
        <v>1106</v>
      </c>
      <c r="F185" s="340" t="s">
        <v>894</v>
      </c>
      <c r="G185" s="340" t="s">
        <v>1108</v>
      </c>
      <c r="I185" s="340" t="s">
        <v>740</v>
      </c>
      <c r="K185" s="343">
        <v>0</v>
      </c>
      <c r="L185" s="343">
        <v>-200</v>
      </c>
      <c r="M185" s="343">
        <v>-1012613.6</v>
      </c>
      <c r="O185" s="343">
        <v>0</v>
      </c>
    </row>
    <row r="186" spans="1:15" x14ac:dyDescent="0.3">
      <c r="A186" s="340" t="s">
        <v>891</v>
      </c>
      <c r="B186" s="350">
        <v>46035</v>
      </c>
      <c r="C186" s="350">
        <v>46036</v>
      </c>
      <c r="D186" s="351">
        <v>46023</v>
      </c>
      <c r="E186" s="340" t="s">
        <v>1109</v>
      </c>
      <c r="F186" s="340" t="s">
        <v>894</v>
      </c>
      <c r="G186" s="340" t="s">
        <v>1110</v>
      </c>
      <c r="I186" s="340" t="s">
        <v>740</v>
      </c>
      <c r="K186" s="343">
        <v>0</v>
      </c>
      <c r="L186" s="343">
        <v>-156.96</v>
      </c>
      <c r="M186" s="343">
        <v>-1012770.56</v>
      </c>
      <c r="O186" s="343">
        <v>0</v>
      </c>
    </row>
    <row r="187" spans="1:15" x14ac:dyDescent="0.3">
      <c r="A187" s="340" t="s">
        <v>891</v>
      </c>
      <c r="B187" s="350">
        <v>46035</v>
      </c>
      <c r="C187" s="350">
        <v>46036</v>
      </c>
      <c r="D187" s="351">
        <v>46023</v>
      </c>
      <c r="E187" s="340" t="s">
        <v>1111</v>
      </c>
      <c r="F187" s="340" t="s">
        <v>894</v>
      </c>
      <c r="G187" s="340" t="s">
        <v>1112</v>
      </c>
      <c r="I187" s="340" t="s">
        <v>740</v>
      </c>
      <c r="K187" s="343">
        <v>0</v>
      </c>
      <c r="L187" s="343">
        <v>-211.09</v>
      </c>
      <c r="M187" s="343">
        <v>-1012981.65</v>
      </c>
      <c r="O187" s="343">
        <v>0</v>
      </c>
    </row>
    <row r="188" spans="1:15" x14ac:dyDescent="0.3">
      <c r="A188" s="340" t="s">
        <v>891</v>
      </c>
      <c r="B188" s="350">
        <v>46035</v>
      </c>
      <c r="C188" s="350">
        <v>46036</v>
      </c>
      <c r="D188" s="351">
        <v>46023</v>
      </c>
      <c r="E188" s="340" t="s">
        <v>1111</v>
      </c>
      <c r="F188" s="340" t="s">
        <v>894</v>
      </c>
      <c r="G188" s="340" t="s">
        <v>1113</v>
      </c>
      <c r="I188" s="340" t="s">
        <v>740</v>
      </c>
      <c r="K188" s="343">
        <v>0</v>
      </c>
      <c r="L188" s="343">
        <v>-20</v>
      </c>
      <c r="M188" s="343">
        <v>-1013001.65</v>
      </c>
      <c r="O188" s="343">
        <v>0</v>
      </c>
    </row>
    <row r="189" spans="1:15" x14ac:dyDescent="0.3">
      <c r="A189" s="340" t="s">
        <v>891</v>
      </c>
      <c r="B189" s="350">
        <v>46035</v>
      </c>
      <c r="C189" s="350">
        <v>46036</v>
      </c>
      <c r="D189" s="351">
        <v>46023</v>
      </c>
      <c r="E189" s="340" t="s">
        <v>1114</v>
      </c>
      <c r="F189" s="340" t="s">
        <v>894</v>
      </c>
      <c r="G189" s="340" t="s">
        <v>1115</v>
      </c>
      <c r="I189" s="340" t="s">
        <v>740</v>
      </c>
      <c r="K189" s="343">
        <v>0</v>
      </c>
      <c r="L189" s="343">
        <v>-243.56</v>
      </c>
      <c r="M189" s="343">
        <v>-1013245.21</v>
      </c>
      <c r="O189" s="343">
        <v>0</v>
      </c>
    </row>
    <row r="190" spans="1:15" x14ac:dyDescent="0.3">
      <c r="A190" s="340" t="s">
        <v>891</v>
      </c>
      <c r="B190" s="350">
        <v>46035</v>
      </c>
      <c r="C190" s="350">
        <v>46036</v>
      </c>
      <c r="D190" s="351">
        <v>46023</v>
      </c>
      <c r="E190" s="340" t="s">
        <v>1116</v>
      </c>
      <c r="F190" s="340" t="s">
        <v>894</v>
      </c>
      <c r="G190" s="340" t="s">
        <v>1117</v>
      </c>
      <c r="I190" s="340" t="s">
        <v>740</v>
      </c>
      <c r="K190" s="343">
        <v>0</v>
      </c>
      <c r="L190" s="343">
        <v>-155</v>
      </c>
      <c r="M190" s="343">
        <v>-1013400.21</v>
      </c>
      <c r="O190" s="343">
        <v>0</v>
      </c>
    </row>
    <row r="191" spans="1:15" x14ac:dyDescent="0.3">
      <c r="A191" s="340" t="s">
        <v>891</v>
      </c>
      <c r="B191" s="350">
        <v>46035</v>
      </c>
      <c r="C191" s="350">
        <v>46037</v>
      </c>
      <c r="D191" s="351">
        <v>46023</v>
      </c>
      <c r="E191" s="340" t="s">
        <v>1118</v>
      </c>
      <c r="F191" s="340" t="s">
        <v>894</v>
      </c>
      <c r="G191" s="340" t="s">
        <v>1048</v>
      </c>
      <c r="I191" s="340" t="s">
        <v>757</v>
      </c>
      <c r="K191" s="343">
        <v>0</v>
      </c>
      <c r="L191" s="343">
        <v>-68.099999999999994</v>
      </c>
      <c r="M191" s="343">
        <v>-1013468.31</v>
      </c>
      <c r="O191" s="343">
        <v>0</v>
      </c>
    </row>
    <row r="192" spans="1:15" x14ac:dyDescent="0.3">
      <c r="A192" s="340" t="s">
        <v>891</v>
      </c>
      <c r="B192" s="350">
        <v>46035</v>
      </c>
      <c r="C192" s="350">
        <v>46077</v>
      </c>
      <c r="D192" s="351">
        <v>46054</v>
      </c>
      <c r="E192" s="340" t="s">
        <v>1119</v>
      </c>
      <c r="F192" s="340" t="s">
        <v>894</v>
      </c>
      <c r="G192" s="340" t="s">
        <v>1120</v>
      </c>
      <c r="I192" s="340" t="s">
        <v>756</v>
      </c>
      <c r="K192" s="343">
        <v>0</v>
      </c>
      <c r="L192" s="343">
        <v>-1044.83</v>
      </c>
      <c r="M192" s="343">
        <v>-1014513.14</v>
      </c>
      <c r="O192" s="343">
        <v>0</v>
      </c>
    </row>
    <row r="193" spans="1:15" x14ac:dyDescent="0.3">
      <c r="A193" s="340" t="s">
        <v>891</v>
      </c>
      <c r="B193" s="350">
        <v>46036</v>
      </c>
      <c r="C193" s="350">
        <v>46039</v>
      </c>
      <c r="D193" s="351">
        <v>46023</v>
      </c>
      <c r="E193" s="340" t="s">
        <v>1121</v>
      </c>
      <c r="F193" s="340" t="s">
        <v>894</v>
      </c>
      <c r="G193" s="340" t="s">
        <v>1122</v>
      </c>
      <c r="I193" s="340" t="s">
        <v>757</v>
      </c>
      <c r="K193" s="343">
        <v>0</v>
      </c>
      <c r="L193" s="343">
        <v>-133.04</v>
      </c>
      <c r="M193" s="343">
        <v>-1014646.18</v>
      </c>
      <c r="O193" s="343">
        <v>0</v>
      </c>
    </row>
    <row r="194" spans="1:15" x14ac:dyDescent="0.3">
      <c r="A194" s="340" t="s">
        <v>891</v>
      </c>
      <c r="B194" s="350">
        <v>46036</v>
      </c>
      <c r="C194" s="350">
        <v>46039</v>
      </c>
      <c r="D194" s="351">
        <v>46023</v>
      </c>
      <c r="E194" s="340" t="s">
        <v>1123</v>
      </c>
      <c r="F194" s="340" t="s">
        <v>894</v>
      </c>
      <c r="G194" s="340" t="s">
        <v>1122</v>
      </c>
      <c r="I194" s="340" t="s">
        <v>757</v>
      </c>
      <c r="K194" s="343">
        <v>0</v>
      </c>
      <c r="L194" s="343">
        <v>-64.89</v>
      </c>
      <c r="M194" s="343">
        <v>-1014711.07</v>
      </c>
      <c r="O194" s="343">
        <v>0</v>
      </c>
    </row>
    <row r="195" spans="1:15" x14ac:dyDescent="0.3">
      <c r="A195" s="340" t="s">
        <v>891</v>
      </c>
      <c r="B195" s="350">
        <v>46036</v>
      </c>
      <c r="C195" s="350">
        <v>46042</v>
      </c>
      <c r="D195" s="351">
        <v>46023</v>
      </c>
      <c r="E195" s="340" t="s">
        <v>1124</v>
      </c>
      <c r="F195" s="340" t="s">
        <v>894</v>
      </c>
      <c r="G195" s="340" t="s">
        <v>1125</v>
      </c>
      <c r="I195" s="340" t="s">
        <v>764</v>
      </c>
      <c r="K195" s="343">
        <v>0</v>
      </c>
      <c r="L195" s="343">
        <v>-54.13</v>
      </c>
      <c r="M195" s="343">
        <v>-1014765.2</v>
      </c>
      <c r="O195" s="343">
        <v>0</v>
      </c>
    </row>
    <row r="196" spans="1:15" x14ac:dyDescent="0.3">
      <c r="A196" s="340" t="s">
        <v>891</v>
      </c>
      <c r="B196" s="350">
        <v>46036</v>
      </c>
      <c r="C196" s="350">
        <v>46042</v>
      </c>
      <c r="D196" s="351">
        <v>46023</v>
      </c>
      <c r="E196" s="340" t="s">
        <v>1124</v>
      </c>
      <c r="F196" s="340" t="s">
        <v>894</v>
      </c>
      <c r="G196" s="340" t="s">
        <v>1126</v>
      </c>
      <c r="I196" s="340" t="s">
        <v>764</v>
      </c>
      <c r="K196" s="343">
        <v>0</v>
      </c>
      <c r="L196" s="343">
        <v>-140.72</v>
      </c>
      <c r="M196" s="343">
        <v>-1014905.92</v>
      </c>
      <c r="O196" s="343">
        <v>0</v>
      </c>
    </row>
    <row r="197" spans="1:15" x14ac:dyDescent="0.3">
      <c r="A197" s="340" t="s">
        <v>891</v>
      </c>
      <c r="B197" s="350">
        <v>46036</v>
      </c>
      <c r="C197" s="350">
        <v>46042</v>
      </c>
      <c r="D197" s="351">
        <v>46023</v>
      </c>
      <c r="E197" s="340" t="s">
        <v>1124</v>
      </c>
      <c r="F197" s="340" t="s">
        <v>894</v>
      </c>
      <c r="G197" s="340" t="s">
        <v>1127</v>
      </c>
      <c r="I197" s="340" t="s">
        <v>764</v>
      </c>
      <c r="K197" s="343">
        <v>0</v>
      </c>
      <c r="L197" s="343">
        <v>-54.13</v>
      </c>
      <c r="M197" s="343">
        <v>-1014960.05</v>
      </c>
      <c r="O197" s="343">
        <v>0</v>
      </c>
    </row>
    <row r="198" spans="1:15" x14ac:dyDescent="0.3">
      <c r="A198" s="340" t="s">
        <v>891</v>
      </c>
      <c r="B198" s="350">
        <v>46036</v>
      </c>
      <c r="C198" s="350">
        <v>46042</v>
      </c>
      <c r="D198" s="351">
        <v>46023</v>
      </c>
      <c r="E198" s="340" t="s">
        <v>1124</v>
      </c>
      <c r="F198" s="340" t="s">
        <v>894</v>
      </c>
      <c r="G198" s="340" t="s">
        <v>1128</v>
      </c>
      <c r="I198" s="340" t="s">
        <v>764</v>
      </c>
      <c r="K198" s="343">
        <v>0</v>
      </c>
      <c r="L198" s="343">
        <v>-54.13</v>
      </c>
      <c r="M198" s="343">
        <v>-1015014.18</v>
      </c>
      <c r="O198" s="343">
        <v>0</v>
      </c>
    </row>
    <row r="199" spans="1:15" x14ac:dyDescent="0.3">
      <c r="A199" s="340" t="s">
        <v>891</v>
      </c>
      <c r="B199" s="350">
        <v>46036</v>
      </c>
      <c r="C199" s="350">
        <v>46042</v>
      </c>
      <c r="D199" s="351">
        <v>46023</v>
      </c>
      <c r="E199" s="340" t="s">
        <v>1124</v>
      </c>
      <c r="F199" s="340" t="s">
        <v>894</v>
      </c>
      <c r="G199" s="340" t="s">
        <v>1129</v>
      </c>
      <c r="I199" s="340" t="s">
        <v>764</v>
      </c>
      <c r="K199" s="343">
        <v>0</v>
      </c>
      <c r="L199" s="343">
        <v>-54.13</v>
      </c>
      <c r="M199" s="343">
        <v>-1015068.31</v>
      </c>
      <c r="O199" s="343">
        <v>0</v>
      </c>
    </row>
    <row r="200" spans="1:15" x14ac:dyDescent="0.3">
      <c r="A200" s="340" t="s">
        <v>891</v>
      </c>
      <c r="B200" s="350">
        <v>46036</v>
      </c>
      <c r="C200" s="350">
        <v>46042</v>
      </c>
      <c r="D200" s="351">
        <v>46023</v>
      </c>
      <c r="E200" s="340" t="s">
        <v>1124</v>
      </c>
      <c r="F200" s="340" t="s">
        <v>894</v>
      </c>
      <c r="G200" s="340" t="s">
        <v>1130</v>
      </c>
      <c r="I200" s="340" t="s">
        <v>764</v>
      </c>
      <c r="K200" s="343">
        <v>0</v>
      </c>
      <c r="L200" s="343">
        <v>-54.13</v>
      </c>
      <c r="M200" s="343">
        <v>-1015122.44</v>
      </c>
      <c r="O200" s="343">
        <v>0</v>
      </c>
    </row>
    <row r="201" spans="1:15" x14ac:dyDescent="0.3">
      <c r="A201" s="340" t="s">
        <v>891</v>
      </c>
      <c r="B201" s="350">
        <v>46036</v>
      </c>
      <c r="C201" s="350">
        <v>46042</v>
      </c>
      <c r="D201" s="351">
        <v>46023</v>
      </c>
      <c r="E201" s="340" t="s">
        <v>1124</v>
      </c>
      <c r="F201" s="340" t="s">
        <v>894</v>
      </c>
      <c r="G201" s="340" t="s">
        <v>1131</v>
      </c>
      <c r="I201" s="340" t="s">
        <v>764</v>
      </c>
      <c r="K201" s="343">
        <v>0</v>
      </c>
      <c r="L201" s="343">
        <v>-54.13</v>
      </c>
      <c r="M201" s="343">
        <v>-1015176.57</v>
      </c>
      <c r="O201" s="343">
        <v>0</v>
      </c>
    </row>
    <row r="202" spans="1:15" x14ac:dyDescent="0.3">
      <c r="A202" s="340" t="s">
        <v>891</v>
      </c>
      <c r="B202" s="350">
        <v>46036</v>
      </c>
      <c r="C202" s="350">
        <v>46042</v>
      </c>
      <c r="D202" s="351">
        <v>46023</v>
      </c>
      <c r="E202" s="340" t="s">
        <v>1124</v>
      </c>
      <c r="F202" s="340" t="s">
        <v>894</v>
      </c>
      <c r="G202" s="340" t="s">
        <v>1132</v>
      </c>
      <c r="I202" s="340" t="s">
        <v>764</v>
      </c>
      <c r="K202" s="343">
        <v>0</v>
      </c>
      <c r="L202" s="343">
        <v>-54.13</v>
      </c>
      <c r="M202" s="343">
        <v>-1015230.7</v>
      </c>
      <c r="O202" s="343">
        <v>0</v>
      </c>
    </row>
    <row r="203" spans="1:15" x14ac:dyDescent="0.3">
      <c r="A203" s="340" t="s">
        <v>891</v>
      </c>
      <c r="B203" s="350">
        <v>46036</v>
      </c>
      <c r="C203" s="350">
        <v>46042</v>
      </c>
      <c r="D203" s="351">
        <v>46023</v>
      </c>
      <c r="E203" s="340" t="s">
        <v>1124</v>
      </c>
      <c r="F203" s="340" t="s">
        <v>894</v>
      </c>
      <c r="G203" s="340" t="s">
        <v>1133</v>
      </c>
      <c r="I203" s="340" t="s">
        <v>764</v>
      </c>
      <c r="K203" s="343">
        <v>0</v>
      </c>
      <c r="L203" s="343">
        <v>-54.13</v>
      </c>
      <c r="M203" s="343">
        <v>-1015284.83</v>
      </c>
      <c r="O203" s="343">
        <v>0</v>
      </c>
    </row>
    <row r="204" spans="1:15" x14ac:dyDescent="0.3">
      <c r="A204" s="340" t="s">
        <v>891</v>
      </c>
      <c r="B204" s="350">
        <v>46036</v>
      </c>
      <c r="C204" s="350">
        <v>46042</v>
      </c>
      <c r="D204" s="351">
        <v>46023</v>
      </c>
      <c r="E204" s="340" t="s">
        <v>1124</v>
      </c>
      <c r="F204" s="340" t="s">
        <v>894</v>
      </c>
      <c r="G204" s="340" t="s">
        <v>1134</v>
      </c>
      <c r="I204" s="340" t="s">
        <v>764</v>
      </c>
      <c r="K204" s="343">
        <v>0</v>
      </c>
      <c r="L204" s="343">
        <v>-54.13</v>
      </c>
      <c r="M204" s="343">
        <v>-1015338.96</v>
      </c>
      <c r="O204" s="343">
        <v>0</v>
      </c>
    </row>
    <row r="205" spans="1:15" x14ac:dyDescent="0.3">
      <c r="A205" s="340" t="s">
        <v>891</v>
      </c>
      <c r="B205" s="350">
        <v>46036</v>
      </c>
      <c r="C205" s="350">
        <v>46042</v>
      </c>
      <c r="D205" s="351">
        <v>46023</v>
      </c>
      <c r="E205" s="340" t="s">
        <v>1124</v>
      </c>
      <c r="F205" s="340" t="s">
        <v>894</v>
      </c>
      <c r="G205" s="340" t="s">
        <v>1135</v>
      </c>
      <c r="I205" s="340" t="s">
        <v>764</v>
      </c>
      <c r="K205" s="343">
        <v>0</v>
      </c>
      <c r="L205" s="343">
        <v>-54.13</v>
      </c>
      <c r="M205" s="343">
        <v>-1015393.09</v>
      </c>
      <c r="O205" s="343">
        <v>0</v>
      </c>
    </row>
    <row r="206" spans="1:15" x14ac:dyDescent="0.3">
      <c r="A206" s="340" t="s">
        <v>891</v>
      </c>
      <c r="B206" s="350">
        <v>46036</v>
      </c>
      <c r="C206" s="350">
        <v>46042</v>
      </c>
      <c r="D206" s="351">
        <v>46023</v>
      </c>
      <c r="E206" s="340" t="s">
        <v>1124</v>
      </c>
      <c r="F206" s="340" t="s">
        <v>894</v>
      </c>
      <c r="G206" s="340" t="s">
        <v>1136</v>
      </c>
      <c r="I206" s="340" t="s">
        <v>764</v>
      </c>
      <c r="K206" s="343">
        <v>0</v>
      </c>
      <c r="L206" s="343">
        <v>-54.13</v>
      </c>
      <c r="M206" s="343">
        <v>-1015447.22</v>
      </c>
      <c r="O206" s="343">
        <v>0</v>
      </c>
    </row>
    <row r="207" spans="1:15" x14ac:dyDescent="0.3">
      <c r="A207" s="340" t="s">
        <v>891</v>
      </c>
      <c r="B207" s="350">
        <v>46036</v>
      </c>
      <c r="C207" s="350">
        <v>46042</v>
      </c>
      <c r="D207" s="351">
        <v>46023</v>
      </c>
      <c r="E207" s="340" t="s">
        <v>1124</v>
      </c>
      <c r="F207" s="340" t="s">
        <v>894</v>
      </c>
      <c r="G207" s="340" t="s">
        <v>1137</v>
      </c>
      <c r="I207" s="340" t="s">
        <v>764</v>
      </c>
      <c r="K207" s="343">
        <v>0</v>
      </c>
      <c r="L207" s="343">
        <v>-54.13</v>
      </c>
      <c r="M207" s="343">
        <v>-1015501.35</v>
      </c>
      <c r="O207" s="343">
        <v>0</v>
      </c>
    </row>
    <row r="208" spans="1:15" x14ac:dyDescent="0.3">
      <c r="A208" s="340" t="s">
        <v>891</v>
      </c>
      <c r="B208" s="350">
        <v>46036</v>
      </c>
      <c r="C208" s="350">
        <v>46042</v>
      </c>
      <c r="D208" s="351">
        <v>46023</v>
      </c>
      <c r="E208" s="340" t="s">
        <v>1124</v>
      </c>
      <c r="F208" s="340" t="s">
        <v>894</v>
      </c>
      <c r="G208" s="340" t="s">
        <v>1138</v>
      </c>
      <c r="I208" s="340" t="s">
        <v>764</v>
      </c>
      <c r="K208" s="343">
        <v>0</v>
      </c>
      <c r="L208" s="343">
        <v>-54.13</v>
      </c>
      <c r="M208" s="343">
        <v>-1015555.48</v>
      </c>
      <c r="O208" s="343">
        <v>0</v>
      </c>
    </row>
    <row r="209" spans="1:15" x14ac:dyDescent="0.3">
      <c r="A209" s="340" t="s">
        <v>891</v>
      </c>
      <c r="B209" s="350">
        <v>46036</v>
      </c>
      <c r="C209" s="350">
        <v>46042</v>
      </c>
      <c r="D209" s="351">
        <v>46023</v>
      </c>
      <c r="E209" s="340" t="s">
        <v>1124</v>
      </c>
      <c r="F209" s="340" t="s">
        <v>894</v>
      </c>
      <c r="G209" s="340" t="s">
        <v>1139</v>
      </c>
      <c r="I209" s="340" t="s">
        <v>764</v>
      </c>
      <c r="K209" s="343">
        <v>0</v>
      </c>
      <c r="L209" s="343">
        <v>-129.84</v>
      </c>
      <c r="M209" s="343">
        <v>-1015685.32</v>
      </c>
      <c r="O209" s="343">
        <v>0</v>
      </c>
    </row>
    <row r="210" spans="1:15" x14ac:dyDescent="0.3">
      <c r="A210" s="340" t="s">
        <v>891</v>
      </c>
      <c r="B210" s="350">
        <v>46037</v>
      </c>
      <c r="C210" s="350">
        <v>46039</v>
      </c>
      <c r="D210" s="351">
        <v>46023</v>
      </c>
      <c r="E210" s="340" t="s">
        <v>1140</v>
      </c>
      <c r="F210" s="340" t="s">
        <v>894</v>
      </c>
      <c r="G210" s="340" t="s">
        <v>1141</v>
      </c>
      <c r="I210" s="340" t="s">
        <v>757</v>
      </c>
      <c r="K210" s="343">
        <v>0</v>
      </c>
      <c r="L210" s="343">
        <v>-18.670000000000002</v>
      </c>
      <c r="M210" s="343">
        <v>-1015703.99</v>
      </c>
      <c r="O210" s="343">
        <v>0</v>
      </c>
    </row>
    <row r="211" spans="1:15" x14ac:dyDescent="0.3">
      <c r="A211" s="340" t="s">
        <v>891</v>
      </c>
      <c r="B211" s="350">
        <v>46037</v>
      </c>
      <c r="C211" s="350">
        <v>46039</v>
      </c>
      <c r="D211" s="351">
        <v>46023</v>
      </c>
      <c r="E211" s="340" t="s">
        <v>1140</v>
      </c>
      <c r="F211" s="340" t="s">
        <v>894</v>
      </c>
      <c r="G211" s="340" t="s">
        <v>1142</v>
      </c>
      <c r="I211" s="340" t="s">
        <v>757</v>
      </c>
      <c r="K211" s="343">
        <v>0</v>
      </c>
      <c r="L211" s="343">
        <v>-124.65</v>
      </c>
      <c r="M211" s="343">
        <v>-1015828.64</v>
      </c>
      <c r="O211" s="343">
        <v>0</v>
      </c>
    </row>
    <row r="212" spans="1:15" x14ac:dyDescent="0.3">
      <c r="A212" s="340" t="s">
        <v>891</v>
      </c>
      <c r="B212" s="350">
        <v>46037</v>
      </c>
      <c r="C212" s="350">
        <v>46039</v>
      </c>
      <c r="D212" s="351">
        <v>46023</v>
      </c>
      <c r="E212" s="340" t="s">
        <v>1140</v>
      </c>
      <c r="F212" s="340" t="s">
        <v>894</v>
      </c>
      <c r="G212" s="340" t="s">
        <v>1143</v>
      </c>
      <c r="I212" s="340" t="s">
        <v>757</v>
      </c>
      <c r="K212" s="343">
        <v>0</v>
      </c>
      <c r="L212" s="343">
        <v>-16.850000000000001</v>
      </c>
      <c r="M212" s="343">
        <v>-1015845.49</v>
      </c>
      <c r="O212" s="343">
        <v>0</v>
      </c>
    </row>
    <row r="213" spans="1:15" x14ac:dyDescent="0.3">
      <c r="A213" s="340" t="s">
        <v>891</v>
      </c>
      <c r="B213" s="350">
        <v>46037</v>
      </c>
      <c r="C213" s="350">
        <v>46039</v>
      </c>
      <c r="D213" s="351">
        <v>46023</v>
      </c>
      <c r="E213" s="340" t="s">
        <v>1140</v>
      </c>
      <c r="F213" s="340" t="s">
        <v>894</v>
      </c>
      <c r="G213" s="340" t="s">
        <v>1144</v>
      </c>
      <c r="I213" s="340" t="s">
        <v>757</v>
      </c>
      <c r="K213" s="343">
        <v>0</v>
      </c>
      <c r="L213" s="343">
        <v>-112.16</v>
      </c>
      <c r="M213" s="343">
        <v>-1015957.65</v>
      </c>
      <c r="O213" s="343">
        <v>0</v>
      </c>
    </row>
    <row r="214" spans="1:15" x14ac:dyDescent="0.3">
      <c r="A214" s="340" t="s">
        <v>891</v>
      </c>
      <c r="B214" s="350">
        <v>46037</v>
      </c>
      <c r="C214" s="350">
        <v>46039</v>
      </c>
      <c r="D214" s="351">
        <v>46023</v>
      </c>
      <c r="E214" s="340" t="s">
        <v>1140</v>
      </c>
      <c r="F214" s="340" t="s">
        <v>894</v>
      </c>
      <c r="G214" s="340" t="s">
        <v>1145</v>
      </c>
      <c r="I214" s="340" t="s">
        <v>757</v>
      </c>
      <c r="K214" s="343">
        <v>0</v>
      </c>
      <c r="L214" s="343">
        <v>-145.43</v>
      </c>
      <c r="M214" s="343">
        <v>-1016103.08</v>
      </c>
      <c r="O214" s="343">
        <v>0</v>
      </c>
    </row>
    <row r="215" spans="1:15" x14ac:dyDescent="0.3">
      <c r="A215" s="340" t="s">
        <v>891</v>
      </c>
      <c r="B215" s="350">
        <v>46037</v>
      </c>
      <c r="C215" s="350">
        <v>46039</v>
      </c>
      <c r="D215" s="351">
        <v>46023</v>
      </c>
      <c r="E215" s="340" t="s">
        <v>1140</v>
      </c>
      <c r="F215" s="340" t="s">
        <v>894</v>
      </c>
      <c r="G215" s="340" t="s">
        <v>1146</v>
      </c>
      <c r="I215" s="340" t="s">
        <v>757</v>
      </c>
      <c r="K215" s="343">
        <v>0</v>
      </c>
      <c r="L215" s="343">
        <v>-324.7</v>
      </c>
      <c r="M215" s="343">
        <v>-1016427.78</v>
      </c>
      <c r="O215" s="343">
        <v>0</v>
      </c>
    </row>
    <row r="216" spans="1:15" x14ac:dyDescent="0.3">
      <c r="A216" s="340" t="s">
        <v>891</v>
      </c>
      <c r="B216" s="350">
        <v>46037</v>
      </c>
      <c r="C216" s="350">
        <v>46039</v>
      </c>
      <c r="D216" s="351">
        <v>46023</v>
      </c>
      <c r="E216" s="340" t="s">
        <v>1140</v>
      </c>
      <c r="F216" s="340" t="s">
        <v>894</v>
      </c>
      <c r="G216" s="340" t="s">
        <v>1147</v>
      </c>
      <c r="I216" s="340" t="s">
        <v>757</v>
      </c>
      <c r="K216" s="343">
        <v>0</v>
      </c>
      <c r="L216" s="343">
        <v>-92.46</v>
      </c>
      <c r="M216" s="343">
        <v>-1016520.24</v>
      </c>
      <c r="O216" s="343">
        <v>0</v>
      </c>
    </row>
    <row r="217" spans="1:15" x14ac:dyDescent="0.3">
      <c r="A217" s="340" t="s">
        <v>891</v>
      </c>
      <c r="B217" s="350">
        <v>46037</v>
      </c>
      <c r="C217" s="350">
        <v>46039</v>
      </c>
      <c r="D217" s="351">
        <v>46023</v>
      </c>
      <c r="E217" s="340" t="s">
        <v>1140</v>
      </c>
      <c r="F217" s="340" t="s">
        <v>894</v>
      </c>
      <c r="G217" s="340" t="s">
        <v>1148</v>
      </c>
      <c r="I217" s="340" t="s">
        <v>757</v>
      </c>
      <c r="K217" s="343">
        <v>0</v>
      </c>
      <c r="L217" s="343">
        <v>-124.85</v>
      </c>
      <c r="M217" s="343">
        <v>-1016645.09</v>
      </c>
      <c r="O217" s="343">
        <v>0</v>
      </c>
    </row>
    <row r="218" spans="1:15" x14ac:dyDescent="0.3">
      <c r="A218" s="340" t="s">
        <v>891</v>
      </c>
      <c r="B218" s="350">
        <v>46037</v>
      </c>
      <c r="C218" s="350">
        <v>46039</v>
      </c>
      <c r="D218" s="351">
        <v>46023</v>
      </c>
      <c r="E218" s="340" t="s">
        <v>1140</v>
      </c>
      <c r="F218" s="340" t="s">
        <v>894</v>
      </c>
      <c r="G218" s="340" t="s">
        <v>1149</v>
      </c>
      <c r="I218" s="340" t="s">
        <v>757</v>
      </c>
      <c r="K218" s="343">
        <v>0</v>
      </c>
      <c r="L218" s="343">
        <v>-51.92</v>
      </c>
      <c r="M218" s="343">
        <v>-1016697.01</v>
      </c>
      <c r="O218" s="343">
        <v>0</v>
      </c>
    </row>
    <row r="219" spans="1:15" x14ac:dyDescent="0.3">
      <c r="A219" s="340" t="s">
        <v>891</v>
      </c>
      <c r="B219" s="350">
        <v>46037</v>
      </c>
      <c r="C219" s="350">
        <v>46039</v>
      </c>
      <c r="D219" s="351">
        <v>46023</v>
      </c>
      <c r="E219" s="340" t="s">
        <v>1140</v>
      </c>
      <c r="F219" s="340" t="s">
        <v>894</v>
      </c>
      <c r="G219" s="340" t="s">
        <v>1150</v>
      </c>
      <c r="I219" s="340" t="s">
        <v>757</v>
      </c>
      <c r="K219" s="343">
        <v>0</v>
      </c>
      <c r="L219" s="343">
        <v>-24.89</v>
      </c>
      <c r="M219" s="343">
        <v>-1016721.9</v>
      </c>
      <c r="O219" s="343">
        <v>0</v>
      </c>
    </row>
    <row r="220" spans="1:15" x14ac:dyDescent="0.3">
      <c r="A220" s="340" t="s">
        <v>891</v>
      </c>
      <c r="B220" s="350">
        <v>46037</v>
      </c>
      <c r="C220" s="350">
        <v>46039</v>
      </c>
      <c r="D220" s="351">
        <v>46023</v>
      </c>
      <c r="E220" s="340" t="s">
        <v>1140</v>
      </c>
      <c r="F220" s="340" t="s">
        <v>894</v>
      </c>
      <c r="G220" s="340" t="s">
        <v>1151</v>
      </c>
      <c r="I220" s="340" t="s">
        <v>757</v>
      </c>
      <c r="K220" s="343">
        <v>0</v>
      </c>
      <c r="L220" s="343">
        <v>-9.32</v>
      </c>
      <c r="M220" s="343">
        <v>-1016731.22</v>
      </c>
      <c r="O220" s="343">
        <v>0</v>
      </c>
    </row>
    <row r="221" spans="1:15" x14ac:dyDescent="0.3">
      <c r="A221" s="340" t="s">
        <v>891</v>
      </c>
      <c r="B221" s="350">
        <v>46037</v>
      </c>
      <c r="C221" s="350">
        <v>46039</v>
      </c>
      <c r="D221" s="351">
        <v>46023</v>
      </c>
      <c r="E221" s="340" t="s">
        <v>1140</v>
      </c>
      <c r="F221" s="340" t="s">
        <v>894</v>
      </c>
      <c r="G221" s="340" t="s">
        <v>1152</v>
      </c>
      <c r="I221" s="340" t="s">
        <v>757</v>
      </c>
      <c r="K221" s="343">
        <v>0</v>
      </c>
      <c r="L221" s="343">
        <v>-73.55</v>
      </c>
      <c r="M221" s="343">
        <v>-1016804.77</v>
      </c>
      <c r="O221" s="343">
        <v>0</v>
      </c>
    </row>
    <row r="222" spans="1:15" x14ac:dyDescent="0.3">
      <c r="A222" s="340" t="s">
        <v>891</v>
      </c>
      <c r="B222" s="350">
        <v>46037</v>
      </c>
      <c r="C222" s="350">
        <v>46039</v>
      </c>
      <c r="D222" s="351">
        <v>46023</v>
      </c>
      <c r="E222" s="340" t="s">
        <v>1140</v>
      </c>
      <c r="F222" s="340" t="s">
        <v>894</v>
      </c>
      <c r="G222" s="340" t="s">
        <v>1153</v>
      </c>
      <c r="I222" s="340" t="s">
        <v>757</v>
      </c>
      <c r="K222" s="343">
        <v>0</v>
      </c>
      <c r="L222" s="343">
        <v>-64.94</v>
      </c>
      <c r="M222" s="343">
        <v>-1016869.71</v>
      </c>
      <c r="O222" s="343">
        <v>0</v>
      </c>
    </row>
    <row r="223" spans="1:15" x14ac:dyDescent="0.3">
      <c r="A223" s="340" t="s">
        <v>891</v>
      </c>
      <c r="B223" s="350">
        <v>46037</v>
      </c>
      <c r="C223" s="350">
        <v>46039</v>
      </c>
      <c r="D223" s="351">
        <v>46023</v>
      </c>
      <c r="E223" s="340" t="s">
        <v>1140</v>
      </c>
      <c r="F223" s="340" t="s">
        <v>894</v>
      </c>
      <c r="G223" s="340" t="s">
        <v>1154</v>
      </c>
      <c r="I223" s="340" t="s">
        <v>757</v>
      </c>
      <c r="K223" s="343">
        <v>0</v>
      </c>
      <c r="L223" s="343">
        <v>-139.22</v>
      </c>
      <c r="M223" s="343">
        <v>-1017008.93</v>
      </c>
      <c r="O223" s="343">
        <v>0</v>
      </c>
    </row>
    <row r="224" spans="1:15" x14ac:dyDescent="0.3">
      <c r="A224" s="340" t="s">
        <v>891</v>
      </c>
      <c r="B224" s="350">
        <v>46037</v>
      </c>
      <c r="C224" s="350">
        <v>46039</v>
      </c>
      <c r="D224" s="351">
        <v>46023</v>
      </c>
      <c r="E224" s="340" t="s">
        <v>1140</v>
      </c>
      <c r="F224" s="340" t="s">
        <v>894</v>
      </c>
      <c r="G224" s="340" t="s">
        <v>1155</v>
      </c>
      <c r="I224" s="340" t="s">
        <v>757</v>
      </c>
      <c r="K224" s="343">
        <v>0</v>
      </c>
      <c r="L224" s="343">
        <v>-54.11</v>
      </c>
      <c r="M224" s="343">
        <v>-1017063.04</v>
      </c>
      <c r="O224" s="343">
        <v>0</v>
      </c>
    </row>
    <row r="225" spans="1:15" x14ac:dyDescent="0.3">
      <c r="A225" s="340" t="s">
        <v>891</v>
      </c>
      <c r="B225" s="350">
        <v>46037</v>
      </c>
      <c r="C225" s="350">
        <v>46039</v>
      </c>
      <c r="D225" s="351">
        <v>46023</v>
      </c>
      <c r="E225" s="340" t="s">
        <v>1140</v>
      </c>
      <c r="F225" s="340" t="s">
        <v>894</v>
      </c>
      <c r="G225" s="340" t="s">
        <v>1156</v>
      </c>
      <c r="I225" s="340" t="s">
        <v>757</v>
      </c>
      <c r="K225" s="343">
        <v>0</v>
      </c>
      <c r="L225" s="343">
        <v>-194.82</v>
      </c>
      <c r="M225" s="343">
        <v>-1017257.86</v>
      </c>
      <c r="O225" s="343">
        <v>0</v>
      </c>
    </row>
    <row r="226" spans="1:15" x14ac:dyDescent="0.3">
      <c r="A226" s="340" t="s">
        <v>891</v>
      </c>
      <c r="B226" s="350">
        <v>46037</v>
      </c>
      <c r="C226" s="350">
        <v>46039</v>
      </c>
      <c r="D226" s="351">
        <v>46023</v>
      </c>
      <c r="E226" s="340" t="s">
        <v>1140</v>
      </c>
      <c r="F226" s="340" t="s">
        <v>894</v>
      </c>
      <c r="G226" s="340" t="s">
        <v>1157</v>
      </c>
      <c r="I226" s="340" t="s">
        <v>757</v>
      </c>
      <c r="K226" s="343">
        <v>0</v>
      </c>
      <c r="L226" s="343">
        <v>-10.35</v>
      </c>
      <c r="M226" s="343">
        <v>-1017268.21</v>
      </c>
      <c r="O226" s="343">
        <v>0</v>
      </c>
    </row>
    <row r="227" spans="1:15" x14ac:dyDescent="0.3">
      <c r="A227" s="340" t="s">
        <v>891</v>
      </c>
      <c r="B227" s="350">
        <v>46037</v>
      </c>
      <c r="C227" s="350">
        <v>46039</v>
      </c>
      <c r="D227" s="351">
        <v>46023</v>
      </c>
      <c r="E227" s="340" t="s">
        <v>1140</v>
      </c>
      <c r="F227" s="340" t="s">
        <v>894</v>
      </c>
      <c r="G227" s="340" t="s">
        <v>1158</v>
      </c>
      <c r="I227" s="340" t="s">
        <v>757</v>
      </c>
      <c r="K227" s="343">
        <v>0</v>
      </c>
      <c r="L227" s="343">
        <v>-12.44</v>
      </c>
      <c r="M227" s="343">
        <v>-1017280.65</v>
      </c>
      <c r="O227" s="343">
        <v>0</v>
      </c>
    </row>
    <row r="228" spans="1:15" x14ac:dyDescent="0.3">
      <c r="A228" s="340" t="s">
        <v>891</v>
      </c>
      <c r="B228" s="350">
        <v>46037</v>
      </c>
      <c r="C228" s="350">
        <v>46039</v>
      </c>
      <c r="D228" s="351">
        <v>46023</v>
      </c>
      <c r="E228" s="340" t="s">
        <v>1140</v>
      </c>
      <c r="F228" s="340" t="s">
        <v>894</v>
      </c>
      <c r="G228" s="340" t="s">
        <v>1159</v>
      </c>
      <c r="I228" s="340" t="s">
        <v>757</v>
      </c>
      <c r="K228" s="343">
        <v>0</v>
      </c>
      <c r="L228" s="343">
        <v>-39.46</v>
      </c>
      <c r="M228" s="343">
        <v>-1017320.11</v>
      </c>
      <c r="O228" s="343">
        <v>0</v>
      </c>
    </row>
    <row r="229" spans="1:15" x14ac:dyDescent="0.3">
      <c r="A229" s="340" t="s">
        <v>891</v>
      </c>
      <c r="B229" s="350">
        <v>46037</v>
      </c>
      <c r="C229" s="350">
        <v>46039</v>
      </c>
      <c r="D229" s="351">
        <v>46023</v>
      </c>
      <c r="E229" s="340" t="s">
        <v>1140</v>
      </c>
      <c r="F229" s="340" t="s">
        <v>894</v>
      </c>
      <c r="G229" s="340" t="s">
        <v>1160</v>
      </c>
      <c r="I229" s="340" t="s">
        <v>757</v>
      </c>
      <c r="K229" s="343">
        <v>0</v>
      </c>
      <c r="L229" s="343">
        <v>-41.51</v>
      </c>
      <c r="M229" s="343">
        <v>-1017361.62</v>
      </c>
      <c r="O229" s="343">
        <v>0</v>
      </c>
    </row>
    <row r="230" spans="1:15" x14ac:dyDescent="0.3">
      <c r="A230" s="340" t="s">
        <v>891</v>
      </c>
      <c r="B230" s="350">
        <v>46037</v>
      </c>
      <c r="C230" s="350">
        <v>46039</v>
      </c>
      <c r="D230" s="351">
        <v>46023</v>
      </c>
      <c r="E230" s="340" t="s">
        <v>1161</v>
      </c>
      <c r="F230" s="340" t="s">
        <v>894</v>
      </c>
      <c r="G230" s="340" t="s">
        <v>1143</v>
      </c>
      <c r="I230" s="340" t="s">
        <v>757</v>
      </c>
      <c r="K230" s="343">
        <v>0</v>
      </c>
      <c r="L230" s="343">
        <v>-16.61</v>
      </c>
      <c r="M230" s="343">
        <v>-1017378.23</v>
      </c>
      <c r="O230" s="343">
        <v>0</v>
      </c>
    </row>
    <row r="231" spans="1:15" x14ac:dyDescent="0.3">
      <c r="A231" s="340" t="s">
        <v>891</v>
      </c>
      <c r="B231" s="350">
        <v>46037</v>
      </c>
      <c r="C231" s="350">
        <v>46048</v>
      </c>
      <c r="D231" s="351">
        <v>46023</v>
      </c>
      <c r="E231" s="340" t="s">
        <v>1162</v>
      </c>
      <c r="F231" s="340" t="s">
        <v>894</v>
      </c>
      <c r="G231" s="340"/>
      <c r="I231" s="340" t="s">
        <v>943</v>
      </c>
      <c r="K231" s="343">
        <v>0</v>
      </c>
      <c r="L231" s="343">
        <v>-2000</v>
      </c>
      <c r="M231" s="343">
        <v>-1019378.23</v>
      </c>
      <c r="O231" s="343">
        <v>0</v>
      </c>
    </row>
    <row r="232" spans="1:15" x14ac:dyDescent="0.3">
      <c r="A232" s="340" t="s">
        <v>891</v>
      </c>
      <c r="B232" s="350">
        <v>46037</v>
      </c>
      <c r="C232" s="350">
        <v>46049</v>
      </c>
      <c r="D232" s="351">
        <v>46023</v>
      </c>
      <c r="E232" s="340" t="s">
        <v>1163</v>
      </c>
      <c r="F232" s="340" t="s">
        <v>894</v>
      </c>
      <c r="G232" s="340" t="s">
        <v>1164</v>
      </c>
      <c r="I232" s="340" t="s">
        <v>757</v>
      </c>
      <c r="K232" s="343">
        <v>0</v>
      </c>
      <c r="L232" s="343">
        <v>-133.4</v>
      </c>
      <c r="M232" s="343">
        <v>-1019511.63</v>
      </c>
      <c r="O232" s="343">
        <v>0</v>
      </c>
    </row>
    <row r="233" spans="1:15" x14ac:dyDescent="0.3">
      <c r="A233" s="340" t="s">
        <v>891</v>
      </c>
      <c r="B233" s="350">
        <v>46038</v>
      </c>
      <c r="C233" s="350">
        <v>46038</v>
      </c>
      <c r="D233" s="351">
        <v>46023</v>
      </c>
      <c r="E233" s="340" t="s">
        <v>1165</v>
      </c>
      <c r="F233" s="340" t="s">
        <v>1078</v>
      </c>
      <c r="G233" s="340" t="s">
        <v>1166</v>
      </c>
      <c r="I233" s="340" t="s">
        <v>232</v>
      </c>
      <c r="K233" s="343">
        <v>12602.35</v>
      </c>
      <c r="L233" s="343">
        <v>0</v>
      </c>
      <c r="M233" s="343">
        <v>-1006909.28</v>
      </c>
      <c r="O233" s="343">
        <v>0</v>
      </c>
    </row>
    <row r="234" spans="1:15" x14ac:dyDescent="0.3">
      <c r="A234" s="340" t="s">
        <v>891</v>
      </c>
      <c r="B234" s="350">
        <v>46038</v>
      </c>
      <c r="C234" s="350">
        <v>46038</v>
      </c>
      <c r="D234" s="351">
        <v>46023</v>
      </c>
      <c r="E234" s="340" t="s">
        <v>1167</v>
      </c>
      <c r="F234" s="340" t="s">
        <v>1078</v>
      </c>
      <c r="G234" s="340" t="s">
        <v>1079</v>
      </c>
      <c r="I234" s="340" t="s">
        <v>750</v>
      </c>
      <c r="K234" s="343">
        <v>10175.5</v>
      </c>
      <c r="L234" s="343">
        <v>0</v>
      </c>
      <c r="M234" s="343">
        <v>-996733.78</v>
      </c>
      <c r="O234" s="343">
        <v>0</v>
      </c>
    </row>
    <row r="235" spans="1:15" x14ac:dyDescent="0.3">
      <c r="A235" s="340" t="s">
        <v>891</v>
      </c>
      <c r="B235" s="350">
        <v>46038</v>
      </c>
      <c r="C235" s="350">
        <v>46038</v>
      </c>
      <c r="D235" s="351">
        <v>46023</v>
      </c>
      <c r="E235" s="340" t="s">
        <v>1168</v>
      </c>
      <c r="F235" s="340" t="s">
        <v>1081</v>
      </c>
      <c r="G235" s="340" t="s">
        <v>1079</v>
      </c>
      <c r="I235" s="340" t="s">
        <v>750</v>
      </c>
      <c r="K235" s="343">
        <v>0</v>
      </c>
      <c r="L235" s="343">
        <v>-10175.5</v>
      </c>
      <c r="M235" s="343">
        <v>-1006909.28</v>
      </c>
      <c r="O235" s="343">
        <v>0</v>
      </c>
    </row>
    <row r="236" spans="1:15" x14ac:dyDescent="0.3">
      <c r="A236" s="340" t="s">
        <v>891</v>
      </c>
      <c r="B236" s="350">
        <v>46038</v>
      </c>
      <c r="C236" s="350">
        <v>46041</v>
      </c>
      <c r="D236" s="351">
        <v>46023</v>
      </c>
      <c r="E236" s="340" t="s">
        <v>1169</v>
      </c>
      <c r="F236" s="340" t="s">
        <v>894</v>
      </c>
      <c r="G236" s="340" t="s">
        <v>1170</v>
      </c>
      <c r="I236" s="340" t="s">
        <v>753</v>
      </c>
      <c r="K236" s="343">
        <v>0</v>
      </c>
      <c r="L236" s="343">
        <v>-900.42</v>
      </c>
      <c r="M236" s="343">
        <v>-1007809.7</v>
      </c>
      <c r="O236" s="343">
        <v>0</v>
      </c>
    </row>
    <row r="237" spans="1:15" x14ac:dyDescent="0.3">
      <c r="A237" s="340" t="s">
        <v>891</v>
      </c>
      <c r="B237" s="350">
        <v>46038</v>
      </c>
      <c r="C237" s="350">
        <v>46042</v>
      </c>
      <c r="D237" s="351">
        <v>46023</v>
      </c>
      <c r="E237" s="340" t="s">
        <v>1171</v>
      </c>
      <c r="F237" s="340" t="s">
        <v>894</v>
      </c>
      <c r="G237" s="340" t="s">
        <v>1148</v>
      </c>
      <c r="I237" s="340" t="s">
        <v>757</v>
      </c>
      <c r="K237" s="343">
        <v>0</v>
      </c>
      <c r="L237" s="343">
        <v>-83.24</v>
      </c>
      <c r="M237" s="343">
        <v>-1007892.94</v>
      </c>
      <c r="O237" s="343">
        <v>0</v>
      </c>
    </row>
    <row r="238" spans="1:15" x14ac:dyDescent="0.3">
      <c r="A238" s="340" t="s">
        <v>891</v>
      </c>
      <c r="B238" s="350">
        <v>46038</v>
      </c>
      <c r="C238" s="350">
        <v>46076</v>
      </c>
      <c r="D238" s="351">
        <v>46054</v>
      </c>
      <c r="E238" s="340" t="s">
        <v>1172</v>
      </c>
      <c r="F238" s="340" t="s">
        <v>894</v>
      </c>
      <c r="G238" s="340" t="s">
        <v>1173</v>
      </c>
      <c r="I238" s="340" t="s">
        <v>765</v>
      </c>
      <c r="K238" s="343">
        <v>0</v>
      </c>
      <c r="L238" s="343">
        <v>-1021.62</v>
      </c>
      <c r="M238" s="343">
        <v>-1008914.56</v>
      </c>
      <c r="O238" s="343">
        <v>0</v>
      </c>
    </row>
    <row r="239" spans="1:15" x14ac:dyDescent="0.3">
      <c r="A239" s="340" t="s">
        <v>891</v>
      </c>
      <c r="B239" s="350">
        <v>46038</v>
      </c>
      <c r="C239" s="350">
        <v>46076</v>
      </c>
      <c r="D239" s="351">
        <v>46054</v>
      </c>
      <c r="E239" s="340" t="s">
        <v>1174</v>
      </c>
      <c r="F239" s="340" t="s">
        <v>894</v>
      </c>
      <c r="G239" s="340" t="s">
        <v>1175</v>
      </c>
      <c r="I239" s="340" t="s">
        <v>765</v>
      </c>
      <c r="K239" s="343">
        <v>0</v>
      </c>
      <c r="L239" s="343">
        <v>-757.53</v>
      </c>
      <c r="M239" s="343">
        <v>-1009672.09</v>
      </c>
      <c r="O239" s="343">
        <v>0</v>
      </c>
    </row>
    <row r="240" spans="1:15" x14ac:dyDescent="0.3">
      <c r="A240" s="340" t="s">
        <v>891</v>
      </c>
      <c r="B240" s="350">
        <v>46039</v>
      </c>
      <c r="C240" s="350">
        <v>46097</v>
      </c>
      <c r="D240" s="351">
        <v>46082</v>
      </c>
      <c r="E240" s="340" t="s">
        <v>1176</v>
      </c>
      <c r="F240" s="340" t="s">
        <v>894</v>
      </c>
      <c r="G240" s="340" t="s">
        <v>1028</v>
      </c>
      <c r="I240" s="340" t="s">
        <v>756</v>
      </c>
      <c r="K240" s="343">
        <v>0</v>
      </c>
      <c r="L240" s="343">
        <v>-992.44</v>
      </c>
      <c r="M240" s="343">
        <v>-1010664.53</v>
      </c>
      <c r="O240" s="343">
        <v>0</v>
      </c>
    </row>
    <row r="241" spans="1:15" x14ac:dyDescent="0.3">
      <c r="A241" s="340" t="s">
        <v>891</v>
      </c>
      <c r="B241" s="350">
        <v>46039</v>
      </c>
      <c r="C241" s="350">
        <v>46101</v>
      </c>
      <c r="D241" s="351">
        <v>46082</v>
      </c>
      <c r="E241" s="340" t="s">
        <v>1177</v>
      </c>
      <c r="F241" s="340" t="s">
        <v>894</v>
      </c>
      <c r="G241" s="340" t="s">
        <v>1178</v>
      </c>
      <c r="I241" s="340" t="s">
        <v>756</v>
      </c>
      <c r="K241" s="343">
        <v>0</v>
      </c>
      <c r="L241" s="343">
        <v>-119.19</v>
      </c>
      <c r="M241" s="343">
        <v>-1010783.72</v>
      </c>
      <c r="O241" s="343">
        <v>0</v>
      </c>
    </row>
    <row r="242" spans="1:15" x14ac:dyDescent="0.3">
      <c r="A242" s="340" t="s">
        <v>891</v>
      </c>
      <c r="B242" s="350">
        <v>46039</v>
      </c>
      <c r="C242" s="350">
        <v>46101</v>
      </c>
      <c r="D242" s="351">
        <v>46082</v>
      </c>
      <c r="E242" s="340" t="s">
        <v>1177</v>
      </c>
      <c r="F242" s="340" t="s">
        <v>894</v>
      </c>
      <c r="G242" s="340" t="s">
        <v>1179</v>
      </c>
      <c r="I242" s="340" t="s">
        <v>756</v>
      </c>
      <c r="K242" s="343">
        <v>0</v>
      </c>
      <c r="L242" s="343">
        <v>-119.18</v>
      </c>
      <c r="M242" s="343">
        <v>-1010902.9</v>
      </c>
      <c r="O242" s="343">
        <v>0</v>
      </c>
    </row>
    <row r="243" spans="1:15" x14ac:dyDescent="0.3">
      <c r="A243" s="340" t="s">
        <v>891</v>
      </c>
      <c r="B243" s="350">
        <v>46041</v>
      </c>
      <c r="C243" s="350">
        <v>46042</v>
      </c>
      <c r="D243" s="351">
        <v>46023</v>
      </c>
      <c r="E243" s="340" t="s">
        <v>1180</v>
      </c>
      <c r="F243" s="340" t="s">
        <v>894</v>
      </c>
      <c r="G243" s="340" t="s">
        <v>1181</v>
      </c>
      <c r="I243" s="340" t="s">
        <v>745</v>
      </c>
      <c r="K243" s="343">
        <v>0</v>
      </c>
      <c r="L243" s="343">
        <v>-135.29</v>
      </c>
      <c r="M243" s="343">
        <v>-1011038.19</v>
      </c>
      <c r="O243" s="343">
        <v>0</v>
      </c>
    </row>
    <row r="244" spans="1:15" x14ac:dyDescent="0.3">
      <c r="A244" s="340" t="s">
        <v>891</v>
      </c>
      <c r="B244" s="350">
        <v>46041</v>
      </c>
      <c r="C244" s="350">
        <v>46042</v>
      </c>
      <c r="D244" s="351">
        <v>46023</v>
      </c>
      <c r="E244" s="340" t="s">
        <v>1180</v>
      </c>
      <c r="F244" s="340" t="s">
        <v>894</v>
      </c>
      <c r="G244" s="340" t="s">
        <v>1182</v>
      </c>
      <c r="I244" s="340" t="s">
        <v>745</v>
      </c>
      <c r="K244" s="343">
        <v>0</v>
      </c>
      <c r="L244" s="343">
        <v>-316.62</v>
      </c>
      <c r="M244" s="343">
        <v>-1011354.81</v>
      </c>
      <c r="O244" s="343">
        <v>0</v>
      </c>
    </row>
    <row r="245" spans="1:15" x14ac:dyDescent="0.3">
      <c r="A245" s="340" t="s">
        <v>891</v>
      </c>
      <c r="B245" s="350">
        <v>46041</v>
      </c>
      <c r="C245" s="350">
        <v>46042</v>
      </c>
      <c r="D245" s="351">
        <v>46023</v>
      </c>
      <c r="E245" s="340" t="s">
        <v>1180</v>
      </c>
      <c r="F245" s="340" t="s">
        <v>894</v>
      </c>
      <c r="G245" s="340" t="s">
        <v>1183</v>
      </c>
      <c r="I245" s="340" t="s">
        <v>745</v>
      </c>
      <c r="K245" s="343">
        <v>0</v>
      </c>
      <c r="L245" s="343">
        <v>-191.39</v>
      </c>
      <c r="M245" s="343">
        <v>-1011546.2</v>
      </c>
      <c r="O245" s="343">
        <v>0</v>
      </c>
    </row>
    <row r="246" spans="1:15" x14ac:dyDescent="0.3">
      <c r="A246" s="340" t="s">
        <v>891</v>
      </c>
      <c r="B246" s="350">
        <v>46041</v>
      </c>
      <c r="C246" s="350">
        <v>46042</v>
      </c>
      <c r="D246" s="351">
        <v>46023</v>
      </c>
      <c r="E246" s="340" t="s">
        <v>1180</v>
      </c>
      <c r="F246" s="340" t="s">
        <v>894</v>
      </c>
      <c r="G246" s="340" t="s">
        <v>1184</v>
      </c>
      <c r="I246" s="340" t="s">
        <v>745</v>
      </c>
      <c r="K246" s="343">
        <v>0</v>
      </c>
      <c r="L246" s="343">
        <v>-155.53</v>
      </c>
      <c r="M246" s="343">
        <v>-1011701.73</v>
      </c>
      <c r="O246" s="343">
        <v>0</v>
      </c>
    </row>
    <row r="247" spans="1:15" x14ac:dyDescent="0.3">
      <c r="A247" s="340" t="s">
        <v>891</v>
      </c>
      <c r="B247" s="350">
        <v>46041</v>
      </c>
      <c r="C247" s="350">
        <v>46042</v>
      </c>
      <c r="D247" s="351">
        <v>46023</v>
      </c>
      <c r="E247" s="340" t="s">
        <v>1180</v>
      </c>
      <c r="F247" s="340" t="s">
        <v>894</v>
      </c>
      <c r="G247" s="340" t="s">
        <v>1185</v>
      </c>
      <c r="I247" s="340" t="s">
        <v>745</v>
      </c>
      <c r="K247" s="343">
        <v>0</v>
      </c>
      <c r="L247" s="343">
        <v>-191.24</v>
      </c>
      <c r="M247" s="343">
        <v>-1011892.97</v>
      </c>
      <c r="O247" s="343">
        <v>0</v>
      </c>
    </row>
    <row r="248" spans="1:15" x14ac:dyDescent="0.3">
      <c r="A248" s="340" t="s">
        <v>891</v>
      </c>
      <c r="B248" s="350">
        <v>46041</v>
      </c>
      <c r="C248" s="350">
        <v>46042</v>
      </c>
      <c r="D248" s="351">
        <v>46023</v>
      </c>
      <c r="E248" s="340" t="s">
        <v>1180</v>
      </c>
      <c r="F248" s="340" t="s">
        <v>894</v>
      </c>
      <c r="G248" s="340" t="s">
        <v>1186</v>
      </c>
      <c r="I248" s="340" t="s">
        <v>745</v>
      </c>
      <c r="K248" s="343">
        <v>0</v>
      </c>
      <c r="L248" s="343">
        <v>-134.11000000000001</v>
      </c>
      <c r="M248" s="343">
        <v>-1012027.08</v>
      </c>
      <c r="O248" s="343">
        <v>0</v>
      </c>
    </row>
    <row r="249" spans="1:15" x14ac:dyDescent="0.3">
      <c r="A249" s="340" t="s">
        <v>891</v>
      </c>
      <c r="B249" s="350">
        <v>46041</v>
      </c>
      <c r="C249" s="350">
        <v>46042</v>
      </c>
      <c r="D249" s="351">
        <v>46023</v>
      </c>
      <c r="E249" s="340" t="s">
        <v>1180</v>
      </c>
      <c r="F249" s="340" t="s">
        <v>894</v>
      </c>
      <c r="G249" s="340" t="s">
        <v>1187</v>
      </c>
      <c r="I249" s="340" t="s">
        <v>745</v>
      </c>
      <c r="K249" s="343">
        <v>0</v>
      </c>
      <c r="L249" s="343">
        <v>-118.94</v>
      </c>
      <c r="M249" s="343">
        <v>-1012146.02</v>
      </c>
      <c r="O249" s="343">
        <v>0</v>
      </c>
    </row>
    <row r="250" spans="1:15" x14ac:dyDescent="0.3">
      <c r="A250" s="340" t="s">
        <v>891</v>
      </c>
      <c r="B250" s="350">
        <v>46041</v>
      </c>
      <c r="C250" s="350">
        <v>46042</v>
      </c>
      <c r="D250" s="351">
        <v>46023</v>
      </c>
      <c r="E250" s="340" t="s">
        <v>1180</v>
      </c>
      <c r="F250" s="340" t="s">
        <v>894</v>
      </c>
      <c r="G250" s="340" t="s">
        <v>1188</v>
      </c>
      <c r="I250" s="340" t="s">
        <v>745</v>
      </c>
      <c r="K250" s="343">
        <v>0</v>
      </c>
      <c r="L250" s="343">
        <v>-146.11000000000001</v>
      </c>
      <c r="M250" s="343">
        <v>-1012292.13</v>
      </c>
      <c r="O250" s="343">
        <v>0</v>
      </c>
    </row>
    <row r="251" spans="1:15" x14ac:dyDescent="0.3">
      <c r="A251" s="340" t="s">
        <v>891</v>
      </c>
      <c r="B251" s="350">
        <v>46041</v>
      </c>
      <c r="C251" s="350">
        <v>46042</v>
      </c>
      <c r="D251" s="351">
        <v>46023</v>
      </c>
      <c r="E251" s="340" t="s">
        <v>1180</v>
      </c>
      <c r="F251" s="340" t="s">
        <v>894</v>
      </c>
      <c r="G251" s="340" t="s">
        <v>1189</v>
      </c>
      <c r="I251" s="340" t="s">
        <v>745</v>
      </c>
      <c r="K251" s="343">
        <v>0</v>
      </c>
      <c r="L251" s="343">
        <v>-171.28</v>
      </c>
      <c r="M251" s="343">
        <v>-1012463.41</v>
      </c>
      <c r="O251" s="343">
        <v>0</v>
      </c>
    </row>
    <row r="252" spans="1:15" x14ac:dyDescent="0.3">
      <c r="A252" s="340" t="s">
        <v>891</v>
      </c>
      <c r="B252" s="350">
        <v>46041</v>
      </c>
      <c r="C252" s="350">
        <v>46042</v>
      </c>
      <c r="D252" s="351">
        <v>46023</v>
      </c>
      <c r="E252" s="340" t="s">
        <v>1180</v>
      </c>
      <c r="F252" s="340" t="s">
        <v>894</v>
      </c>
      <c r="G252" s="340" t="s">
        <v>1190</v>
      </c>
      <c r="I252" s="340" t="s">
        <v>745</v>
      </c>
      <c r="K252" s="343">
        <v>0</v>
      </c>
      <c r="L252" s="343">
        <v>-282.51</v>
      </c>
      <c r="M252" s="343">
        <v>-1012745.92</v>
      </c>
      <c r="O252" s="343">
        <v>0</v>
      </c>
    </row>
    <row r="253" spans="1:15" x14ac:dyDescent="0.3">
      <c r="A253" s="340" t="s">
        <v>891</v>
      </c>
      <c r="B253" s="350">
        <v>46041</v>
      </c>
      <c r="C253" s="350">
        <v>46042</v>
      </c>
      <c r="D253" s="351">
        <v>46023</v>
      </c>
      <c r="E253" s="340" t="s">
        <v>1180</v>
      </c>
      <c r="F253" s="340" t="s">
        <v>894</v>
      </c>
      <c r="G253" s="340" t="s">
        <v>1191</v>
      </c>
      <c r="I253" s="340" t="s">
        <v>745</v>
      </c>
      <c r="K253" s="343">
        <v>0</v>
      </c>
      <c r="L253" s="343">
        <v>-161.65</v>
      </c>
      <c r="M253" s="343">
        <v>-1012907.57</v>
      </c>
      <c r="O253" s="343">
        <v>0</v>
      </c>
    </row>
    <row r="254" spans="1:15" x14ac:dyDescent="0.3">
      <c r="A254" s="340" t="s">
        <v>891</v>
      </c>
      <c r="B254" s="350">
        <v>46041</v>
      </c>
      <c r="C254" s="350">
        <v>46042</v>
      </c>
      <c r="D254" s="351">
        <v>46023</v>
      </c>
      <c r="E254" s="340" t="s">
        <v>1180</v>
      </c>
      <c r="F254" s="340" t="s">
        <v>894</v>
      </c>
      <c r="G254" s="340" t="s">
        <v>1192</v>
      </c>
      <c r="I254" s="340" t="s">
        <v>745</v>
      </c>
      <c r="K254" s="343">
        <v>0</v>
      </c>
      <c r="L254" s="343">
        <v>-137.9</v>
      </c>
      <c r="M254" s="343">
        <v>-1013045.47</v>
      </c>
      <c r="O254" s="343">
        <v>0</v>
      </c>
    </row>
    <row r="255" spans="1:15" x14ac:dyDescent="0.3">
      <c r="A255" s="340" t="s">
        <v>891</v>
      </c>
      <c r="B255" s="350">
        <v>46041</v>
      </c>
      <c r="C255" s="350">
        <v>46042</v>
      </c>
      <c r="D255" s="351">
        <v>46023</v>
      </c>
      <c r="E255" s="340" t="s">
        <v>1180</v>
      </c>
      <c r="F255" s="340" t="s">
        <v>894</v>
      </c>
      <c r="G255" s="340" t="s">
        <v>1193</v>
      </c>
      <c r="I255" s="340" t="s">
        <v>745</v>
      </c>
      <c r="K255" s="343">
        <v>0</v>
      </c>
      <c r="L255" s="343">
        <v>-336.02</v>
      </c>
      <c r="M255" s="343">
        <v>-1013381.49</v>
      </c>
      <c r="O255" s="343">
        <v>0</v>
      </c>
    </row>
    <row r="256" spans="1:15" x14ac:dyDescent="0.3">
      <c r="A256" s="340" t="s">
        <v>891</v>
      </c>
      <c r="B256" s="350">
        <v>46041</v>
      </c>
      <c r="C256" s="350">
        <v>46042</v>
      </c>
      <c r="D256" s="351">
        <v>46023</v>
      </c>
      <c r="E256" s="340" t="s">
        <v>1180</v>
      </c>
      <c r="F256" s="340" t="s">
        <v>894</v>
      </c>
      <c r="G256" s="340" t="s">
        <v>1194</v>
      </c>
      <c r="I256" s="340" t="s">
        <v>745</v>
      </c>
      <c r="K256" s="343">
        <v>0</v>
      </c>
      <c r="L256" s="343">
        <v>-100.88</v>
      </c>
      <c r="M256" s="343">
        <v>-1013482.37</v>
      </c>
      <c r="O256" s="343">
        <v>0</v>
      </c>
    </row>
    <row r="257" spans="1:15" x14ac:dyDescent="0.3">
      <c r="A257" s="340" t="s">
        <v>891</v>
      </c>
      <c r="B257" s="350">
        <v>46041</v>
      </c>
      <c r="C257" s="350">
        <v>46042</v>
      </c>
      <c r="D257" s="351">
        <v>46023</v>
      </c>
      <c r="E257" s="340" t="s">
        <v>1180</v>
      </c>
      <c r="F257" s="340" t="s">
        <v>894</v>
      </c>
      <c r="G257" s="340" t="s">
        <v>1195</v>
      </c>
      <c r="I257" s="340" t="s">
        <v>745</v>
      </c>
      <c r="K257" s="343">
        <v>0</v>
      </c>
      <c r="L257" s="343">
        <v>-487.05</v>
      </c>
      <c r="M257" s="343">
        <v>-1013969.42</v>
      </c>
      <c r="O257" s="343">
        <v>0</v>
      </c>
    </row>
    <row r="258" spans="1:15" x14ac:dyDescent="0.3">
      <c r="A258" s="340" t="s">
        <v>891</v>
      </c>
      <c r="B258" s="350">
        <v>46041</v>
      </c>
      <c r="C258" s="350">
        <v>46042</v>
      </c>
      <c r="D258" s="351">
        <v>46023</v>
      </c>
      <c r="E258" s="340" t="s">
        <v>1180</v>
      </c>
      <c r="F258" s="340" t="s">
        <v>894</v>
      </c>
      <c r="G258" s="340" t="s">
        <v>1196</v>
      </c>
      <c r="I258" s="340" t="s">
        <v>745</v>
      </c>
      <c r="K258" s="343">
        <v>0</v>
      </c>
      <c r="L258" s="343">
        <v>-124.85</v>
      </c>
      <c r="M258" s="343">
        <v>-1014094.27</v>
      </c>
      <c r="O258" s="343">
        <v>0</v>
      </c>
    </row>
    <row r="259" spans="1:15" x14ac:dyDescent="0.3">
      <c r="A259" s="340" t="s">
        <v>891</v>
      </c>
      <c r="B259" s="350">
        <v>46041</v>
      </c>
      <c r="C259" s="350">
        <v>46042</v>
      </c>
      <c r="D259" s="351">
        <v>46023</v>
      </c>
      <c r="E259" s="340" t="s">
        <v>1180</v>
      </c>
      <c r="F259" s="340" t="s">
        <v>894</v>
      </c>
      <c r="G259" s="340" t="s">
        <v>1197</v>
      </c>
      <c r="I259" s="340" t="s">
        <v>745</v>
      </c>
      <c r="K259" s="343">
        <v>0</v>
      </c>
      <c r="L259" s="343">
        <v>-299.06</v>
      </c>
      <c r="M259" s="343">
        <v>-1014393.33</v>
      </c>
      <c r="O259" s="343">
        <v>0</v>
      </c>
    </row>
    <row r="260" spans="1:15" x14ac:dyDescent="0.3">
      <c r="A260" s="340" t="s">
        <v>891</v>
      </c>
      <c r="B260" s="350">
        <v>46042</v>
      </c>
      <c r="C260" s="350">
        <v>46041</v>
      </c>
      <c r="D260" s="351">
        <v>46023</v>
      </c>
      <c r="E260" s="340" t="s">
        <v>1198</v>
      </c>
      <c r="F260" s="340" t="s">
        <v>894</v>
      </c>
      <c r="G260" s="340" t="s">
        <v>1199</v>
      </c>
      <c r="I260" s="340" t="s">
        <v>740</v>
      </c>
      <c r="K260" s="343">
        <v>0</v>
      </c>
      <c r="L260" s="343">
        <v>-770</v>
      </c>
      <c r="M260" s="343">
        <v>-1015163.33</v>
      </c>
      <c r="O260" s="343">
        <v>0</v>
      </c>
    </row>
    <row r="261" spans="1:15" x14ac:dyDescent="0.3">
      <c r="A261" s="340" t="s">
        <v>891</v>
      </c>
      <c r="B261" s="350">
        <v>46042</v>
      </c>
      <c r="C261" s="350">
        <v>46041</v>
      </c>
      <c r="D261" s="351">
        <v>46023</v>
      </c>
      <c r="E261" s="340" t="s">
        <v>1200</v>
      </c>
      <c r="F261" s="340" t="s">
        <v>894</v>
      </c>
      <c r="G261" s="340" t="s">
        <v>1201</v>
      </c>
      <c r="I261" s="340" t="s">
        <v>740</v>
      </c>
      <c r="K261" s="343">
        <v>0</v>
      </c>
      <c r="L261" s="343">
        <v>-265.20999999999998</v>
      </c>
      <c r="M261" s="343">
        <v>-1015428.54</v>
      </c>
      <c r="O261" s="343">
        <v>0</v>
      </c>
    </row>
    <row r="262" spans="1:15" x14ac:dyDescent="0.3">
      <c r="A262" s="340" t="s">
        <v>891</v>
      </c>
      <c r="B262" s="350">
        <v>46042</v>
      </c>
      <c r="C262" s="350">
        <v>46041</v>
      </c>
      <c r="D262" s="351">
        <v>46023</v>
      </c>
      <c r="E262" s="340" t="s">
        <v>1202</v>
      </c>
      <c r="F262" s="340" t="s">
        <v>894</v>
      </c>
      <c r="G262" s="340" t="s">
        <v>1203</v>
      </c>
      <c r="I262" s="340" t="s">
        <v>740</v>
      </c>
      <c r="K262" s="343">
        <v>0</v>
      </c>
      <c r="L262" s="343">
        <v>-365</v>
      </c>
      <c r="M262" s="343">
        <v>-1015793.54</v>
      </c>
      <c r="O262" s="343">
        <v>0</v>
      </c>
    </row>
    <row r="263" spans="1:15" x14ac:dyDescent="0.3">
      <c r="A263" s="340" t="s">
        <v>891</v>
      </c>
      <c r="B263" s="350">
        <v>46042</v>
      </c>
      <c r="C263" s="350">
        <v>46041</v>
      </c>
      <c r="D263" s="351">
        <v>46023</v>
      </c>
      <c r="E263" s="340" t="s">
        <v>1204</v>
      </c>
      <c r="F263" s="340" t="s">
        <v>894</v>
      </c>
      <c r="G263" s="340" t="s">
        <v>1205</v>
      </c>
      <c r="I263" s="340" t="s">
        <v>740</v>
      </c>
      <c r="K263" s="343">
        <v>0</v>
      </c>
      <c r="L263" s="343">
        <v>-520</v>
      </c>
      <c r="M263" s="343">
        <v>-1016313.54</v>
      </c>
      <c r="O263" s="343">
        <v>0</v>
      </c>
    </row>
    <row r="264" spans="1:15" x14ac:dyDescent="0.3">
      <c r="A264" s="340" t="s">
        <v>891</v>
      </c>
      <c r="B264" s="350">
        <v>46042</v>
      </c>
      <c r="C264" s="350">
        <v>46041</v>
      </c>
      <c r="D264" s="351">
        <v>46023</v>
      </c>
      <c r="E264" s="340" t="s">
        <v>1204</v>
      </c>
      <c r="F264" s="340" t="s">
        <v>894</v>
      </c>
      <c r="G264" s="340" t="s">
        <v>1206</v>
      </c>
      <c r="I264" s="340" t="s">
        <v>740</v>
      </c>
      <c r="K264" s="343">
        <v>0</v>
      </c>
      <c r="L264" s="343">
        <v>-520</v>
      </c>
      <c r="M264" s="343">
        <v>-1016833.54</v>
      </c>
      <c r="O264" s="343">
        <v>0</v>
      </c>
    </row>
    <row r="265" spans="1:15" x14ac:dyDescent="0.3">
      <c r="A265" s="340" t="s">
        <v>891</v>
      </c>
      <c r="B265" s="350">
        <v>46042</v>
      </c>
      <c r="C265" s="350">
        <v>46041</v>
      </c>
      <c r="D265" s="351">
        <v>46023</v>
      </c>
      <c r="E265" s="340" t="s">
        <v>1207</v>
      </c>
      <c r="F265" s="340" t="s">
        <v>894</v>
      </c>
      <c r="G265" s="340" t="s">
        <v>1208</v>
      </c>
      <c r="I265" s="340" t="s">
        <v>740</v>
      </c>
      <c r="K265" s="343">
        <v>0</v>
      </c>
      <c r="L265" s="343">
        <v>-260</v>
      </c>
      <c r="M265" s="343">
        <v>-1017093.54</v>
      </c>
      <c r="O265" s="343">
        <v>0</v>
      </c>
    </row>
    <row r="266" spans="1:15" x14ac:dyDescent="0.3">
      <c r="A266" s="340" t="s">
        <v>891</v>
      </c>
      <c r="B266" s="350">
        <v>46042</v>
      </c>
      <c r="C266" s="350">
        <v>46041</v>
      </c>
      <c r="D266" s="351">
        <v>46023</v>
      </c>
      <c r="E266" s="340" t="s">
        <v>1207</v>
      </c>
      <c r="F266" s="340" t="s">
        <v>894</v>
      </c>
      <c r="G266" s="340" t="s">
        <v>1209</v>
      </c>
      <c r="I266" s="340" t="s">
        <v>740</v>
      </c>
      <c r="K266" s="343">
        <v>0</v>
      </c>
      <c r="L266" s="343">
        <v>-260</v>
      </c>
      <c r="M266" s="343">
        <v>-1017353.54</v>
      </c>
      <c r="O266" s="343">
        <v>0</v>
      </c>
    </row>
    <row r="267" spans="1:15" x14ac:dyDescent="0.3">
      <c r="A267" s="340" t="s">
        <v>891</v>
      </c>
      <c r="B267" s="350">
        <v>46042</v>
      </c>
      <c r="C267" s="350">
        <v>46041</v>
      </c>
      <c r="D267" s="351">
        <v>46023</v>
      </c>
      <c r="E267" s="340" t="s">
        <v>1210</v>
      </c>
      <c r="F267" s="340" t="s">
        <v>894</v>
      </c>
      <c r="G267" s="340" t="s">
        <v>1211</v>
      </c>
      <c r="I267" s="340" t="s">
        <v>740</v>
      </c>
      <c r="K267" s="343">
        <v>0</v>
      </c>
      <c r="L267" s="343">
        <v>-520</v>
      </c>
      <c r="M267" s="343">
        <v>-1017873.54</v>
      </c>
      <c r="O267" s="343">
        <v>0</v>
      </c>
    </row>
    <row r="268" spans="1:15" x14ac:dyDescent="0.3">
      <c r="A268" s="340" t="s">
        <v>891</v>
      </c>
      <c r="B268" s="350">
        <v>46042</v>
      </c>
      <c r="C268" s="350">
        <v>46041</v>
      </c>
      <c r="D268" s="351">
        <v>46023</v>
      </c>
      <c r="E268" s="340" t="s">
        <v>1210</v>
      </c>
      <c r="F268" s="340" t="s">
        <v>894</v>
      </c>
      <c r="G268" s="340" t="s">
        <v>1212</v>
      </c>
      <c r="I268" s="340" t="s">
        <v>740</v>
      </c>
      <c r="K268" s="343">
        <v>0</v>
      </c>
      <c r="L268" s="343">
        <v>-260</v>
      </c>
      <c r="M268" s="343">
        <v>-1018133.54</v>
      </c>
      <c r="O268" s="343">
        <v>0</v>
      </c>
    </row>
    <row r="269" spans="1:15" x14ac:dyDescent="0.3">
      <c r="A269" s="340" t="s">
        <v>891</v>
      </c>
      <c r="B269" s="350">
        <v>46042</v>
      </c>
      <c r="C269" s="350">
        <v>46041</v>
      </c>
      <c r="D269" s="351">
        <v>46023</v>
      </c>
      <c r="E269" s="340" t="s">
        <v>1210</v>
      </c>
      <c r="F269" s="340" t="s">
        <v>894</v>
      </c>
      <c r="G269" s="340" t="s">
        <v>1213</v>
      </c>
      <c r="I269" s="340" t="s">
        <v>740</v>
      </c>
      <c r="K269" s="343">
        <v>0</v>
      </c>
      <c r="L269" s="343">
        <v>-260</v>
      </c>
      <c r="M269" s="343">
        <v>-1018393.54</v>
      </c>
      <c r="O269" s="343">
        <v>0</v>
      </c>
    </row>
    <row r="270" spans="1:15" x14ac:dyDescent="0.3">
      <c r="A270" s="340" t="s">
        <v>891</v>
      </c>
      <c r="B270" s="350">
        <v>46042</v>
      </c>
      <c r="C270" s="350">
        <v>46041</v>
      </c>
      <c r="D270" s="351">
        <v>46023</v>
      </c>
      <c r="E270" s="340" t="s">
        <v>1210</v>
      </c>
      <c r="F270" s="340" t="s">
        <v>894</v>
      </c>
      <c r="G270" s="340" t="s">
        <v>1214</v>
      </c>
      <c r="I270" s="340" t="s">
        <v>740</v>
      </c>
      <c r="K270" s="343">
        <v>0</v>
      </c>
      <c r="L270" s="343">
        <v>-260</v>
      </c>
      <c r="M270" s="343">
        <v>-1018653.54</v>
      </c>
      <c r="O270" s="343">
        <v>0</v>
      </c>
    </row>
    <row r="271" spans="1:15" x14ac:dyDescent="0.3">
      <c r="A271" s="340" t="s">
        <v>891</v>
      </c>
      <c r="B271" s="350">
        <v>46042</v>
      </c>
      <c r="C271" s="350">
        <v>46041</v>
      </c>
      <c r="D271" s="351">
        <v>46023</v>
      </c>
      <c r="E271" s="340" t="s">
        <v>1215</v>
      </c>
      <c r="F271" s="340" t="s">
        <v>894</v>
      </c>
      <c r="G271" s="340" t="s">
        <v>1216</v>
      </c>
      <c r="I271" s="340" t="s">
        <v>740</v>
      </c>
      <c r="K271" s="343">
        <v>0</v>
      </c>
      <c r="L271" s="343">
        <v>-520</v>
      </c>
      <c r="M271" s="343">
        <v>-1019173.54</v>
      </c>
      <c r="O271" s="343">
        <v>0</v>
      </c>
    </row>
    <row r="272" spans="1:15" x14ac:dyDescent="0.3">
      <c r="A272" s="340" t="s">
        <v>891</v>
      </c>
      <c r="B272" s="350">
        <v>46042</v>
      </c>
      <c r="C272" s="350">
        <v>46041</v>
      </c>
      <c r="D272" s="351">
        <v>46023</v>
      </c>
      <c r="E272" s="340" t="s">
        <v>1215</v>
      </c>
      <c r="F272" s="340" t="s">
        <v>894</v>
      </c>
      <c r="G272" s="340" t="s">
        <v>1217</v>
      </c>
      <c r="I272" s="340" t="s">
        <v>740</v>
      </c>
      <c r="K272" s="343">
        <v>0</v>
      </c>
      <c r="L272" s="343">
        <v>-520</v>
      </c>
      <c r="M272" s="343">
        <v>-1019693.54</v>
      </c>
      <c r="O272" s="343">
        <v>0</v>
      </c>
    </row>
    <row r="273" spans="1:15" x14ac:dyDescent="0.3">
      <c r="A273" s="340" t="s">
        <v>891</v>
      </c>
      <c r="B273" s="350">
        <v>46042</v>
      </c>
      <c r="C273" s="350">
        <v>46042</v>
      </c>
      <c r="D273" s="351">
        <v>46023</v>
      </c>
      <c r="E273" s="340" t="s">
        <v>1218</v>
      </c>
      <c r="F273" s="340" t="s">
        <v>1078</v>
      </c>
      <c r="G273" s="340" t="s">
        <v>1007</v>
      </c>
      <c r="I273" s="340" t="s">
        <v>1005</v>
      </c>
      <c r="K273" s="343">
        <v>269.83</v>
      </c>
      <c r="L273" s="343">
        <v>0</v>
      </c>
      <c r="M273" s="343">
        <v>-1019423.71</v>
      </c>
      <c r="O273" s="343">
        <v>0</v>
      </c>
    </row>
    <row r="274" spans="1:15" x14ac:dyDescent="0.3">
      <c r="A274" s="340" t="s">
        <v>891</v>
      </c>
      <c r="B274" s="350">
        <v>46042</v>
      </c>
      <c r="C274" s="350">
        <v>46042</v>
      </c>
      <c r="D274" s="351">
        <v>46023</v>
      </c>
      <c r="E274" s="340" t="s">
        <v>1219</v>
      </c>
      <c r="F274" s="340" t="s">
        <v>1078</v>
      </c>
      <c r="G274" s="340" t="s">
        <v>1009</v>
      </c>
      <c r="I274" s="340" t="s">
        <v>1005</v>
      </c>
      <c r="K274" s="343">
        <v>426.4</v>
      </c>
      <c r="L274" s="343">
        <v>0</v>
      </c>
      <c r="M274" s="343">
        <v>-1018997.31</v>
      </c>
      <c r="O274" s="343">
        <v>0</v>
      </c>
    </row>
    <row r="275" spans="1:15" x14ac:dyDescent="0.3">
      <c r="A275" s="340" t="s">
        <v>891</v>
      </c>
      <c r="B275" s="350">
        <v>46042</v>
      </c>
      <c r="C275" s="350">
        <v>46042</v>
      </c>
      <c r="D275" s="351">
        <v>46023</v>
      </c>
      <c r="E275" s="340" t="s">
        <v>1219</v>
      </c>
      <c r="F275" s="340" t="s">
        <v>1078</v>
      </c>
      <c r="G275" s="340" t="s">
        <v>1010</v>
      </c>
      <c r="I275" s="340" t="s">
        <v>1005</v>
      </c>
      <c r="K275" s="343">
        <v>959.4</v>
      </c>
      <c r="L275" s="343">
        <v>0</v>
      </c>
      <c r="M275" s="343">
        <v>-1018037.91</v>
      </c>
      <c r="O275" s="343">
        <v>0</v>
      </c>
    </row>
    <row r="276" spans="1:15" x14ac:dyDescent="0.3">
      <c r="A276" s="340" t="s">
        <v>891</v>
      </c>
      <c r="B276" s="350">
        <v>46042</v>
      </c>
      <c r="C276" s="350">
        <v>46042</v>
      </c>
      <c r="D276" s="351">
        <v>46023</v>
      </c>
      <c r="E276" s="340" t="s">
        <v>1219</v>
      </c>
      <c r="F276" s="340" t="s">
        <v>1078</v>
      </c>
      <c r="G276" s="340" t="s">
        <v>1007</v>
      </c>
      <c r="I276" s="340" t="s">
        <v>1005</v>
      </c>
      <c r="K276" s="343">
        <v>246.28</v>
      </c>
      <c r="L276" s="343">
        <v>0</v>
      </c>
      <c r="M276" s="343">
        <v>-1017791.63</v>
      </c>
      <c r="O276" s="343">
        <v>0</v>
      </c>
    </row>
    <row r="277" spans="1:15" x14ac:dyDescent="0.3">
      <c r="A277" s="340" t="s">
        <v>891</v>
      </c>
      <c r="B277" s="350">
        <v>46042</v>
      </c>
      <c r="C277" s="350">
        <v>46042</v>
      </c>
      <c r="D277" s="351">
        <v>46023</v>
      </c>
      <c r="E277" s="340" t="s">
        <v>1219</v>
      </c>
      <c r="F277" s="340" t="s">
        <v>1078</v>
      </c>
      <c r="G277" s="340" t="s">
        <v>1006</v>
      </c>
      <c r="I277" s="340" t="s">
        <v>1005</v>
      </c>
      <c r="K277" s="343">
        <v>159.9</v>
      </c>
      <c r="L277" s="343">
        <v>0</v>
      </c>
      <c r="M277" s="343">
        <v>-1017631.73</v>
      </c>
      <c r="O277" s="343">
        <v>0</v>
      </c>
    </row>
    <row r="278" spans="1:15" x14ac:dyDescent="0.3">
      <c r="A278" s="340" t="s">
        <v>891</v>
      </c>
      <c r="B278" s="350">
        <v>46042</v>
      </c>
      <c r="C278" s="350">
        <v>46042</v>
      </c>
      <c r="D278" s="351">
        <v>46023</v>
      </c>
      <c r="E278" s="340" t="s">
        <v>1219</v>
      </c>
      <c r="F278" s="340" t="s">
        <v>1078</v>
      </c>
      <c r="G278" s="340" t="s">
        <v>1004</v>
      </c>
      <c r="I278" s="340" t="s">
        <v>1005</v>
      </c>
      <c r="K278" s="343">
        <v>5197</v>
      </c>
      <c r="L278" s="343">
        <v>0</v>
      </c>
      <c r="M278" s="343">
        <v>-1012434.73</v>
      </c>
      <c r="O278" s="343">
        <v>0</v>
      </c>
    </row>
    <row r="279" spans="1:15" x14ac:dyDescent="0.3">
      <c r="A279" s="340" t="s">
        <v>891</v>
      </c>
      <c r="B279" s="350">
        <v>46042</v>
      </c>
      <c r="C279" s="350">
        <v>46042</v>
      </c>
      <c r="D279" s="351">
        <v>46023</v>
      </c>
      <c r="E279" s="340" t="s">
        <v>1220</v>
      </c>
      <c r="F279" s="340" t="s">
        <v>894</v>
      </c>
      <c r="G279" s="340" t="s">
        <v>1221</v>
      </c>
      <c r="I279" s="340" t="s">
        <v>740</v>
      </c>
      <c r="K279" s="343">
        <v>0</v>
      </c>
      <c r="L279" s="343">
        <v>-610</v>
      </c>
      <c r="M279" s="343">
        <v>-1013044.73</v>
      </c>
      <c r="O279" s="343">
        <v>0</v>
      </c>
    </row>
    <row r="280" spans="1:15" x14ac:dyDescent="0.3">
      <c r="A280" s="340" t="s">
        <v>891</v>
      </c>
      <c r="B280" s="350">
        <v>46042</v>
      </c>
      <c r="C280" s="350">
        <v>46042</v>
      </c>
      <c r="D280" s="351">
        <v>46023</v>
      </c>
      <c r="E280" s="340" t="s">
        <v>1220</v>
      </c>
      <c r="F280" s="340" t="s">
        <v>894</v>
      </c>
      <c r="G280" s="340" t="s">
        <v>1222</v>
      </c>
      <c r="I280" s="340" t="s">
        <v>740</v>
      </c>
      <c r="K280" s="343">
        <v>0</v>
      </c>
      <c r="L280" s="343">
        <v>-260</v>
      </c>
      <c r="M280" s="343">
        <v>-1013304.73</v>
      </c>
      <c r="O280" s="343">
        <v>0</v>
      </c>
    </row>
    <row r="281" spans="1:15" x14ac:dyDescent="0.3">
      <c r="A281" s="340" t="s">
        <v>891</v>
      </c>
      <c r="B281" s="350">
        <v>46042</v>
      </c>
      <c r="C281" s="350">
        <v>46042</v>
      </c>
      <c r="D281" s="351">
        <v>46023</v>
      </c>
      <c r="E281" s="340" t="s">
        <v>1223</v>
      </c>
      <c r="F281" s="340" t="s">
        <v>894</v>
      </c>
      <c r="G281" s="340" t="s">
        <v>1224</v>
      </c>
      <c r="I281" s="340" t="s">
        <v>740</v>
      </c>
      <c r="K281" s="343">
        <v>0</v>
      </c>
      <c r="L281" s="343">
        <v>-350</v>
      </c>
      <c r="M281" s="343">
        <v>-1013654.73</v>
      </c>
      <c r="O281" s="343">
        <v>0</v>
      </c>
    </row>
    <row r="282" spans="1:15" x14ac:dyDescent="0.3">
      <c r="A282" s="340" t="s">
        <v>891</v>
      </c>
      <c r="B282" s="350">
        <v>46042</v>
      </c>
      <c r="C282" s="350">
        <v>46058</v>
      </c>
      <c r="D282" s="351">
        <v>46023</v>
      </c>
      <c r="E282" s="340" t="s">
        <v>1225</v>
      </c>
      <c r="F282" s="340" t="s">
        <v>894</v>
      </c>
      <c r="G282" s="340" t="s">
        <v>768</v>
      </c>
      <c r="I282" s="340" t="s">
        <v>768</v>
      </c>
      <c r="K282" s="343">
        <v>0</v>
      </c>
      <c r="L282" s="343">
        <v>-78.7</v>
      </c>
      <c r="M282" s="343">
        <v>-1013733.43</v>
      </c>
      <c r="O282" s="343">
        <v>0</v>
      </c>
    </row>
    <row r="283" spans="1:15" x14ac:dyDescent="0.3">
      <c r="A283" s="340" t="s">
        <v>891</v>
      </c>
      <c r="B283" s="350">
        <v>46042</v>
      </c>
      <c r="C283" s="350">
        <v>46069</v>
      </c>
      <c r="D283" s="351">
        <v>46054</v>
      </c>
      <c r="E283" s="340" t="s">
        <v>1226</v>
      </c>
      <c r="F283" s="340" t="s">
        <v>894</v>
      </c>
      <c r="G283" s="340" t="s">
        <v>1227</v>
      </c>
      <c r="I283" s="340" t="s">
        <v>750</v>
      </c>
      <c r="K283" s="343">
        <v>0</v>
      </c>
      <c r="L283" s="343">
        <v>-10175.5</v>
      </c>
      <c r="M283" s="343">
        <v>-1023908.93</v>
      </c>
      <c r="O283" s="343">
        <v>0</v>
      </c>
    </row>
    <row r="284" spans="1:15" x14ac:dyDescent="0.3">
      <c r="A284" s="340" t="s">
        <v>891</v>
      </c>
      <c r="B284" s="350">
        <v>46042</v>
      </c>
      <c r="C284" s="350">
        <v>46069</v>
      </c>
      <c r="D284" s="351">
        <v>46054</v>
      </c>
      <c r="E284" s="340" t="s">
        <v>1228</v>
      </c>
      <c r="F284" s="340" t="s">
        <v>894</v>
      </c>
      <c r="G284" s="340" t="s">
        <v>1229</v>
      </c>
      <c r="I284" s="340" t="s">
        <v>740</v>
      </c>
      <c r="K284" s="343">
        <v>0</v>
      </c>
      <c r="L284" s="343">
        <v>-300</v>
      </c>
      <c r="M284" s="343">
        <v>-1024208.93</v>
      </c>
      <c r="O284" s="343">
        <v>0</v>
      </c>
    </row>
    <row r="285" spans="1:15" x14ac:dyDescent="0.3">
      <c r="A285" s="340" t="s">
        <v>891</v>
      </c>
      <c r="B285" s="350">
        <v>46042</v>
      </c>
      <c r="C285" s="350">
        <v>46069</v>
      </c>
      <c r="D285" s="351">
        <v>46054</v>
      </c>
      <c r="E285" s="340" t="s">
        <v>1228</v>
      </c>
      <c r="F285" s="340" t="s">
        <v>894</v>
      </c>
      <c r="G285" s="340" t="s">
        <v>1230</v>
      </c>
      <c r="I285" s="340" t="s">
        <v>740</v>
      </c>
      <c r="K285" s="343">
        <v>0</v>
      </c>
      <c r="L285" s="343">
        <v>-770</v>
      </c>
      <c r="M285" s="343">
        <v>-1024978.93</v>
      </c>
      <c r="O285" s="343">
        <v>0</v>
      </c>
    </row>
    <row r="286" spans="1:15" x14ac:dyDescent="0.3">
      <c r="A286" s="340" t="s">
        <v>891</v>
      </c>
      <c r="B286" s="350">
        <v>46043</v>
      </c>
      <c r="C286" s="350">
        <v>46043</v>
      </c>
      <c r="D286" s="351">
        <v>46023</v>
      </c>
      <c r="E286" s="340" t="s">
        <v>1231</v>
      </c>
      <c r="F286" s="340" t="s">
        <v>1078</v>
      </c>
      <c r="G286" s="340" t="s">
        <v>1079</v>
      </c>
      <c r="I286" s="340" t="s">
        <v>750</v>
      </c>
      <c r="K286" s="343">
        <v>10175.5</v>
      </c>
      <c r="L286" s="343">
        <v>0</v>
      </c>
      <c r="M286" s="343">
        <v>-1014803.43</v>
      </c>
      <c r="O286" s="343">
        <v>0</v>
      </c>
    </row>
    <row r="287" spans="1:15" x14ac:dyDescent="0.3">
      <c r="A287" s="340" t="s">
        <v>891</v>
      </c>
      <c r="B287" s="350">
        <v>46043</v>
      </c>
      <c r="C287" s="350">
        <v>46043</v>
      </c>
      <c r="D287" s="351">
        <v>46023</v>
      </c>
      <c r="E287" s="340" t="s">
        <v>1232</v>
      </c>
      <c r="F287" s="340" t="s">
        <v>894</v>
      </c>
      <c r="G287" s="340" t="s">
        <v>1233</v>
      </c>
      <c r="I287" s="340" t="s">
        <v>1234</v>
      </c>
      <c r="K287" s="343">
        <v>0</v>
      </c>
      <c r="L287" s="343">
        <v>-250</v>
      </c>
      <c r="M287" s="343">
        <v>-1015053.43</v>
      </c>
      <c r="O287" s="343">
        <v>0</v>
      </c>
    </row>
    <row r="288" spans="1:15" x14ac:dyDescent="0.3">
      <c r="A288" s="340" t="s">
        <v>891</v>
      </c>
      <c r="B288" s="350">
        <v>46043</v>
      </c>
      <c r="C288" s="350">
        <v>46043</v>
      </c>
      <c r="D288" s="351">
        <v>46023</v>
      </c>
      <c r="E288" s="340" t="s">
        <v>1235</v>
      </c>
      <c r="F288" s="340" t="s">
        <v>1078</v>
      </c>
      <c r="G288" s="340" t="s">
        <v>1233</v>
      </c>
      <c r="I288" s="340" t="s">
        <v>1234</v>
      </c>
      <c r="K288" s="343">
        <v>250</v>
      </c>
      <c r="L288" s="343">
        <v>0</v>
      </c>
      <c r="M288" s="343">
        <v>-1014803.43</v>
      </c>
      <c r="O288" s="343">
        <v>0</v>
      </c>
    </row>
    <row r="289" spans="1:15" x14ac:dyDescent="0.3">
      <c r="A289" s="340" t="s">
        <v>891</v>
      </c>
      <c r="B289" s="350">
        <v>46043</v>
      </c>
      <c r="C289" s="350">
        <v>46043</v>
      </c>
      <c r="D289" s="351">
        <v>46023</v>
      </c>
      <c r="E289" s="340" t="s">
        <v>1236</v>
      </c>
      <c r="F289" s="340" t="s">
        <v>894</v>
      </c>
      <c r="G289" s="340" t="s">
        <v>1193</v>
      </c>
      <c r="I289" s="340" t="s">
        <v>745</v>
      </c>
      <c r="K289" s="343">
        <v>0</v>
      </c>
      <c r="L289" s="343">
        <v>-112.02</v>
      </c>
      <c r="M289" s="343">
        <v>-1014915.45</v>
      </c>
      <c r="O289" s="343">
        <v>0</v>
      </c>
    </row>
    <row r="290" spans="1:15" x14ac:dyDescent="0.3">
      <c r="A290" s="340" t="s">
        <v>891</v>
      </c>
      <c r="B290" s="350">
        <v>46043</v>
      </c>
      <c r="C290" s="350">
        <v>46049</v>
      </c>
      <c r="D290" s="351">
        <v>46023</v>
      </c>
      <c r="E290" s="340" t="s">
        <v>1237</v>
      </c>
      <c r="F290" s="340" t="s">
        <v>894</v>
      </c>
      <c r="G290" s="340" t="s">
        <v>1238</v>
      </c>
      <c r="I290" s="340" t="s">
        <v>756</v>
      </c>
      <c r="K290" s="343">
        <v>0</v>
      </c>
      <c r="L290" s="343">
        <v>-801.04</v>
      </c>
      <c r="M290" s="343">
        <v>-1015716.49</v>
      </c>
      <c r="O290" s="343">
        <v>0</v>
      </c>
    </row>
    <row r="291" spans="1:15" x14ac:dyDescent="0.3">
      <c r="A291" s="340" t="s">
        <v>891</v>
      </c>
      <c r="B291" s="350">
        <v>46043</v>
      </c>
      <c r="C291" s="350">
        <v>46049</v>
      </c>
      <c r="D291" s="351">
        <v>46054</v>
      </c>
      <c r="E291" s="340" t="s">
        <v>1239</v>
      </c>
      <c r="F291" s="340" t="s">
        <v>894</v>
      </c>
      <c r="G291" s="340" t="s">
        <v>1240</v>
      </c>
      <c r="I291" s="340" t="s">
        <v>757</v>
      </c>
      <c r="K291" s="343">
        <v>0</v>
      </c>
      <c r="L291" s="343">
        <v>-239.34</v>
      </c>
      <c r="M291" s="343">
        <v>-1015955.83</v>
      </c>
      <c r="O291" s="343">
        <v>0</v>
      </c>
    </row>
    <row r="292" spans="1:15" x14ac:dyDescent="0.3">
      <c r="A292" s="340" t="s">
        <v>891</v>
      </c>
      <c r="B292" s="350">
        <v>46043</v>
      </c>
      <c r="C292" s="350">
        <v>46049</v>
      </c>
      <c r="D292" s="351">
        <v>46054</v>
      </c>
      <c r="E292" s="340" t="s">
        <v>1239</v>
      </c>
      <c r="F292" s="340" t="s">
        <v>894</v>
      </c>
      <c r="G292" s="340" t="s">
        <v>1241</v>
      </c>
      <c r="I292" s="340" t="s">
        <v>757</v>
      </c>
      <c r="K292" s="343">
        <v>0</v>
      </c>
      <c r="L292" s="343">
        <v>-540.29999999999995</v>
      </c>
      <c r="M292" s="343">
        <v>-1016496.13</v>
      </c>
      <c r="O292" s="343">
        <v>0</v>
      </c>
    </row>
    <row r="293" spans="1:15" x14ac:dyDescent="0.3">
      <c r="A293" s="340" t="s">
        <v>891</v>
      </c>
      <c r="B293" s="350">
        <v>46043</v>
      </c>
      <c r="C293" s="350">
        <v>46049</v>
      </c>
      <c r="D293" s="351">
        <v>46054</v>
      </c>
      <c r="E293" s="340" t="s">
        <v>1239</v>
      </c>
      <c r="F293" s="340" t="s">
        <v>894</v>
      </c>
      <c r="G293" s="340" t="s">
        <v>1242</v>
      </c>
      <c r="I293" s="340" t="s">
        <v>757</v>
      </c>
      <c r="K293" s="343">
        <v>0</v>
      </c>
      <c r="L293" s="343">
        <v>-198.06</v>
      </c>
      <c r="M293" s="343">
        <v>-1016694.19</v>
      </c>
      <c r="O293" s="343">
        <v>0</v>
      </c>
    </row>
    <row r="294" spans="1:15" x14ac:dyDescent="0.3">
      <c r="A294" s="340" t="s">
        <v>891</v>
      </c>
      <c r="B294" s="350">
        <v>46043</v>
      </c>
      <c r="C294" s="350">
        <v>46049</v>
      </c>
      <c r="D294" s="351">
        <v>46054</v>
      </c>
      <c r="E294" s="340" t="s">
        <v>1239</v>
      </c>
      <c r="F294" s="340" t="s">
        <v>894</v>
      </c>
      <c r="G294" s="340" t="s">
        <v>1243</v>
      </c>
      <c r="I294" s="340" t="s">
        <v>757</v>
      </c>
      <c r="K294" s="343">
        <v>0</v>
      </c>
      <c r="L294" s="343">
        <v>-99.68</v>
      </c>
      <c r="M294" s="343">
        <v>-1016793.87</v>
      </c>
      <c r="O294" s="343">
        <v>0</v>
      </c>
    </row>
    <row r="295" spans="1:15" x14ac:dyDescent="0.3">
      <c r="A295" s="340" t="s">
        <v>891</v>
      </c>
      <c r="B295" s="350">
        <v>46043</v>
      </c>
      <c r="C295" s="350">
        <v>46049</v>
      </c>
      <c r="D295" s="351">
        <v>46054</v>
      </c>
      <c r="E295" s="340" t="s">
        <v>1239</v>
      </c>
      <c r="F295" s="340" t="s">
        <v>894</v>
      </c>
      <c r="G295" s="340" t="s">
        <v>1244</v>
      </c>
      <c r="I295" s="340" t="s">
        <v>757</v>
      </c>
      <c r="K295" s="343">
        <v>0</v>
      </c>
      <c r="L295" s="343">
        <v>-454.61</v>
      </c>
      <c r="M295" s="343">
        <v>-1017248.48</v>
      </c>
      <c r="O295" s="343">
        <v>0</v>
      </c>
    </row>
    <row r="296" spans="1:15" x14ac:dyDescent="0.3">
      <c r="A296" s="340" t="s">
        <v>891</v>
      </c>
      <c r="B296" s="350">
        <v>46043</v>
      </c>
      <c r="C296" s="350">
        <v>46049</v>
      </c>
      <c r="D296" s="351">
        <v>46054</v>
      </c>
      <c r="E296" s="340" t="s">
        <v>1239</v>
      </c>
      <c r="F296" s="340" t="s">
        <v>894</v>
      </c>
      <c r="G296" s="340" t="s">
        <v>1245</v>
      </c>
      <c r="I296" s="340" t="s">
        <v>757</v>
      </c>
      <c r="K296" s="343">
        <v>0</v>
      </c>
      <c r="L296" s="343">
        <v>-246.82</v>
      </c>
      <c r="M296" s="343">
        <v>-1017495.3</v>
      </c>
      <c r="O296" s="343">
        <v>0</v>
      </c>
    </row>
    <row r="297" spans="1:15" x14ac:dyDescent="0.3">
      <c r="A297" s="340" t="s">
        <v>891</v>
      </c>
      <c r="B297" s="350">
        <v>46043</v>
      </c>
      <c r="C297" s="350">
        <v>46049</v>
      </c>
      <c r="D297" s="351">
        <v>46054</v>
      </c>
      <c r="E297" s="340" t="s">
        <v>1239</v>
      </c>
      <c r="F297" s="340" t="s">
        <v>894</v>
      </c>
      <c r="G297" s="340" t="s">
        <v>1035</v>
      </c>
      <c r="I297" s="340" t="s">
        <v>757</v>
      </c>
      <c r="K297" s="343">
        <v>0</v>
      </c>
      <c r="L297" s="343">
        <v>-538.15</v>
      </c>
      <c r="M297" s="343">
        <v>-1018033.45</v>
      </c>
      <c r="O297" s="343">
        <v>0</v>
      </c>
    </row>
    <row r="298" spans="1:15" x14ac:dyDescent="0.3">
      <c r="A298" s="340" t="s">
        <v>891</v>
      </c>
      <c r="B298" s="350">
        <v>46043</v>
      </c>
      <c r="C298" s="350">
        <v>46049</v>
      </c>
      <c r="D298" s="351">
        <v>46054</v>
      </c>
      <c r="E298" s="340" t="s">
        <v>1239</v>
      </c>
      <c r="F298" s="340" t="s">
        <v>894</v>
      </c>
      <c r="G298" s="340" t="s">
        <v>1246</v>
      </c>
      <c r="I298" s="340" t="s">
        <v>757</v>
      </c>
      <c r="K298" s="343">
        <v>0</v>
      </c>
      <c r="L298" s="343">
        <v>-145.34</v>
      </c>
      <c r="M298" s="343">
        <v>-1018178.79</v>
      </c>
      <c r="O298" s="343">
        <v>0</v>
      </c>
    </row>
    <row r="299" spans="1:15" x14ac:dyDescent="0.3">
      <c r="A299" s="340" t="s">
        <v>891</v>
      </c>
      <c r="B299" s="350">
        <v>46043</v>
      </c>
      <c r="C299" s="350">
        <v>46049</v>
      </c>
      <c r="D299" s="351">
        <v>46054</v>
      </c>
      <c r="E299" s="340" t="s">
        <v>1239</v>
      </c>
      <c r="F299" s="340" t="s">
        <v>894</v>
      </c>
      <c r="G299" s="340" t="s">
        <v>1122</v>
      </c>
      <c r="I299" s="340" t="s">
        <v>757</v>
      </c>
      <c r="K299" s="343">
        <v>0</v>
      </c>
      <c r="L299" s="343">
        <v>-186.25</v>
      </c>
      <c r="M299" s="343">
        <v>-1018365.04</v>
      </c>
      <c r="O299" s="343">
        <v>0</v>
      </c>
    </row>
    <row r="300" spans="1:15" x14ac:dyDescent="0.3">
      <c r="A300" s="340" t="s">
        <v>891</v>
      </c>
      <c r="B300" s="350">
        <v>46043</v>
      </c>
      <c r="C300" s="350">
        <v>46049</v>
      </c>
      <c r="D300" s="351">
        <v>46054</v>
      </c>
      <c r="E300" s="340" t="s">
        <v>1239</v>
      </c>
      <c r="F300" s="340" t="s">
        <v>894</v>
      </c>
      <c r="G300" s="340" t="s">
        <v>1247</v>
      </c>
      <c r="I300" s="340" t="s">
        <v>757</v>
      </c>
      <c r="K300" s="343">
        <v>0</v>
      </c>
      <c r="L300" s="343">
        <v>-49.75</v>
      </c>
      <c r="M300" s="343">
        <v>-1018414.79</v>
      </c>
      <c r="O300" s="343">
        <v>0</v>
      </c>
    </row>
    <row r="301" spans="1:15" x14ac:dyDescent="0.3">
      <c r="A301" s="340" t="s">
        <v>891</v>
      </c>
      <c r="B301" s="350">
        <v>46043</v>
      </c>
      <c r="C301" s="350">
        <v>46049</v>
      </c>
      <c r="D301" s="351">
        <v>46054</v>
      </c>
      <c r="E301" s="340" t="s">
        <v>1239</v>
      </c>
      <c r="F301" s="340" t="s">
        <v>894</v>
      </c>
      <c r="G301" s="340" t="s">
        <v>1248</v>
      </c>
      <c r="I301" s="340" t="s">
        <v>757</v>
      </c>
      <c r="K301" s="343">
        <v>0</v>
      </c>
      <c r="L301" s="343">
        <v>-54.41</v>
      </c>
      <c r="M301" s="343">
        <v>-1018469.2</v>
      </c>
      <c r="O301" s="343">
        <v>0</v>
      </c>
    </row>
    <row r="302" spans="1:15" x14ac:dyDescent="0.3">
      <c r="A302" s="340" t="s">
        <v>891</v>
      </c>
      <c r="B302" s="350">
        <v>46043</v>
      </c>
      <c r="C302" s="350">
        <v>46049</v>
      </c>
      <c r="D302" s="351">
        <v>46054</v>
      </c>
      <c r="E302" s="340" t="s">
        <v>1239</v>
      </c>
      <c r="F302" s="340" t="s">
        <v>894</v>
      </c>
      <c r="G302" s="340" t="s">
        <v>1055</v>
      </c>
      <c r="I302" s="340" t="s">
        <v>757</v>
      </c>
      <c r="K302" s="343">
        <v>0</v>
      </c>
      <c r="L302" s="343">
        <v>-378.12</v>
      </c>
      <c r="M302" s="343">
        <v>-1018847.32</v>
      </c>
      <c r="O302" s="343">
        <v>0</v>
      </c>
    </row>
    <row r="303" spans="1:15" x14ac:dyDescent="0.3">
      <c r="A303" s="340" t="s">
        <v>891</v>
      </c>
      <c r="B303" s="350">
        <v>46043</v>
      </c>
      <c r="C303" s="350">
        <v>46049</v>
      </c>
      <c r="D303" s="351">
        <v>46054</v>
      </c>
      <c r="E303" s="340" t="s">
        <v>1239</v>
      </c>
      <c r="F303" s="340" t="s">
        <v>894</v>
      </c>
      <c r="G303" s="340" t="s">
        <v>1249</v>
      </c>
      <c r="I303" s="340" t="s">
        <v>757</v>
      </c>
      <c r="K303" s="343">
        <v>0</v>
      </c>
      <c r="L303" s="343">
        <v>-315.74</v>
      </c>
      <c r="M303" s="343">
        <v>-1019163.06</v>
      </c>
      <c r="O303" s="343">
        <v>0</v>
      </c>
    </row>
    <row r="304" spans="1:15" x14ac:dyDescent="0.3">
      <c r="A304" s="340" t="s">
        <v>891</v>
      </c>
      <c r="B304" s="350">
        <v>46043</v>
      </c>
      <c r="C304" s="350">
        <v>46049</v>
      </c>
      <c r="D304" s="351">
        <v>46054</v>
      </c>
      <c r="E304" s="340" t="s">
        <v>1239</v>
      </c>
      <c r="F304" s="340" t="s">
        <v>894</v>
      </c>
      <c r="G304" s="340" t="s">
        <v>1250</v>
      </c>
      <c r="I304" s="340" t="s">
        <v>757</v>
      </c>
      <c r="K304" s="343">
        <v>0</v>
      </c>
      <c r="L304" s="343">
        <v>-498.64</v>
      </c>
      <c r="M304" s="343">
        <v>-1019661.7</v>
      </c>
      <c r="O304" s="343">
        <v>0</v>
      </c>
    </row>
    <row r="305" spans="1:15" x14ac:dyDescent="0.3">
      <c r="A305" s="340" t="s">
        <v>891</v>
      </c>
      <c r="B305" s="350">
        <v>46043</v>
      </c>
      <c r="C305" s="350">
        <v>46049</v>
      </c>
      <c r="D305" s="351">
        <v>46054</v>
      </c>
      <c r="E305" s="340" t="s">
        <v>1239</v>
      </c>
      <c r="F305" s="340" t="s">
        <v>894</v>
      </c>
      <c r="G305" s="340" t="s">
        <v>1251</v>
      </c>
      <c r="I305" s="340" t="s">
        <v>757</v>
      </c>
      <c r="K305" s="343">
        <v>0</v>
      </c>
      <c r="L305" s="343">
        <v>-74.650000000000006</v>
      </c>
      <c r="M305" s="343">
        <v>-1019736.35</v>
      </c>
      <c r="O305" s="343">
        <v>0</v>
      </c>
    </row>
    <row r="306" spans="1:15" x14ac:dyDescent="0.3">
      <c r="A306" s="340" t="s">
        <v>891</v>
      </c>
      <c r="B306" s="350">
        <v>46043</v>
      </c>
      <c r="C306" s="350">
        <v>46049</v>
      </c>
      <c r="D306" s="351">
        <v>46054</v>
      </c>
      <c r="E306" s="340" t="s">
        <v>1239</v>
      </c>
      <c r="F306" s="340" t="s">
        <v>894</v>
      </c>
      <c r="G306" s="340" t="s">
        <v>1252</v>
      </c>
      <c r="I306" s="340" t="s">
        <v>757</v>
      </c>
      <c r="K306" s="343">
        <v>0</v>
      </c>
      <c r="L306" s="343">
        <v>-286.47000000000003</v>
      </c>
      <c r="M306" s="343">
        <v>-1020022.82</v>
      </c>
      <c r="O306" s="343">
        <v>0</v>
      </c>
    </row>
    <row r="307" spans="1:15" x14ac:dyDescent="0.3">
      <c r="A307" s="340" t="s">
        <v>891</v>
      </c>
      <c r="B307" s="350">
        <v>46043</v>
      </c>
      <c r="C307" s="350">
        <v>46049</v>
      </c>
      <c r="D307" s="351">
        <v>46054</v>
      </c>
      <c r="E307" s="340" t="s">
        <v>1239</v>
      </c>
      <c r="F307" s="340" t="s">
        <v>894</v>
      </c>
      <c r="G307" s="340" t="s">
        <v>1253</v>
      </c>
      <c r="I307" s="340" t="s">
        <v>757</v>
      </c>
      <c r="K307" s="343">
        <v>0</v>
      </c>
      <c r="L307" s="343">
        <v>-211.65</v>
      </c>
      <c r="M307" s="343">
        <v>-1020234.47</v>
      </c>
      <c r="O307" s="343">
        <v>0</v>
      </c>
    </row>
    <row r="308" spans="1:15" x14ac:dyDescent="0.3">
      <c r="A308" s="340" t="s">
        <v>891</v>
      </c>
      <c r="B308" s="350">
        <v>46043</v>
      </c>
      <c r="C308" s="350">
        <v>46049</v>
      </c>
      <c r="D308" s="351">
        <v>46054</v>
      </c>
      <c r="E308" s="340" t="s">
        <v>1239</v>
      </c>
      <c r="F308" s="340" t="s">
        <v>894</v>
      </c>
      <c r="G308" s="340" t="s">
        <v>1254</v>
      </c>
      <c r="I308" s="340" t="s">
        <v>757</v>
      </c>
      <c r="K308" s="343">
        <v>0</v>
      </c>
      <c r="L308" s="343">
        <v>-252.7</v>
      </c>
      <c r="M308" s="343">
        <v>-1020487.17</v>
      </c>
      <c r="O308" s="343">
        <v>0</v>
      </c>
    </row>
    <row r="309" spans="1:15" x14ac:dyDescent="0.3">
      <c r="A309" s="340" t="s">
        <v>891</v>
      </c>
      <c r="B309" s="350">
        <v>46043</v>
      </c>
      <c r="C309" s="350">
        <v>46049</v>
      </c>
      <c r="D309" s="351">
        <v>46054</v>
      </c>
      <c r="E309" s="340" t="s">
        <v>1239</v>
      </c>
      <c r="F309" s="340" t="s">
        <v>894</v>
      </c>
      <c r="G309" s="340" t="s">
        <v>1255</v>
      </c>
      <c r="I309" s="340" t="s">
        <v>757</v>
      </c>
      <c r="K309" s="343">
        <v>0</v>
      </c>
      <c r="L309" s="343">
        <v>-130.87</v>
      </c>
      <c r="M309" s="343">
        <v>-1020618.04</v>
      </c>
      <c r="O309" s="343">
        <v>0</v>
      </c>
    </row>
    <row r="310" spans="1:15" x14ac:dyDescent="0.3">
      <c r="A310" s="340" t="s">
        <v>891</v>
      </c>
      <c r="B310" s="350">
        <v>46043</v>
      </c>
      <c r="C310" s="350">
        <v>46049</v>
      </c>
      <c r="D310" s="351">
        <v>46054</v>
      </c>
      <c r="E310" s="340" t="s">
        <v>1239</v>
      </c>
      <c r="F310" s="340" t="s">
        <v>894</v>
      </c>
      <c r="G310" s="340" t="s">
        <v>1256</v>
      </c>
      <c r="I310" s="340" t="s">
        <v>757</v>
      </c>
      <c r="K310" s="343">
        <v>0</v>
      </c>
      <c r="L310" s="343">
        <v>-166.55</v>
      </c>
      <c r="M310" s="343">
        <v>-1020784.59</v>
      </c>
      <c r="O310" s="343">
        <v>0</v>
      </c>
    </row>
    <row r="311" spans="1:15" x14ac:dyDescent="0.3">
      <c r="A311" s="340" t="s">
        <v>891</v>
      </c>
      <c r="B311" s="350">
        <v>46043</v>
      </c>
      <c r="C311" s="350">
        <v>46049</v>
      </c>
      <c r="D311" s="351">
        <v>46054</v>
      </c>
      <c r="E311" s="340" t="s">
        <v>1239</v>
      </c>
      <c r="F311" s="340" t="s">
        <v>894</v>
      </c>
      <c r="G311" s="340" t="s">
        <v>1257</v>
      </c>
      <c r="I311" s="340" t="s">
        <v>757</v>
      </c>
      <c r="K311" s="343">
        <v>0</v>
      </c>
      <c r="L311" s="343">
        <v>-224.4</v>
      </c>
      <c r="M311" s="343">
        <v>-1021008.99</v>
      </c>
      <c r="O311" s="343">
        <v>0</v>
      </c>
    </row>
    <row r="312" spans="1:15" x14ac:dyDescent="0.3">
      <c r="A312" s="340" t="s">
        <v>891</v>
      </c>
      <c r="B312" s="350">
        <v>46043</v>
      </c>
      <c r="C312" s="350">
        <v>46049</v>
      </c>
      <c r="D312" s="351">
        <v>46054</v>
      </c>
      <c r="E312" s="340" t="s">
        <v>1239</v>
      </c>
      <c r="F312" s="340" t="s">
        <v>894</v>
      </c>
      <c r="G312" s="340" t="s">
        <v>1144</v>
      </c>
      <c r="I312" s="340" t="s">
        <v>757</v>
      </c>
      <c r="K312" s="343">
        <v>0</v>
      </c>
      <c r="L312" s="343">
        <v>-93.47</v>
      </c>
      <c r="M312" s="343">
        <v>-1021102.46</v>
      </c>
      <c r="O312" s="343">
        <v>0</v>
      </c>
    </row>
    <row r="313" spans="1:15" x14ac:dyDescent="0.3">
      <c r="A313" s="340" t="s">
        <v>891</v>
      </c>
      <c r="B313" s="350">
        <v>46043</v>
      </c>
      <c r="C313" s="350">
        <v>46049</v>
      </c>
      <c r="D313" s="351">
        <v>46054</v>
      </c>
      <c r="E313" s="340" t="s">
        <v>1239</v>
      </c>
      <c r="F313" s="340" t="s">
        <v>894</v>
      </c>
      <c r="G313" s="340" t="s">
        <v>1258</v>
      </c>
      <c r="I313" s="340" t="s">
        <v>757</v>
      </c>
      <c r="K313" s="343">
        <v>0</v>
      </c>
      <c r="L313" s="343">
        <v>-675.43</v>
      </c>
      <c r="M313" s="343">
        <v>-1021777.89</v>
      </c>
      <c r="O313" s="343">
        <v>0</v>
      </c>
    </row>
    <row r="314" spans="1:15" x14ac:dyDescent="0.3">
      <c r="A314" s="340" t="s">
        <v>891</v>
      </c>
      <c r="B314" s="350">
        <v>46043</v>
      </c>
      <c r="C314" s="350">
        <v>46049</v>
      </c>
      <c r="D314" s="351">
        <v>46054</v>
      </c>
      <c r="E314" s="340" t="s">
        <v>1239</v>
      </c>
      <c r="F314" s="340" t="s">
        <v>894</v>
      </c>
      <c r="G314" s="340" t="s">
        <v>1259</v>
      </c>
      <c r="I314" s="340" t="s">
        <v>757</v>
      </c>
      <c r="K314" s="343">
        <v>0</v>
      </c>
      <c r="L314" s="343">
        <v>-145.47</v>
      </c>
      <c r="M314" s="343">
        <v>-1021923.36</v>
      </c>
      <c r="O314" s="343">
        <v>0</v>
      </c>
    </row>
    <row r="315" spans="1:15" x14ac:dyDescent="0.3">
      <c r="A315" s="340" t="s">
        <v>891</v>
      </c>
      <c r="B315" s="350">
        <v>46043</v>
      </c>
      <c r="C315" s="350">
        <v>46049</v>
      </c>
      <c r="D315" s="351">
        <v>46054</v>
      </c>
      <c r="E315" s="340" t="s">
        <v>1239</v>
      </c>
      <c r="F315" s="340" t="s">
        <v>894</v>
      </c>
      <c r="G315" s="340" t="s">
        <v>1260</v>
      </c>
      <c r="I315" s="340" t="s">
        <v>757</v>
      </c>
      <c r="K315" s="343">
        <v>0</v>
      </c>
      <c r="L315" s="343">
        <v>-463.22</v>
      </c>
      <c r="M315" s="343">
        <v>-1022386.58</v>
      </c>
      <c r="O315" s="343">
        <v>0</v>
      </c>
    </row>
    <row r="316" spans="1:15" x14ac:dyDescent="0.3">
      <c r="A316" s="340" t="s">
        <v>891</v>
      </c>
      <c r="B316" s="350">
        <v>46043</v>
      </c>
      <c r="C316" s="350">
        <v>46049</v>
      </c>
      <c r="D316" s="351">
        <v>46054</v>
      </c>
      <c r="E316" s="340" t="s">
        <v>1239</v>
      </c>
      <c r="F316" s="340" t="s">
        <v>894</v>
      </c>
      <c r="G316" s="340" t="s">
        <v>1261</v>
      </c>
      <c r="I316" s="340" t="s">
        <v>757</v>
      </c>
      <c r="K316" s="343">
        <v>0</v>
      </c>
      <c r="L316" s="343">
        <v>-205.7</v>
      </c>
      <c r="M316" s="343">
        <v>-1022592.28</v>
      </c>
      <c r="O316" s="343">
        <v>0</v>
      </c>
    </row>
    <row r="317" spans="1:15" x14ac:dyDescent="0.3">
      <c r="A317" s="340" t="s">
        <v>891</v>
      </c>
      <c r="B317" s="350">
        <v>46043</v>
      </c>
      <c r="C317" s="350">
        <v>46049</v>
      </c>
      <c r="D317" s="351">
        <v>46054</v>
      </c>
      <c r="E317" s="340" t="s">
        <v>1239</v>
      </c>
      <c r="F317" s="340" t="s">
        <v>894</v>
      </c>
      <c r="G317" s="340" t="s">
        <v>1262</v>
      </c>
      <c r="I317" s="340" t="s">
        <v>757</v>
      </c>
      <c r="K317" s="343">
        <v>0</v>
      </c>
      <c r="L317" s="343">
        <v>-62.34</v>
      </c>
      <c r="M317" s="343">
        <v>-1022654.62</v>
      </c>
      <c r="O317" s="343">
        <v>0</v>
      </c>
    </row>
    <row r="318" spans="1:15" x14ac:dyDescent="0.3">
      <c r="A318" s="340" t="s">
        <v>891</v>
      </c>
      <c r="B318" s="350">
        <v>46043</v>
      </c>
      <c r="C318" s="350">
        <v>46049</v>
      </c>
      <c r="D318" s="351">
        <v>46054</v>
      </c>
      <c r="E318" s="340" t="s">
        <v>1239</v>
      </c>
      <c r="F318" s="340" t="s">
        <v>894</v>
      </c>
      <c r="G318" s="340" t="s">
        <v>1263</v>
      </c>
      <c r="I318" s="340" t="s">
        <v>757</v>
      </c>
      <c r="K318" s="343">
        <v>0</v>
      </c>
      <c r="L318" s="343">
        <v>-67.540000000000006</v>
      </c>
      <c r="M318" s="343">
        <v>-1022722.16</v>
      </c>
      <c r="O318" s="343">
        <v>0</v>
      </c>
    </row>
    <row r="319" spans="1:15" x14ac:dyDescent="0.3">
      <c r="A319" s="340" t="s">
        <v>891</v>
      </c>
      <c r="B319" s="350">
        <v>46043</v>
      </c>
      <c r="C319" s="350">
        <v>46049</v>
      </c>
      <c r="D319" s="351">
        <v>46054</v>
      </c>
      <c r="E319" s="340" t="s">
        <v>1239</v>
      </c>
      <c r="F319" s="340" t="s">
        <v>894</v>
      </c>
      <c r="G319" s="340" t="s">
        <v>1264</v>
      </c>
      <c r="I319" s="340" t="s">
        <v>757</v>
      </c>
      <c r="K319" s="343">
        <v>0</v>
      </c>
      <c r="L319" s="343">
        <v>-34.28</v>
      </c>
      <c r="M319" s="343">
        <v>-1022756.44</v>
      </c>
      <c r="O319" s="343">
        <v>0</v>
      </c>
    </row>
    <row r="320" spans="1:15" x14ac:dyDescent="0.3">
      <c r="A320" s="340" t="s">
        <v>891</v>
      </c>
      <c r="B320" s="350">
        <v>46043</v>
      </c>
      <c r="C320" s="350">
        <v>46049</v>
      </c>
      <c r="D320" s="351">
        <v>46054</v>
      </c>
      <c r="E320" s="340" t="s">
        <v>1239</v>
      </c>
      <c r="F320" s="340" t="s">
        <v>894</v>
      </c>
      <c r="G320" s="340" t="s">
        <v>1265</v>
      </c>
      <c r="I320" s="340" t="s">
        <v>757</v>
      </c>
      <c r="K320" s="343">
        <v>0</v>
      </c>
      <c r="L320" s="343">
        <v>-238.13</v>
      </c>
      <c r="M320" s="343">
        <v>-1022994.57</v>
      </c>
      <c r="O320" s="343">
        <v>0</v>
      </c>
    </row>
    <row r="321" spans="1:15" x14ac:dyDescent="0.3">
      <c r="A321" s="340" t="s">
        <v>891</v>
      </c>
      <c r="B321" s="350">
        <v>46043</v>
      </c>
      <c r="C321" s="350">
        <v>46049</v>
      </c>
      <c r="D321" s="351">
        <v>46054</v>
      </c>
      <c r="E321" s="340" t="s">
        <v>1239</v>
      </c>
      <c r="F321" s="340" t="s">
        <v>894</v>
      </c>
      <c r="G321" s="340" t="s">
        <v>1266</v>
      </c>
      <c r="I321" s="340" t="s">
        <v>757</v>
      </c>
      <c r="K321" s="343">
        <v>0</v>
      </c>
      <c r="L321" s="343">
        <v>-423.34</v>
      </c>
      <c r="M321" s="343">
        <v>-1023417.91</v>
      </c>
      <c r="O321" s="343">
        <v>0</v>
      </c>
    </row>
    <row r="322" spans="1:15" x14ac:dyDescent="0.3">
      <c r="A322" s="340" t="s">
        <v>891</v>
      </c>
      <c r="B322" s="350">
        <v>46043</v>
      </c>
      <c r="C322" s="350">
        <v>46049</v>
      </c>
      <c r="D322" s="351">
        <v>46054</v>
      </c>
      <c r="E322" s="340" t="s">
        <v>1239</v>
      </c>
      <c r="F322" s="340" t="s">
        <v>894</v>
      </c>
      <c r="G322" s="340" t="s">
        <v>1267</v>
      </c>
      <c r="I322" s="340" t="s">
        <v>757</v>
      </c>
      <c r="K322" s="343">
        <v>0</v>
      </c>
      <c r="L322" s="343">
        <v>-357.16</v>
      </c>
      <c r="M322" s="343">
        <v>-1023775.07</v>
      </c>
      <c r="O322" s="343">
        <v>0</v>
      </c>
    </row>
    <row r="323" spans="1:15" x14ac:dyDescent="0.3">
      <c r="A323" s="340" t="s">
        <v>891</v>
      </c>
      <c r="B323" s="350">
        <v>46043</v>
      </c>
      <c r="C323" s="350">
        <v>46049</v>
      </c>
      <c r="D323" s="351">
        <v>46054</v>
      </c>
      <c r="E323" s="340" t="s">
        <v>1239</v>
      </c>
      <c r="F323" s="340" t="s">
        <v>894</v>
      </c>
      <c r="G323" s="340" t="s">
        <v>1268</v>
      </c>
      <c r="I323" s="340" t="s">
        <v>757</v>
      </c>
      <c r="K323" s="343">
        <v>0</v>
      </c>
      <c r="L323" s="343">
        <v>-97.66</v>
      </c>
      <c r="M323" s="343">
        <v>-1023872.73</v>
      </c>
      <c r="O323" s="343">
        <v>0</v>
      </c>
    </row>
    <row r="324" spans="1:15" x14ac:dyDescent="0.3">
      <c r="A324" s="340" t="s">
        <v>891</v>
      </c>
      <c r="B324" s="350">
        <v>46043</v>
      </c>
      <c r="C324" s="350">
        <v>46049</v>
      </c>
      <c r="D324" s="351">
        <v>46054</v>
      </c>
      <c r="E324" s="340" t="s">
        <v>1239</v>
      </c>
      <c r="F324" s="340" t="s">
        <v>894</v>
      </c>
      <c r="G324" s="340" t="s">
        <v>1269</v>
      </c>
      <c r="I324" s="340" t="s">
        <v>757</v>
      </c>
      <c r="K324" s="343">
        <v>0</v>
      </c>
      <c r="L324" s="343">
        <v>-457.2</v>
      </c>
      <c r="M324" s="343">
        <v>-1024329.93</v>
      </c>
      <c r="O324" s="343">
        <v>0</v>
      </c>
    </row>
    <row r="325" spans="1:15" x14ac:dyDescent="0.3">
      <c r="A325" s="340" t="s">
        <v>891</v>
      </c>
      <c r="B325" s="350">
        <v>46043</v>
      </c>
      <c r="C325" s="350">
        <v>46049</v>
      </c>
      <c r="D325" s="351">
        <v>46054</v>
      </c>
      <c r="E325" s="340" t="s">
        <v>1239</v>
      </c>
      <c r="F325" s="340" t="s">
        <v>894</v>
      </c>
      <c r="G325" s="340" t="s">
        <v>1270</v>
      </c>
      <c r="I325" s="340" t="s">
        <v>757</v>
      </c>
      <c r="K325" s="343">
        <v>0</v>
      </c>
      <c r="L325" s="343">
        <v>-841.69</v>
      </c>
      <c r="M325" s="343">
        <v>-1025171.62</v>
      </c>
      <c r="O325" s="343">
        <v>0</v>
      </c>
    </row>
    <row r="326" spans="1:15" x14ac:dyDescent="0.3">
      <c r="A326" s="340" t="s">
        <v>891</v>
      </c>
      <c r="B326" s="350">
        <v>46043</v>
      </c>
      <c r="C326" s="350">
        <v>46097</v>
      </c>
      <c r="D326" s="351">
        <v>46082</v>
      </c>
      <c r="E326" s="340" t="s">
        <v>1271</v>
      </c>
      <c r="F326" s="340" t="s">
        <v>894</v>
      </c>
      <c r="G326" s="340" t="s">
        <v>1092</v>
      </c>
      <c r="I326" s="340" t="s">
        <v>1093</v>
      </c>
      <c r="K326" s="343">
        <v>0</v>
      </c>
      <c r="L326" s="343">
        <v>-405</v>
      </c>
      <c r="M326" s="343">
        <v>-1025576.62</v>
      </c>
      <c r="O326" s="343">
        <v>0</v>
      </c>
    </row>
    <row r="327" spans="1:15" x14ac:dyDescent="0.3">
      <c r="A327" s="340" t="s">
        <v>891</v>
      </c>
      <c r="B327" s="350">
        <v>46043</v>
      </c>
      <c r="C327" s="350">
        <v>46097</v>
      </c>
      <c r="D327" s="351">
        <v>46082</v>
      </c>
      <c r="E327" s="340" t="s">
        <v>1271</v>
      </c>
      <c r="F327" s="340" t="s">
        <v>894</v>
      </c>
      <c r="G327" s="340" t="s">
        <v>1094</v>
      </c>
      <c r="I327" s="340" t="s">
        <v>1093</v>
      </c>
      <c r="K327" s="343">
        <v>0</v>
      </c>
      <c r="L327" s="343">
        <v>-77.819999999999993</v>
      </c>
      <c r="M327" s="343">
        <v>-1025654.44</v>
      </c>
      <c r="O327" s="343">
        <v>0</v>
      </c>
    </row>
    <row r="328" spans="1:15" x14ac:dyDescent="0.3">
      <c r="A328" s="340" t="s">
        <v>891</v>
      </c>
      <c r="B328" s="350">
        <v>46043</v>
      </c>
      <c r="C328" s="350">
        <v>46097</v>
      </c>
      <c r="D328" s="351">
        <v>46082</v>
      </c>
      <c r="E328" s="340" t="s">
        <v>1271</v>
      </c>
      <c r="F328" s="340" t="s">
        <v>894</v>
      </c>
      <c r="G328" s="340" t="s">
        <v>1094</v>
      </c>
      <c r="I328" s="340" t="s">
        <v>1093</v>
      </c>
      <c r="K328" s="343">
        <v>0</v>
      </c>
      <c r="L328" s="343">
        <v>-405</v>
      </c>
      <c r="M328" s="343">
        <v>-1026059.44</v>
      </c>
      <c r="O328" s="343">
        <v>0</v>
      </c>
    </row>
    <row r="329" spans="1:15" x14ac:dyDescent="0.3">
      <c r="A329" s="340" t="s">
        <v>891</v>
      </c>
      <c r="B329" s="350">
        <v>46043</v>
      </c>
      <c r="C329" s="350">
        <v>46097</v>
      </c>
      <c r="D329" s="351">
        <v>46082</v>
      </c>
      <c r="E329" s="340" t="s">
        <v>1271</v>
      </c>
      <c r="F329" s="340" t="s">
        <v>894</v>
      </c>
      <c r="G329" s="340" t="s">
        <v>1094</v>
      </c>
      <c r="I329" s="340" t="s">
        <v>1093</v>
      </c>
      <c r="K329" s="343">
        <v>0</v>
      </c>
      <c r="L329" s="343">
        <v>-77.819999999999993</v>
      </c>
      <c r="M329" s="343">
        <v>-1026137.26</v>
      </c>
      <c r="O329" s="343">
        <v>0</v>
      </c>
    </row>
    <row r="330" spans="1:15" x14ac:dyDescent="0.3">
      <c r="A330" s="340" t="s">
        <v>891</v>
      </c>
      <c r="B330" s="350">
        <v>46044</v>
      </c>
      <c r="C330" s="350">
        <v>46049</v>
      </c>
      <c r="D330" s="351">
        <v>46023</v>
      </c>
      <c r="E330" s="340" t="s">
        <v>1272</v>
      </c>
      <c r="F330" s="340" t="s">
        <v>894</v>
      </c>
      <c r="G330" s="340" t="s">
        <v>1245</v>
      </c>
      <c r="I330" s="340" t="s">
        <v>757</v>
      </c>
      <c r="K330" s="343">
        <v>0</v>
      </c>
      <c r="L330" s="343">
        <v>-246.81</v>
      </c>
      <c r="M330" s="343">
        <v>-1026384.07</v>
      </c>
      <c r="O330" s="343">
        <v>0</v>
      </c>
    </row>
    <row r="331" spans="1:15" x14ac:dyDescent="0.3">
      <c r="A331" s="340" t="s">
        <v>891</v>
      </c>
      <c r="B331" s="350">
        <v>46044</v>
      </c>
      <c r="C331" s="350">
        <v>46073</v>
      </c>
      <c r="D331" s="351">
        <v>46054</v>
      </c>
      <c r="E331" s="340" t="s">
        <v>1273</v>
      </c>
      <c r="F331" s="340" t="s">
        <v>894</v>
      </c>
      <c r="G331" s="340" t="s">
        <v>1274</v>
      </c>
      <c r="I331" s="340" t="s">
        <v>757</v>
      </c>
      <c r="K331" s="343">
        <v>0</v>
      </c>
      <c r="L331" s="343">
        <v>-1558.53</v>
      </c>
      <c r="M331" s="343">
        <v>-1027942.6</v>
      </c>
      <c r="O331" s="343">
        <v>0</v>
      </c>
    </row>
    <row r="332" spans="1:15" x14ac:dyDescent="0.3">
      <c r="A332" s="340" t="s">
        <v>891</v>
      </c>
      <c r="B332" s="350">
        <v>46044</v>
      </c>
      <c r="C332" s="350">
        <v>46073</v>
      </c>
      <c r="D332" s="351">
        <v>46054</v>
      </c>
      <c r="E332" s="340" t="s">
        <v>1273</v>
      </c>
      <c r="F332" s="340" t="s">
        <v>894</v>
      </c>
      <c r="G332" s="340" t="s">
        <v>1275</v>
      </c>
      <c r="I332" s="340" t="s">
        <v>757</v>
      </c>
      <c r="K332" s="343">
        <v>0</v>
      </c>
      <c r="L332" s="343">
        <v>-623.36</v>
      </c>
      <c r="M332" s="343">
        <v>-1028565.96</v>
      </c>
      <c r="O332" s="343">
        <v>0</v>
      </c>
    </row>
    <row r="333" spans="1:15" x14ac:dyDescent="0.3">
      <c r="A333" s="340" t="s">
        <v>891</v>
      </c>
      <c r="B333" s="350">
        <v>46045</v>
      </c>
      <c r="C333" s="350">
        <v>46049</v>
      </c>
      <c r="D333" s="351">
        <v>46023</v>
      </c>
      <c r="E333" s="340" t="s">
        <v>1276</v>
      </c>
      <c r="F333" s="340" t="s">
        <v>894</v>
      </c>
      <c r="G333" s="340" t="s">
        <v>1277</v>
      </c>
      <c r="I333" s="340" t="s">
        <v>757</v>
      </c>
      <c r="K333" s="343">
        <v>0</v>
      </c>
      <c r="L333" s="343">
        <v>-651.58000000000004</v>
      </c>
      <c r="M333" s="343">
        <v>-1029217.54</v>
      </c>
      <c r="O333" s="343">
        <v>0</v>
      </c>
    </row>
    <row r="334" spans="1:15" x14ac:dyDescent="0.3">
      <c r="A334" s="340" t="s">
        <v>891</v>
      </c>
      <c r="B334" s="350">
        <v>46045</v>
      </c>
      <c r="C334" s="350">
        <v>46050</v>
      </c>
      <c r="D334" s="351">
        <v>46023</v>
      </c>
      <c r="E334" s="340" t="s">
        <v>1278</v>
      </c>
      <c r="F334" s="340" t="s">
        <v>894</v>
      </c>
      <c r="G334" s="340" t="s">
        <v>1279</v>
      </c>
      <c r="I334" s="340" t="s">
        <v>741</v>
      </c>
      <c r="K334" s="343">
        <v>0</v>
      </c>
      <c r="L334" s="343">
        <v>-399.45</v>
      </c>
      <c r="M334" s="343">
        <v>-1029616.99</v>
      </c>
      <c r="O334" s="343">
        <v>0</v>
      </c>
    </row>
    <row r="335" spans="1:15" x14ac:dyDescent="0.3">
      <c r="A335" s="340" t="s">
        <v>891</v>
      </c>
      <c r="B335" s="350">
        <v>46045</v>
      </c>
      <c r="C335" s="350">
        <v>46058</v>
      </c>
      <c r="D335" s="351">
        <v>46023</v>
      </c>
      <c r="E335" s="340" t="s">
        <v>1280</v>
      </c>
      <c r="F335" s="340" t="s">
        <v>894</v>
      </c>
      <c r="G335" s="340" t="s">
        <v>1281</v>
      </c>
      <c r="I335" s="340" t="s">
        <v>771</v>
      </c>
      <c r="K335" s="343">
        <v>0</v>
      </c>
      <c r="L335" s="343">
        <v>-70882.8</v>
      </c>
      <c r="M335" s="343">
        <v>-1100499.79</v>
      </c>
      <c r="O335" s="343">
        <v>0</v>
      </c>
    </row>
    <row r="336" spans="1:15" x14ac:dyDescent="0.3">
      <c r="A336" s="340" t="s">
        <v>891</v>
      </c>
      <c r="B336" s="350">
        <v>46045</v>
      </c>
      <c r="C336" s="350">
        <v>46061</v>
      </c>
      <c r="D336" s="351">
        <v>46054</v>
      </c>
      <c r="E336" s="340" t="s">
        <v>1282</v>
      </c>
      <c r="F336" s="340" t="s">
        <v>894</v>
      </c>
      <c r="G336" s="340" t="s">
        <v>1283</v>
      </c>
      <c r="I336" s="340" t="s">
        <v>764</v>
      </c>
      <c r="K336" s="343">
        <v>0</v>
      </c>
      <c r="L336" s="343">
        <v>-184.03</v>
      </c>
      <c r="M336" s="343">
        <v>-1100683.82</v>
      </c>
      <c r="O336" s="343">
        <v>0</v>
      </c>
    </row>
    <row r="337" spans="1:15" x14ac:dyDescent="0.3">
      <c r="A337" s="340" t="s">
        <v>891</v>
      </c>
      <c r="B337" s="350">
        <v>46045</v>
      </c>
      <c r="C337" s="350">
        <v>46069</v>
      </c>
      <c r="D337" s="351">
        <v>46054</v>
      </c>
      <c r="E337" s="340" t="s">
        <v>1284</v>
      </c>
      <c r="F337" s="340" t="s">
        <v>894</v>
      </c>
      <c r="G337" s="340" t="s">
        <v>1285</v>
      </c>
      <c r="I337" s="340" t="s">
        <v>757</v>
      </c>
      <c r="K337" s="343">
        <v>0</v>
      </c>
      <c r="L337" s="343">
        <v>-2771.11</v>
      </c>
      <c r="M337" s="343">
        <v>-1103454.93</v>
      </c>
      <c r="O337" s="343">
        <v>0</v>
      </c>
    </row>
    <row r="338" spans="1:15" x14ac:dyDescent="0.3">
      <c r="A338" s="340" t="s">
        <v>891</v>
      </c>
      <c r="B338" s="350">
        <v>46045</v>
      </c>
      <c r="C338" s="350">
        <v>46069</v>
      </c>
      <c r="D338" s="351">
        <v>46054</v>
      </c>
      <c r="E338" s="340" t="s">
        <v>1284</v>
      </c>
      <c r="F338" s="340" t="s">
        <v>894</v>
      </c>
      <c r="G338" s="340" t="s">
        <v>1286</v>
      </c>
      <c r="I338" s="340" t="s">
        <v>757</v>
      </c>
      <c r="K338" s="343">
        <v>0</v>
      </c>
      <c r="L338" s="343">
        <v>-1125.8</v>
      </c>
      <c r="M338" s="343">
        <v>-1104580.73</v>
      </c>
      <c r="O338" s="343">
        <v>0</v>
      </c>
    </row>
    <row r="339" spans="1:15" x14ac:dyDescent="0.3">
      <c r="A339" s="340" t="s">
        <v>891</v>
      </c>
      <c r="B339" s="350">
        <v>46045</v>
      </c>
      <c r="C339" s="350">
        <v>46069</v>
      </c>
      <c r="D339" s="351">
        <v>46054</v>
      </c>
      <c r="E339" s="340" t="s">
        <v>1284</v>
      </c>
      <c r="F339" s="340" t="s">
        <v>894</v>
      </c>
      <c r="G339" s="340" t="s">
        <v>1287</v>
      </c>
      <c r="I339" s="340" t="s">
        <v>757</v>
      </c>
      <c r="K339" s="343">
        <v>0</v>
      </c>
      <c r="L339" s="343">
        <v>-779.13</v>
      </c>
      <c r="M339" s="343">
        <v>-1105359.8600000001</v>
      </c>
      <c r="O339" s="343">
        <v>0</v>
      </c>
    </row>
    <row r="340" spans="1:15" x14ac:dyDescent="0.3">
      <c r="A340" s="340" t="s">
        <v>891</v>
      </c>
      <c r="B340" s="350">
        <v>46045</v>
      </c>
      <c r="C340" s="350">
        <v>46069</v>
      </c>
      <c r="D340" s="351">
        <v>46054</v>
      </c>
      <c r="E340" s="340" t="s">
        <v>1288</v>
      </c>
      <c r="F340" s="340" t="s">
        <v>894</v>
      </c>
      <c r="G340" s="340" t="s">
        <v>1289</v>
      </c>
      <c r="I340" s="340" t="s">
        <v>747</v>
      </c>
      <c r="K340" s="343">
        <v>0</v>
      </c>
      <c r="L340" s="343">
        <v>-200</v>
      </c>
      <c r="M340" s="343">
        <v>-1105559.8600000001</v>
      </c>
      <c r="O340" s="343">
        <v>0</v>
      </c>
    </row>
    <row r="341" spans="1:15" x14ac:dyDescent="0.3">
      <c r="A341" s="340" t="s">
        <v>891</v>
      </c>
      <c r="B341" s="350">
        <v>46047</v>
      </c>
      <c r="C341" s="350">
        <v>46048</v>
      </c>
      <c r="D341" s="351">
        <v>46023</v>
      </c>
      <c r="E341" s="340" t="s">
        <v>1290</v>
      </c>
      <c r="F341" s="340" t="s">
        <v>894</v>
      </c>
      <c r="G341" s="340" t="s">
        <v>1291</v>
      </c>
      <c r="I341" s="340" t="s">
        <v>740</v>
      </c>
      <c r="K341" s="343">
        <v>0</v>
      </c>
      <c r="L341" s="343">
        <v>-730</v>
      </c>
      <c r="M341" s="343">
        <v>-1106289.8600000001</v>
      </c>
      <c r="O341" s="343">
        <v>0</v>
      </c>
    </row>
    <row r="342" spans="1:15" x14ac:dyDescent="0.3">
      <c r="A342" s="340" t="s">
        <v>891</v>
      </c>
      <c r="B342" s="350">
        <v>46047</v>
      </c>
      <c r="C342" s="350">
        <v>46048</v>
      </c>
      <c r="D342" s="351">
        <v>46023</v>
      </c>
      <c r="E342" s="340" t="s">
        <v>1292</v>
      </c>
      <c r="F342" s="340" t="s">
        <v>894</v>
      </c>
      <c r="G342" s="340" t="s">
        <v>1293</v>
      </c>
      <c r="I342" s="340" t="s">
        <v>740</v>
      </c>
      <c r="K342" s="343">
        <v>0</v>
      </c>
      <c r="L342" s="343">
        <v>-129.9</v>
      </c>
      <c r="M342" s="343">
        <v>-1106419.76</v>
      </c>
      <c r="O342" s="343">
        <v>0</v>
      </c>
    </row>
    <row r="343" spans="1:15" x14ac:dyDescent="0.3">
      <c r="A343" s="340" t="s">
        <v>891</v>
      </c>
      <c r="B343" s="350">
        <v>46047</v>
      </c>
      <c r="C343" s="350">
        <v>46051</v>
      </c>
      <c r="D343" s="351">
        <v>46023</v>
      </c>
      <c r="E343" s="340" t="s">
        <v>1294</v>
      </c>
      <c r="F343" s="340" t="s">
        <v>894</v>
      </c>
      <c r="G343" s="340" t="s">
        <v>1295</v>
      </c>
      <c r="I343" s="340" t="s">
        <v>740</v>
      </c>
      <c r="K343" s="343">
        <v>0</v>
      </c>
      <c r="L343" s="343">
        <v>-48.71</v>
      </c>
      <c r="M343" s="343">
        <v>-1106468.47</v>
      </c>
      <c r="O343" s="343">
        <v>0</v>
      </c>
    </row>
    <row r="344" spans="1:15" x14ac:dyDescent="0.3">
      <c r="A344" s="340" t="s">
        <v>891</v>
      </c>
      <c r="B344" s="350">
        <v>46047</v>
      </c>
      <c r="C344" s="350">
        <v>46051</v>
      </c>
      <c r="D344" s="351">
        <v>46023</v>
      </c>
      <c r="E344" s="340" t="s">
        <v>1296</v>
      </c>
      <c r="F344" s="340" t="s">
        <v>894</v>
      </c>
      <c r="G344" s="340" t="s">
        <v>1297</v>
      </c>
      <c r="I344" s="340" t="s">
        <v>740</v>
      </c>
      <c r="K344" s="343">
        <v>0</v>
      </c>
      <c r="L344" s="343">
        <v>-55</v>
      </c>
      <c r="M344" s="343">
        <v>-1106523.47</v>
      </c>
      <c r="O344" s="343">
        <v>0</v>
      </c>
    </row>
    <row r="345" spans="1:15" x14ac:dyDescent="0.3">
      <c r="A345" s="340" t="s">
        <v>891</v>
      </c>
      <c r="B345" s="350">
        <v>46047</v>
      </c>
      <c r="C345" s="350">
        <v>46051</v>
      </c>
      <c r="D345" s="351">
        <v>46023</v>
      </c>
      <c r="E345" s="340" t="s">
        <v>1296</v>
      </c>
      <c r="F345" s="340" t="s">
        <v>894</v>
      </c>
      <c r="G345" s="340" t="s">
        <v>1298</v>
      </c>
      <c r="I345" s="340" t="s">
        <v>740</v>
      </c>
      <c r="K345" s="343">
        <v>0</v>
      </c>
      <c r="L345" s="343">
        <v>-64.95</v>
      </c>
      <c r="M345" s="343">
        <v>-1106588.42</v>
      </c>
      <c r="O345" s="343">
        <v>0</v>
      </c>
    </row>
    <row r="346" spans="1:15" x14ac:dyDescent="0.3">
      <c r="A346" s="340" t="s">
        <v>891</v>
      </c>
      <c r="B346" s="350">
        <v>46047</v>
      </c>
      <c r="C346" s="350">
        <v>46051</v>
      </c>
      <c r="D346" s="351">
        <v>46023</v>
      </c>
      <c r="E346" s="340" t="s">
        <v>1299</v>
      </c>
      <c r="F346" s="340" t="s">
        <v>894</v>
      </c>
      <c r="G346" s="340" t="s">
        <v>1300</v>
      </c>
      <c r="I346" s="340" t="s">
        <v>740</v>
      </c>
      <c r="K346" s="343">
        <v>0</v>
      </c>
      <c r="L346" s="343">
        <v>-129.9</v>
      </c>
      <c r="M346" s="343">
        <v>-1106718.32</v>
      </c>
      <c r="O346" s="343">
        <v>0</v>
      </c>
    </row>
    <row r="347" spans="1:15" x14ac:dyDescent="0.3">
      <c r="A347" s="340" t="s">
        <v>891</v>
      </c>
      <c r="B347" s="350">
        <v>46047</v>
      </c>
      <c r="C347" s="350">
        <v>46051</v>
      </c>
      <c r="D347" s="351">
        <v>46023</v>
      </c>
      <c r="E347" s="340" t="s">
        <v>1301</v>
      </c>
      <c r="F347" s="340" t="s">
        <v>894</v>
      </c>
      <c r="G347" s="340" t="s">
        <v>1302</v>
      </c>
      <c r="I347" s="340" t="s">
        <v>740</v>
      </c>
      <c r="K347" s="343">
        <v>0</v>
      </c>
      <c r="L347" s="343">
        <v>-160</v>
      </c>
      <c r="M347" s="343">
        <v>-1106878.32</v>
      </c>
      <c r="O347" s="343">
        <v>0</v>
      </c>
    </row>
    <row r="348" spans="1:15" x14ac:dyDescent="0.3">
      <c r="A348" s="340" t="s">
        <v>891</v>
      </c>
      <c r="B348" s="350">
        <v>46047</v>
      </c>
      <c r="C348" s="350">
        <v>46051</v>
      </c>
      <c r="D348" s="351">
        <v>46023</v>
      </c>
      <c r="E348" s="340" t="s">
        <v>1303</v>
      </c>
      <c r="F348" s="340" t="s">
        <v>894</v>
      </c>
      <c r="G348" s="340" t="s">
        <v>1304</v>
      </c>
      <c r="I348" s="340" t="s">
        <v>740</v>
      </c>
      <c r="K348" s="343">
        <v>0</v>
      </c>
      <c r="L348" s="343">
        <v>-680</v>
      </c>
      <c r="M348" s="343">
        <v>-1107558.32</v>
      </c>
      <c r="O348" s="343">
        <v>0</v>
      </c>
    </row>
    <row r="349" spans="1:15" x14ac:dyDescent="0.3">
      <c r="A349" s="340" t="s">
        <v>891</v>
      </c>
      <c r="B349" s="350">
        <v>46047</v>
      </c>
      <c r="C349" s="350">
        <v>46051</v>
      </c>
      <c r="D349" s="351">
        <v>46023</v>
      </c>
      <c r="E349" s="340" t="s">
        <v>1305</v>
      </c>
      <c r="F349" s="340" t="s">
        <v>894</v>
      </c>
      <c r="G349" s="340" t="s">
        <v>1306</v>
      </c>
      <c r="I349" s="340" t="s">
        <v>740</v>
      </c>
      <c r="K349" s="343">
        <v>0</v>
      </c>
      <c r="L349" s="343">
        <v>-555</v>
      </c>
      <c r="M349" s="343">
        <v>-1108113.32</v>
      </c>
      <c r="O349" s="343">
        <v>0</v>
      </c>
    </row>
    <row r="350" spans="1:15" x14ac:dyDescent="0.3">
      <c r="A350" s="340" t="s">
        <v>891</v>
      </c>
      <c r="B350" s="350">
        <v>46047</v>
      </c>
      <c r="C350" s="350">
        <v>46051</v>
      </c>
      <c r="D350" s="351">
        <v>46023</v>
      </c>
      <c r="E350" s="340" t="s">
        <v>1307</v>
      </c>
      <c r="F350" s="340" t="s">
        <v>894</v>
      </c>
      <c r="G350" s="340" t="s">
        <v>1308</v>
      </c>
      <c r="I350" s="340" t="s">
        <v>740</v>
      </c>
      <c r="K350" s="343">
        <v>0</v>
      </c>
      <c r="L350" s="343">
        <v>-850</v>
      </c>
      <c r="M350" s="343">
        <v>-1108963.32</v>
      </c>
      <c r="O350" s="343">
        <v>0</v>
      </c>
    </row>
    <row r="351" spans="1:15" x14ac:dyDescent="0.3">
      <c r="A351" s="340" t="s">
        <v>891</v>
      </c>
      <c r="B351" s="350">
        <v>46047</v>
      </c>
      <c r="C351" s="350">
        <v>46051</v>
      </c>
      <c r="D351" s="351">
        <v>46023</v>
      </c>
      <c r="E351" s="340" t="s">
        <v>1307</v>
      </c>
      <c r="F351" s="340" t="s">
        <v>894</v>
      </c>
      <c r="G351" s="340" t="s">
        <v>1309</v>
      </c>
      <c r="I351" s="340" t="s">
        <v>740</v>
      </c>
      <c r="K351" s="343">
        <v>0</v>
      </c>
      <c r="L351" s="343">
        <v>-195</v>
      </c>
      <c r="M351" s="343">
        <v>-1109158.32</v>
      </c>
      <c r="O351" s="343">
        <v>0</v>
      </c>
    </row>
    <row r="352" spans="1:15" x14ac:dyDescent="0.3">
      <c r="A352" s="340" t="s">
        <v>891</v>
      </c>
      <c r="B352" s="350">
        <v>46047</v>
      </c>
      <c r="C352" s="350">
        <v>46051</v>
      </c>
      <c r="D352" s="351">
        <v>46023</v>
      </c>
      <c r="E352" s="340" t="s">
        <v>1310</v>
      </c>
      <c r="F352" s="340" t="s">
        <v>894</v>
      </c>
      <c r="G352" s="340" t="s">
        <v>1311</v>
      </c>
      <c r="I352" s="340" t="s">
        <v>740</v>
      </c>
      <c r="K352" s="343">
        <v>0</v>
      </c>
      <c r="L352" s="343">
        <v>-870</v>
      </c>
      <c r="M352" s="343">
        <v>-1110028.32</v>
      </c>
      <c r="O352" s="343">
        <v>0</v>
      </c>
    </row>
    <row r="353" spans="1:15" x14ac:dyDescent="0.3">
      <c r="A353" s="340" t="s">
        <v>891</v>
      </c>
      <c r="B353" s="350">
        <v>46047</v>
      </c>
      <c r="C353" s="350">
        <v>46051</v>
      </c>
      <c r="D353" s="351">
        <v>46023</v>
      </c>
      <c r="E353" s="340" t="s">
        <v>1310</v>
      </c>
      <c r="F353" s="340" t="s">
        <v>894</v>
      </c>
      <c r="G353" s="340" t="s">
        <v>1312</v>
      </c>
      <c r="I353" s="340" t="s">
        <v>740</v>
      </c>
      <c r="K353" s="343">
        <v>0</v>
      </c>
      <c r="L353" s="343">
        <v>-260</v>
      </c>
      <c r="M353" s="343">
        <v>-1110288.32</v>
      </c>
      <c r="O353" s="343">
        <v>0</v>
      </c>
    </row>
    <row r="354" spans="1:15" x14ac:dyDescent="0.3">
      <c r="A354" s="340" t="s">
        <v>891</v>
      </c>
      <c r="B354" s="350">
        <v>46047</v>
      </c>
      <c r="C354" s="350">
        <v>46069</v>
      </c>
      <c r="D354" s="351">
        <v>46054</v>
      </c>
      <c r="E354" s="340" t="s">
        <v>1313</v>
      </c>
      <c r="F354" s="340" t="s">
        <v>894</v>
      </c>
      <c r="G354" s="340" t="s">
        <v>1314</v>
      </c>
      <c r="I354" s="340" t="s">
        <v>740</v>
      </c>
      <c r="K354" s="343">
        <v>0</v>
      </c>
      <c r="L354" s="343">
        <v>-750</v>
      </c>
      <c r="M354" s="343">
        <v>-1111038.32</v>
      </c>
      <c r="O354" s="343">
        <v>0</v>
      </c>
    </row>
    <row r="355" spans="1:15" x14ac:dyDescent="0.3">
      <c r="A355" s="340" t="s">
        <v>891</v>
      </c>
      <c r="B355" s="350">
        <v>46047</v>
      </c>
      <c r="C355" s="350">
        <v>46069</v>
      </c>
      <c r="D355" s="351">
        <v>46054</v>
      </c>
      <c r="E355" s="340" t="s">
        <v>1313</v>
      </c>
      <c r="F355" s="340" t="s">
        <v>894</v>
      </c>
      <c r="G355" s="340" t="s">
        <v>1315</v>
      </c>
      <c r="I355" s="340" t="s">
        <v>740</v>
      </c>
      <c r="K355" s="343">
        <v>0</v>
      </c>
      <c r="L355" s="343">
        <v>-150</v>
      </c>
      <c r="M355" s="343">
        <v>-1111188.32</v>
      </c>
      <c r="O355" s="343">
        <v>0</v>
      </c>
    </row>
    <row r="356" spans="1:15" x14ac:dyDescent="0.3">
      <c r="A356" s="340" t="s">
        <v>891</v>
      </c>
      <c r="B356" s="350">
        <v>46047</v>
      </c>
      <c r="C356" s="350">
        <v>46069</v>
      </c>
      <c r="D356" s="351">
        <v>46054</v>
      </c>
      <c r="E356" s="340" t="s">
        <v>1313</v>
      </c>
      <c r="F356" s="340" t="s">
        <v>894</v>
      </c>
      <c r="G356" s="340" t="s">
        <v>1316</v>
      </c>
      <c r="I356" s="340" t="s">
        <v>740</v>
      </c>
      <c r="K356" s="343">
        <v>0</v>
      </c>
      <c r="L356" s="343">
        <v>-520</v>
      </c>
      <c r="M356" s="343">
        <v>-1111708.32</v>
      </c>
      <c r="O356" s="343">
        <v>0</v>
      </c>
    </row>
    <row r="357" spans="1:15" x14ac:dyDescent="0.3">
      <c r="A357" s="340" t="s">
        <v>891</v>
      </c>
      <c r="B357" s="350">
        <v>46047</v>
      </c>
      <c r="C357" s="350">
        <v>46069</v>
      </c>
      <c r="D357" s="351">
        <v>46054</v>
      </c>
      <c r="E357" s="340" t="s">
        <v>1313</v>
      </c>
      <c r="F357" s="340" t="s">
        <v>894</v>
      </c>
      <c r="G357" s="340" t="s">
        <v>1317</v>
      </c>
      <c r="I357" s="340" t="s">
        <v>740</v>
      </c>
      <c r="K357" s="343">
        <v>0</v>
      </c>
      <c r="L357" s="343">
        <v>-476.3</v>
      </c>
      <c r="M357" s="343">
        <v>-1112184.6200000001</v>
      </c>
      <c r="O357" s="343">
        <v>0</v>
      </c>
    </row>
    <row r="358" spans="1:15" x14ac:dyDescent="0.3">
      <c r="A358" s="340" t="s">
        <v>891</v>
      </c>
      <c r="B358" s="350">
        <v>46047</v>
      </c>
      <c r="C358" s="350">
        <v>46069</v>
      </c>
      <c r="D358" s="351">
        <v>46054</v>
      </c>
      <c r="E358" s="340" t="s">
        <v>1318</v>
      </c>
      <c r="F358" s="340" t="s">
        <v>894</v>
      </c>
      <c r="G358" s="340" t="s">
        <v>1319</v>
      </c>
      <c r="I358" s="340" t="s">
        <v>740</v>
      </c>
      <c r="K358" s="343">
        <v>0</v>
      </c>
      <c r="L358" s="343">
        <v>-780</v>
      </c>
      <c r="M358" s="343">
        <v>-1112964.6200000001</v>
      </c>
      <c r="O358" s="343">
        <v>0</v>
      </c>
    </row>
    <row r="359" spans="1:15" x14ac:dyDescent="0.3">
      <c r="A359" s="340" t="s">
        <v>891</v>
      </c>
      <c r="B359" s="350">
        <v>46047</v>
      </c>
      <c r="C359" s="350">
        <v>46069</v>
      </c>
      <c r="D359" s="351">
        <v>46054</v>
      </c>
      <c r="E359" s="340" t="s">
        <v>1318</v>
      </c>
      <c r="F359" s="340" t="s">
        <v>894</v>
      </c>
      <c r="G359" s="340" t="s">
        <v>1320</v>
      </c>
      <c r="I359" s="340" t="s">
        <v>740</v>
      </c>
      <c r="K359" s="343">
        <v>0</v>
      </c>
      <c r="L359" s="343">
        <v>-260</v>
      </c>
      <c r="M359" s="343">
        <v>-1113224.6200000001</v>
      </c>
      <c r="O359" s="343">
        <v>0</v>
      </c>
    </row>
    <row r="360" spans="1:15" x14ac:dyDescent="0.3">
      <c r="A360" s="340" t="s">
        <v>891</v>
      </c>
      <c r="B360" s="350">
        <v>46047</v>
      </c>
      <c r="C360" s="350">
        <v>46069</v>
      </c>
      <c r="D360" s="351">
        <v>46054</v>
      </c>
      <c r="E360" s="340" t="s">
        <v>1318</v>
      </c>
      <c r="F360" s="340" t="s">
        <v>894</v>
      </c>
      <c r="G360" s="340" t="s">
        <v>1317</v>
      </c>
      <c r="I360" s="340" t="s">
        <v>740</v>
      </c>
      <c r="K360" s="343">
        <v>0</v>
      </c>
      <c r="L360" s="343">
        <v>-216.5</v>
      </c>
      <c r="M360" s="343">
        <v>-1113441.1200000001</v>
      </c>
      <c r="O360" s="343">
        <v>0</v>
      </c>
    </row>
    <row r="361" spans="1:15" x14ac:dyDescent="0.3">
      <c r="A361" s="340" t="s">
        <v>891</v>
      </c>
      <c r="B361" s="350">
        <v>46047</v>
      </c>
      <c r="C361" s="350">
        <v>46069</v>
      </c>
      <c r="D361" s="351">
        <v>46054</v>
      </c>
      <c r="E361" s="340" t="s">
        <v>1321</v>
      </c>
      <c r="F361" s="340" t="s">
        <v>894</v>
      </c>
      <c r="G361" s="340" t="s">
        <v>1322</v>
      </c>
      <c r="I361" s="340" t="s">
        <v>740</v>
      </c>
      <c r="K361" s="343">
        <v>0</v>
      </c>
      <c r="L361" s="343">
        <v>-530</v>
      </c>
      <c r="M361" s="343">
        <v>-1113971.1200000001</v>
      </c>
      <c r="O361" s="343">
        <v>0</v>
      </c>
    </row>
    <row r="362" spans="1:15" x14ac:dyDescent="0.3">
      <c r="A362" s="340" t="s">
        <v>891</v>
      </c>
      <c r="B362" s="350">
        <v>46047</v>
      </c>
      <c r="C362" s="350">
        <v>46069</v>
      </c>
      <c r="D362" s="351">
        <v>46054</v>
      </c>
      <c r="E362" s="340" t="s">
        <v>1321</v>
      </c>
      <c r="F362" s="340" t="s">
        <v>894</v>
      </c>
      <c r="G362" s="340" t="s">
        <v>1320</v>
      </c>
      <c r="I362" s="340" t="s">
        <v>740</v>
      </c>
      <c r="K362" s="343">
        <v>0</v>
      </c>
      <c r="L362" s="343">
        <v>-260</v>
      </c>
      <c r="M362" s="343">
        <v>-1114231.1200000001</v>
      </c>
      <c r="O362" s="343">
        <v>0</v>
      </c>
    </row>
    <row r="363" spans="1:15" x14ac:dyDescent="0.3">
      <c r="A363" s="340" t="s">
        <v>891</v>
      </c>
      <c r="B363" s="350">
        <v>46047</v>
      </c>
      <c r="C363" s="350">
        <v>46069</v>
      </c>
      <c r="D363" s="351">
        <v>46054</v>
      </c>
      <c r="E363" s="340" t="s">
        <v>1321</v>
      </c>
      <c r="F363" s="340" t="s">
        <v>894</v>
      </c>
      <c r="G363" s="340" t="s">
        <v>1317</v>
      </c>
      <c r="I363" s="340" t="s">
        <v>740</v>
      </c>
      <c r="K363" s="343">
        <v>0</v>
      </c>
      <c r="L363" s="343">
        <v>-216.5</v>
      </c>
      <c r="M363" s="343">
        <v>-1114447.6200000001</v>
      </c>
      <c r="O363" s="343">
        <v>0</v>
      </c>
    </row>
    <row r="364" spans="1:15" x14ac:dyDescent="0.3">
      <c r="A364" s="340" t="s">
        <v>891</v>
      </c>
      <c r="B364" s="350">
        <v>46047</v>
      </c>
      <c r="C364" s="350">
        <v>46070</v>
      </c>
      <c r="D364" s="351">
        <v>46054</v>
      </c>
      <c r="E364" s="340" t="s">
        <v>1323</v>
      </c>
      <c r="F364" s="340" t="s">
        <v>894</v>
      </c>
      <c r="G364" s="340" t="s">
        <v>1317</v>
      </c>
      <c r="I364" s="340" t="s">
        <v>740</v>
      </c>
      <c r="K364" s="343">
        <v>0</v>
      </c>
      <c r="L364" s="343">
        <v>-270.63</v>
      </c>
      <c r="M364" s="343">
        <v>-1114718.25</v>
      </c>
      <c r="O364" s="343">
        <v>0</v>
      </c>
    </row>
    <row r="365" spans="1:15" x14ac:dyDescent="0.3">
      <c r="A365" s="340" t="s">
        <v>891</v>
      </c>
      <c r="B365" s="350">
        <v>46047</v>
      </c>
      <c r="C365" s="350">
        <v>46070</v>
      </c>
      <c r="D365" s="351">
        <v>46054</v>
      </c>
      <c r="E365" s="340" t="s">
        <v>1323</v>
      </c>
      <c r="F365" s="340" t="s">
        <v>894</v>
      </c>
      <c r="G365" s="340" t="s">
        <v>1324</v>
      </c>
      <c r="I365" s="340" t="s">
        <v>740</v>
      </c>
      <c r="K365" s="343">
        <v>0</v>
      </c>
      <c r="L365" s="343">
        <v>-830</v>
      </c>
      <c r="M365" s="343">
        <v>-1115548.25</v>
      </c>
      <c r="O365" s="343">
        <v>0</v>
      </c>
    </row>
    <row r="366" spans="1:15" x14ac:dyDescent="0.3">
      <c r="A366" s="340" t="s">
        <v>891</v>
      </c>
      <c r="B366" s="350">
        <v>46047</v>
      </c>
      <c r="C366" s="350">
        <v>46070</v>
      </c>
      <c r="D366" s="351">
        <v>46054</v>
      </c>
      <c r="E366" s="340" t="s">
        <v>1323</v>
      </c>
      <c r="F366" s="340" t="s">
        <v>894</v>
      </c>
      <c r="G366" s="340" t="s">
        <v>1325</v>
      </c>
      <c r="I366" s="340" t="s">
        <v>740</v>
      </c>
      <c r="K366" s="343">
        <v>0</v>
      </c>
      <c r="L366" s="343">
        <v>-455</v>
      </c>
      <c r="M366" s="343">
        <v>-1116003.25</v>
      </c>
      <c r="O366" s="343">
        <v>0</v>
      </c>
    </row>
    <row r="367" spans="1:15" x14ac:dyDescent="0.3">
      <c r="A367" s="340" t="s">
        <v>891</v>
      </c>
      <c r="B367" s="350">
        <v>46047</v>
      </c>
      <c r="C367" s="350">
        <v>46070</v>
      </c>
      <c r="D367" s="351">
        <v>46054</v>
      </c>
      <c r="E367" s="340" t="s">
        <v>1326</v>
      </c>
      <c r="F367" s="340" t="s">
        <v>894</v>
      </c>
      <c r="G367" s="340" t="s">
        <v>1317</v>
      </c>
      <c r="I367" s="340" t="s">
        <v>740</v>
      </c>
      <c r="K367" s="343">
        <v>0</v>
      </c>
      <c r="L367" s="343">
        <v>-297.69</v>
      </c>
      <c r="M367" s="343">
        <v>-1116300.94</v>
      </c>
      <c r="O367" s="343">
        <v>0</v>
      </c>
    </row>
    <row r="368" spans="1:15" x14ac:dyDescent="0.3">
      <c r="A368" s="340" t="s">
        <v>891</v>
      </c>
      <c r="B368" s="350">
        <v>46047</v>
      </c>
      <c r="C368" s="350">
        <v>46070</v>
      </c>
      <c r="D368" s="351">
        <v>46054</v>
      </c>
      <c r="E368" s="340" t="s">
        <v>1326</v>
      </c>
      <c r="F368" s="340" t="s">
        <v>894</v>
      </c>
      <c r="G368" s="340" t="s">
        <v>1327</v>
      </c>
      <c r="I368" s="340" t="s">
        <v>740</v>
      </c>
      <c r="K368" s="343">
        <v>0</v>
      </c>
      <c r="L368" s="343">
        <v>-720</v>
      </c>
      <c r="M368" s="343">
        <v>-1117020.94</v>
      </c>
      <c r="O368" s="343">
        <v>0</v>
      </c>
    </row>
    <row r="369" spans="1:15" x14ac:dyDescent="0.3">
      <c r="A369" s="340" t="s">
        <v>891</v>
      </c>
      <c r="B369" s="350">
        <v>46047</v>
      </c>
      <c r="C369" s="350">
        <v>46070</v>
      </c>
      <c r="D369" s="351">
        <v>46054</v>
      </c>
      <c r="E369" s="340" t="s">
        <v>1326</v>
      </c>
      <c r="F369" s="340" t="s">
        <v>894</v>
      </c>
      <c r="G369" s="340" t="s">
        <v>1328</v>
      </c>
      <c r="I369" s="340" t="s">
        <v>740</v>
      </c>
      <c r="K369" s="343">
        <v>0</v>
      </c>
      <c r="L369" s="343">
        <v>-445</v>
      </c>
      <c r="M369" s="343">
        <v>-1117465.94</v>
      </c>
      <c r="O369" s="343">
        <v>0</v>
      </c>
    </row>
    <row r="370" spans="1:15" x14ac:dyDescent="0.3">
      <c r="A370" s="340" t="s">
        <v>891</v>
      </c>
      <c r="B370" s="350">
        <v>46047</v>
      </c>
      <c r="C370" s="350">
        <v>46073</v>
      </c>
      <c r="D370" s="351">
        <v>46054</v>
      </c>
      <c r="E370" s="340" t="s">
        <v>1329</v>
      </c>
      <c r="F370" s="340" t="s">
        <v>894</v>
      </c>
      <c r="G370" s="340" t="s">
        <v>1330</v>
      </c>
      <c r="I370" s="340" t="s">
        <v>740</v>
      </c>
      <c r="K370" s="343">
        <v>0</v>
      </c>
      <c r="L370" s="343">
        <v>-520</v>
      </c>
      <c r="M370" s="343">
        <v>-1117985.94</v>
      </c>
      <c r="O370" s="343">
        <v>0</v>
      </c>
    </row>
    <row r="371" spans="1:15" x14ac:dyDescent="0.3">
      <c r="A371" s="340" t="s">
        <v>891</v>
      </c>
      <c r="B371" s="350">
        <v>46047</v>
      </c>
      <c r="C371" s="350">
        <v>46073</v>
      </c>
      <c r="D371" s="351">
        <v>46054</v>
      </c>
      <c r="E371" s="340" t="s">
        <v>1329</v>
      </c>
      <c r="F371" s="340" t="s">
        <v>894</v>
      </c>
      <c r="G371" s="340" t="s">
        <v>1331</v>
      </c>
      <c r="I371" s="340" t="s">
        <v>740</v>
      </c>
      <c r="K371" s="343">
        <v>0</v>
      </c>
      <c r="L371" s="343">
        <v>-1000</v>
      </c>
      <c r="M371" s="343">
        <v>-1118985.94</v>
      </c>
      <c r="O371" s="343">
        <v>0</v>
      </c>
    </row>
    <row r="372" spans="1:15" x14ac:dyDescent="0.3">
      <c r="A372" s="340" t="s">
        <v>891</v>
      </c>
      <c r="B372" s="350">
        <v>46047</v>
      </c>
      <c r="C372" s="350">
        <v>46073</v>
      </c>
      <c r="D372" s="351">
        <v>46054</v>
      </c>
      <c r="E372" s="340" t="s">
        <v>1329</v>
      </c>
      <c r="F372" s="340" t="s">
        <v>894</v>
      </c>
      <c r="G372" s="340" t="s">
        <v>1317</v>
      </c>
      <c r="I372" s="340" t="s">
        <v>740</v>
      </c>
      <c r="K372" s="343">
        <v>0</v>
      </c>
      <c r="L372" s="343">
        <v>-373.46</v>
      </c>
      <c r="M372" s="343">
        <v>-1119359.3999999999</v>
      </c>
      <c r="O372" s="343">
        <v>0</v>
      </c>
    </row>
    <row r="373" spans="1:15" x14ac:dyDescent="0.3">
      <c r="A373" s="340" t="s">
        <v>891</v>
      </c>
      <c r="B373" s="350">
        <v>46047</v>
      </c>
      <c r="C373" s="350">
        <v>46073</v>
      </c>
      <c r="D373" s="351">
        <v>46054</v>
      </c>
      <c r="E373" s="340" t="s">
        <v>1332</v>
      </c>
      <c r="F373" s="340" t="s">
        <v>894</v>
      </c>
      <c r="G373" s="340" t="s">
        <v>1333</v>
      </c>
      <c r="I373" s="340" t="s">
        <v>740</v>
      </c>
      <c r="K373" s="343">
        <v>0</v>
      </c>
      <c r="L373" s="343">
        <v>-830</v>
      </c>
      <c r="M373" s="343">
        <v>-1120189.3999999999</v>
      </c>
      <c r="O373" s="343">
        <v>0</v>
      </c>
    </row>
    <row r="374" spans="1:15" x14ac:dyDescent="0.3">
      <c r="A374" s="340" t="s">
        <v>891</v>
      </c>
      <c r="B374" s="350">
        <v>46047</v>
      </c>
      <c r="C374" s="350">
        <v>46073</v>
      </c>
      <c r="D374" s="351">
        <v>46054</v>
      </c>
      <c r="E374" s="340" t="s">
        <v>1332</v>
      </c>
      <c r="F374" s="340" t="s">
        <v>894</v>
      </c>
      <c r="G374" s="340" t="s">
        <v>1334</v>
      </c>
      <c r="I374" s="340" t="s">
        <v>740</v>
      </c>
      <c r="K374" s="343">
        <v>0</v>
      </c>
      <c r="L374" s="343">
        <v>-70</v>
      </c>
      <c r="M374" s="343">
        <v>-1120259.3999999999</v>
      </c>
      <c r="O374" s="343">
        <v>0</v>
      </c>
    </row>
    <row r="375" spans="1:15" x14ac:dyDescent="0.3">
      <c r="A375" s="340" t="s">
        <v>891</v>
      </c>
      <c r="B375" s="350">
        <v>46047</v>
      </c>
      <c r="C375" s="350">
        <v>46073</v>
      </c>
      <c r="D375" s="351">
        <v>46054</v>
      </c>
      <c r="E375" s="340" t="s">
        <v>1332</v>
      </c>
      <c r="F375" s="340" t="s">
        <v>894</v>
      </c>
      <c r="G375" s="340" t="s">
        <v>1335</v>
      </c>
      <c r="I375" s="340" t="s">
        <v>740</v>
      </c>
      <c r="K375" s="343">
        <v>0</v>
      </c>
      <c r="L375" s="343">
        <v>-335.58</v>
      </c>
      <c r="M375" s="343">
        <v>-1120594.98</v>
      </c>
      <c r="O375" s="343">
        <v>0</v>
      </c>
    </row>
    <row r="376" spans="1:15" x14ac:dyDescent="0.3">
      <c r="A376" s="340" t="s">
        <v>891</v>
      </c>
      <c r="B376" s="350">
        <v>46048</v>
      </c>
      <c r="C376" s="350">
        <v>46048</v>
      </c>
      <c r="D376" s="351">
        <v>46023</v>
      </c>
      <c r="E376" s="340" t="s">
        <v>1336</v>
      </c>
      <c r="F376" s="340" t="s">
        <v>1078</v>
      </c>
      <c r="G376" s="340" t="s">
        <v>958</v>
      </c>
      <c r="I376" s="340" t="s">
        <v>959</v>
      </c>
      <c r="K376" s="343">
        <v>1860.25</v>
      </c>
      <c r="L376" s="343">
        <v>0</v>
      </c>
      <c r="M376" s="343">
        <v>-1118734.73</v>
      </c>
      <c r="O376" s="343">
        <v>0</v>
      </c>
    </row>
    <row r="377" spans="1:15" x14ac:dyDescent="0.3">
      <c r="A377" s="340" t="s">
        <v>891</v>
      </c>
      <c r="B377" s="350">
        <v>46048</v>
      </c>
      <c r="C377" s="350">
        <v>46048</v>
      </c>
      <c r="D377" s="351">
        <v>46023</v>
      </c>
      <c r="E377" s="340" t="s">
        <v>1337</v>
      </c>
      <c r="F377" s="340" t="s">
        <v>1078</v>
      </c>
      <c r="G377" s="340"/>
      <c r="I377" s="340" t="s">
        <v>943</v>
      </c>
      <c r="K377" s="343">
        <v>2000</v>
      </c>
      <c r="L377" s="343">
        <v>0</v>
      </c>
      <c r="M377" s="343">
        <v>-1116734.73</v>
      </c>
      <c r="O377" s="343">
        <v>0</v>
      </c>
    </row>
    <row r="378" spans="1:15" x14ac:dyDescent="0.3">
      <c r="A378" s="340" t="s">
        <v>891</v>
      </c>
      <c r="B378" s="350">
        <v>46048</v>
      </c>
      <c r="C378" s="350">
        <v>46048</v>
      </c>
      <c r="D378" s="351">
        <v>46023</v>
      </c>
      <c r="E378" s="340" t="s">
        <v>1337</v>
      </c>
      <c r="F378" s="340" t="s">
        <v>1078</v>
      </c>
      <c r="G378" s="340"/>
      <c r="I378" s="340" t="s">
        <v>943</v>
      </c>
      <c r="K378" s="343">
        <v>2000</v>
      </c>
      <c r="L378" s="343">
        <v>0</v>
      </c>
      <c r="M378" s="343">
        <v>-1114734.73</v>
      </c>
      <c r="O378" s="343">
        <v>0</v>
      </c>
    </row>
    <row r="379" spans="1:15" x14ac:dyDescent="0.3">
      <c r="A379" s="340" t="s">
        <v>891</v>
      </c>
      <c r="B379" s="350">
        <v>46048</v>
      </c>
      <c r="C379" s="350">
        <v>46048</v>
      </c>
      <c r="D379" s="351">
        <v>46023</v>
      </c>
      <c r="E379" s="340" t="s">
        <v>1338</v>
      </c>
      <c r="F379" s="340" t="s">
        <v>1078</v>
      </c>
      <c r="G379" s="340" t="s">
        <v>1079</v>
      </c>
      <c r="I379" s="340" t="s">
        <v>943</v>
      </c>
      <c r="K379" s="343">
        <v>2000</v>
      </c>
      <c r="L379" s="343">
        <v>0</v>
      </c>
      <c r="M379" s="343">
        <v>-1112734.73</v>
      </c>
      <c r="O379" s="343">
        <v>0</v>
      </c>
    </row>
    <row r="380" spans="1:15" x14ac:dyDescent="0.3">
      <c r="A380" s="340" t="s">
        <v>891</v>
      </c>
      <c r="B380" s="350">
        <v>46048</v>
      </c>
      <c r="C380" s="350">
        <v>46069</v>
      </c>
      <c r="D380" s="351">
        <v>46054</v>
      </c>
      <c r="E380" s="340" t="s">
        <v>1339</v>
      </c>
      <c r="F380" s="340" t="s">
        <v>894</v>
      </c>
      <c r="G380" s="340" t="s">
        <v>1340</v>
      </c>
      <c r="I380" s="340" t="s">
        <v>740</v>
      </c>
      <c r="K380" s="343">
        <v>0</v>
      </c>
      <c r="L380" s="343">
        <v>-950</v>
      </c>
      <c r="M380" s="343">
        <v>-1113684.73</v>
      </c>
      <c r="O380" s="343">
        <v>0</v>
      </c>
    </row>
    <row r="381" spans="1:15" x14ac:dyDescent="0.3">
      <c r="A381" s="340" t="s">
        <v>891</v>
      </c>
      <c r="B381" s="350">
        <v>46048</v>
      </c>
      <c r="C381" s="350">
        <v>46069</v>
      </c>
      <c r="D381" s="351">
        <v>46054</v>
      </c>
      <c r="E381" s="340" t="s">
        <v>1339</v>
      </c>
      <c r="F381" s="340" t="s">
        <v>894</v>
      </c>
      <c r="G381" s="340" t="s">
        <v>1341</v>
      </c>
      <c r="I381" s="340" t="s">
        <v>740</v>
      </c>
      <c r="K381" s="343">
        <v>0</v>
      </c>
      <c r="L381" s="343">
        <v>-200</v>
      </c>
      <c r="M381" s="343">
        <v>-1113884.73</v>
      </c>
      <c r="O381" s="343">
        <v>0</v>
      </c>
    </row>
    <row r="382" spans="1:15" x14ac:dyDescent="0.3">
      <c r="A382" s="340" t="s">
        <v>891</v>
      </c>
      <c r="B382" s="350">
        <v>46048</v>
      </c>
      <c r="C382" s="350">
        <v>46069</v>
      </c>
      <c r="D382" s="351">
        <v>46054</v>
      </c>
      <c r="E382" s="340" t="s">
        <v>1339</v>
      </c>
      <c r="F382" s="340" t="s">
        <v>894</v>
      </c>
      <c r="G382" s="340" t="s">
        <v>1342</v>
      </c>
      <c r="I382" s="340" t="s">
        <v>740</v>
      </c>
      <c r="K382" s="343">
        <v>0</v>
      </c>
      <c r="L382" s="343">
        <v>-765</v>
      </c>
      <c r="M382" s="343">
        <v>-1114649.73</v>
      </c>
      <c r="O382" s="343">
        <v>0</v>
      </c>
    </row>
    <row r="383" spans="1:15" x14ac:dyDescent="0.3">
      <c r="A383" s="340" t="s">
        <v>891</v>
      </c>
      <c r="B383" s="350">
        <v>46048</v>
      </c>
      <c r="C383" s="350">
        <v>46069</v>
      </c>
      <c r="D383" s="351">
        <v>46054</v>
      </c>
      <c r="E383" s="340" t="s">
        <v>1339</v>
      </c>
      <c r="F383" s="340" t="s">
        <v>894</v>
      </c>
      <c r="G383" s="340" t="s">
        <v>1317</v>
      </c>
      <c r="I383" s="340" t="s">
        <v>740</v>
      </c>
      <c r="K383" s="343">
        <v>0</v>
      </c>
      <c r="L383" s="343">
        <v>-335.58</v>
      </c>
      <c r="M383" s="343">
        <v>-1114985.31</v>
      </c>
      <c r="O383" s="343">
        <v>0</v>
      </c>
    </row>
    <row r="384" spans="1:15" x14ac:dyDescent="0.3">
      <c r="A384" s="340" t="s">
        <v>891</v>
      </c>
      <c r="B384" s="350">
        <v>46049</v>
      </c>
      <c r="C384" s="350">
        <v>46051</v>
      </c>
      <c r="D384" s="351">
        <v>46023</v>
      </c>
      <c r="E384" s="340" t="s">
        <v>1343</v>
      </c>
      <c r="F384" s="340" t="s">
        <v>894</v>
      </c>
      <c r="G384" s="340" t="s">
        <v>1344</v>
      </c>
      <c r="I384" s="340" t="s">
        <v>740</v>
      </c>
      <c r="K384" s="343">
        <v>0</v>
      </c>
      <c r="L384" s="343">
        <v>-102.84</v>
      </c>
      <c r="M384" s="343">
        <v>-1115088.1499999999</v>
      </c>
      <c r="O384" s="343">
        <v>0</v>
      </c>
    </row>
    <row r="385" spans="1:15" x14ac:dyDescent="0.3">
      <c r="A385" s="340" t="s">
        <v>891</v>
      </c>
      <c r="B385" s="350">
        <v>46049</v>
      </c>
      <c r="C385" s="350">
        <v>46069</v>
      </c>
      <c r="D385" s="351">
        <v>46054</v>
      </c>
      <c r="E385" s="340" t="s">
        <v>1345</v>
      </c>
      <c r="F385" s="340" t="s">
        <v>894</v>
      </c>
      <c r="G385" s="340" t="s">
        <v>1346</v>
      </c>
      <c r="I385" s="340" t="s">
        <v>740</v>
      </c>
      <c r="K385" s="343">
        <v>0</v>
      </c>
      <c r="L385" s="343">
        <v>-525</v>
      </c>
      <c r="M385" s="343">
        <v>-1115613.1499999999</v>
      </c>
      <c r="O385" s="343">
        <v>0</v>
      </c>
    </row>
    <row r="386" spans="1:15" x14ac:dyDescent="0.3">
      <c r="A386" s="340" t="s">
        <v>891</v>
      </c>
      <c r="B386" s="350">
        <v>46049</v>
      </c>
      <c r="C386" s="350">
        <v>46069</v>
      </c>
      <c r="D386" s="351">
        <v>46054</v>
      </c>
      <c r="E386" s="340" t="s">
        <v>1345</v>
      </c>
      <c r="F386" s="340" t="s">
        <v>894</v>
      </c>
      <c r="G386" s="340" t="s">
        <v>1317</v>
      </c>
      <c r="I386" s="340" t="s">
        <v>740</v>
      </c>
      <c r="K386" s="343">
        <v>0</v>
      </c>
      <c r="L386" s="343">
        <v>-216.5</v>
      </c>
      <c r="M386" s="343">
        <v>-1115829.6499999999</v>
      </c>
      <c r="O386" s="343">
        <v>0</v>
      </c>
    </row>
    <row r="387" spans="1:15" x14ac:dyDescent="0.3">
      <c r="A387" s="340" t="s">
        <v>891</v>
      </c>
      <c r="B387" s="350">
        <v>46049</v>
      </c>
      <c r="C387" s="350">
        <v>46069</v>
      </c>
      <c r="D387" s="351">
        <v>46054</v>
      </c>
      <c r="E387" s="340" t="s">
        <v>1347</v>
      </c>
      <c r="F387" s="340" t="s">
        <v>894</v>
      </c>
      <c r="G387" s="340" t="s">
        <v>1348</v>
      </c>
      <c r="I387" s="340" t="s">
        <v>740</v>
      </c>
      <c r="K387" s="343">
        <v>0</v>
      </c>
      <c r="L387" s="343">
        <v>-830</v>
      </c>
      <c r="M387" s="343">
        <v>-1116659.6499999999</v>
      </c>
      <c r="O387" s="343">
        <v>0</v>
      </c>
    </row>
    <row r="388" spans="1:15" x14ac:dyDescent="0.3">
      <c r="A388" s="340" t="s">
        <v>891</v>
      </c>
      <c r="B388" s="350">
        <v>46049</v>
      </c>
      <c r="C388" s="350">
        <v>46069</v>
      </c>
      <c r="D388" s="351">
        <v>46054</v>
      </c>
      <c r="E388" s="340" t="s">
        <v>1347</v>
      </c>
      <c r="F388" s="340" t="s">
        <v>894</v>
      </c>
      <c r="G388" s="340" t="s">
        <v>1349</v>
      </c>
      <c r="I388" s="340" t="s">
        <v>740</v>
      </c>
      <c r="K388" s="343">
        <v>0</v>
      </c>
      <c r="L388" s="343">
        <v>-455</v>
      </c>
      <c r="M388" s="343">
        <v>-1117114.6499999999</v>
      </c>
      <c r="O388" s="343">
        <v>0</v>
      </c>
    </row>
    <row r="389" spans="1:15" x14ac:dyDescent="0.3">
      <c r="A389" s="340" t="s">
        <v>891</v>
      </c>
      <c r="B389" s="350">
        <v>46049</v>
      </c>
      <c r="C389" s="350">
        <v>46069</v>
      </c>
      <c r="D389" s="351">
        <v>46054</v>
      </c>
      <c r="E389" s="340" t="s">
        <v>1347</v>
      </c>
      <c r="F389" s="340" t="s">
        <v>894</v>
      </c>
      <c r="G389" s="340" t="s">
        <v>1317</v>
      </c>
      <c r="I389" s="340" t="s">
        <v>740</v>
      </c>
      <c r="K389" s="343">
        <v>0</v>
      </c>
      <c r="L389" s="343">
        <v>-292.27999999999997</v>
      </c>
      <c r="M389" s="343">
        <v>-1117406.93</v>
      </c>
      <c r="O389" s="343">
        <v>0</v>
      </c>
    </row>
    <row r="390" spans="1:15" x14ac:dyDescent="0.3">
      <c r="A390" s="340" t="s">
        <v>891</v>
      </c>
      <c r="B390" s="350">
        <v>46049</v>
      </c>
      <c r="C390" s="350">
        <v>46073</v>
      </c>
      <c r="D390" s="351">
        <v>46054</v>
      </c>
      <c r="E390" s="340" t="s">
        <v>1350</v>
      </c>
      <c r="F390" s="340" t="s">
        <v>894</v>
      </c>
      <c r="G390" s="340" t="s">
        <v>1351</v>
      </c>
      <c r="I390" s="340" t="s">
        <v>740</v>
      </c>
      <c r="K390" s="343">
        <v>0</v>
      </c>
      <c r="L390" s="343">
        <v>-900</v>
      </c>
      <c r="M390" s="343">
        <v>-1118306.93</v>
      </c>
      <c r="O390" s="343">
        <v>0</v>
      </c>
    </row>
    <row r="391" spans="1:15" x14ac:dyDescent="0.3">
      <c r="A391" s="340" t="s">
        <v>891</v>
      </c>
      <c r="B391" s="350">
        <v>46049</v>
      </c>
      <c r="C391" s="350">
        <v>46073</v>
      </c>
      <c r="D391" s="351">
        <v>46054</v>
      </c>
      <c r="E391" s="340" t="s">
        <v>1350</v>
      </c>
      <c r="F391" s="340" t="s">
        <v>894</v>
      </c>
      <c r="G391" s="340" t="s">
        <v>1325</v>
      </c>
      <c r="I391" s="340" t="s">
        <v>740</v>
      </c>
      <c r="K391" s="343">
        <v>0</v>
      </c>
      <c r="L391" s="343">
        <v>-455</v>
      </c>
      <c r="M391" s="343">
        <v>-1118761.93</v>
      </c>
      <c r="O391" s="343">
        <v>0</v>
      </c>
    </row>
    <row r="392" spans="1:15" x14ac:dyDescent="0.3">
      <c r="A392" s="340" t="s">
        <v>891</v>
      </c>
      <c r="B392" s="350">
        <v>46049</v>
      </c>
      <c r="C392" s="350">
        <v>46073</v>
      </c>
      <c r="D392" s="351">
        <v>46054</v>
      </c>
      <c r="E392" s="340" t="s">
        <v>1350</v>
      </c>
      <c r="F392" s="340" t="s">
        <v>894</v>
      </c>
      <c r="G392" s="340" t="s">
        <v>1317</v>
      </c>
      <c r="I392" s="340" t="s">
        <v>740</v>
      </c>
      <c r="K392" s="343">
        <v>0</v>
      </c>
      <c r="L392" s="343">
        <v>-292.27999999999997</v>
      </c>
      <c r="M392" s="343">
        <v>-1119054.21</v>
      </c>
      <c r="O392" s="343">
        <v>0</v>
      </c>
    </row>
    <row r="393" spans="1:15" x14ac:dyDescent="0.3">
      <c r="A393" s="340" t="s">
        <v>891</v>
      </c>
      <c r="B393" s="350">
        <v>46049</v>
      </c>
      <c r="C393" s="350">
        <v>46076</v>
      </c>
      <c r="D393" s="351">
        <v>46054</v>
      </c>
      <c r="E393" s="340" t="s">
        <v>1352</v>
      </c>
      <c r="F393" s="340" t="s">
        <v>894</v>
      </c>
      <c r="G393" s="340" t="s">
        <v>1353</v>
      </c>
      <c r="I393" s="340" t="s">
        <v>1354</v>
      </c>
      <c r="K393" s="343">
        <v>0</v>
      </c>
      <c r="L393" s="343">
        <v>-3872.81</v>
      </c>
      <c r="M393" s="343">
        <v>-1122927.02</v>
      </c>
      <c r="O393" s="343">
        <v>0</v>
      </c>
    </row>
    <row r="394" spans="1:15" x14ac:dyDescent="0.3">
      <c r="A394" s="340" t="s">
        <v>891</v>
      </c>
      <c r="B394" s="350">
        <v>46050</v>
      </c>
      <c r="C394" s="350">
        <v>46050</v>
      </c>
      <c r="D394" s="351">
        <v>46023</v>
      </c>
      <c r="E394" s="340" t="s">
        <v>1355</v>
      </c>
      <c r="F394" s="340" t="s">
        <v>894</v>
      </c>
      <c r="G394" s="340" t="s">
        <v>1356</v>
      </c>
      <c r="I394" s="340" t="s">
        <v>753</v>
      </c>
      <c r="K394" s="343">
        <v>0</v>
      </c>
      <c r="L394" s="343">
        <v>-5885.56</v>
      </c>
      <c r="M394" s="343">
        <v>-1128812.58</v>
      </c>
      <c r="O394" s="343">
        <v>0</v>
      </c>
    </row>
    <row r="395" spans="1:15" x14ac:dyDescent="0.3">
      <c r="A395" s="340" t="s">
        <v>891</v>
      </c>
      <c r="B395" s="350">
        <v>46050</v>
      </c>
      <c r="C395" s="350">
        <v>46050</v>
      </c>
      <c r="D395" s="351">
        <v>46023</v>
      </c>
      <c r="E395" s="340" t="s">
        <v>1357</v>
      </c>
      <c r="F395" s="340" t="s">
        <v>1078</v>
      </c>
      <c r="G395" s="340" t="s">
        <v>1356</v>
      </c>
      <c r="I395" s="340" t="s">
        <v>753</v>
      </c>
      <c r="K395" s="343">
        <v>5885.56</v>
      </c>
      <c r="L395" s="343">
        <v>0</v>
      </c>
      <c r="M395" s="343">
        <v>-1122927.02</v>
      </c>
      <c r="O395" s="343">
        <v>0</v>
      </c>
    </row>
    <row r="396" spans="1:15" x14ac:dyDescent="0.3">
      <c r="A396" s="340" t="s">
        <v>891</v>
      </c>
      <c r="B396" s="350">
        <v>46050</v>
      </c>
      <c r="C396" s="350">
        <v>46050</v>
      </c>
      <c r="D396" s="351">
        <v>46023</v>
      </c>
      <c r="E396" s="340" t="s">
        <v>1358</v>
      </c>
      <c r="F396" s="340" t="s">
        <v>1078</v>
      </c>
      <c r="G396" s="340" t="s">
        <v>1079</v>
      </c>
      <c r="I396" s="340" t="s">
        <v>994</v>
      </c>
      <c r="K396" s="343">
        <v>2475</v>
      </c>
      <c r="L396" s="343">
        <v>0</v>
      </c>
      <c r="M396" s="343">
        <v>-1120452.02</v>
      </c>
      <c r="O396" s="343">
        <v>0</v>
      </c>
    </row>
    <row r="397" spans="1:15" x14ac:dyDescent="0.3">
      <c r="A397" s="340" t="s">
        <v>891</v>
      </c>
      <c r="B397" s="350">
        <v>46050</v>
      </c>
      <c r="C397" s="350">
        <v>46050</v>
      </c>
      <c r="D397" s="351">
        <v>46023</v>
      </c>
      <c r="E397" s="340" t="s">
        <v>1358</v>
      </c>
      <c r="F397" s="340" t="s">
        <v>1078</v>
      </c>
      <c r="G397" s="340" t="s">
        <v>1079</v>
      </c>
      <c r="I397" s="340" t="s">
        <v>994</v>
      </c>
      <c r="K397" s="343">
        <v>2245</v>
      </c>
      <c r="L397" s="343">
        <v>0</v>
      </c>
      <c r="M397" s="343">
        <v>-1118207.02</v>
      </c>
      <c r="O397" s="343">
        <v>0</v>
      </c>
    </row>
    <row r="398" spans="1:15" x14ac:dyDescent="0.3">
      <c r="A398" s="340" t="s">
        <v>891</v>
      </c>
      <c r="B398" s="350">
        <v>46050</v>
      </c>
      <c r="C398" s="350">
        <v>46050</v>
      </c>
      <c r="D398" s="351">
        <v>46023</v>
      </c>
      <c r="E398" s="340" t="s">
        <v>1358</v>
      </c>
      <c r="F398" s="340" t="s">
        <v>1078</v>
      </c>
      <c r="G398" s="340" t="s">
        <v>1079</v>
      </c>
      <c r="I398" s="340" t="s">
        <v>994</v>
      </c>
      <c r="K398" s="343">
        <v>655</v>
      </c>
      <c r="L398" s="343">
        <v>0</v>
      </c>
      <c r="M398" s="343">
        <v>-1117552.02</v>
      </c>
      <c r="O398" s="343">
        <v>0</v>
      </c>
    </row>
    <row r="399" spans="1:15" x14ac:dyDescent="0.3">
      <c r="A399" s="340" t="s">
        <v>891</v>
      </c>
      <c r="B399" s="350">
        <v>46050</v>
      </c>
      <c r="C399" s="350">
        <v>46050</v>
      </c>
      <c r="D399" s="351">
        <v>46023</v>
      </c>
      <c r="E399" s="340" t="s">
        <v>1358</v>
      </c>
      <c r="F399" s="340" t="s">
        <v>1078</v>
      </c>
      <c r="G399" s="340" t="s">
        <v>1079</v>
      </c>
      <c r="I399" s="340" t="s">
        <v>994</v>
      </c>
      <c r="K399" s="343">
        <v>545</v>
      </c>
      <c r="L399" s="343">
        <v>0</v>
      </c>
      <c r="M399" s="343">
        <v>-1117007.02</v>
      </c>
      <c r="O399" s="343">
        <v>0</v>
      </c>
    </row>
    <row r="400" spans="1:15" x14ac:dyDescent="0.3">
      <c r="A400" s="340" t="s">
        <v>891</v>
      </c>
      <c r="B400" s="350">
        <v>46050</v>
      </c>
      <c r="C400" s="350">
        <v>46050</v>
      </c>
      <c r="D400" s="351">
        <v>46023</v>
      </c>
      <c r="E400" s="340" t="s">
        <v>1358</v>
      </c>
      <c r="F400" s="340" t="s">
        <v>1078</v>
      </c>
      <c r="G400" s="340" t="s">
        <v>1079</v>
      </c>
      <c r="I400" s="340" t="s">
        <v>994</v>
      </c>
      <c r="K400" s="343">
        <v>1220</v>
      </c>
      <c r="L400" s="343">
        <v>0</v>
      </c>
      <c r="M400" s="343">
        <v>-1115787.02</v>
      </c>
      <c r="O400" s="343">
        <v>0</v>
      </c>
    </row>
    <row r="401" spans="1:15" x14ac:dyDescent="0.3">
      <c r="A401" s="340" t="s">
        <v>891</v>
      </c>
      <c r="B401" s="350">
        <v>46050</v>
      </c>
      <c r="C401" s="350">
        <v>46050</v>
      </c>
      <c r="D401" s="351">
        <v>46023</v>
      </c>
      <c r="E401" s="340" t="s">
        <v>1358</v>
      </c>
      <c r="F401" s="340" t="s">
        <v>1078</v>
      </c>
      <c r="G401" s="340" t="s">
        <v>1079</v>
      </c>
      <c r="I401" s="340" t="s">
        <v>994</v>
      </c>
      <c r="K401" s="343">
        <v>1450</v>
      </c>
      <c r="L401" s="343">
        <v>0</v>
      </c>
      <c r="M401" s="343">
        <v>-1114337.02</v>
      </c>
      <c r="O401" s="343">
        <v>0</v>
      </c>
    </row>
    <row r="402" spans="1:15" x14ac:dyDescent="0.3">
      <c r="A402" s="340" t="s">
        <v>891</v>
      </c>
      <c r="B402" s="350">
        <v>46050</v>
      </c>
      <c r="C402" s="350">
        <v>46050</v>
      </c>
      <c r="D402" s="351">
        <v>46023</v>
      </c>
      <c r="E402" s="340" t="s">
        <v>1358</v>
      </c>
      <c r="F402" s="340" t="s">
        <v>1078</v>
      </c>
      <c r="G402" s="340" t="s">
        <v>1079</v>
      </c>
      <c r="I402" s="340" t="s">
        <v>994</v>
      </c>
      <c r="K402" s="343">
        <v>2120</v>
      </c>
      <c r="L402" s="343">
        <v>0</v>
      </c>
      <c r="M402" s="343">
        <v>-1112217.02</v>
      </c>
      <c r="O402" s="343">
        <v>0</v>
      </c>
    </row>
    <row r="403" spans="1:15" x14ac:dyDescent="0.3">
      <c r="A403" s="340" t="s">
        <v>891</v>
      </c>
      <c r="B403" s="350">
        <v>46050</v>
      </c>
      <c r="C403" s="350">
        <v>46050</v>
      </c>
      <c r="D403" s="351">
        <v>46023</v>
      </c>
      <c r="E403" s="340" t="s">
        <v>1358</v>
      </c>
      <c r="F403" s="340" t="s">
        <v>1078</v>
      </c>
      <c r="G403" s="340" t="s">
        <v>1079</v>
      </c>
      <c r="I403" s="340" t="s">
        <v>994</v>
      </c>
      <c r="K403" s="343">
        <v>545</v>
      </c>
      <c r="L403" s="343">
        <v>0</v>
      </c>
      <c r="M403" s="343">
        <v>-1111672.02</v>
      </c>
      <c r="O403" s="343">
        <v>0</v>
      </c>
    </row>
    <row r="404" spans="1:15" x14ac:dyDescent="0.3">
      <c r="A404" s="340" t="s">
        <v>891</v>
      </c>
      <c r="B404" s="350">
        <v>46050</v>
      </c>
      <c r="C404" s="350">
        <v>46050</v>
      </c>
      <c r="D404" s="351">
        <v>46023</v>
      </c>
      <c r="E404" s="340" t="s">
        <v>1358</v>
      </c>
      <c r="F404" s="340" t="s">
        <v>1078</v>
      </c>
      <c r="G404" s="340" t="s">
        <v>1079</v>
      </c>
      <c r="I404" s="340" t="s">
        <v>994</v>
      </c>
      <c r="K404" s="343">
        <v>945</v>
      </c>
      <c r="L404" s="343">
        <v>0</v>
      </c>
      <c r="M404" s="343">
        <v>-1110727.02</v>
      </c>
      <c r="O404" s="343">
        <v>0</v>
      </c>
    </row>
    <row r="405" spans="1:15" x14ac:dyDescent="0.3">
      <c r="A405" s="340" t="s">
        <v>891</v>
      </c>
      <c r="B405" s="350">
        <v>46050</v>
      </c>
      <c r="C405" s="350">
        <v>46050</v>
      </c>
      <c r="D405" s="351">
        <v>46023</v>
      </c>
      <c r="E405" s="340" t="s">
        <v>1359</v>
      </c>
      <c r="F405" s="340" t="s">
        <v>1081</v>
      </c>
      <c r="G405" s="340" t="s">
        <v>1079</v>
      </c>
      <c r="I405" s="340" t="s">
        <v>994</v>
      </c>
      <c r="K405" s="343">
        <v>0</v>
      </c>
      <c r="L405" s="343">
        <v>-2475</v>
      </c>
      <c r="M405" s="343">
        <v>-1113202.02</v>
      </c>
      <c r="O405" s="343">
        <v>0</v>
      </c>
    </row>
    <row r="406" spans="1:15" x14ac:dyDescent="0.3">
      <c r="A406" s="340" t="s">
        <v>891</v>
      </c>
      <c r="B406" s="350">
        <v>46050</v>
      </c>
      <c r="C406" s="350">
        <v>46050</v>
      </c>
      <c r="D406" s="351">
        <v>46023</v>
      </c>
      <c r="E406" s="340" t="s">
        <v>1359</v>
      </c>
      <c r="F406" s="340" t="s">
        <v>1081</v>
      </c>
      <c r="G406" s="340" t="s">
        <v>1079</v>
      </c>
      <c r="I406" s="340" t="s">
        <v>994</v>
      </c>
      <c r="K406" s="343">
        <v>0</v>
      </c>
      <c r="L406" s="343">
        <v>-2245</v>
      </c>
      <c r="M406" s="343">
        <v>-1115447.02</v>
      </c>
      <c r="O406" s="343">
        <v>0</v>
      </c>
    </row>
    <row r="407" spans="1:15" x14ac:dyDescent="0.3">
      <c r="A407" s="340" t="s">
        <v>891</v>
      </c>
      <c r="B407" s="350">
        <v>46050</v>
      </c>
      <c r="C407" s="350">
        <v>46050</v>
      </c>
      <c r="D407" s="351">
        <v>46023</v>
      </c>
      <c r="E407" s="340" t="s">
        <v>1359</v>
      </c>
      <c r="F407" s="340" t="s">
        <v>1081</v>
      </c>
      <c r="G407" s="340" t="s">
        <v>1079</v>
      </c>
      <c r="I407" s="340" t="s">
        <v>994</v>
      </c>
      <c r="K407" s="343">
        <v>0</v>
      </c>
      <c r="L407" s="343">
        <v>-655</v>
      </c>
      <c r="M407" s="343">
        <v>-1116102.02</v>
      </c>
      <c r="O407" s="343">
        <v>0</v>
      </c>
    </row>
    <row r="408" spans="1:15" x14ac:dyDescent="0.3">
      <c r="A408" s="340" t="s">
        <v>891</v>
      </c>
      <c r="B408" s="350">
        <v>46050</v>
      </c>
      <c r="C408" s="350">
        <v>46050</v>
      </c>
      <c r="D408" s="351">
        <v>46023</v>
      </c>
      <c r="E408" s="340" t="s">
        <v>1359</v>
      </c>
      <c r="F408" s="340" t="s">
        <v>1081</v>
      </c>
      <c r="G408" s="340" t="s">
        <v>1079</v>
      </c>
      <c r="I408" s="340" t="s">
        <v>994</v>
      </c>
      <c r="K408" s="343">
        <v>0</v>
      </c>
      <c r="L408" s="343">
        <v>-545</v>
      </c>
      <c r="M408" s="343">
        <v>-1116647.02</v>
      </c>
      <c r="O408" s="343">
        <v>0</v>
      </c>
    </row>
    <row r="409" spans="1:15" x14ac:dyDescent="0.3">
      <c r="A409" s="340" t="s">
        <v>891</v>
      </c>
      <c r="B409" s="350">
        <v>46050</v>
      </c>
      <c r="C409" s="350">
        <v>46050</v>
      </c>
      <c r="D409" s="351">
        <v>46023</v>
      </c>
      <c r="E409" s="340" t="s">
        <v>1359</v>
      </c>
      <c r="F409" s="340" t="s">
        <v>1081</v>
      </c>
      <c r="G409" s="340" t="s">
        <v>1079</v>
      </c>
      <c r="I409" s="340" t="s">
        <v>994</v>
      </c>
      <c r="K409" s="343">
        <v>0</v>
      </c>
      <c r="L409" s="343">
        <v>-1220</v>
      </c>
      <c r="M409" s="343">
        <v>-1117867.02</v>
      </c>
      <c r="O409" s="343">
        <v>0</v>
      </c>
    </row>
    <row r="410" spans="1:15" x14ac:dyDescent="0.3">
      <c r="A410" s="340" t="s">
        <v>891</v>
      </c>
      <c r="B410" s="350">
        <v>46050</v>
      </c>
      <c r="C410" s="350">
        <v>46050</v>
      </c>
      <c r="D410" s="351">
        <v>46023</v>
      </c>
      <c r="E410" s="340" t="s">
        <v>1359</v>
      </c>
      <c r="F410" s="340" t="s">
        <v>1081</v>
      </c>
      <c r="G410" s="340" t="s">
        <v>1079</v>
      </c>
      <c r="I410" s="340" t="s">
        <v>994</v>
      </c>
      <c r="K410" s="343">
        <v>0</v>
      </c>
      <c r="L410" s="343">
        <v>-1450</v>
      </c>
      <c r="M410" s="343">
        <v>-1119317.02</v>
      </c>
      <c r="O410" s="343">
        <v>0</v>
      </c>
    </row>
    <row r="411" spans="1:15" x14ac:dyDescent="0.3">
      <c r="A411" s="340" t="s">
        <v>891</v>
      </c>
      <c r="B411" s="350">
        <v>46050</v>
      </c>
      <c r="C411" s="350">
        <v>46050</v>
      </c>
      <c r="D411" s="351">
        <v>46023</v>
      </c>
      <c r="E411" s="340" t="s">
        <v>1359</v>
      </c>
      <c r="F411" s="340" t="s">
        <v>1081</v>
      </c>
      <c r="G411" s="340" t="s">
        <v>1079</v>
      </c>
      <c r="I411" s="340" t="s">
        <v>994</v>
      </c>
      <c r="K411" s="343">
        <v>0</v>
      </c>
      <c r="L411" s="343">
        <v>-2120</v>
      </c>
      <c r="M411" s="343">
        <v>-1121437.02</v>
      </c>
      <c r="O411" s="343">
        <v>0</v>
      </c>
    </row>
    <row r="412" spans="1:15" x14ac:dyDescent="0.3">
      <c r="A412" s="340" t="s">
        <v>891</v>
      </c>
      <c r="B412" s="350">
        <v>46050</v>
      </c>
      <c r="C412" s="350">
        <v>46050</v>
      </c>
      <c r="D412" s="351">
        <v>46023</v>
      </c>
      <c r="E412" s="340" t="s">
        <v>1359</v>
      </c>
      <c r="F412" s="340" t="s">
        <v>1081</v>
      </c>
      <c r="G412" s="340" t="s">
        <v>1079</v>
      </c>
      <c r="I412" s="340" t="s">
        <v>994</v>
      </c>
      <c r="K412" s="343">
        <v>0</v>
      </c>
      <c r="L412" s="343">
        <v>-545</v>
      </c>
      <c r="M412" s="343">
        <v>-1121982.02</v>
      </c>
      <c r="O412" s="343">
        <v>0</v>
      </c>
    </row>
    <row r="413" spans="1:15" x14ac:dyDescent="0.3">
      <c r="A413" s="340" t="s">
        <v>891</v>
      </c>
      <c r="B413" s="350">
        <v>46050</v>
      </c>
      <c r="C413" s="350">
        <v>46050</v>
      </c>
      <c r="D413" s="351">
        <v>46023</v>
      </c>
      <c r="E413" s="340" t="s">
        <v>1359</v>
      </c>
      <c r="F413" s="340" t="s">
        <v>1081</v>
      </c>
      <c r="G413" s="340" t="s">
        <v>1079</v>
      </c>
      <c r="I413" s="340" t="s">
        <v>994</v>
      </c>
      <c r="K413" s="343">
        <v>0</v>
      </c>
      <c r="L413" s="343">
        <v>-945</v>
      </c>
      <c r="M413" s="343">
        <v>-1122927.02</v>
      </c>
      <c r="O413" s="343">
        <v>0</v>
      </c>
    </row>
    <row r="414" spans="1:15" x14ac:dyDescent="0.3">
      <c r="A414" s="340" t="s">
        <v>891</v>
      </c>
      <c r="B414" s="350">
        <v>46050</v>
      </c>
      <c r="C414" s="350">
        <v>46058</v>
      </c>
      <c r="D414" s="351">
        <v>46023</v>
      </c>
      <c r="E414" s="340" t="s">
        <v>1360</v>
      </c>
      <c r="F414" s="340" t="s">
        <v>894</v>
      </c>
      <c r="G414" s="340" t="s">
        <v>1361</v>
      </c>
      <c r="I414" s="340" t="s">
        <v>768</v>
      </c>
      <c r="K414" s="343">
        <v>0</v>
      </c>
      <c r="L414" s="343">
        <v>-4500</v>
      </c>
      <c r="M414" s="343">
        <v>-1127427.02</v>
      </c>
      <c r="O414" s="343">
        <v>0</v>
      </c>
    </row>
    <row r="415" spans="1:15" x14ac:dyDescent="0.3">
      <c r="A415" s="340" t="s">
        <v>891</v>
      </c>
      <c r="B415" s="350">
        <v>46050</v>
      </c>
      <c r="C415" s="350">
        <v>46054</v>
      </c>
      <c r="D415" s="351">
        <v>46054</v>
      </c>
      <c r="E415" s="340" t="s">
        <v>1232</v>
      </c>
      <c r="F415" s="340" t="s">
        <v>894</v>
      </c>
      <c r="G415" s="340" t="s">
        <v>1362</v>
      </c>
      <c r="I415" s="340" t="s">
        <v>1363</v>
      </c>
      <c r="K415" s="343">
        <v>0</v>
      </c>
      <c r="L415" s="343">
        <v>-121.75</v>
      </c>
      <c r="M415" s="343">
        <v>-1127548.77</v>
      </c>
      <c r="O415" s="343">
        <v>0</v>
      </c>
    </row>
    <row r="416" spans="1:15" x14ac:dyDescent="0.3">
      <c r="A416" s="340" t="s">
        <v>891</v>
      </c>
      <c r="B416" s="350">
        <v>46050</v>
      </c>
      <c r="C416" s="350">
        <v>46069</v>
      </c>
      <c r="D416" s="351">
        <v>46054</v>
      </c>
      <c r="E416" s="340" t="s">
        <v>1364</v>
      </c>
      <c r="F416" s="340" t="s">
        <v>894</v>
      </c>
      <c r="G416" s="340" t="s">
        <v>1365</v>
      </c>
      <c r="I416" s="340" t="s">
        <v>740</v>
      </c>
      <c r="K416" s="343">
        <v>0</v>
      </c>
      <c r="L416" s="343">
        <v>-260</v>
      </c>
      <c r="M416" s="343">
        <v>-1127808.77</v>
      </c>
      <c r="O416" s="343">
        <v>0</v>
      </c>
    </row>
    <row r="417" spans="1:15" x14ac:dyDescent="0.3">
      <c r="A417" s="340" t="s">
        <v>891</v>
      </c>
      <c r="B417" s="350">
        <v>46050</v>
      </c>
      <c r="C417" s="350">
        <v>46069</v>
      </c>
      <c r="D417" s="351">
        <v>46054</v>
      </c>
      <c r="E417" s="340" t="s">
        <v>1364</v>
      </c>
      <c r="F417" s="340" t="s">
        <v>894</v>
      </c>
      <c r="G417" s="340" t="s">
        <v>1366</v>
      </c>
      <c r="I417" s="340" t="s">
        <v>740</v>
      </c>
      <c r="K417" s="343">
        <v>0</v>
      </c>
      <c r="L417" s="343">
        <v>-700</v>
      </c>
      <c r="M417" s="343">
        <v>-1128508.77</v>
      </c>
      <c r="O417" s="343">
        <v>0</v>
      </c>
    </row>
    <row r="418" spans="1:15" x14ac:dyDescent="0.3">
      <c r="A418" s="340" t="s">
        <v>891</v>
      </c>
      <c r="B418" s="350">
        <v>46050</v>
      </c>
      <c r="C418" s="350">
        <v>46069</v>
      </c>
      <c r="D418" s="351">
        <v>46054</v>
      </c>
      <c r="E418" s="340" t="s">
        <v>1364</v>
      </c>
      <c r="F418" s="340" t="s">
        <v>894</v>
      </c>
      <c r="G418" s="340" t="s">
        <v>1367</v>
      </c>
      <c r="I418" s="340" t="s">
        <v>740</v>
      </c>
      <c r="K418" s="343">
        <v>0</v>
      </c>
      <c r="L418" s="343">
        <v>-216.5</v>
      </c>
      <c r="M418" s="343">
        <v>-1128725.27</v>
      </c>
      <c r="O418" s="343">
        <v>0</v>
      </c>
    </row>
    <row r="419" spans="1:15" x14ac:dyDescent="0.3">
      <c r="A419" s="340" t="s">
        <v>891</v>
      </c>
      <c r="B419" s="350">
        <v>46050</v>
      </c>
      <c r="C419" s="350">
        <v>46069</v>
      </c>
      <c r="D419" s="351">
        <v>46054</v>
      </c>
      <c r="E419" s="340" t="s">
        <v>1368</v>
      </c>
      <c r="F419" s="340" t="s">
        <v>894</v>
      </c>
      <c r="G419" s="340" t="s">
        <v>1369</v>
      </c>
      <c r="I419" s="340" t="s">
        <v>740</v>
      </c>
      <c r="K419" s="343">
        <v>0</v>
      </c>
      <c r="L419" s="343">
        <v>-850</v>
      </c>
      <c r="M419" s="343">
        <v>-1129575.27</v>
      </c>
      <c r="O419" s="343">
        <v>0</v>
      </c>
    </row>
    <row r="420" spans="1:15" x14ac:dyDescent="0.3">
      <c r="A420" s="340" t="s">
        <v>891</v>
      </c>
      <c r="B420" s="350">
        <v>46050</v>
      </c>
      <c r="C420" s="350">
        <v>46069</v>
      </c>
      <c r="D420" s="351">
        <v>46054</v>
      </c>
      <c r="E420" s="340" t="s">
        <v>1368</v>
      </c>
      <c r="F420" s="340" t="s">
        <v>894</v>
      </c>
      <c r="G420" s="340" t="s">
        <v>1320</v>
      </c>
      <c r="I420" s="340" t="s">
        <v>740</v>
      </c>
      <c r="K420" s="343">
        <v>0</v>
      </c>
      <c r="L420" s="343">
        <v>-260</v>
      </c>
      <c r="M420" s="343">
        <v>-1129835.27</v>
      </c>
      <c r="O420" s="343">
        <v>0</v>
      </c>
    </row>
    <row r="421" spans="1:15" x14ac:dyDescent="0.3">
      <c r="A421" s="340" t="s">
        <v>891</v>
      </c>
      <c r="B421" s="350">
        <v>46050</v>
      </c>
      <c r="C421" s="350">
        <v>46069</v>
      </c>
      <c r="D421" s="351">
        <v>46054</v>
      </c>
      <c r="E421" s="340" t="s">
        <v>1368</v>
      </c>
      <c r="F421" s="340" t="s">
        <v>894</v>
      </c>
      <c r="G421" s="340" t="s">
        <v>1370</v>
      </c>
      <c r="I421" s="340" t="s">
        <v>740</v>
      </c>
      <c r="K421" s="343">
        <v>0</v>
      </c>
      <c r="L421" s="343">
        <v>-190</v>
      </c>
      <c r="M421" s="343">
        <v>-1130025.27</v>
      </c>
      <c r="O421" s="343">
        <v>0</v>
      </c>
    </row>
    <row r="422" spans="1:15" x14ac:dyDescent="0.3">
      <c r="A422" s="340" t="s">
        <v>891</v>
      </c>
      <c r="B422" s="350">
        <v>46050</v>
      </c>
      <c r="C422" s="350">
        <v>46069</v>
      </c>
      <c r="D422" s="351">
        <v>46054</v>
      </c>
      <c r="E422" s="340" t="s">
        <v>1368</v>
      </c>
      <c r="F422" s="340" t="s">
        <v>894</v>
      </c>
      <c r="G422" s="340" t="s">
        <v>1317</v>
      </c>
      <c r="I422" s="340" t="s">
        <v>740</v>
      </c>
      <c r="K422" s="343">
        <v>0</v>
      </c>
      <c r="L422" s="343">
        <v>-611.61</v>
      </c>
      <c r="M422" s="343">
        <v>-1130636.8799999999</v>
      </c>
      <c r="O422" s="343">
        <v>0</v>
      </c>
    </row>
    <row r="423" spans="1:15" x14ac:dyDescent="0.3">
      <c r="A423" s="340" t="s">
        <v>891</v>
      </c>
      <c r="B423" s="350">
        <v>46050</v>
      </c>
      <c r="C423" s="350">
        <v>46069</v>
      </c>
      <c r="D423" s="351">
        <v>46054</v>
      </c>
      <c r="E423" s="340" t="s">
        <v>1371</v>
      </c>
      <c r="F423" s="340" t="s">
        <v>894</v>
      </c>
      <c r="G423" s="340" t="s">
        <v>1372</v>
      </c>
      <c r="I423" s="340" t="s">
        <v>740</v>
      </c>
      <c r="K423" s="343">
        <v>0</v>
      </c>
      <c r="L423" s="343">
        <v>-260</v>
      </c>
      <c r="M423" s="343">
        <v>-1130896.8799999999</v>
      </c>
      <c r="O423" s="343">
        <v>0</v>
      </c>
    </row>
    <row r="424" spans="1:15" x14ac:dyDescent="0.3">
      <c r="A424" s="340" t="s">
        <v>891</v>
      </c>
      <c r="B424" s="350">
        <v>46050</v>
      </c>
      <c r="C424" s="350">
        <v>46069</v>
      </c>
      <c r="D424" s="351">
        <v>46054</v>
      </c>
      <c r="E424" s="340" t="s">
        <v>1371</v>
      </c>
      <c r="F424" s="340" t="s">
        <v>894</v>
      </c>
      <c r="G424" s="340" t="s">
        <v>1373</v>
      </c>
      <c r="I424" s="340" t="s">
        <v>740</v>
      </c>
      <c r="K424" s="343">
        <v>0</v>
      </c>
      <c r="L424" s="343">
        <v>-590</v>
      </c>
      <c r="M424" s="343">
        <v>-1131486.8799999999</v>
      </c>
      <c r="O424" s="343">
        <v>0</v>
      </c>
    </row>
    <row r="425" spans="1:15" x14ac:dyDescent="0.3">
      <c r="A425" s="340" t="s">
        <v>891</v>
      </c>
      <c r="B425" s="350">
        <v>46050</v>
      </c>
      <c r="C425" s="350">
        <v>46069</v>
      </c>
      <c r="D425" s="351">
        <v>46054</v>
      </c>
      <c r="E425" s="340" t="s">
        <v>1371</v>
      </c>
      <c r="F425" s="340" t="s">
        <v>894</v>
      </c>
      <c r="G425" s="340" t="s">
        <v>1335</v>
      </c>
      <c r="I425" s="340" t="s">
        <v>740</v>
      </c>
      <c r="K425" s="343">
        <v>0</v>
      </c>
      <c r="L425" s="343">
        <v>-194.85</v>
      </c>
      <c r="M425" s="343">
        <v>-1131681.73</v>
      </c>
      <c r="O425" s="343">
        <v>0</v>
      </c>
    </row>
    <row r="426" spans="1:15" x14ac:dyDescent="0.3">
      <c r="A426" s="340" t="s">
        <v>891</v>
      </c>
      <c r="B426" s="350">
        <v>46050</v>
      </c>
      <c r="C426" s="350">
        <v>46088</v>
      </c>
      <c r="D426" s="351">
        <v>46082</v>
      </c>
      <c r="E426" s="340" t="s">
        <v>1374</v>
      </c>
      <c r="F426" s="340" t="s">
        <v>894</v>
      </c>
      <c r="G426" s="340" t="s">
        <v>1375</v>
      </c>
      <c r="I426" s="340" t="s">
        <v>757</v>
      </c>
      <c r="K426" s="343">
        <v>0</v>
      </c>
      <c r="L426" s="343">
        <v>-30.12</v>
      </c>
      <c r="M426" s="343">
        <v>-1131711.8500000001</v>
      </c>
      <c r="O426" s="343">
        <v>0</v>
      </c>
    </row>
    <row r="427" spans="1:15" x14ac:dyDescent="0.3">
      <c r="A427" s="340" t="s">
        <v>891</v>
      </c>
      <c r="B427" s="350">
        <v>46050</v>
      </c>
      <c r="C427" s="350">
        <v>46088</v>
      </c>
      <c r="D427" s="351">
        <v>46082</v>
      </c>
      <c r="E427" s="340" t="s">
        <v>1374</v>
      </c>
      <c r="F427" s="340" t="s">
        <v>894</v>
      </c>
      <c r="G427" s="340" t="s">
        <v>1376</v>
      </c>
      <c r="I427" s="340" t="s">
        <v>757</v>
      </c>
      <c r="K427" s="343">
        <v>0</v>
      </c>
      <c r="L427" s="343">
        <v>-29.08</v>
      </c>
      <c r="M427" s="343">
        <v>-1131740.93</v>
      </c>
      <c r="O427" s="343">
        <v>0</v>
      </c>
    </row>
    <row r="428" spans="1:15" x14ac:dyDescent="0.3">
      <c r="A428" s="340" t="s">
        <v>891</v>
      </c>
      <c r="B428" s="350">
        <v>46050</v>
      </c>
      <c r="C428" s="350">
        <v>46088</v>
      </c>
      <c r="D428" s="351">
        <v>46082</v>
      </c>
      <c r="E428" s="340" t="s">
        <v>1374</v>
      </c>
      <c r="F428" s="340" t="s">
        <v>894</v>
      </c>
      <c r="G428" s="340" t="s">
        <v>1377</v>
      </c>
      <c r="I428" s="340" t="s">
        <v>757</v>
      </c>
      <c r="K428" s="343">
        <v>0</v>
      </c>
      <c r="L428" s="343">
        <v>-74.8</v>
      </c>
      <c r="M428" s="343">
        <v>-1131815.73</v>
      </c>
      <c r="O428" s="343">
        <v>0</v>
      </c>
    </row>
    <row r="429" spans="1:15" x14ac:dyDescent="0.3">
      <c r="A429" s="340" t="s">
        <v>891</v>
      </c>
      <c r="B429" s="350">
        <v>46050</v>
      </c>
      <c r="C429" s="350">
        <v>46088</v>
      </c>
      <c r="D429" s="351">
        <v>46082</v>
      </c>
      <c r="E429" s="340" t="s">
        <v>1374</v>
      </c>
      <c r="F429" s="340" t="s">
        <v>894</v>
      </c>
      <c r="G429" s="340" t="s">
        <v>1378</v>
      </c>
      <c r="I429" s="340" t="s">
        <v>757</v>
      </c>
      <c r="K429" s="343">
        <v>0</v>
      </c>
      <c r="L429" s="343">
        <v>-68.569999999999993</v>
      </c>
      <c r="M429" s="343">
        <v>-1131884.3</v>
      </c>
      <c r="O429" s="343">
        <v>0</v>
      </c>
    </row>
    <row r="430" spans="1:15" x14ac:dyDescent="0.3">
      <c r="A430" s="340" t="s">
        <v>891</v>
      </c>
      <c r="B430" s="350">
        <v>46050</v>
      </c>
      <c r="C430" s="350">
        <v>46088</v>
      </c>
      <c r="D430" s="351">
        <v>46082</v>
      </c>
      <c r="E430" s="340" t="s">
        <v>1374</v>
      </c>
      <c r="F430" s="340" t="s">
        <v>894</v>
      </c>
      <c r="G430" s="340" t="s">
        <v>1379</v>
      </c>
      <c r="I430" s="340" t="s">
        <v>757</v>
      </c>
      <c r="K430" s="343">
        <v>0</v>
      </c>
      <c r="L430" s="343">
        <v>-155.86000000000001</v>
      </c>
      <c r="M430" s="343">
        <v>-1132040.1599999999</v>
      </c>
      <c r="O430" s="343">
        <v>0</v>
      </c>
    </row>
    <row r="431" spans="1:15" x14ac:dyDescent="0.3">
      <c r="A431" s="340" t="s">
        <v>891</v>
      </c>
      <c r="B431" s="350">
        <v>46050</v>
      </c>
      <c r="C431" s="350">
        <v>46088</v>
      </c>
      <c r="D431" s="351">
        <v>46082</v>
      </c>
      <c r="E431" s="340" t="s">
        <v>1374</v>
      </c>
      <c r="F431" s="340" t="s">
        <v>894</v>
      </c>
      <c r="G431" s="340" t="s">
        <v>1380</v>
      </c>
      <c r="I431" s="340" t="s">
        <v>757</v>
      </c>
      <c r="K431" s="343">
        <v>0</v>
      </c>
      <c r="L431" s="343">
        <v>-11.42</v>
      </c>
      <c r="M431" s="343">
        <v>-1132051.58</v>
      </c>
      <c r="O431" s="343">
        <v>0</v>
      </c>
    </row>
    <row r="432" spans="1:15" x14ac:dyDescent="0.3">
      <c r="A432" s="340" t="s">
        <v>891</v>
      </c>
      <c r="B432" s="350">
        <v>46050</v>
      </c>
      <c r="C432" s="350">
        <v>46088</v>
      </c>
      <c r="D432" s="351">
        <v>46082</v>
      </c>
      <c r="E432" s="340" t="s">
        <v>1374</v>
      </c>
      <c r="F432" s="340" t="s">
        <v>894</v>
      </c>
      <c r="G432" s="340" t="s">
        <v>1381</v>
      </c>
      <c r="I432" s="340" t="s">
        <v>757</v>
      </c>
      <c r="K432" s="343">
        <v>0</v>
      </c>
      <c r="L432" s="343">
        <v>-187.01</v>
      </c>
      <c r="M432" s="343">
        <v>-1132238.5900000001</v>
      </c>
      <c r="O432" s="343">
        <v>0</v>
      </c>
    </row>
    <row r="433" spans="1:15" x14ac:dyDescent="0.3">
      <c r="A433" s="340" t="s">
        <v>891</v>
      </c>
      <c r="B433" s="350">
        <v>46050</v>
      </c>
      <c r="C433" s="350">
        <v>46088</v>
      </c>
      <c r="D433" s="351">
        <v>46082</v>
      </c>
      <c r="E433" s="340" t="s">
        <v>1374</v>
      </c>
      <c r="F433" s="340" t="s">
        <v>894</v>
      </c>
      <c r="G433" s="340" t="s">
        <v>1382</v>
      </c>
      <c r="I433" s="340" t="s">
        <v>757</v>
      </c>
      <c r="K433" s="343">
        <v>0</v>
      </c>
      <c r="L433" s="343">
        <v>-49.86</v>
      </c>
      <c r="M433" s="343">
        <v>-1132288.45</v>
      </c>
      <c r="O433" s="343">
        <v>0</v>
      </c>
    </row>
    <row r="434" spans="1:15" x14ac:dyDescent="0.3">
      <c r="A434" s="340" t="s">
        <v>891</v>
      </c>
      <c r="B434" s="350">
        <v>46050</v>
      </c>
      <c r="C434" s="350">
        <v>46088</v>
      </c>
      <c r="D434" s="351">
        <v>46082</v>
      </c>
      <c r="E434" s="340" t="s">
        <v>1374</v>
      </c>
      <c r="F434" s="340" t="s">
        <v>894</v>
      </c>
      <c r="G434" s="340" t="s">
        <v>1383</v>
      </c>
      <c r="I434" s="340" t="s">
        <v>757</v>
      </c>
      <c r="K434" s="343">
        <v>0</v>
      </c>
      <c r="L434" s="343">
        <v>-9.8699999999999992</v>
      </c>
      <c r="M434" s="343">
        <v>-1132298.32</v>
      </c>
      <c r="O434" s="343">
        <v>0</v>
      </c>
    </row>
    <row r="435" spans="1:15" x14ac:dyDescent="0.3">
      <c r="A435" s="340" t="s">
        <v>891</v>
      </c>
      <c r="B435" s="350">
        <v>46050</v>
      </c>
      <c r="C435" s="350">
        <v>46088</v>
      </c>
      <c r="D435" s="351">
        <v>46082</v>
      </c>
      <c r="E435" s="340" t="s">
        <v>1374</v>
      </c>
      <c r="F435" s="340" t="s">
        <v>894</v>
      </c>
      <c r="G435" s="340" t="s">
        <v>1384</v>
      </c>
      <c r="I435" s="340" t="s">
        <v>757</v>
      </c>
      <c r="K435" s="343">
        <v>0</v>
      </c>
      <c r="L435" s="343">
        <v>-117.62</v>
      </c>
      <c r="M435" s="343">
        <v>-1132415.94</v>
      </c>
      <c r="O435" s="343">
        <v>0</v>
      </c>
    </row>
    <row r="436" spans="1:15" x14ac:dyDescent="0.3">
      <c r="A436" s="340" t="s">
        <v>891</v>
      </c>
      <c r="B436" s="350">
        <v>46050</v>
      </c>
      <c r="C436" s="350">
        <v>46088</v>
      </c>
      <c r="D436" s="351">
        <v>46082</v>
      </c>
      <c r="E436" s="340" t="s">
        <v>1374</v>
      </c>
      <c r="F436" s="340" t="s">
        <v>894</v>
      </c>
      <c r="G436" s="340" t="s">
        <v>1385</v>
      </c>
      <c r="I436" s="340" t="s">
        <v>757</v>
      </c>
      <c r="K436" s="343">
        <v>0</v>
      </c>
      <c r="L436" s="343">
        <v>-87.16</v>
      </c>
      <c r="M436" s="343">
        <v>-1132503.1000000001</v>
      </c>
      <c r="O436" s="343">
        <v>0</v>
      </c>
    </row>
    <row r="437" spans="1:15" x14ac:dyDescent="0.3">
      <c r="A437" s="340" t="s">
        <v>891</v>
      </c>
      <c r="B437" s="350">
        <v>46050</v>
      </c>
      <c r="C437" s="350">
        <v>46088</v>
      </c>
      <c r="D437" s="351">
        <v>46082</v>
      </c>
      <c r="E437" s="340" t="s">
        <v>1374</v>
      </c>
      <c r="F437" s="340" t="s">
        <v>894</v>
      </c>
      <c r="G437" s="340" t="s">
        <v>1386</v>
      </c>
      <c r="I437" s="340" t="s">
        <v>757</v>
      </c>
      <c r="K437" s="343">
        <v>0</v>
      </c>
      <c r="L437" s="343">
        <v>-36.299999999999997</v>
      </c>
      <c r="M437" s="343">
        <v>-1132539.3999999999</v>
      </c>
      <c r="O437" s="343">
        <v>0</v>
      </c>
    </row>
    <row r="438" spans="1:15" x14ac:dyDescent="0.3">
      <c r="A438" s="340" t="s">
        <v>891</v>
      </c>
      <c r="B438" s="350">
        <v>46050</v>
      </c>
      <c r="C438" s="350">
        <v>46088</v>
      </c>
      <c r="D438" s="351">
        <v>46082</v>
      </c>
      <c r="E438" s="340" t="s">
        <v>1374</v>
      </c>
      <c r="F438" s="340" t="s">
        <v>894</v>
      </c>
      <c r="G438" s="340" t="s">
        <v>1387</v>
      </c>
      <c r="I438" s="340" t="s">
        <v>757</v>
      </c>
      <c r="K438" s="343">
        <v>0</v>
      </c>
      <c r="L438" s="343">
        <v>-33.17</v>
      </c>
      <c r="M438" s="343">
        <v>-1132572.57</v>
      </c>
      <c r="O438" s="343">
        <v>0</v>
      </c>
    </row>
    <row r="439" spans="1:15" x14ac:dyDescent="0.3">
      <c r="A439" s="340" t="s">
        <v>891</v>
      </c>
      <c r="B439" s="350">
        <v>46050</v>
      </c>
      <c r="C439" s="350">
        <v>46088</v>
      </c>
      <c r="D439" s="351">
        <v>46082</v>
      </c>
      <c r="E439" s="340" t="s">
        <v>1374</v>
      </c>
      <c r="F439" s="340" t="s">
        <v>894</v>
      </c>
      <c r="G439" s="340" t="s">
        <v>1388</v>
      </c>
      <c r="I439" s="340" t="s">
        <v>757</v>
      </c>
      <c r="K439" s="343">
        <v>0</v>
      </c>
      <c r="L439" s="343">
        <v>-32.35</v>
      </c>
      <c r="M439" s="343">
        <v>-1132604.92</v>
      </c>
      <c r="O439" s="343">
        <v>0</v>
      </c>
    </row>
    <row r="440" spans="1:15" x14ac:dyDescent="0.3">
      <c r="A440" s="340" t="s">
        <v>891</v>
      </c>
      <c r="B440" s="350">
        <v>46050</v>
      </c>
      <c r="C440" s="350">
        <v>46088</v>
      </c>
      <c r="D440" s="351">
        <v>46082</v>
      </c>
      <c r="E440" s="340" t="s">
        <v>1374</v>
      </c>
      <c r="F440" s="340" t="s">
        <v>894</v>
      </c>
      <c r="G440" s="340" t="s">
        <v>1389</v>
      </c>
      <c r="I440" s="340" t="s">
        <v>757</v>
      </c>
      <c r="K440" s="343">
        <v>0</v>
      </c>
      <c r="L440" s="343">
        <v>-24.81</v>
      </c>
      <c r="M440" s="343">
        <v>-1132629.73</v>
      </c>
      <c r="O440" s="343">
        <v>0</v>
      </c>
    </row>
    <row r="441" spans="1:15" x14ac:dyDescent="0.3">
      <c r="A441" s="340" t="s">
        <v>891</v>
      </c>
      <c r="B441" s="350">
        <v>46050</v>
      </c>
      <c r="C441" s="350">
        <v>46088</v>
      </c>
      <c r="D441" s="351">
        <v>46082</v>
      </c>
      <c r="E441" s="340" t="s">
        <v>1374</v>
      </c>
      <c r="F441" s="340" t="s">
        <v>894</v>
      </c>
      <c r="G441" s="340" t="s">
        <v>1390</v>
      </c>
      <c r="I441" s="340" t="s">
        <v>757</v>
      </c>
      <c r="K441" s="343">
        <v>0</v>
      </c>
      <c r="L441" s="343">
        <v>-51.69</v>
      </c>
      <c r="M441" s="343">
        <v>-1132681.42</v>
      </c>
      <c r="O441" s="343">
        <v>0</v>
      </c>
    </row>
    <row r="442" spans="1:15" x14ac:dyDescent="0.3">
      <c r="A442" s="340" t="s">
        <v>891</v>
      </c>
      <c r="B442" s="350">
        <v>46050</v>
      </c>
      <c r="C442" s="350">
        <v>46088</v>
      </c>
      <c r="D442" s="351">
        <v>46082</v>
      </c>
      <c r="E442" s="340" t="s">
        <v>1374</v>
      </c>
      <c r="F442" s="340" t="s">
        <v>894</v>
      </c>
      <c r="G442" s="340" t="s">
        <v>1391</v>
      </c>
      <c r="I442" s="340" t="s">
        <v>757</v>
      </c>
      <c r="K442" s="343">
        <v>0</v>
      </c>
      <c r="L442" s="343">
        <v>-9.34</v>
      </c>
      <c r="M442" s="343">
        <v>-1132690.76</v>
      </c>
      <c r="O442" s="343">
        <v>0</v>
      </c>
    </row>
    <row r="443" spans="1:15" x14ac:dyDescent="0.3">
      <c r="A443" s="340" t="s">
        <v>891</v>
      </c>
      <c r="B443" s="350">
        <v>46050</v>
      </c>
      <c r="C443" s="350">
        <v>46088</v>
      </c>
      <c r="D443" s="351">
        <v>46082</v>
      </c>
      <c r="E443" s="340" t="s">
        <v>1374</v>
      </c>
      <c r="F443" s="340" t="s">
        <v>894</v>
      </c>
      <c r="G443" s="340" t="s">
        <v>1392</v>
      </c>
      <c r="I443" s="340" t="s">
        <v>757</v>
      </c>
      <c r="K443" s="343">
        <v>0</v>
      </c>
      <c r="L443" s="343">
        <v>-18.579999999999998</v>
      </c>
      <c r="M443" s="343">
        <v>-1132709.3400000001</v>
      </c>
      <c r="O443" s="343">
        <v>0</v>
      </c>
    </row>
    <row r="444" spans="1:15" x14ac:dyDescent="0.3">
      <c r="A444" s="340" t="s">
        <v>891</v>
      </c>
      <c r="B444" s="350">
        <v>46050</v>
      </c>
      <c r="C444" s="350">
        <v>46088</v>
      </c>
      <c r="D444" s="351">
        <v>46082</v>
      </c>
      <c r="E444" s="340" t="s">
        <v>1374</v>
      </c>
      <c r="F444" s="340" t="s">
        <v>894</v>
      </c>
      <c r="G444" s="340" t="s">
        <v>1393</v>
      </c>
      <c r="I444" s="340" t="s">
        <v>757</v>
      </c>
      <c r="K444" s="343">
        <v>0</v>
      </c>
      <c r="L444" s="343">
        <v>-24.81</v>
      </c>
      <c r="M444" s="343">
        <v>-1132734.1499999999</v>
      </c>
      <c r="O444" s="343">
        <v>0</v>
      </c>
    </row>
    <row r="445" spans="1:15" x14ac:dyDescent="0.3">
      <c r="A445" s="340" t="s">
        <v>891</v>
      </c>
      <c r="B445" s="350">
        <v>46050</v>
      </c>
      <c r="C445" s="350">
        <v>46088</v>
      </c>
      <c r="D445" s="351">
        <v>46082</v>
      </c>
      <c r="E445" s="340" t="s">
        <v>1374</v>
      </c>
      <c r="F445" s="340" t="s">
        <v>894</v>
      </c>
      <c r="G445" s="340" t="s">
        <v>1394</v>
      </c>
      <c r="I445" s="340" t="s">
        <v>757</v>
      </c>
      <c r="K445" s="343">
        <v>0</v>
      </c>
      <c r="L445" s="343">
        <v>-33.56</v>
      </c>
      <c r="M445" s="343">
        <v>-1132767.71</v>
      </c>
      <c r="O445" s="343">
        <v>0</v>
      </c>
    </row>
    <row r="446" spans="1:15" x14ac:dyDescent="0.3">
      <c r="A446" s="340" t="s">
        <v>891</v>
      </c>
      <c r="B446" s="350">
        <v>46050</v>
      </c>
      <c r="C446" s="350">
        <v>46088</v>
      </c>
      <c r="D446" s="351">
        <v>46082</v>
      </c>
      <c r="E446" s="340" t="s">
        <v>1374</v>
      </c>
      <c r="F446" s="340" t="s">
        <v>894</v>
      </c>
      <c r="G446" s="340" t="s">
        <v>1395</v>
      </c>
      <c r="I446" s="340" t="s">
        <v>757</v>
      </c>
      <c r="K446" s="343">
        <v>0</v>
      </c>
      <c r="L446" s="343">
        <v>-145.47</v>
      </c>
      <c r="M446" s="343">
        <v>-1132913.18</v>
      </c>
      <c r="O446" s="343">
        <v>0</v>
      </c>
    </row>
    <row r="447" spans="1:15" x14ac:dyDescent="0.3">
      <c r="A447" s="340" t="s">
        <v>891</v>
      </c>
      <c r="B447" s="350">
        <v>46050</v>
      </c>
      <c r="C447" s="350">
        <v>46088</v>
      </c>
      <c r="D447" s="351">
        <v>46082</v>
      </c>
      <c r="E447" s="340" t="s">
        <v>1374</v>
      </c>
      <c r="F447" s="340" t="s">
        <v>894</v>
      </c>
      <c r="G447" s="340" t="s">
        <v>1396</v>
      </c>
      <c r="I447" s="340" t="s">
        <v>757</v>
      </c>
      <c r="K447" s="343">
        <v>0</v>
      </c>
      <c r="L447" s="343">
        <v>-224.34</v>
      </c>
      <c r="M447" s="343">
        <v>-1133137.52</v>
      </c>
      <c r="O447" s="343">
        <v>0</v>
      </c>
    </row>
    <row r="448" spans="1:15" x14ac:dyDescent="0.3">
      <c r="A448" s="340" t="s">
        <v>891</v>
      </c>
      <c r="B448" s="350">
        <v>46050</v>
      </c>
      <c r="C448" s="350">
        <v>46088</v>
      </c>
      <c r="D448" s="351">
        <v>46082</v>
      </c>
      <c r="E448" s="340" t="s">
        <v>1374</v>
      </c>
      <c r="F448" s="340" t="s">
        <v>894</v>
      </c>
      <c r="G448" s="340" t="s">
        <v>1397</v>
      </c>
      <c r="I448" s="340" t="s">
        <v>757</v>
      </c>
      <c r="K448" s="343">
        <v>0</v>
      </c>
      <c r="L448" s="343">
        <v>-68.540000000000006</v>
      </c>
      <c r="M448" s="343">
        <v>-1133206.06</v>
      </c>
      <c r="O448" s="343">
        <v>0</v>
      </c>
    </row>
    <row r="449" spans="1:15" x14ac:dyDescent="0.3">
      <c r="A449" s="340" t="s">
        <v>891</v>
      </c>
      <c r="B449" s="350">
        <v>46050</v>
      </c>
      <c r="C449" s="350">
        <v>46088</v>
      </c>
      <c r="D449" s="351">
        <v>46082</v>
      </c>
      <c r="E449" s="340" t="s">
        <v>1374</v>
      </c>
      <c r="F449" s="340" t="s">
        <v>894</v>
      </c>
      <c r="G449" s="340" t="s">
        <v>1398</v>
      </c>
      <c r="I449" s="340" t="s">
        <v>757</v>
      </c>
      <c r="K449" s="343">
        <v>0</v>
      </c>
      <c r="L449" s="343">
        <v>-110.13</v>
      </c>
      <c r="M449" s="343">
        <v>-1133316.19</v>
      </c>
      <c r="O449" s="343">
        <v>0</v>
      </c>
    </row>
    <row r="450" spans="1:15" x14ac:dyDescent="0.3">
      <c r="A450" s="340" t="s">
        <v>891</v>
      </c>
      <c r="B450" s="350">
        <v>46050</v>
      </c>
      <c r="C450" s="350">
        <v>46088</v>
      </c>
      <c r="D450" s="351">
        <v>46082</v>
      </c>
      <c r="E450" s="340" t="s">
        <v>1374</v>
      </c>
      <c r="F450" s="340" t="s">
        <v>894</v>
      </c>
      <c r="G450" s="340" t="s">
        <v>1399</v>
      </c>
      <c r="I450" s="340" t="s">
        <v>757</v>
      </c>
      <c r="K450" s="343">
        <v>0</v>
      </c>
      <c r="L450" s="343">
        <v>-110.13</v>
      </c>
      <c r="M450" s="343">
        <v>-1133426.32</v>
      </c>
      <c r="O450" s="343">
        <v>0</v>
      </c>
    </row>
    <row r="451" spans="1:15" x14ac:dyDescent="0.3">
      <c r="A451" s="340" t="s">
        <v>891</v>
      </c>
      <c r="B451" s="350">
        <v>46050</v>
      </c>
      <c r="C451" s="350">
        <v>46088</v>
      </c>
      <c r="D451" s="351">
        <v>46082</v>
      </c>
      <c r="E451" s="340" t="s">
        <v>1374</v>
      </c>
      <c r="F451" s="340" t="s">
        <v>894</v>
      </c>
      <c r="G451" s="340" t="s">
        <v>1400</v>
      </c>
      <c r="I451" s="340" t="s">
        <v>757</v>
      </c>
      <c r="K451" s="343">
        <v>0</v>
      </c>
      <c r="L451" s="343">
        <v>-41.51</v>
      </c>
      <c r="M451" s="343">
        <v>-1133467.83</v>
      </c>
      <c r="O451" s="343">
        <v>0</v>
      </c>
    </row>
    <row r="452" spans="1:15" x14ac:dyDescent="0.3">
      <c r="A452" s="340" t="s">
        <v>891</v>
      </c>
      <c r="B452" s="350">
        <v>46050</v>
      </c>
      <c r="C452" s="350">
        <v>46088</v>
      </c>
      <c r="D452" s="351">
        <v>46082</v>
      </c>
      <c r="E452" s="340" t="s">
        <v>1374</v>
      </c>
      <c r="F452" s="340" t="s">
        <v>894</v>
      </c>
      <c r="G452" s="340" t="s">
        <v>1401</v>
      </c>
      <c r="I452" s="340" t="s">
        <v>757</v>
      </c>
      <c r="K452" s="343">
        <v>0</v>
      </c>
      <c r="L452" s="343">
        <v>-130.86000000000001</v>
      </c>
      <c r="M452" s="343">
        <v>-1133598.69</v>
      </c>
      <c r="O452" s="343">
        <v>0</v>
      </c>
    </row>
    <row r="453" spans="1:15" x14ac:dyDescent="0.3">
      <c r="A453" s="340" t="s">
        <v>891</v>
      </c>
      <c r="B453" s="350">
        <v>46050</v>
      </c>
      <c r="C453" s="350">
        <v>46088</v>
      </c>
      <c r="D453" s="351">
        <v>46082</v>
      </c>
      <c r="E453" s="340" t="s">
        <v>1374</v>
      </c>
      <c r="F453" s="340" t="s">
        <v>894</v>
      </c>
      <c r="G453" s="340" t="s">
        <v>1402</v>
      </c>
      <c r="I453" s="340" t="s">
        <v>757</v>
      </c>
      <c r="K453" s="343">
        <v>0</v>
      </c>
      <c r="L453" s="343">
        <v>-205.64</v>
      </c>
      <c r="M453" s="343">
        <v>-1133804.33</v>
      </c>
      <c r="O453" s="343">
        <v>0</v>
      </c>
    </row>
    <row r="454" spans="1:15" x14ac:dyDescent="0.3">
      <c r="A454" s="340" t="s">
        <v>891</v>
      </c>
      <c r="B454" s="350">
        <v>46050</v>
      </c>
      <c r="C454" s="350">
        <v>46088</v>
      </c>
      <c r="D454" s="351">
        <v>46082</v>
      </c>
      <c r="E454" s="340" t="s">
        <v>1374</v>
      </c>
      <c r="F454" s="340" t="s">
        <v>894</v>
      </c>
      <c r="G454" s="340" t="s">
        <v>1403</v>
      </c>
      <c r="I454" s="340" t="s">
        <v>757</v>
      </c>
      <c r="K454" s="343">
        <v>0</v>
      </c>
      <c r="L454" s="343">
        <v>-149.51</v>
      </c>
      <c r="M454" s="343">
        <v>-1133953.8400000001</v>
      </c>
      <c r="O454" s="343">
        <v>0</v>
      </c>
    </row>
    <row r="455" spans="1:15" x14ac:dyDescent="0.3">
      <c r="A455" s="340" t="s">
        <v>891</v>
      </c>
      <c r="B455" s="350">
        <v>46050</v>
      </c>
      <c r="C455" s="350">
        <v>46088</v>
      </c>
      <c r="D455" s="351">
        <v>46082</v>
      </c>
      <c r="E455" s="340" t="s">
        <v>1374</v>
      </c>
      <c r="F455" s="340" t="s">
        <v>894</v>
      </c>
      <c r="G455" s="340" t="s">
        <v>1404</v>
      </c>
      <c r="I455" s="340" t="s">
        <v>757</v>
      </c>
      <c r="K455" s="343">
        <v>0</v>
      </c>
      <c r="L455" s="343">
        <v>-31.15</v>
      </c>
      <c r="M455" s="343">
        <v>-1133984.99</v>
      </c>
      <c r="O455" s="343">
        <v>0</v>
      </c>
    </row>
    <row r="456" spans="1:15" x14ac:dyDescent="0.3">
      <c r="A456" s="340" t="s">
        <v>891</v>
      </c>
      <c r="B456" s="350">
        <v>46050</v>
      </c>
      <c r="C456" s="350">
        <v>46088</v>
      </c>
      <c r="D456" s="351">
        <v>46082</v>
      </c>
      <c r="E456" s="340" t="s">
        <v>1374</v>
      </c>
      <c r="F456" s="340" t="s">
        <v>894</v>
      </c>
      <c r="G456" s="340" t="s">
        <v>1405</v>
      </c>
      <c r="I456" s="340" t="s">
        <v>757</v>
      </c>
      <c r="K456" s="343">
        <v>0</v>
      </c>
      <c r="L456" s="343">
        <v>-203.61</v>
      </c>
      <c r="M456" s="343">
        <v>-1134188.6000000001</v>
      </c>
      <c r="O456" s="343">
        <v>0</v>
      </c>
    </row>
    <row r="457" spans="1:15" x14ac:dyDescent="0.3">
      <c r="A457" s="340" t="s">
        <v>891</v>
      </c>
      <c r="B457" s="350">
        <v>46050</v>
      </c>
      <c r="C457" s="350">
        <v>46088</v>
      </c>
      <c r="D457" s="351">
        <v>46082</v>
      </c>
      <c r="E457" s="340" t="s">
        <v>1374</v>
      </c>
      <c r="F457" s="340" t="s">
        <v>894</v>
      </c>
      <c r="G457" s="340" t="s">
        <v>1406</v>
      </c>
      <c r="I457" s="340" t="s">
        <v>757</v>
      </c>
      <c r="K457" s="343">
        <v>0</v>
      </c>
      <c r="L457" s="343">
        <v>-441.39</v>
      </c>
      <c r="M457" s="343">
        <v>-1134629.99</v>
      </c>
      <c r="O457" s="343">
        <v>0</v>
      </c>
    </row>
    <row r="458" spans="1:15" x14ac:dyDescent="0.3">
      <c r="A458" s="340" t="s">
        <v>891</v>
      </c>
      <c r="B458" s="350">
        <v>46050</v>
      </c>
      <c r="C458" s="350">
        <v>46088</v>
      </c>
      <c r="D458" s="351">
        <v>46082</v>
      </c>
      <c r="E458" s="340" t="s">
        <v>1374</v>
      </c>
      <c r="F458" s="340" t="s">
        <v>894</v>
      </c>
      <c r="G458" s="340" t="s">
        <v>1407</v>
      </c>
      <c r="I458" s="340" t="s">
        <v>757</v>
      </c>
      <c r="K458" s="343">
        <v>0</v>
      </c>
      <c r="L458" s="343">
        <v>-103.9</v>
      </c>
      <c r="M458" s="343">
        <v>-1134733.8899999999</v>
      </c>
      <c r="O458" s="343">
        <v>0</v>
      </c>
    </row>
    <row r="459" spans="1:15" x14ac:dyDescent="0.3">
      <c r="A459" s="340" t="s">
        <v>891</v>
      </c>
      <c r="B459" s="350">
        <v>46050</v>
      </c>
      <c r="C459" s="350">
        <v>46088</v>
      </c>
      <c r="D459" s="351">
        <v>46082</v>
      </c>
      <c r="E459" s="340" t="s">
        <v>1374</v>
      </c>
      <c r="F459" s="340" t="s">
        <v>894</v>
      </c>
      <c r="G459" s="340" t="s">
        <v>1408</v>
      </c>
      <c r="I459" s="340" t="s">
        <v>757</v>
      </c>
      <c r="K459" s="343">
        <v>0</v>
      </c>
      <c r="L459" s="343">
        <v>-22.84</v>
      </c>
      <c r="M459" s="343">
        <v>-1134756.73</v>
      </c>
      <c r="O459" s="343">
        <v>0</v>
      </c>
    </row>
    <row r="460" spans="1:15" x14ac:dyDescent="0.3">
      <c r="A460" s="340" t="s">
        <v>891</v>
      </c>
      <c r="B460" s="350">
        <v>46050</v>
      </c>
      <c r="C460" s="350">
        <v>46088</v>
      </c>
      <c r="D460" s="351">
        <v>46082</v>
      </c>
      <c r="E460" s="340" t="s">
        <v>1374</v>
      </c>
      <c r="F460" s="340" t="s">
        <v>894</v>
      </c>
      <c r="G460" s="340" t="s">
        <v>1409</v>
      </c>
      <c r="I460" s="340" t="s">
        <v>757</v>
      </c>
      <c r="K460" s="343">
        <v>0</v>
      </c>
      <c r="L460" s="343">
        <v>-18.27</v>
      </c>
      <c r="M460" s="343">
        <v>-1134775</v>
      </c>
      <c r="O460" s="343">
        <v>0</v>
      </c>
    </row>
    <row r="461" spans="1:15" x14ac:dyDescent="0.3">
      <c r="A461" s="340" t="s">
        <v>891</v>
      </c>
      <c r="B461" s="350">
        <v>46050</v>
      </c>
      <c r="C461" s="350">
        <v>46088</v>
      </c>
      <c r="D461" s="351">
        <v>46082</v>
      </c>
      <c r="E461" s="340" t="s">
        <v>1374</v>
      </c>
      <c r="F461" s="340" t="s">
        <v>894</v>
      </c>
      <c r="G461" s="340" t="s">
        <v>1410</v>
      </c>
      <c r="I461" s="340" t="s">
        <v>757</v>
      </c>
      <c r="K461" s="343">
        <v>0</v>
      </c>
      <c r="L461" s="343">
        <v>-99.68</v>
      </c>
      <c r="M461" s="343">
        <v>-1134874.68</v>
      </c>
      <c r="O461" s="343">
        <v>0</v>
      </c>
    </row>
    <row r="462" spans="1:15" x14ac:dyDescent="0.3">
      <c r="A462" s="340" t="s">
        <v>891</v>
      </c>
      <c r="B462" s="350">
        <v>46050</v>
      </c>
      <c r="C462" s="350">
        <v>46088</v>
      </c>
      <c r="D462" s="351">
        <v>46082</v>
      </c>
      <c r="E462" s="340" t="s">
        <v>1374</v>
      </c>
      <c r="F462" s="340" t="s">
        <v>894</v>
      </c>
      <c r="G462" s="340" t="s">
        <v>1411</v>
      </c>
      <c r="I462" s="340" t="s">
        <v>757</v>
      </c>
      <c r="K462" s="343">
        <v>0</v>
      </c>
      <c r="L462" s="343">
        <v>-107.99</v>
      </c>
      <c r="M462" s="343">
        <v>-1134982.67</v>
      </c>
      <c r="O462" s="343">
        <v>0</v>
      </c>
    </row>
    <row r="463" spans="1:15" x14ac:dyDescent="0.3">
      <c r="A463" s="340" t="s">
        <v>891</v>
      </c>
      <c r="B463" s="350">
        <v>46050</v>
      </c>
      <c r="C463" s="350">
        <v>46088</v>
      </c>
      <c r="D463" s="351">
        <v>46082</v>
      </c>
      <c r="E463" s="340" t="s">
        <v>1374</v>
      </c>
      <c r="F463" s="340" t="s">
        <v>894</v>
      </c>
      <c r="G463" s="340" t="s">
        <v>1412</v>
      </c>
      <c r="I463" s="340" t="s">
        <v>757</v>
      </c>
      <c r="K463" s="343">
        <v>0</v>
      </c>
      <c r="L463" s="343">
        <v>-112.17</v>
      </c>
      <c r="M463" s="343">
        <v>-1135094.8400000001</v>
      </c>
      <c r="O463" s="343">
        <v>0</v>
      </c>
    </row>
    <row r="464" spans="1:15" x14ac:dyDescent="0.3">
      <c r="A464" s="340" t="s">
        <v>891</v>
      </c>
      <c r="B464" s="350">
        <v>46050</v>
      </c>
      <c r="C464" s="350">
        <v>46088</v>
      </c>
      <c r="D464" s="351">
        <v>46082</v>
      </c>
      <c r="E464" s="340" t="s">
        <v>1374</v>
      </c>
      <c r="F464" s="340" t="s">
        <v>894</v>
      </c>
      <c r="G464" s="340" t="s">
        <v>1413</v>
      </c>
      <c r="I464" s="340" t="s">
        <v>757</v>
      </c>
      <c r="K464" s="343">
        <v>0</v>
      </c>
      <c r="L464" s="343">
        <v>-46.73</v>
      </c>
      <c r="M464" s="343">
        <v>-1135141.57</v>
      </c>
      <c r="O464" s="343">
        <v>0</v>
      </c>
    </row>
    <row r="465" spans="1:15" x14ac:dyDescent="0.3">
      <c r="A465" s="340" t="s">
        <v>891</v>
      </c>
      <c r="B465" s="350">
        <v>46050</v>
      </c>
      <c r="C465" s="350">
        <v>46088</v>
      </c>
      <c r="D465" s="351">
        <v>46082</v>
      </c>
      <c r="E465" s="340" t="s">
        <v>1374</v>
      </c>
      <c r="F465" s="340" t="s">
        <v>894</v>
      </c>
      <c r="G465" s="340" t="s">
        <v>1414</v>
      </c>
      <c r="I465" s="340" t="s">
        <v>757</v>
      </c>
      <c r="K465" s="343">
        <v>0</v>
      </c>
      <c r="L465" s="343">
        <v>-10.37</v>
      </c>
      <c r="M465" s="343">
        <v>-1135151.94</v>
      </c>
      <c r="O465" s="343">
        <v>0</v>
      </c>
    </row>
    <row r="466" spans="1:15" x14ac:dyDescent="0.3">
      <c r="A466" s="340" t="s">
        <v>891</v>
      </c>
      <c r="B466" s="350">
        <v>46050</v>
      </c>
      <c r="C466" s="350">
        <v>46088</v>
      </c>
      <c r="D466" s="351">
        <v>46082</v>
      </c>
      <c r="E466" s="340" t="s">
        <v>1374</v>
      </c>
      <c r="F466" s="340" t="s">
        <v>894</v>
      </c>
      <c r="G466" s="340" t="s">
        <v>1415</v>
      </c>
      <c r="I466" s="340" t="s">
        <v>757</v>
      </c>
      <c r="K466" s="343">
        <v>0</v>
      </c>
      <c r="L466" s="343">
        <v>-31.11</v>
      </c>
      <c r="M466" s="343">
        <v>-1135183.05</v>
      </c>
      <c r="O466" s="343">
        <v>0</v>
      </c>
    </row>
    <row r="467" spans="1:15" x14ac:dyDescent="0.3">
      <c r="A467" s="340" t="s">
        <v>891</v>
      </c>
      <c r="B467" s="350">
        <v>46050</v>
      </c>
      <c r="C467" s="350">
        <v>46088</v>
      </c>
      <c r="D467" s="351">
        <v>46082</v>
      </c>
      <c r="E467" s="340" t="s">
        <v>1374</v>
      </c>
      <c r="F467" s="340" t="s">
        <v>894</v>
      </c>
      <c r="G467" s="340" t="s">
        <v>1416</v>
      </c>
      <c r="I467" s="340" t="s">
        <v>757</v>
      </c>
      <c r="K467" s="343">
        <v>0</v>
      </c>
      <c r="L467" s="343">
        <v>-311.54000000000002</v>
      </c>
      <c r="M467" s="343">
        <v>-1135494.5900000001</v>
      </c>
      <c r="O467" s="343">
        <v>0</v>
      </c>
    </row>
    <row r="468" spans="1:15" x14ac:dyDescent="0.3">
      <c r="A468" s="340" t="s">
        <v>891</v>
      </c>
      <c r="B468" s="350">
        <v>46050</v>
      </c>
      <c r="C468" s="350">
        <v>46088</v>
      </c>
      <c r="D468" s="351">
        <v>46082</v>
      </c>
      <c r="E468" s="340" t="s">
        <v>1374</v>
      </c>
      <c r="F468" s="340" t="s">
        <v>894</v>
      </c>
      <c r="G468" s="340" t="s">
        <v>1417</v>
      </c>
      <c r="I468" s="340" t="s">
        <v>757</v>
      </c>
      <c r="K468" s="343">
        <v>0</v>
      </c>
      <c r="L468" s="343">
        <v>-37.380000000000003</v>
      </c>
      <c r="M468" s="343">
        <v>-1135531.97</v>
      </c>
      <c r="O468" s="343">
        <v>0</v>
      </c>
    </row>
    <row r="469" spans="1:15" x14ac:dyDescent="0.3">
      <c r="A469" s="340" t="s">
        <v>891</v>
      </c>
      <c r="B469" s="350">
        <v>46050</v>
      </c>
      <c r="C469" s="350">
        <v>46088</v>
      </c>
      <c r="D469" s="351">
        <v>46082</v>
      </c>
      <c r="E469" s="340" t="s">
        <v>1374</v>
      </c>
      <c r="F469" s="340" t="s">
        <v>894</v>
      </c>
      <c r="G469" s="340" t="s">
        <v>1418</v>
      </c>
      <c r="I469" s="340" t="s">
        <v>757</v>
      </c>
      <c r="K469" s="343">
        <v>0</v>
      </c>
      <c r="L469" s="343">
        <v>-62.33</v>
      </c>
      <c r="M469" s="343">
        <v>-1135594.3</v>
      </c>
      <c r="O469" s="343">
        <v>0</v>
      </c>
    </row>
    <row r="470" spans="1:15" x14ac:dyDescent="0.3">
      <c r="A470" s="340" t="s">
        <v>891</v>
      </c>
      <c r="B470" s="350">
        <v>46050</v>
      </c>
      <c r="C470" s="350">
        <v>46088</v>
      </c>
      <c r="D470" s="351">
        <v>46082</v>
      </c>
      <c r="E470" s="340" t="s">
        <v>1374</v>
      </c>
      <c r="F470" s="340" t="s">
        <v>894</v>
      </c>
      <c r="G470" s="340" t="s">
        <v>1419</v>
      </c>
      <c r="I470" s="340" t="s">
        <v>757</v>
      </c>
      <c r="K470" s="343">
        <v>0</v>
      </c>
      <c r="L470" s="343">
        <v>-11.42</v>
      </c>
      <c r="M470" s="343">
        <v>-1135605.72</v>
      </c>
      <c r="O470" s="343">
        <v>0</v>
      </c>
    </row>
    <row r="471" spans="1:15" x14ac:dyDescent="0.3">
      <c r="A471" s="340" t="s">
        <v>891</v>
      </c>
      <c r="B471" s="350">
        <v>46050</v>
      </c>
      <c r="C471" s="350">
        <v>46088</v>
      </c>
      <c r="D471" s="351">
        <v>46082</v>
      </c>
      <c r="E471" s="340" t="s">
        <v>1374</v>
      </c>
      <c r="F471" s="340" t="s">
        <v>894</v>
      </c>
      <c r="G471" s="340" t="s">
        <v>1420</v>
      </c>
      <c r="I471" s="340" t="s">
        <v>757</v>
      </c>
      <c r="K471" s="343">
        <v>0</v>
      </c>
      <c r="L471" s="343">
        <v>-116.3</v>
      </c>
      <c r="M471" s="343">
        <v>-1135722.02</v>
      </c>
      <c r="O471" s="343">
        <v>0</v>
      </c>
    </row>
    <row r="472" spans="1:15" x14ac:dyDescent="0.3">
      <c r="A472" s="340" t="s">
        <v>891</v>
      </c>
      <c r="B472" s="350">
        <v>46050</v>
      </c>
      <c r="C472" s="350">
        <v>46088</v>
      </c>
      <c r="D472" s="351">
        <v>46082</v>
      </c>
      <c r="E472" s="340" t="s">
        <v>1374</v>
      </c>
      <c r="F472" s="340" t="s">
        <v>894</v>
      </c>
      <c r="G472" s="340" t="s">
        <v>1421</v>
      </c>
      <c r="I472" s="340" t="s">
        <v>757</v>
      </c>
      <c r="K472" s="343">
        <v>0</v>
      </c>
      <c r="L472" s="343">
        <v>-26.98</v>
      </c>
      <c r="M472" s="343">
        <v>-1135749</v>
      </c>
      <c r="O472" s="343">
        <v>0</v>
      </c>
    </row>
    <row r="473" spans="1:15" x14ac:dyDescent="0.3">
      <c r="A473" s="340" t="s">
        <v>891</v>
      </c>
      <c r="B473" s="350">
        <v>46050</v>
      </c>
      <c r="C473" s="350">
        <v>46088</v>
      </c>
      <c r="D473" s="351">
        <v>46082</v>
      </c>
      <c r="E473" s="340" t="s">
        <v>1374</v>
      </c>
      <c r="F473" s="340" t="s">
        <v>894</v>
      </c>
      <c r="G473" s="340" t="s">
        <v>1422</v>
      </c>
      <c r="I473" s="340" t="s">
        <v>757</v>
      </c>
      <c r="K473" s="343">
        <v>0</v>
      </c>
      <c r="L473" s="343">
        <v>-50.85</v>
      </c>
      <c r="M473" s="343">
        <v>-1135799.8500000001</v>
      </c>
      <c r="O473" s="343">
        <v>0</v>
      </c>
    </row>
    <row r="474" spans="1:15" x14ac:dyDescent="0.3">
      <c r="A474" s="340" t="s">
        <v>891</v>
      </c>
      <c r="B474" s="350">
        <v>46050</v>
      </c>
      <c r="C474" s="350">
        <v>46088</v>
      </c>
      <c r="D474" s="351">
        <v>46082</v>
      </c>
      <c r="E474" s="340" t="s">
        <v>1374</v>
      </c>
      <c r="F474" s="340" t="s">
        <v>894</v>
      </c>
      <c r="G474" s="340" t="s">
        <v>1423</v>
      </c>
      <c r="I474" s="340" t="s">
        <v>757</v>
      </c>
      <c r="K474" s="343">
        <v>0</v>
      </c>
      <c r="L474" s="343">
        <v>-62.3</v>
      </c>
      <c r="M474" s="343">
        <v>-1135862.1499999999</v>
      </c>
      <c r="O474" s="343">
        <v>0</v>
      </c>
    </row>
    <row r="475" spans="1:15" x14ac:dyDescent="0.3">
      <c r="A475" s="340" t="s">
        <v>891</v>
      </c>
      <c r="B475" s="350">
        <v>46051</v>
      </c>
      <c r="C475" s="350">
        <v>46033</v>
      </c>
      <c r="D475" s="351">
        <v>46023</v>
      </c>
      <c r="E475" s="340" t="s">
        <v>1424</v>
      </c>
      <c r="F475" s="340" t="s">
        <v>894</v>
      </c>
      <c r="G475" s="340" t="s">
        <v>1037</v>
      </c>
      <c r="I475" s="340" t="s">
        <v>757</v>
      </c>
      <c r="K475" s="343">
        <v>0</v>
      </c>
      <c r="L475" s="343">
        <v>-746.88</v>
      </c>
      <c r="M475" s="343">
        <v>-1136609.03</v>
      </c>
      <c r="O475" s="343">
        <v>0</v>
      </c>
    </row>
    <row r="476" spans="1:15" x14ac:dyDescent="0.3">
      <c r="A476" s="340" t="s">
        <v>891</v>
      </c>
      <c r="B476" s="350">
        <v>46051</v>
      </c>
      <c r="C476" s="350">
        <v>46033</v>
      </c>
      <c r="D476" s="351">
        <v>46023</v>
      </c>
      <c r="E476" s="340" t="s">
        <v>1424</v>
      </c>
      <c r="F476" s="340" t="s">
        <v>894</v>
      </c>
      <c r="G476" s="340" t="s">
        <v>1425</v>
      </c>
      <c r="I476" s="340" t="s">
        <v>757</v>
      </c>
      <c r="K476" s="343">
        <v>0</v>
      </c>
      <c r="L476" s="343">
        <v>-121.78</v>
      </c>
      <c r="M476" s="343">
        <v>-1136730.81</v>
      </c>
      <c r="O476" s="343">
        <v>0</v>
      </c>
    </row>
    <row r="477" spans="1:15" x14ac:dyDescent="0.3">
      <c r="A477" s="340" t="s">
        <v>891</v>
      </c>
      <c r="B477" s="350">
        <v>46051</v>
      </c>
      <c r="C477" s="350">
        <v>46033</v>
      </c>
      <c r="D477" s="351">
        <v>46023</v>
      </c>
      <c r="E477" s="340" t="s">
        <v>1424</v>
      </c>
      <c r="F477" s="340" t="s">
        <v>894</v>
      </c>
      <c r="G477" s="340" t="s">
        <v>1052</v>
      </c>
      <c r="I477" s="340" t="s">
        <v>757</v>
      </c>
      <c r="K477" s="343">
        <v>0</v>
      </c>
      <c r="L477" s="343">
        <v>-498.75</v>
      </c>
      <c r="M477" s="343">
        <v>-1137229.56</v>
      </c>
      <c r="O477" s="343">
        <v>0</v>
      </c>
    </row>
    <row r="478" spans="1:15" x14ac:dyDescent="0.3">
      <c r="A478" s="340" t="s">
        <v>891</v>
      </c>
      <c r="B478" s="350">
        <v>46051</v>
      </c>
      <c r="C478" s="350">
        <v>46033</v>
      </c>
      <c r="D478" s="351">
        <v>46023</v>
      </c>
      <c r="E478" s="340" t="s">
        <v>1424</v>
      </c>
      <c r="F478" s="340" t="s">
        <v>894</v>
      </c>
      <c r="G478" s="340" t="s">
        <v>1249</v>
      </c>
      <c r="I478" s="340" t="s">
        <v>757</v>
      </c>
      <c r="K478" s="343">
        <v>0</v>
      </c>
      <c r="L478" s="343">
        <v>-118.4</v>
      </c>
      <c r="M478" s="343">
        <v>-1137347.96</v>
      </c>
      <c r="O478" s="343">
        <v>0</v>
      </c>
    </row>
    <row r="479" spans="1:15" x14ac:dyDescent="0.3">
      <c r="A479" s="340" t="s">
        <v>891</v>
      </c>
      <c r="B479" s="350">
        <v>46051</v>
      </c>
      <c r="C479" s="350">
        <v>46033</v>
      </c>
      <c r="D479" s="351">
        <v>46023</v>
      </c>
      <c r="E479" s="340" t="s">
        <v>1424</v>
      </c>
      <c r="F479" s="340" t="s">
        <v>894</v>
      </c>
      <c r="G479" s="340" t="s">
        <v>1426</v>
      </c>
      <c r="I479" s="340" t="s">
        <v>757</v>
      </c>
      <c r="K479" s="343">
        <v>0</v>
      </c>
      <c r="L479" s="343">
        <v>-145.68</v>
      </c>
      <c r="M479" s="343">
        <v>-1137493.6399999999</v>
      </c>
      <c r="O479" s="343">
        <v>0</v>
      </c>
    </row>
    <row r="480" spans="1:15" x14ac:dyDescent="0.3">
      <c r="A480" s="340" t="s">
        <v>891</v>
      </c>
      <c r="B480" s="350">
        <v>46051</v>
      </c>
      <c r="C480" s="350">
        <v>46033</v>
      </c>
      <c r="D480" s="351">
        <v>46023</v>
      </c>
      <c r="E480" s="340" t="s">
        <v>1424</v>
      </c>
      <c r="F480" s="340" t="s">
        <v>894</v>
      </c>
      <c r="G480" s="340" t="s">
        <v>1427</v>
      </c>
      <c r="I480" s="340" t="s">
        <v>757</v>
      </c>
      <c r="K480" s="343">
        <v>0</v>
      </c>
      <c r="L480" s="343">
        <v>-103.92</v>
      </c>
      <c r="M480" s="343">
        <v>-1137597.56</v>
      </c>
      <c r="O480" s="343">
        <v>0</v>
      </c>
    </row>
    <row r="481" spans="1:15" x14ac:dyDescent="0.3">
      <c r="A481" s="340" t="s">
        <v>891</v>
      </c>
      <c r="B481" s="350">
        <v>46051</v>
      </c>
      <c r="C481" s="350">
        <v>46033</v>
      </c>
      <c r="D481" s="351">
        <v>46023</v>
      </c>
      <c r="E481" s="340" t="s">
        <v>1424</v>
      </c>
      <c r="F481" s="340" t="s">
        <v>894</v>
      </c>
      <c r="G481" s="340" t="s">
        <v>1428</v>
      </c>
      <c r="I481" s="340" t="s">
        <v>757</v>
      </c>
      <c r="K481" s="343">
        <v>0</v>
      </c>
      <c r="L481" s="343">
        <v>-77.849999999999994</v>
      </c>
      <c r="M481" s="343">
        <v>-1137675.4099999999</v>
      </c>
      <c r="O481" s="343">
        <v>0</v>
      </c>
    </row>
    <row r="482" spans="1:15" x14ac:dyDescent="0.3">
      <c r="A482" s="340" t="s">
        <v>891</v>
      </c>
      <c r="B482" s="350">
        <v>46051</v>
      </c>
      <c r="C482" s="350">
        <v>46033</v>
      </c>
      <c r="D482" s="351">
        <v>46023</v>
      </c>
      <c r="E482" s="340" t="s">
        <v>1424</v>
      </c>
      <c r="F482" s="340" t="s">
        <v>894</v>
      </c>
      <c r="G482" s="340" t="s">
        <v>1256</v>
      </c>
      <c r="I482" s="340" t="s">
        <v>757</v>
      </c>
      <c r="K482" s="343">
        <v>0</v>
      </c>
      <c r="L482" s="343">
        <v>-95.17</v>
      </c>
      <c r="M482" s="343">
        <v>-1137770.58</v>
      </c>
      <c r="O482" s="343">
        <v>0</v>
      </c>
    </row>
    <row r="483" spans="1:15" x14ac:dyDescent="0.3">
      <c r="A483" s="340" t="s">
        <v>891</v>
      </c>
      <c r="B483" s="350">
        <v>46051</v>
      </c>
      <c r="C483" s="350">
        <v>46033</v>
      </c>
      <c r="D483" s="351">
        <v>46023</v>
      </c>
      <c r="E483" s="340" t="s">
        <v>1424</v>
      </c>
      <c r="F483" s="340" t="s">
        <v>894</v>
      </c>
      <c r="G483" s="340" t="s">
        <v>1255</v>
      </c>
      <c r="I483" s="340" t="s">
        <v>757</v>
      </c>
      <c r="K483" s="343">
        <v>0</v>
      </c>
      <c r="L483" s="343">
        <v>-174.49</v>
      </c>
      <c r="M483" s="343">
        <v>-1137945.07</v>
      </c>
      <c r="O483" s="343">
        <v>0</v>
      </c>
    </row>
    <row r="484" spans="1:15" x14ac:dyDescent="0.3">
      <c r="A484" s="340" t="s">
        <v>891</v>
      </c>
      <c r="B484" s="350">
        <v>46051</v>
      </c>
      <c r="C484" s="350">
        <v>46033</v>
      </c>
      <c r="D484" s="351">
        <v>46023</v>
      </c>
      <c r="E484" s="340" t="s">
        <v>1424</v>
      </c>
      <c r="F484" s="340" t="s">
        <v>894</v>
      </c>
      <c r="G484" s="340" t="s">
        <v>1429</v>
      </c>
      <c r="I484" s="340" t="s">
        <v>757</v>
      </c>
      <c r="K484" s="343">
        <v>0</v>
      </c>
      <c r="L484" s="343">
        <v>-141.24</v>
      </c>
      <c r="M484" s="343">
        <v>-1138086.31</v>
      </c>
      <c r="O484" s="343">
        <v>0</v>
      </c>
    </row>
    <row r="485" spans="1:15" x14ac:dyDescent="0.3">
      <c r="A485" s="340" t="s">
        <v>891</v>
      </c>
      <c r="B485" s="350">
        <v>46051</v>
      </c>
      <c r="C485" s="350">
        <v>46033</v>
      </c>
      <c r="D485" s="351">
        <v>46023</v>
      </c>
      <c r="E485" s="340" t="s">
        <v>1424</v>
      </c>
      <c r="F485" s="340" t="s">
        <v>894</v>
      </c>
      <c r="G485" s="340" t="s">
        <v>1430</v>
      </c>
      <c r="I485" s="340" t="s">
        <v>757</v>
      </c>
      <c r="K485" s="343">
        <v>0</v>
      </c>
      <c r="L485" s="343">
        <v>-498.75</v>
      </c>
      <c r="M485" s="343">
        <v>-1138585.06</v>
      </c>
      <c r="O485" s="343">
        <v>0</v>
      </c>
    </row>
    <row r="486" spans="1:15" x14ac:dyDescent="0.3">
      <c r="A486" s="340" t="s">
        <v>891</v>
      </c>
      <c r="B486" s="350">
        <v>46051</v>
      </c>
      <c r="C486" s="350">
        <v>46033</v>
      </c>
      <c r="D486" s="351">
        <v>46023</v>
      </c>
      <c r="E486" s="340" t="s">
        <v>1424</v>
      </c>
      <c r="F486" s="340" t="s">
        <v>894</v>
      </c>
      <c r="G486" s="340" t="s">
        <v>1431</v>
      </c>
      <c r="I486" s="340" t="s">
        <v>757</v>
      </c>
      <c r="K486" s="343">
        <v>0</v>
      </c>
      <c r="L486" s="343">
        <v>-49.81</v>
      </c>
      <c r="M486" s="343">
        <v>-1138634.8700000001</v>
      </c>
      <c r="O486" s="343">
        <v>0</v>
      </c>
    </row>
    <row r="487" spans="1:15" x14ac:dyDescent="0.3">
      <c r="A487" s="340" t="s">
        <v>891</v>
      </c>
      <c r="B487" s="350">
        <v>46051</v>
      </c>
      <c r="C487" s="350">
        <v>46033</v>
      </c>
      <c r="D487" s="351">
        <v>46023</v>
      </c>
      <c r="E487" s="340" t="s">
        <v>1424</v>
      </c>
      <c r="F487" s="340" t="s">
        <v>894</v>
      </c>
      <c r="G487" s="340" t="s">
        <v>1432</v>
      </c>
      <c r="I487" s="340" t="s">
        <v>757</v>
      </c>
      <c r="K487" s="343">
        <v>0</v>
      </c>
      <c r="L487" s="343">
        <v>-415.56</v>
      </c>
      <c r="M487" s="343">
        <v>-1139050.43</v>
      </c>
      <c r="O487" s="343">
        <v>0</v>
      </c>
    </row>
    <row r="488" spans="1:15" x14ac:dyDescent="0.3">
      <c r="A488" s="340" t="s">
        <v>891</v>
      </c>
      <c r="B488" s="350">
        <v>46051</v>
      </c>
      <c r="C488" s="350">
        <v>46033</v>
      </c>
      <c r="D488" s="351">
        <v>46023</v>
      </c>
      <c r="E488" s="340" t="s">
        <v>1424</v>
      </c>
      <c r="F488" s="340" t="s">
        <v>894</v>
      </c>
      <c r="G488" s="340" t="s">
        <v>1148</v>
      </c>
      <c r="I488" s="340" t="s">
        <v>757</v>
      </c>
      <c r="K488" s="343">
        <v>0</v>
      </c>
      <c r="L488" s="343">
        <v>-249.72</v>
      </c>
      <c r="M488" s="343">
        <v>-1139300.1499999999</v>
      </c>
      <c r="O488" s="343">
        <v>0</v>
      </c>
    </row>
    <row r="489" spans="1:15" x14ac:dyDescent="0.3">
      <c r="A489" s="340" t="s">
        <v>891</v>
      </c>
      <c r="B489" s="350">
        <v>46051</v>
      </c>
      <c r="C489" s="350">
        <v>46033</v>
      </c>
      <c r="D489" s="351">
        <v>46023</v>
      </c>
      <c r="E489" s="340" t="s">
        <v>1424</v>
      </c>
      <c r="F489" s="340" t="s">
        <v>894</v>
      </c>
      <c r="G489" s="340" t="s">
        <v>1433</v>
      </c>
      <c r="I489" s="340" t="s">
        <v>757</v>
      </c>
      <c r="K489" s="343">
        <v>0</v>
      </c>
      <c r="L489" s="343">
        <v>-83.11</v>
      </c>
      <c r="M489" s="343">
        <v>-1139383.26</v>
      </c>
      <c r="O489" s="343">
        <v>0</v>
      </c>
    </row>
    <row r="490" spans="1:15" x14ac:dyDescent="0.3">
      <c r="A490" s="340" t="s">
        <v>891</v>
      </c>
      <c r="B490" s="350">
        <v>46051</v>
      </c>
      <c r="C490" s="350">
        <v>46033</v>
      </c>
      <c r="D490" s="351">
        <v>46023</v>
      </c>
      <c r="E490" s="340" t="s">
        <v>1424</v>
      </c>
      <c r="F490" s="340" t="s">
        <v>894</v>
      </c>
      <c r="G490" s="340" t="s">
        <v>1036</v>
      </c>
      <c r="I490" s="340" t="s">
        <v>757</v>
      </c>
      <c r="K490" s="343">
        <v>0</v>
      </c>
      <c r="L490" s="343">
        <v>-62.33</v>
      </c>
      <c r="M490" s="343">
        <v>-1139445.5900000001</v>
      </c>
      <c r="O490" s="343">
        <v>0</v>
      </c>
    </row>
    <row r="491" spans="1:15" x14ac:dyDescent="0.3">
      <c r="A491" s="340" t="s">
        <v>891</v>
      </c>
      <c r="B491" s="350">
        <v>46051</v>
      </c>
      <c r="C491" s="350">
        <v>46033</v>
      </c>
      <c r="D491" s="351">
        <v>46023</v>
      </c>
      <c r="E491" s="340" t="s">
        <v>1424</v>
      </c>
      <c r="F491" s="340" t="s">
        <v>894</v>
      </c>
      <c r="G491" s="340" t="s">
        <v>1434</v>
      </c>
      <c r="I491" s="340" t="s">
        <v>757</v>
      </c>
      <c r="K491" s="343">
        <v>0</v>
      </c>
      <c r="L491" s="343">
        <v>-62.33</v>
      </c>
      <c r="M491" s="343">
        <v>-1139507.92</v>
      </c>
      <c r="O491" s="343">
        <v>0</v>
      </c>
    </row>
    <row r="492" spans="1:15" x14ac:dyDescent="0.3">
      <c r="A492" s="340" t="s">
        <v>891</v>
      </c>
      <c r="B492" s="350">
        <v>46051</v>
      </c>
      <c r="C492" s="350">
        <v>46033</v>
      </c>
      <c r="D492" s="351">
        <v>46023</v>
      </c>
      <c r="E492" s="340" t="s">
        <v>1424</v>
      </c>
      <c r="F492" s="340" t="s">
        <v>894</v>
      </c>
      <c r="G492" s="340" t="s">
        <v>1435</v>
      </c>
      <c r="I492" s="340" t="s">
        <v>757</v>
      </c>
      <c r="K492" s="343">
        <v>0</v>
      </c>
      <c r="L492" s="343">
        <v>-207.56</v>
      </c>
      <c r="M492" s="343">
        <v>-1139715.48</v>
      </c>
      <c r="O492" s="343">
        <v>0</v>
      </c>
    </row>
    <row r="493" spans="1:15" x14ac:dyDescent="0.3">
      <c r="A493" s="340" t="s">
        <v>891</v>
      </c>
      <c r="B493" s="350">
        <v>46051</v>
      </c>
      <c r="C493" s="350">
        <v>46033</v>
      </c>
      <c r="D493" s="351">
        <v>46023</v>
      </c>
      <c r="E493" s="340" t="s">
        <v>1424</v>
      </c>
      <c r="F493" s="340" t="s">
        <v>894</v>
      </c>
      <c r="G493" s="340" t="s">
        <v>1436</v>
      </c>
      <c r="I493" s="340" t="s">
        <v>757</v>
      </c>
      <c r="K493" s="343">
        <v>0</v>
      </c>
      <c r="L493" s="343">
        <v>-77.930000000000007</v>
      </c>
      <c r="M493" s="343">
        <v>-1139793.4099999999</v>
      </c>
      <c r="O493" s="343">
        <v>0</v>
      </c>
    </row>
    <row r="494" spans="1:15" x14ac:dyDescent="0.3">
      <c r="A494" s="340" t="s">
        <v>891</v>
      </c>
      <c r="B494" s="350">
        <v>46051</v>
      </c>
      <c r="C494" s="350">
        <v>46033</v>
      </c>
      <c r="D494" s="351">
        <v>46023</v>
      </c>
      <c r="E494" s="340" t="s">
        <v>1424</v>
      </c>
      <c r="F494" s="340" t="s">
        <v>894</v>
      </c>
      <c r="G494" s="340" t="s">
        <v>1437</v>
      </c>
      <c r="I494" s="340" t="s">
        <v>757</v>
      </c>
      <c r="K494" s="343">
        <v>0</v>
      </c>
      <c r="L494" s="343">
        <v>-311.72000000000003</v>
      </c>
      <c r="M494" s="343">
        <v>-1140105.1299999999</v>
      </c>
      <c r="O494" s="343">
        <v>0</v>
      </c>
    </row>
    <row r="495" spans="1:15" x14ac:dyDescent="0.3">
      <c r="A495" s="340" t="s">
        <v>891</v>
      </c>
      <c r="B495" s="350">
        <v>46051</v>
      </c>
      <c r="C495" s="350">
        <v>46033</v>
      </c>
      <c r="D495" s="351">
        <v>46023</v>
      </c>
      <c r="E495" s="340" t="s">
        <v>1424</v>
      </c>
      <c r="F495" s="340" t="s">
        <v>894</v>
      </c>
      <c r="G495" s="340" t="s">
        <v>1438</v>
      </c>
      <c r="I495" s="340" t="s">
        <v>757</v>
      </c>
      <c r="K495" s="343">
        <v>0</v>
      </c>
      <c r="L495" s="343">
        <v>-74.62</v>
      </c>
      <c r="M495" s="343">
        <v>-1140179.75</v>
      </c>
      <c r="O495" s="343">
        <v>0</v>
      </c>
    </row>
    <row r="496" spans="1:15" x14ac:dyDescent="0.3">
      <c r="A496" s="340" t="s">
        <v>891</v>
      </c>
      <c r="B496" s="350">
        <v>46051</v>
      </c>
      <c r="C496" s="350">
        <v>46033</v>
      </c>
      <c r="D496" s="351">
        <v>46023</v>
      </c>
      <c r="E496" s="340" t="s">
        <v>1424</v>
      </c>
      <c r="F496" s="340" t="s">
        <v>894</v>
      </c>
      <c r="G496" s="340" t="s">
        <v>1439</v>
      </c>
      <c r="I496" s="340" t="s">
        <v>757</v>
      </c>
      <c r="K496" s="343">
        <v>0</v>
      </c>
      <c r="L496" s="343">
        <v>-142.19999999999999</v>
      </c>
      <c r="M496" s="343">
        <v>-1140321.95</v>
      </c>
      <c r="O496" s="343">
        <v>0</v>
      </c>
    </row>
    <row r="497" spans="1:15" x14ac:dyDescent="0.3">
      <c r="A497" s="340" t="s">
        <v>891</v>
      </c>
      <c r="B497" s="350">
        <v>46051</v>
      </c>
      <c r="C497" s="350">
        <v>46033</v>
      </c>
      <c r="D497" s="351">
        <v>46023</v>
      </c>
      <c r="E497" s="340" t="s">
        <v>1424</v>
      </c>
      <c r="F497" s="340" t="s">
        <v>894</v>
      </c>
      <c r="G497" s="340" t="s">
        <v>1440</v>
      </c>
      <c r="I497" s="340" t="s">
        <v>757</v>
      </c>
      <c r="K497" s="343">
        <v>0</v>
      </c>
      <c r="L497" s="343">
        <v>-249.66</v>
      </c>
      <c r="M497" s="343">
        <v>-1140571.6100000001</v>
      </c>
      <c r="O497" s="343">
        <v>0</v>
      </c>
    </row>
    <row r="498" spans="1:15" x14ac:dyDescent="0.3">
      <c r="A498" s="340" t="s">
        <v>891</v>
      </c>
      <c r="B498" s="350">
        <v>46051</v>
      </c>
      <c r="C498" s="350">
        <v>46033</v>
      </c>
      <c r="D498" s="351">
        <v>46023</v>
      </c>
      <c r="E498" s="340" t="s">
        <v>1424</v>
      </c>
      <c r="F498" s="340" t="s">
        <v>894</v>
      </c>
      <c r="G498" s="340" t="s">
        <v>1441</v>
      </c>
      <c r="I498" s="340" t="s">
        <v>757</v>
      </c>
      <c r="K498" s="343">
        <v>0</v>
      </c>
      <c r="L498" s="343">
        <v>-140.69999999999999</v>
      </c>
      <c r="M498" s="343">
        <v>-1140712.31</v>
      </c>
      <c r="O498" s="343">
        <v>0</v>
      </c>
    </row>
    <row r="499" spans="1:15" x14ac:dyDescent="0.3">
      <c r="A499" s="340" t="s">
        <v>891</v>
      </c>
      <c r="B499" s="350">
        <v>46051</v>
      </c>
      <c r="C499" s="350">
        <v>46033</v>
      </c>
      <c r="D499" s="351">
        <v>46023</v>
      </c>
      <c r="E499" s="340" t="s">
        <v>1424</v>
      </c>
      <c r="F499" s="340" t="s">
        <v>894</v>
      </c>
      <c r="G499" s="340" t="s">
        <v>1442</v>
      </c>
      <c r="I499" s="340" t="s">
        <v>757</v>
      </c>
      <c r="K499" s="343">
        <v>0</v>
      </c>
      <c r="L499" s="343">
        <v>-211.05</v>
      </c>
      <c r="M499" s="343">
        <v>-1140923.3600000001</v>
      </c>
      <c r="O499" s="343">
        <v>0</v>
      </c>
    </row>
    <row r="500" spans="1:15" x14ac:dyDescent="0.3">
      <c r="A500" s="340" t="s">
        <v>891</v>
      </c>
      <c r="B500" s="350">
        <v>46051</v>
      </c>
      <c r="C500" s="350">
        <v>46033</v>
      </c>
      <c r="D500" s="351">
        <v>46023</v>
      </c>
      <c r="E500" s="340" t="s">
        <v>1424</v>
      </c>
      <c r="F500" s="340" t="s">
        <v>894</v>
      </c>
      <c r="G500" s="340" t="s">
        <v>1443</v>
      </c>
      <c r="I500" s="340" t="s">
        <v>757</v>
      </c>
      <c r="K500" s="343">
        <v>0</v>
      </c>
      <c r="L500" s="343">
        <v>-974.18</v>
      </c>
      <c r="M500" s="343">
        <v>-1141897.54</v>
      </c>
      <c r="O500" s="343">
        <v>0</v>
      </c>
    </row>
    <row r="501" spans="1:15" x14ac:dyDescent="0.3">
      <c r="A501" s="340" t="s">
        <v>891</v>
      </c>
      <c r="B501" s="350">
        <v>46051</v>
      </c>
      <c r="C501" s="350">
        <v>46033</v>
      </c>
      <c r="D501" s="351">
        <v>46023</v>
      </c>
      <c r="E501" s="340" t="s">
        <v>1424</v>
      </c>
      <c r="F501" s="340" t="s">
        <v>894</v>
      </c>
      <c r="G501" s="340" t="s">
        <v>1444</v>
      </c>
      <c r="I501" s="340" t="s">
        <v>757</v>
      </c>
      <c r="K501" s="343">
        <v>0</v>
      </c>
      <c r="L501" s="343">
        <v>-68.52</v>
      </c>
      <c r="M501" s="343">
        <v>-1141966.06</v>
      </c>
      <c r="O501" s="343">
        <v>0</v>
      </c>
    </row>
    <row r="502" spans="1:15" x14ac:dyDescent="0.3">
      <c r="A502" s="340" t="s">
        <v>891</v>
      </c>
      <c r="B502" s="350">
        <v>46051</v>
      </c>
      <c r="C502" s="350">
        <v>46033</v>
      </c>
      <c r="D502" s="351">
        <v>46023</v>
      </c>
      <c r="E502" s="340" t="s">
        <v>1424</v>
      </c>
      <c r="F502" s="340" t="s">
        <v>894</v>
      </c>
      <c r="G502" s="340" t="s">
        <v>1445</v>
      </c>
      <c r="I502" s="340" t="s">
        <v>757</v>
      </c>
      <c r="K502" s="343">
        <v>0</v>
      </c>
      <c r="L502" s="343">
        <v>-185.3</v>
      </c>
      <c r="M502" s="343">
        <v>-1142151.3600000001</v>
      </c>
      <c r="O502" s="343">
        <v>0</v>
      </c>
    </row>
    <row r="503" spans="1:15" x14ac:dyDescent="0.3">
      <c r="A503" s="340" t="s">
        <v>891</v>
      </c>
      <c r="B503" s="350">
        <v>46051</v>
      </c>
      <c r="C503" s="350">
        <v>46033</v>
      </c>
      <c r="D503" s="351">
        <v>46023</v>
      </c>
      <c r="E503" s="340" t="s">
        <v>1424</v>
      </c>
      <c r="F503" s="340" t="s">
        <v>894</v>
      </c>
      <c r="G503" s="340" t="s">
        <v>1446</v>
      </c>
      <c r="I503" s="340" t="s">
        <v>757</v>
      </c>
      <c r="K503" s="343">
        <v>0</v>
      </c>
      <c r="L503" s="343">
        <v>-60.53</v>
      </c>
      <c r="M503" s="343">
        <v>-1142211.8899999999</v>
      </c>
      <c r="O503" s="343">
        <v>0</v>
      </c>
    </row>
    <row r="504" spans="1:15" x14ac:dyDescent="0.3">
      <c r="A504" s="340" t="s">
        <v>891</v>
      </c>
      <c r="B504" s="350">
        <v>46051</v>
      </c>
      <c r="C504" s="350">
        <v>46033</v>
      </c>
      <c r="D504" s="351">
        <v>46023</v>
      </c>
      <c r="E504" s="340" t="s">
        <v>1424</v>
      </c>
      <c r="F504" s="340" t="s">
        <v>894</v>
      </c>
      <c r="G504" s="340" t="s">
        <v>1447</v>
      </c>
      <c r="I504" s="340" t="s">
        <v>757</v>
      </c>
      <c r="K504" s="343">
        <v>0</v>
      </c>
      <c r="L504" s="343">
        <v>-436.25</v>
      </c>
      <c r="M504" s="343">
        <v>-1142648.1399999999</v>
      </c>
      <c r="O504" s="343">
        <v>0</v>
      </c>
    </row>
    <row r="505" spans="1:15" x14ac:dyDescent="0.3">
      <c r="A505" s="340" t="s">
        <v>891</v>
      </c>
      <c r="B505" s="350">
        <v>46051</v>
      </c>
      <c r="C505" s="350">
        <v>46033</v>
      </c>
      <c r="D505" s="351">
        <v>46023</v>
      </c>
      <c r="E505" s="340" t="s">
        <v>1424</v>
      </c>
      <c r="F505" s="340" t="s">
        <v>894</v>
      </c>
      <c r="G505" s="340" t="s">
        <v>1448</v>
      </c>
      <c r="I505" s="340" t="s">
        <v>757</v>
      </c>
      <c r="K505" s="343">
        <v>0</v>
      </c>
      <c r="L505" s="343">
        <v>-155.80000000000001</v>
      </c>
      <c r="M505" s="343">
        <v>-1142803.94</v>
      </c>
      <c r="O505" s="343">
        <v>0</v>
      </c>
    </row>
    <row r="506" spans="1:15" x14ac:dyDescent="0.3">
      <c r="A506" s="340" t="s">
        <v>891</v>
      </c>
      <c r="B506" s="350">
        <v>46051</v>
      </c>
      <c r="C506" s="350">
        <v>46033</v>
      </c>
      <c r="D506" s="351">
        <v>46023</v>
      </c>
      <c r="E506" s="340" t="s">
        <v>1424</v>
      </c>
      <c r="F506" s="340" t="s">
        <v>894</v>
      </c>
      <c r="G506" s="340" t="s">
        <v>1449</v>
      </c>
      <c r="I506" s="340" t="s">
        <v>757</v>
      </c>
      <c r="K506" s="343">
        <v>0</v>
      </c>
      <c r="L506" s="343">
        <v>-59.2</v>
      </c>
      <c r="M506" s="343">
        <v>-1142863.1399999999</v>
      </c>
      <c r="O506" s="343">
        <v>0</v>
      </c>
    </row>
    <row r="507" spans="1:15" x14ac:dyDescent="0.3">
      <c r="A507" s="340" t="s">
        <v>891</v>
      </c>
      <c r="B507" s="350">
        <v>46051</v>
      </c>
      <c r="C507" s="350">
        <v>46051</v>
      </c>
      <c r="D507" s="351">
        <v>46023</v>
      </c>
      <c r="E507" s="340" t="s">
        <v>1450</v>
      </c>
      <c r="F507" s="340" t="s">
        <v>1078</v>
      </c>
      <c r="G507" s="340" t="s">
        <v>1079</v>
      </c>
      <c r="I507" s="340" t="s">
        <v>994</v>
      </c>
      <c r="K507" s="343">
        <v>1275</v>
      </c>
      <c r="L507" s="343">
        <v>0</v>
      </c>
      <c r="M507" s="343">
        <v>-1141588.1399999999</v>
      </c>
      <c r="O507" s="343">
        <v>0</v>
      </c>
    </row>
    <row r="508" spans="1:15" x14ac:dyDescent="0.3">
      <c r="A508" s="340" t="s">
        <v>891</v>
      </c>
      <c r="B508" s="350">
        <v>46051</v>
      </c>
      <c r="C508" s="350">
        <v>46051</v>
      </c>
      <c r="D508" s="351">
        <v>46023</v>
      </c>
      <c r="E508" s="340" t="s">
        <v>1450</v>
      </c>
      <c r="F508" s="340" t="s">
        <v>1078</v>
      </c>
      <c r="G508" s="340" t="s">
        <v>1079</v>
      </c>
      <c r="I508" s="340" t="s">
        <v>994</v>
      </c>
      <c r="K508" s="343">
        <v>1260</v>
      </c>
      <c r="L508" s="343">
        <v>0</v>
      </c>
      <c r="M508" s="343">
        <v>-1140328.1399999999</v>
      </c>
      <c r="O508" s="343">
        <v>0</v>
      </c>
    </row>
    <row r="509" spans="1:15" x14ac:dyDescent="0.3">
      <c r="A509" s="340" t="s">
        <v>891</v>
      </c>
      <c r="B509" s="350">
        <v>46051</v>
      </c>
      <c r="C509" s="350">
        <v>46051</v>
      </c>
      <c r="D509" s="351">
        <v>46023</v>
      </c>
      <c r="E509" s="340" t="s">
        <v>1450</v>
      </c>
      <c r="F509" s="340" t="s">
        <v>1078</v>
      </c>
      <c r="G509" s="340" t="s">
        <v>1079</v>
      </c>
      <c r="I509" s="340" t="s">
        <v>994</v>
      </c>
      <c r="K509" s="343">
        <v>2475</v>
      </c>
      <c r="L509" s="343">
        <v>0</v>
      </c>
      <c r="M509" s="343">
        <v>-1137853.1399999999</v>
      </c>
      <c r="O509" s="343">
        <v>0</v>
      </c>
    </row>
    <row r="510" spans="1:15" x14ac:dyDescent="0.3">
      <c r="A510" s="340" t="s">
        <v>891</v>
      </c>
      <c r="B510" s="350">
        <v>46051</v>
      </c>
      <c r="C510" s="350">
        <v>46051</v>
      </c>
      <c r="D510" s="351">
        <v>46023</v>
      </c>
      <c r="E510" s="340" t="s">
        <v>1450</v>
      </c>
      <c r="F510" s="340" t="s">
        <v>1078</v>
      </c>
      <c r="G510" s="340" t="s">
        <v>1079</v>
      </c>
      <c r="I510" s="340" t="s">
        <v>994</v>
      </c>
      <c r="K510" s="343">
        <v>2245</v>
      </c>
      <c r="L510" s="343">
        <v>0</v>
      </c>
      <c r="M510" s="343">
        <v>-1135608.1399999999</v>
      </c>
      <c r="O510" s="343">
        <v>0</v>
      </c>
    </row>
    <row r="511" spans="1:15" x14ac:dyDescent="0.3">
      <c r="A511" s="340" t="s">
        <v>891</v>
      </c>
      <c r="B511" s="350">
        <v>46051</v>
      </c>
      <c r="C511" s="350">
        <v>46051</v>
      </c>
      <c r="D511" s="351">
        <v>46023</v>
      </c>
      <c r="E511" s="340" t="s">
        <v>1450</v>
      </c>
      <c r="F511" s="340" t="s">
        <v>1078</v>
      </c>
      <c r="G511" s="340" t="s">
        <v>1079</v>
      </c>
      <c r="I511" s="340" t="s">
        <v>994</v>
      </c>
      <c r="K511" s="343">
        <v>655</v>
      </c>
      <c r="L511" s="343">
        <v>0</v>
      </c>
      <c r="M511" s="343">
        <v>-1134953.1399999999</v>
      </c>
      <c r="O511" s="343">
        <v>0</v>
      </c>
    </row>
    <row r="512" spans="1:15" x14ac:dyDescent="0.3">
      <c r="A512" s="340" t="s">
        <v>891</v>
      </c>
      <c r="B512" s="350">
        <v>46051</v>
      </c>
      <c r="C512" s="350">
        <v>46051</v>
      </c>
      <c r="D512" s="351">
        <v>46023</v>
      </c>
      <c r="E512" s="340" t="s">
        <v>1450</v>
      </c>
      <c r="F512" s="340" t="s">
        <v>1078</v>
      </c>
      <c r="G512" s="340" t="s">
        <v>1079</v>
      </c>
      <c r="I512" s="340" t="s">
        <v>994</v>
      </c>
      <c r="K512" s="343">
        <v>545</v>
      </c>
      <c r="L512" s="343">
        <v>0</v>
      </c>
      <c r="M512" s="343">
        <v>-1134408.1399999999</v>
      </c>
      <c r="O512" s="343">
        <v>0</v>
      </c>
    </row>
    <row r="513" spans="1:15" x14ac:dyDescent="0.3">
      <c r="A513" s="340" t="s">
        <v>891</v>
      </c>
      <c r="B513" s="350">
        <v>46051</v>
      </c>
      <c r="C513" s="350">
        <v>46051</v>
      </c>
      <c r="D513" s="351">
        <v>46023</v>
      </c>
      <c r="E513" s="340" t="s">
        <v>1450</v>
      </c>
      <c r="F513" s="340" t="s">
        <v>1078</v>
      </c>
      <c r="G513" s="340" t="s">
        <v>1079</v>
      </c>
      <c r="I513" s="340" t="s">
        <v>994</v>
      </c>
      <c r="K513" s="343">
        <v>1220</v>
      </c>
      <c r="L513" s="343">
        <v>0</v>
      </c>
      <c r="M513" s="343">
        <v>-1133188.1399999999</v>
      </c>
      <c r="O513" s="343">
        <v>0</v>
      </c>
    </row>
    <row r="514" spans="1:15" x14ac:dyDescent="0.3">
      <c r="A514" s="340" t="s">
        <v>891</v>
      </c>
      <c r="B514" s="350">
        <v>46051</v>
      </c>
      <c r="C514" s="350">
        <v>46051</v>
      </c>
      <c r="D514" s="351">
        <v>46023</v>
      </c>
      <c r="E514" s="340" t="s">
        <v>1450</v>
      </c>
      <c r="F514" s="340" t="s">
        <v>1078</v>
      </c>
      <c r="G514" s="340" t="s">
        <v>1079</v>
      </c>
      <c r="I514" s="340" t="s">
        <v>994</v>
      </c>
      <c r="K514" s="343">
        <v>1450</v>
      </c>
      <c r="L514" s="343">
        <v>0</v>
      </c>
      <c r="M514" s="343">
        <v>-1131738.1399999999</v>
      </c>
      <c r="O514" s="343">
        <v>0</v>
      </c>
    </row>
    <row r="515" spans="1:15" x14ac:dyDescent="0.3">
      <c r="A515" s="340" t="s">
        <v>891</v>
      </c>
      <c r="B515" s="350">
        <v>46051</v>
      </c>
      <c r="C515" s="350">
        <v>46051</v>
      </c>
      <c r="D515" s="351">
        <v>46023</v>
      </c>
      <c r="E515" s="340" t="s">
        <v>1450</v>
      </c>
      <c r="F515" s="340" t="s">
        <v>1078</v>
      </c>
      <c r="G515" s="340" t="s">
        <v>1079</v>
      </c>
      <c r="I515" s="340" t="s">
        <v>994</v>
      </c>
      <c r="K515" s="343">
        <v>2120</v>
      </c>
      <c r="L515" s="343">
        <v>0</v>
      </c>
      <c r="M515" s="343">
        <v>-1129618.1399999999</v>
      </c>
      <c r="O515" s="343">
        <v>0</v>
      </c>
    </row>
    <row r="516" spans="1:15" x14ac:dyDescent="0.3">
      <c r="A516" s="340" t="s">
        <v>891</v>
      </c>
      <c r="B516" s="350">
        <v>46051</v>
      </c>
      <c r="C516" s="350">
        <v>46051</v>
      </c>
      <c r="D516" s="351">
        <v>46023</v>
      </c>
      <c r="E516" s="340" t="s">
        <v>1450</v>
      </c>
      <c r="F516" s="340" t="s">
        <v>1078</v>
      </c>
      <c r="G516" s="340" t="s">
        <v>1079</v>
      </c>
      <c r="I516" s="340" t="s">
        <v>994</v>
      </c>
      <c r="K516" s="343">
        <v>545</v>
      </c>
      <c r="L516" s="343">
        <v>0</v>
      </c>
      <c r="M516" s="343">
        <v>-1129073.1399999999</v>
      </c>
      <c r="O516" s="343">
        <v>0</v>
      </c>
    </row>
    <row r="517" spans="1:15" x14ac:dyDescent="0.3">
      <c r="A517" s="340" t="s">
        <v>891</v>
      </c>
      <c r="B517" s="350">
        <v>46051</v>
      </c>
      <c r="C517" s="350">
        <v>46051</v>
      </c>
      <c r="D517" s="351">
        <v>46023</v>
      </c>
      <c r="E517" s="340" t="s">
        <v>1450</v>
      </c>
      <c r="F517" s="340" t="s">
        <v>1078</v>
      </c>
      <c r="G517" s="340" t="s">
        <v>1079</v>
      </c>
      <c r="I517" s="340" t="s">
        <v>994</v>
      </c>
      <c r="K517" s="343">
        <v>945</v>
      </c>
      <c r="L517" s="343">
        <v>0</v>
      </c>
      <c r="M517" s="343">
        <v>-1128128.1399999999</v>
      </c>
      <c r="O517" s="343">
        <v>0</v>
      </c>
    </row>
    <row r="518" spans="1:15" x14ac:dyDescent="0.3">
      <c r="A518" s="340" t="s">
        <v>891</v>
      </c>
      <c r="B518" s="350">
        <v>46051</v>
      </c>
      <c r="C518" s="350">
        <v>46058</v>
      </c>
      <c r="D518" s="351">
        <v>46023</v>
      </c>
      <c r="E518" s="340" t="s">
        <v>1451</v>
      </c>
      <c r="F518" s="340" t="s">
        <v>894</v>
      </c>
      <c r="G518" s="340" t="s">
        <v>1452</v>
      </c>
      <c r="I518" s="340" t="s">
        <v>771</v>
      </c>
      <c r="K518" s="343">
        <v>0</v>
      </c>
      <c r="L518" s="343">
        <v>-2726.01</v>
      </c>
      <c r="M518" s="343">
        <v>-1130854.1499999999</v>
      </c>
      <c r="O518" s="343">
        <v>0</v>
      </c>
    </row>
    <row r="519" spans="1:15" x14ac:dyDescent="0.3">
      <c r="A519" s="340" t="s">
        <v>891</v>
      </c>
      <c r="B519" s="350">
        <v>46051</v>
      </c>
      <c r="C519" s="350">
        <v>46069</v>
      </c>
      <c r="D519" s="351">
        <v>46054</v>
      </c>
      <c r="E519" s="340" t="s">
        <v>1453</v>
      </c>
      <c r="F519" s="340" t="s">
        <v>894</v>
      </c>
      <c r="G519" s="340" t="s">
        <v>1454</v>
      </c>
      <c r="I519" s="340" t="s">
        <v>740</v>
      </c>
      <c r="K519" s="343">
        <v>0</v>
      </c>
      <c r="L519" s="343">
        <v>-95</v>
      </c>
      <c r="M519" s="343">
        <v>-1130949.1499999999</v>
      </c>
      <c r="O519" s="343">
        <v>0</v>
      </c>
    </row>
    <row r="520" spans="1:15" x14ac:dyDescent="0.3">
      <c r="A520" s="340" t="s">
        <v>891</v>
      </c>
      <c r="B520" s="350">
        <v>46051</v>
      </c>
      <c r="C520" s="350">
        <v>46069</v>
      </c>
      <c r="D520" s="351">
        <v>46054</v>
      </c>
      <c r="E520" s="340" t="s">
        <v>1453</v>
      </c>
      <c r="F520" s="340" t="s">
        <v>894</v>
      </c>
      <c r="G520" s="340" t="s">
        <v>1455</v>
      </c>
      <c r="I520" s="340" t="s">
        <v>740</v>
      </c>
      <c r="K520" s="343">
        <v>0</v>
      </c>
      <c r="L520" s="343">
        <v>-495</v>
      </c>
      <c r="M520" s="343">
        <v>-1131444.1499999999</v>
      </c>
      <c r="O520" s="343">
        <v>0</v>
      </c>
    </row>
    <row r="521" spans="1:15" x14ac:dyDescent="0.3">
      <c r="A521" s="340" t="s">
        <v>891</v>
      </c>
      <c r="B521" s="350">
        <v>46051</v>
      </c>
      <c r="C521" s="350">
        <v>46069</v>
      </c>
      <c r="D521" s="351">
        <v>46054</v>
      </c>
      <c r="E521" s="340" t="s">
        <v>1453</v>
      </c>
      <c r="F521" s="340" t="s">
        <v>894</v>
      </c>
      <c r="G521" s="340" t="s">
        <v>1456</v>
      </c>
      <c r="I521" s="340" t="s">
        <v>740</v>
      </c>
      <c r="K521" s="343">
        <v>0</v>
      </c>
      <c r="L521" s="343">
        <v>-295</v>
      </c>
      <c r="M521" s="343">
        <v>-1131739.1499999999</v>
      </c>
      <c r="O521" s="343">
        <v>0</v>
      </c>
    </row>
    <row r="522" spans="1:15" x14ac:dyDescent="0.3">
      <c r="A522" s="340" t="s">
        <v>891</v>
      </c>
      <c r="B522" s="350">
        <v>46051</v>
      </c>
      <c r="C522" s="350">
        <v>46078</v>
      </c>
      <c r="D522" s="351">
        <v>46054</v>
      </c>
      <c r="E522" s="340" t="s">
        <v>1457</v>
      </c>
      <c r="F522" s="340" t="s">
        <v>894</v>
      </c>
      <c r="G522" s="340" t="s">
        <v>1028</v>
      </c>
      <c r="I522" s="340" t="s">
        <v>756</v>
      </c>
      <c r="K522" s="343">
        <v>0</v>
      </c>
      <c r="L522" s="343">
        <v>-991.68</v>
      </c>
      <c r="M522" s="343">
        <v>-1132730.83</v>
      </c>
      <c r="O522" s="343">
        <v>0</v>
      </c>
    </row>
    <row r="523" spans="1:15" x14ac:dyDescent="0.3">
      <c r="A523" s="340" t="s">
        <v>891</v>
      </c>
      <c r="B523" s="350">
        <v>46052</v>
      </c>
      <c r="C523" s="350">
        <v>46052</v>
      </c>
      <c r="D523" s="351">
        <v>46023</v>
      </c>
      <c r="E523" s="340" t="s">
        <v>1232</v>
      </c>
      <c r="F523" s="340" t="s">
        <v>894</v>
      </c>
      <c r="G523" s="340" t="s">
        <v>1458</v>
      </c>
      <c r="I523" s="340" t="s">
        <v>1459</v>
      </c>
      <c r="K523" s="343">
        <v>0</v>
      </c>
      <c r="L523" s="343">
        <v>-415.74</v>
      </c>
      <c r="M523" s="343">
        <v>-1133146.57</v>
      </c>
      <c r="O523" s="343">
        <v>0</v>
      </c>
    </row>
    <row r="524" spans="1:15" x14ac:dyDescent="0.3">
      <c r="A524" s="340" t="s">
        <v>891</v>
      </c>
      <c r="B524" s="350">
        <v>46052</v>
      </c>
      <c r="C524" s="350">
        <v>46052</v>
      </c>
      <c r="D524" s="351">
        <v>46023</v>
      </c>
      <c r="E524" s="340" t="s">
        <v>1460</v>
      </c>
      <c r="F524" s="340" t="s">
        <v>1078</v>
      </c>
      <c r="G524" s="340" t="s">
        <v>1458</v>
      </c>
      <c r="I524" s="340" t="s">
        <v>1459</v>
      </c>
      <c r="K524" s="343">
        <v>415.74</v>
      </c>
      <c r="L524" s="343">
        <v>0</v>
      </c>
      <c r="M524" s="343">
        <v>-1132730.83</v>
      </c>
      <c r="O524" s="343">
        <v>0</v>
      </c>
    </row>
    <row r="525" spans="1:15" x14ac:dyDescent="0.3">
      <c r="A525" s="340" t="s">
        <v>891</v>
      </c>
      <c r="B525" s="350">
        <v>46052</v>
      </c>
      <c r="C525" s="350">
        <v>46061</v>
      </c>
      <c r="D525" s="351">
        <v>46054</v>
      </c>
      <c r="E525" s="340" t="s">
        <v>1461</v>
      </c>
      <c r="F525" s="340" t="s">
        <v>894</v>
      </c>
      <c r="G525" s="340" t="s">
        <v>1462</v>
      </c>
      <c r="I525" s="340" t="s">
        <v>764</v>
      </c>
      <c r="K525" s="343">
        <v>0</v>
      </c>
      <c r="L525" s="343">
        <v>-86.6</v>
      </c>
      <c r="M525" s="343">
        <v>-1132817.43</v>
      </c>
      <c r="O525" s="343">
        <v>0</v>
      </c>
    </row>
    <row r="526" spans="1:15" x14ac:dyDescent="0.3">
      <c r="A526" s="340" t="s">
        <v>891</v>
      </c>
      <c r="B526" s="350">
        <v>46052</v>
      </c>
      <c r="C526" s="350">
        <v>46061</v>
      </c>
      <c r="D526" s="351">
        <v>46054</v>
      </c>
      <c r="E526" s="340" t="s">
        <v>1461</v>
      </c>
      <c r="F526" s="340" t="s">
        <v>894</v>
      </c>
      <c r="G526" s="340" t="s">
        <v>1463</v>
      </c>
      <c r="I526" s="340" t="s">
        <v>764</v>
      </c>
      <c r="K526" s="343">
        <v>0</v>
      </c>
      <c r="L526" s="343">
        <v>-54.13</v>
      </c>
      <c r="M526" s="343">
        <v>-1132871.56</v>
      </c>
      <c r="O526" s="343">
        <v>0</v>
      </c>
    </row>
    <row r="527" spans="1:15" x14ac:dyDescent="0.3">
      <c r="A527" s="340" t="s">
        <v>891</v>
      </c>
      <c r="B527" s="350">
        <v>46053</v>
      </c>
      <c r="C527" s="350">
        <v>46066</v>
      </c>
      <c r="D527" s="351">
        <v>46054</v>
      </c>
      <c r="E527" s="340" t="s">
        <v>1464</v>
      </c>
      <c r="F527" s="340" t="s">
        <v>894</v>
      </c>
      <c r="G527" s="340" t="s">
        <v>1465</v>
      </c>
      <c r="I527" s="340" t="s">
        <v>980</v>
      </c>
      <c r="K527" s="343">
        <v>0</v>
      </c>
      <c r="L527" s="343">
        <v>-1625.03</v>
      </c>
      <c r="M527" s="343">
        <v>-1134496.5900000001</v>
      </c>
      <c r="O527" s="343">
        <v>0</v>
      </c>
    </row>
    <row r="528" spans="1:15" x14ac:dyDescent="0.3">
      <c r="A528" s="340" t="s">
        <v>891</v>
      </c>
      <c r="B528" s="350">
        <v>46053</v>
      </c>
      <c r="C528" s="350">
        <v>46066</v>
      </c>
      <c r="D528" s="351">
        <v>46054</v>
      </c>
      <c r="E528" s="340" t="s">
        <v>1466</v>
      </c>
      <c r="F528" s="340" t="s">
        <v>894</v>
      </c>
      <c r="G528" s="340" t="s">
        <v>1467</v>
      </c>
      <c r="I528" s="340" t="s">
        <v>1468</v>
      </c>
      <c r="K528" s="343">
        <v>0</v>
      </c>
      <c r="L528" s="343">
        <v>-7662.38</v>
      </c>
      <c r="M528" s="343">
        <v>-1142158.97</v>
      </c>
      <c r="O528" s="343">
        <v>0</v>
      </c>
    </row>
    <row r="529" spans="1:15" x14ac:dyDescent="0.3">
      <c r="A529" s="340" t="s">
        <v>891</v>
      </c>
      <c r="B529" s="350">
        <v>46053</v>
      </c>
      <c r="C529" s="350">
        <v>46143</v>
      </c>
      <c r="D529" s="351">
        <v>46113</v>
      </c>
      <c r="E529" s="340" t="s">
        <v>1469</v>
      </c>
      <c r="F529" s="340" t="s">
        <v>894</v>
      </c>
      <c r="G529" s="340" t="s">
        <v>1470</v>
      </c>
      <c r="I529" s="340" t="s">
        <v>767</v>
      </c>
      <c r="K529" s="343">
        <v>0</v>
      </c>
      <c r="L529" s="343">
        <v>-159.9</v>
      </c>
      <c r="M529" s="343">
        <v>-1142318.8700000001</v>
      </c>
      <c r="O529" s="343">
        <v>0</v>
      </c>
    </row>
    <row r="530" spans="1:15" x14ac:dyDescent="0.3">
      <c r="A530" s="340" t="s">
        <v>891</v>
      </c>
      <c r="B530" s="350">
        <v>46054</v>
      </c>
      <c r="C530" s="350">
        <v>46070</v>
      </c>
      <c r="D530" s="351">
        <v>46054</v>
      </c>
      <c r="E530" s="340" t="s">
        <v>1471</v>
      </c>
      <c r="F530" s="340" t="s">
        <v>894</v>
      </c>
      <c r="G530" s="340" t="s">
        <v>1004</v>
      </c>
      <c r="I530" s="340" t="s">
        <v>1005</v>
      </c>
      <c r="K530" s="343">
        <v>0</v>
      </c>
      <c r="L530" s="343">
        <v>-5197</v>
      </c>
      <c r="M530" s="343">
        <v>-1147515.8700000001</v>
      </c>
      <c r="O530" s="343">
        <v>0</v>
      </c>
    </row>
    <row r="531" spans="1:15" x14ac:dyDescent="0.3">
      <c r="A531" s="340" t="s">
        <v>891</v>
      </c>
      <c r="B531" s="350">
        <v>46054</v>
      </c>
      <c r="C531" s="350">
        <v>46070</v>
      </c>
      <c r="D531" s="351">
        <v>46054</v>
      </c>
      <c r="E531" s="340" t="s">
        <v>1471</v>
      </c>
      <c r="F531" s="340" t="s">
        <v>894</v>
      </c>
      <c r="G531" s="340" t="s">
        <v>1007</v>
      </c>
      <c r="I531" s="340" t="s">
        <v>1005</v>
      </c>
      <c r="K531" s="343">
        <v>0</v>
      </c>
      <c r="L531" s="343">
        <v>-730.69</v>
      </c>
      <c r="M531" s="343">
        <v>-1148246.56</v>
      </c>
      <c r="O531" s="343">
        <v>0</v>
      </c>
    </row>
    <row r="532" spans="1:15" x14ac:dyDescent="0.3">
      <c r="A532" s="340" t="s">
        <v>891</v>
      </c>
      <c r="B532" s="350">
        <v>46054</v>
      </c>
      <c r="C532" s="350">
        <v>46070</v>
      </c>
      <c r="D532" s="351">
        <v>46054</v>
      </c>
      <c r="E532" s="340" t="s">
        <v>1472</v>
      </c>
      <c r="F532" s="340" t="s">
        <v>894</v>
      </c>
      <c r="G532" s="340" t="s">
        <v>1015</v>
      </c>
      <c r="I532" s="340" t="s">
        <v>751</v>
      </c>
      <c r="K532" s="343">
        <v>0</v>
      </c>
      <c r="L532" s="343">
        <v>-64.95</v>
      </c>
      <c r="M532" s="343">
        <v>-1148311.51</v>
      </c>
      <c r="O532" s="343">
        <v>0</v>
      </c>
    </row>
    <row r="533" spans="1:15" x14ac:dyDescent="0.3">
      <c r="A533" s="340" t="s">
        <v>891</v>
      </c>
      <c r="B533" s="350">
        <v>46054</v>
      </c>
      <c r="C533" s="350">
        <v>46075</v>
      </c>
      <c r="D533" s="351">
        <v>46054</v>
      </c>
      <c r="E533" s="340" t="s">
        <v>1473</v>
      </c>
      <c r="F533" s="340" t="s">
        <v>894</v>
      </c>
      <c r="G533" s="340" t="s">
        <v>1474</v>
      </c>
      <c r="I533" s="340" t="s">
        <v>773</v>
      </c>
      <c r="K533" s="343">
        <v>0</v>
      </c>
      <c r="L533" s="343">
        <v>-4330</v>
      </c>
      <c r="M533" s="343">
        <v>-1152641.51</v>
      </c>
      <c r="O533" s="343">
        <v>0</v>
      </c>
    </row>
    <row r="534" spans="1:15" x14ac:dyDescent="0.3">
      <c r="A534" s="340" t="s">
        <v>891</v>
      </c>
      <c r="B534" s="350">
        <v>46054</v>
      </c>
      <c r="C534" s="350">
        <v>46077</v>
      </c>
      <c r="D534" s="351">
        <v>46054</v>
      </c>
      <c r="E534" s="340" t="s">
        <v>1475</v>
      </c>
      <c r="F534" s="340" t="s">
        <v>894</v>
      </c>
      <c r="G534" s="340" t="s">
        <v>768</v>
      </c>
      <c r="I534" s="340" t="s">
        <v>768</v>
      </c>
      <c r="K534" s="343">
        <v>0</v>
      </c>
      <c r="L534" s="343">
        <v>-3354.76</v>
      </c>
      <c r="M534" s="343">
        <v>-1155996.27</v>
      </c>
      <c r="O534" s="343">
        <v>0</v>
      </c>
    </row>
    <row r="535" spans="1:15" x14ac:dyDescent="0.3">
      <c r="A535" s="340" t="s">
        <v>891</v>
      </c>
      <c r="B535" s="350">
        <v>46054</v>
      </c>
      <c r="C535" s="350">
        <v>46141</v>
      </c>
      <c r="D535" s="351">
        <v>46113</v>
      </c>
      <c r="E535" s="340" t="s">
        <v>1476</v>
      </c>
      <c r="F535" s="340" t="s">
        <v>894</v>
      </c>
      <c r="G535" s="340" t="s">
        <v>1477</v>
      </c>
      <c r="I535" s="340" t="s">
        <v>772</v>
      </c>
      <c r="K535" s="343">
        <v>0</v>
      </c>
      <c r="L535" s="343">
        <v>-10000</v>
      </c>
      <c r="M535" s="343">
        <v>-1165996.27</v>
      </c>
      <c r="O535" s="343">
        <v>0</v>
      </c>
    </row>
    <row r="536" spans="1:15" x14ac:dyDescent="0.3">
      <c r="A536" s="340" t="s">
        <v>891</v>
      </c>
      <c r="B536" s="350">
        <v>46054</v>
      </c>
      <c r="C536" s="350">
        <v>46156</v>
      </c>
      <c r="D536" s="351">
        <v>46143</v>
      </c>
      <c r="E536" s="340" t="s">
        <v>1478</v>
      </c>
      <c r="F536" s="340" t="s">
        <v>894</v>
      </c>
      <c r="G536" s="340" t="s">
        <v>923</v>
      </c>
      <c r="I536" s="340" t="s">
        <v>758</v>
      </c>
      <c r="K536" s="343">
        <v>0</v>
      </c>
      <c r="L536" s="343">
        <v>-362.5</v>
      </c>
      <c r="M536" s="343">
        <v>-1166358.77</v>
      </c>
      <c r="O536" s="343">
        <v>0</v>
      </c>
    </row>
    <row r="537" spans="1:15" x14ac:dyDescent="0.3">
      <c r="A537" s="340" t="s">
        <v>891</v>
      </c>
      <c r="B537" s="350">
        <v>46054</v>
      </c>
      <c r="C537" s="350">
        <v>46156</v>
      </c>
      <c r="D537" s="351">
        <v>46143</v>
      </c>
      <c r="E537" s="340" t="s">
        <v>1478</v>
      </c>
      <c r="F537" s="340" t="s">
        <v>894</v>
      </c>
      <c r="G537" s="340" t="s">
        <v>949</v>
      </c>
      <c r="I537" s="340" t="s">
        <v>758</v>
      </c>
      <c r="K537" s="343">
        <v>0</v>
      </c>
      <c r="L537" s="343">
        <v>-42.44</v>
      </c>
      <c r="M537" s="343">
        <v>-1166401.21</v>
      </c>
      <c r="O537" s="343">
        <v>0</v>
      </c>
    </row>
    <row r="538" spans="1:15" x14ac:dyDescent="0.3">
      <c r="A538" s="340" t="s">
        <v>891</v>
      </c>
      <c r="B538" s="350">
        <v>46054</v>
      </c>
      <c r="C538" s="350">
        <v>46156</v>
      </c>
      <c r="D538" s="351">
        <v>46143</v>
      </c>
      <c r="E538" s="340" t="s">
        <v>1478</v>
      </c>
      <c r="F538" s="340" t="s">
        <v>894</v>
      </c>
      <c r="G538" s="340" t="s">
        <v>948</v>
      </c>
      <c r="I538" s="340" t="s">
        <v>758</v>
      </c>
      <c r="K538" s="343">
        <v>0</v>
      </c>
      <c r="L538" s="343">
        <v>-211.5</v>
      </c>
      <c r="M538" s="343">
        <v>-1166612.71</v>
      </c>
      <c r="O538" s="343">
        <v>0</v>
      </c>
    </row>
    <row r="539" spans="1:15" x14ac:dyDescent="0.3">
      <c r="A539" s="340" t="s">
        <v>891</v>
      </c>
      <c r="B539" s="350">
        <v>46054</v>
      </c>
      <c r="C539" s="350">
        <v>46156</v>
      </c>
      <c r="D539" s="351">
        <v>46143</v>
      </c>
      <c r="E539" s="340" t="s">
        <v>1478</v>
      </c>
      <c r="F539" s="340" t="s">
        <v>894</v>
      </c>
      <c r="G539" s="340" t="s">
        <v>917</v>
      </c>
      <c r="I539" s="340" t="s">
        <v>758</v>
      </c>
      <c r="K539" s="343">
        <v>0</v>
      </c>
      <c r="L539" s="343">
        <v>-493.9</v>
      </c>
      <c r="M539" s="343">
        <v>-1167106.6100000001</v>
      </c>
      <c r="O539" s="343">
        <v>0</v>
      </c>
    </row>
    <row r="540" spans="1:15" x14ac:dyDescent="0.3">
      <c r="A540" s="340" t="s">
        <v>891</v>
      </c>
      <c r="B540" s="350">
        <v>46054</v>
      </c>
      <c r="C540" s="350">
        <v>46156</v>
      </c>
      <c r="D540" s="351">
        <v>46143</v>
      </c>
      <c r="E540" s="340" t="s">
        <v>1478</v>
      </c>
      <c r="F540" s="340" t="s">
        <v>894</v>
      </c>
      <c r="G540" s="340" t="s">
        <v>918</v>
      </c>
      <c r="I540" s="340" t="s">
        <v>758</v>
      </c>
      <c r="K540" s="343">
        <v>0</v>
      </c>
      <c r="L540" s="343">
        <v>-125</v>
      </c>
      <c r="M540" s="343">
        <v>-1167231.6100000001</v>
      </c>
      <c r="O540" s="343">
        <v>0</v>
      </c>
    </row>
    <row r="541" spans="1:15" x14ac:dyDescent="0.3">
      <c r="A541" s="340" t="s">
        <v>891</v>
      </c>
      <c r="B541" s="350">
        <v>46054</v>
      </c>
      <c r="C541" s="350">
        <v>46156</v>
      </c>
      <c r="D541" s="351">
        <v>46143</v>
      </c>
      <c r="E541" s="340" t="s">
        <v>1478</v>
      </c>
      <c r="F541" s="340" t="s">
        <v>894</v>
      </c>
      <c r="G541" s="340" t="s">
        <v>919</v>
      </c>
      <c r="I541" s="340" t="s">
        <v>758</v>
      </c>
      <c r="K541" s="343">
        <v>0</v>
      </c>
      <c r="L541" s="343">
        <v>-432.7</v>
      </c>
      <c r="M541" s="343">
        <v>-1167664.31</v>
      </c>
      <c r="O541" s="343">
        <v>0</v>
      </c>
    </row>
    <row r="542" spans="1:15" x14ac:dyDescent="0.3">
      <c r="A542" s="340" t="s">
        <v>891</v>
      </c>
      <c r="B542" s="350">
        <v>46054</v>
      </c>
      <c r="C542" s="350">
        <v>46156</v>
      </c>
      <c r="D542" s="351">
        <v>46143</v>
      </c>
      <c r="E542" s="340" t="s">
        <v>1478</v>
      </c>
      <c r="F542" s="340" t="s">
        <v>894</v>
      </c>
      <c r="G542" s="340" t="s">
        <v>921</v>
      </c>
      <c r="I542" s="340" t="s">
        <v>758</v>
      </c>
      <c r="K542" s="343">
        <v>0</v>
      </c>
      <c r="L542" s="343">
        <v>-160.19</v>
      </c>
      <c r="M542" s="343">
        <v>-1167824.5</v>
      </c>
      <c r="O542" s="343">
        <v>0</v>
      </c>
    </row>
    <row r="543" spans="1:15" x14ac:dyDescent="0.3">
      <c r="A543" s="340" t="s">
        <v>891</v>
      </c>
      <c r="B543" s="350">
        <v>46054</v>
      </c>
      <c r="C543" s="350">
        <v>46156</v>
      </c>
      <c r="D543" s="351">
        <v>46143</v>
      </c>
      <c r="E543" s="340" t="s">
        <v>1478</v>
      </c>
      <c r="F543" s="340" t="s">
        <v>894</v>
      </c>
      <c r="G543" s="340" t="s">
        <v>922</v>
      </c>
      <c r="I543" s="340" t="s">
        <v>758</v>
      </c>
      <c r="K543" s="343">
        <v>0</v>
      </c>
      <c r="L543" s="343">
        <v>-37.5</v>
      </c>
      <c r="M543" s="343">
        <v>-1167862</v>
      </c>
      <c r="O543" s="343">
        <v>0</v>
      </c>
    </row>
    <row r="544" spans="1:15" x14ac:dyDescent="0.3">
      <c r="A544" s="340" t="s">
        <v>891</v>
      </c>
      <c r="B544" s="350">
        <v>46054</v>
      </c>
      <c r="C544" s="350">
        <v>46156</v>
      </c>
      <c r="D544" s="351">
        <v>46143</v>
      </c>
      <c r="E544" s="340" t="s">
        <v>1478</v>
      </c>
      <c r="F544" s="340" t="s">
        <v>894</v>
      </c>
      <c r="G544" s="340" t="s">
        <v>940</v>
      </c>
      <c r="I544" s="340" t="s">
        <v>758</v>
      </c>
      <c r="K544" s="343">
        <v>0</v>
      </c>
      <c r="L544" s="343">
        <v>-122.38</v>
      </c>
      <c r="M544" s="343">
        <v>-1167984.3799999999</v>
      </c>
      <c r="O544" s="343">
        <v>0</v>
      </c>
    </row>
    <row r="545" spans="1:15" x14ac:dyDescent="0.3">
      <c r="A545" s="340" t="s">
        <v>891</v>
      </c>
      <c r="B545" s="350">
        <v>46054</v>
      </c>
      <c r="C545" s="350">
        <v>46156</v>
      </c>
      <c r="D545" s="351">
        <v>46143</v>
      </c>
      <c r="E545" s="340" t="s">
        <v>1479</v>
      </c>
      <c r="F545" s="340" t="s">
        <v>894</v>
      </c>
      <c r="G545" s="340" t="s">
        <v>917</v>
      </c>
      <c r="I545" s="340" t="s">
        <v>758</v>
      </c>
      <c r="K545" s="343">
        <v>0</v>
      </c>
      <c r="L545" s="343">
        <v>-493.9</v>
      </c>
      <c r="M545" s="343">
        <v>-1168478.28</v>
      </c>
      <c r="O545" s="343">
        <v>0</v>
      </c>
    </row>
    <row r="546" spans="1:15" x14ac:dyDescent="0.3">
      <c r="A546" s="340" t="s">
        <v>891</v>
      </c>
      <c r="B546" s="350">
        <v>46054</v>
      </c>
      <c r="C546" s="350">
        <v>46156</v>
      </c>
      <c r="D546" s="351">
        <v>46143</v>
      </c>
      <c r="E546" s="340" t="s">
        <v>1479</v>
      </c>
      <c r="F546" s="340" t="s">
        <v>894</v>
      </c>
      <c r="G546" s="340" t="s">
        <v>918</v>
      </c>
      <c r="I546" s="340" t="s">
        <v>758</v>
      </c>
      <c r="K546" s="343">
        <v>0</v>
      </c>
      <c r="L546" s="343">
        <v>-125</v>
      </c>
      <c r="M546" s="343">
        <v>-1168603.28</v>
      </c>
      <c r="O546" s="343">
        <v>0</v>
      </c>
    </row>
    <row r="547" spans="1:15" x14ac:dyDescent="0.3">
      <c r="A547" s="340" t="s">
        <v>891</v>
      </c>
      <c r="B547" s="350">
        <v>46054</v>
      </c>
      <c r="C547" s="350">
        <v>46156</v>
      </c>
      <c r="D547" s="351">
        <v>46143</v>
      </c>
      <c r="E547" s="340" t="s">
        <v>1479</v>
      </c>
      <c r="F547" s="340" t="s">
        <v>894</v>
      </c>
      <c r="G547" s="340" t="s">
        <v>825</v>
      </c>
      <c r="I547" s="340" t="s">
        <v>758</v>
      </c>
      <c r="K547" s="343">
        <v>0</v>
      </c>
      <c r="L547" s="343">
        <v>-1424.81</v>
      </c>
      <c r="M547" s="343">
        <v>-1170028.0900000001</v>
      </c>
      <c r="O547" s="343">
        <v>0</v>
      </c>
    </row>
    <row r="548" spans="1:15" x14ac:dyDescent="0.3">
      <c r="A548" s="340" t="s">
        <v>891</v>
      </c>
      <c r="B548" s="350">
        <v>46054</v>
      </c>
      <c r="C548" s="350">
        <v>46156</v>
      </c>
      <c r="D548" s="351">
        <v>46143</v>
      </c>
      <c r="E548" s="340" t="s">
        <v>1479</v>
      </c>
      <c r="F548" s="340" t="s">
        <v>894</v>
      </c>
      <c r="G548" s="340" t="s">
        <v>1480</v>
      </c>
      <c r="I548" s="340" t="s">
        <v>758</v>
      </c>
      <c r="K548" s="343">
        <v>0</v>
      </c>
      <c r="L548" s="343">
        <v>-25</v>
      </c>
      <c r="M548" s="343">
        <v>-1170053.0900000001</v>
      </c>
      <c r="O548" s="343">
        <v>0</v>
      </c>
    </row>
    <row r="549" spans="1:15" x14ac:dyDescent="0.3">
      <c r="A549" s="340" t="s">
        <v>891</v>
      </c>
      <c r="B549" s="350">
        <v>46054</v>
      </c>
      <c r="C549" s="350">
        <v>46156</v>
      </c>
      <c r="D549" s="351">
        <v>46143</v>
      </c>
      <c r="E549" s="340" t="s">
        <v>1479</v>
      </c>
      <c r="F549" s="340" t="s">
        <v>894</v>
      </c>
      <c r="G549" s="340" t="s">
        <v>1481</v>
      </c>
      <c r="I549" s="340" t="s">
        <v>758</v>
      </c>
      <c r="K549" s="343">
        <v>0</v>
      </c>
      <c r="L549" s="343">
        <v>-100</v>
      </c>
      <c r="M549" s="343">
        <v>-1170153.0900000001</v>
      </c>
      <c r="O549" s="343">
        <v>0</v>
      </c>
    </row>
    <row r="550" spans="1:15" x14ac:dyDescent="0.3">
      <c r="A550" s="340" t="s">
        <v>891</v>
      </c>
      <c r="B550" s="350">
        <v>46054</v>
      </c>
      <c r="C550" s="350">
        <v>46156</v>
      </c>
      <c r="D550" s="351">
        <v>46143</v>
      </c>
      <c r="E550" s="340" t="s">
        <v>1479</v>
      </c>
      <c r="F550" s="340" t="s">
        <v>894</v>
      </c>
      <c r="G550" s="340" t="s">
        <v>914</v>
      </c>
      <c r="I550" s="340" t="s">
        <v>758</v>
      </c>
      <c r="K550" s="343">
        <v>0</v>
      </c>
      <c r="L550" s="343">
        <v>-224.34</v>
      </c>
      <c r="M550" s="343">
        <v>-1170377.43</v>
      </c>
      <c r="O550" s="343">
        <v>0</v>
      </c>
    </row>
    <row r="551" spans="1:15" x14ac:dyDescent="0.3">
      <c r="A551" s="340" t="s">
        <v>891</v>
      </c>
      <c r="B551" s="350">
        <v>46054</v>
      </c>
      <c r="C551" s="350">
        <v>46156</v>
      </c>
      <c r="D551" s="351">
        <v>46143</v>
      </c>
      <c r="E551" s="340" t="s">
        <v>1479</v>
      </c>
      <c r="F551" s="340" t="s">
        <v>894</v>
      </c>
      <c r="G551" s="340" t="s">
        <v>915</v>
      </c>
      <c r="I551" s="340" t="s">
        <v>758</v>
      </c>
      <c r="K551" s="343">
        <v>0</v>
      </c>
      <c r="L551" s="343">
        <v>-285.06</v>
      </c>
      <c r="M551" s="343">
        <v>-1170662.49</v>
      </c>
      <c r="O551" s="343">
        <v>0</v>
      </c>
    </row>
    <row r="552" spans="1:15" x14ac:dyDescent="0.3">
      <c r="A552" s="340" t="s">
        <v>891</v>
      </c>
      <c r="B552" s="350">
        <v>46054</v>
      </c>
      <c r="C552" s="350">
        <v>46156</v>
      </c>
      <c r="D552" s="351">
        <v>46143</v>
      </c>
      <c r="E552" s="340" t="s">
        <v>1479</v>
      </c>
      <c r="F552" s="340" t="s">
        <v>894</v>
      </c>
      <c r="G552" s="340" t="s">
        <v>1482</v>
      </c>
      <c r="I552" s="340" t="s">
        <v>758</v>
      </c>
      <c r="K552" s="343">
        <v>0</v>
      </c>
      <c r="L552" s="343">
        <v>-322.06</v>
      </c>
      <c r="M552" s="343">
        <v>-1170984.55</v>
      </c>
      <c r="O552" s="343">
        <v>0</v>
      </c>
    </row>
    <row r="553" spans="1:15" x14ac:dyDescent="0.3">
      <c r="A553" s="340" t="s">
        <v>891</v>
      </c>
      <c r="B553" s="350">
        <v>46054</v>
      </c>
      <c r="C553" s="350">
        <v>46156</v>
      </c>
      <c r="D553" s="351">
        <v>46143</v>
      </c>
      <c r="E553" s="340" t="s">
        <v>1479</v>
      </c>
      <c r="F553" s="340" t="s">
        <v>894</v>
      </c>
      <c r="G553" s="340" t="s">
        <v>919</v>
      </c>
      <c r="I553" s="340" t="s">
        <v>758</v>
      </c>
      <c r="K553" s="343">
        <v>0</v>
      </c>
      <c r="L553" s="343">
        <v>-383.2</v>
      </c>
      <c r="M553" s="343">
        <v>-1171367.75</v>
      </c>
      <c r="O553" s="343">
        <v>0</v>
      </c>
    </row>
    <row r="554" spans="1:15" x14ac:dyDescent="0.3">
      <c r="A554" s="340" t="s">
        <v>891</v>
      </c>
      <c r="B554" s="350">
        <v>46054</v>
      </c>
      <c r="C554" s="350">
        <v>46156</v>
      </c>
      <c r="D554" s="351">
        <v>46143</v>
      </c>
      <c r="E554" s="340" t="s">
        <v>1479</v>
      </c>
      <c r="F554" s="340" t="s">
        <v>894</v>
      </c>
      <c r="G554" s="340" t="s">
        <v>920</v>
      </c>
      <c r="I554" s="340" t="s">
        <v>758</v>
      </c>
      <c r="K554" s="343">
        <v>0</v>
      </c>
      <c r="L554" s="343">
        <v>-128.94</v>
      </c>
      <c r="M554" s="343">
        <v>-1171496.69</v>
      </c>
      <c r="O554" s="343">
        <v>0</v>
      </c>
    </row>
    <row r="555" spans="1:15" x14ac:dyDescent="0.3">
      <c r="A555" s="340" t="s">
        <v>891</v>
      </c>
      <c r="B555" s="350">
        <v>46054</v>
      </c>
      <c r="C555" s="350">
        <v>46156</v>
      </c>
      <c r="D555" s="351">
        <v>46143</v>
      </c>
      <c r="E555" s="340" t="s">
        <v>1479</v>
      </c>
      <c r="F555" s="340" t="s">
        <v>894</v>
      </c>
      <c r="G555" s="340" t="s">
        <v>921</v>
      </c>
      <c r="I555" s="340" t="s">
        <v>758</v>
      </c>
      <c r="K555" s="343">
        <v>0</v>
      </c>
      <c r="L555" s="343">
        <v>-160.19</v>
      </c>
      <c r="M555" s="343">
        <v>-1171656.8799999999</v>
      </c>
      <c r="O555" s="343">
        <v>0</v>
      </c>
    </row>
    <row r="556" spans="1:15" x14ac:dyDescent="0.3">
      <c r="A556" s="340" t="s">
        <v>891</v>
      </c>
      <c r="B556" s="350">
        <v>46054</v>
      </c>
      <c r="C556" s="350">
        <v>46156</v>
      </c>
      <c r="D556" s="351">
        <v>46143</v>
      </c>
      <c r="E556" s="340" t="s">
        <v>1479</v>
      </c>
      <c r="F556" s="340" t="s">
        <v>894</v>
      </c>
      <c r="G556" s="340" t="s">
        <v>923</v>
      </c>
      <c r="I556" s="340" t="s">
        <v>758</v>
      </c>
      <c r="K556" s="343">
        <v>0</v>
      </c>
      <c r="L556" s="343">
        <v>-562.5</v>
      </c>
      <c r="M556" s="343">
        <v>-1172219.3799999999</v>
      </c>
      <c r="O556" s="343">
        <v>0</v>
      </c>
    </row>
    <row r="557" spans="1:15" x14ac:dyDescent="0.3">
      <c r="A557" s="340" t="s">
        <v>891</v>
      </c>
      <c r="B557" s="350">
        <v>46054</v>
      </c>
      <c r="C557" s="350">
        <v>46156</v>
      </c>
      <c r="D557" s="351">
        <v>46143</v>
      </c>
      <c r="E557" s="340" t="s">
        <v>1479</v>
      </c>
      <c r="F557" s="340" t="s">
        <v>894</v>
      </c>
      <c r="G557" s="340" t="s">
        <v>948</v>
      </c>
      <c r="I557" s="340" t="s">
        <v>758</v>
      </c>
      <c r="K557" s="343">
        <v>0</v>
      </c>
      <c r="L557" s="343">
        <v>-209.19</v>
      </c>
      <c r="M557" s="343">
        <v>-1172428.57</v>
      </c>
      <c r="O557" s="343">
        <v>0</v>
      </c>
    </row>
    <row r="558" spans="1:15" x14ac:dyDescent="0.3">
      <c r="A558" s="340" t="s">
        <v>891</v>
      </c>
      <c r="B558" s="350">
        <v>46054</v>
      </c>
      <c r="C558" s="350">
        <v>46156</v>
      </c>
      <c r="D558" s="351">
        <v>46143</v>
      </c>
      <c r="E558" s="340" t="s">
        <v>1479</v>
      </c>
      <c r="F558" s="340" t="s">
        <v>894</v>
      </c>
      <c r="G558" s="340" t="s">
        <v>949</v>
      </c>
      <c r="I558" s="340" t="s">
        <v>758</v>
      </c>
      <c r="K558" s="343">
        <v>0</v>
      </c>
      <c r="L558" s="343">
        <v>-364.15</v>
      </c>
      <c r="M558" s="343">
        <v>-1172792.72</v>
      </c>
      <c r="O558" s="343">
        <v>0</v>
      </c>
    </row>
    <row r="559" spans="1:15" x14ac:dyDescent="0.3">
      <c r="A559" s="340" t="s">
        <v>891</v>
      </c>
      <c r="B559" s="350">
        <v>46054</v>
      </c>
      <c r="C559" s="350">
        <v>46156</v>
      </c>
      <c r="D559" s="351">
        <v>46143</v>
      </c>
      <c r="E559" s="340" t="s">
        <v>1479</v>
      </c>
      <c r="F559" s="340" t="s">
        <v>894</v>
      </c>
      <c r="G559" s="340" t="s">
        <v>1483</v>
      </c>
      <c r="I559" s="340" t="s">
        <v>758</v>
      </c>
      <c r="K559" s="343">
        <v>0</v>
      </c>
      <c r="L559" s="343">
        <v>-375</v>
      </c>
      <c r="M559" s="343">
        <v>-1173167.72</v>
      </c>
      <c r="O559" s="343">
        <v>0</v>
      </c>
    </row>
    <row r="560" spans="1:15" x14ac:dyDescent="0.3">
      <c r="A560" s="340" t="s">
        <v>891</v>
      </c>
      <c r="B560" s="350">
        <v>46054</v>
      </c>
      <c r="C560" s="350">
        <v>46159</v>
      </c>
      <c r="D560" s="351">
        <v>46143</v>
      </c>
      <c r="E560" s="340" t="s">
        <v>1484</v>
      </c>
      <c r="F560" s="340" t="s">
        <v>894</v>
      </c>
      <c r="G560" s="340" t="s">
        <v>1024</v>
      </c>
      <c r="I560" s="340" t="s">
        <v>767</v>
      </c>
      <c r="K560" s="343">
        <v>0</v>
      </c>
      <c r="L560" s="343">
        <v>-431.52</v>
      </c>
      <c r="M560" s="343">
        <v>-1173599.24</v>
      </c>
      <c r="O560" s="343">
        <v>0</v>
      </c>
    </row>
    <row r="561" spans="1:15" x14ac:dyDescent="0.3">
      <c r="A561" s="340" t="s">
        <v>891</v>
      </c>
      <c r="B561" s="350">
        <v>46055</v>
      </c>
      <c r="C561" s="350">
        <v>46056</v>
      </c>
      <c r="D561" s="351">
        <v>46054</v>
      </c>
      <c r="E561" s="340" t="s">
        <v>1485</v>
      </c>
      <c r="F561" s="340" t="s">
        <v>1078</v>
      </c>
      <c r="G561" s="340" t="s">
        <v>1362</v>
      </c>
      <c r="I561" s="340" t="s">
        <v>1363</v>
      </c>
      <c r="K561" s="343">
        <v>121.75</v>
      </c>
      <c r="L561" s="343">
        <v>0</v>
      </c>
      <c r="M561" s="343">
        <v>-1173477.49</v>
      </c>
      <c r="O561" s="343">
        <v>0</v>
      </c>
    </row>
    <row r="562" spans="1:15" x14ac:dyDescent="0.3">
      <c r="A562" s="340" t="s">
        <v>891</v>
      </c>
      <c r="B562" s="350">
        <v>46055</v>
      </c>
      <c r="C562" s="350">
        <v>46069</v>
      </c>
      <c r="D562" s="351">
        <v>46054</v>
      </c>
      <c r="E562" s="340" t="s">
        <v>1232</v>
      </c>
      <c r="F562" s="340" t="s">
        <v>894</v>
      </c>
      <c r="G562" s="340" t="s">
        <v>1362</v>
      </c>
      <c r="I562" s="340" t="s">
        <v>1486</v>
      </c>
      <c r="K562" s="343">
        <v>0</v>
      </c>
      <c r="L562" s="343">
        <v>-319.77999999999997</v>
      </c>
      <c r="M562" s="343">
        <v>-1173797.27</v>
      </c>
      <c r="O562" s="343">
        <v>0</v>
      </c>
    </row>
    <row r="563" spans="1:15" x14ac:dyDescent="0.3">
      <c r="A563" s="340" t="s">
        <v>891</v>
      </c>
      <c r="B563" s="350">
        <v>46055</v>
      </c>
      <c r="C563" s="350">
        <v>46069</v>
      </c>
      <c r="D563" s="351">
        <v>46054</v>
      </c>
      <c r="E563" s="340" t="s">
        <v>1232</v>
      </c>
      <c r="F563" s="340" t="s">
        <v>894</v>
      </c>
      <c r="G563" s="340" t="s">
        <v>1487</v>
      </c>
      <c r="I563" s="340" t="s">
        <v>1488</v>
      </c>
      <c r="K563" s="343">
        <v>0</v>
      </c>
      <c r="L563" s="343">
        <v>-651</v>
      </c>
      <c r="M563" s="343">
        <v>-1174448.27</v>
      </c>
      <c r="O563" s="343">
        <v>0</v>
      </c>
    </row>
    <row r="564" spans="1:15" x14ac:dyDescent="0.3">
      <c r="A564" s="340" t="s">
        <v>891</v>
      </c>
      <c r="B564" s="350">
        <v>46055</v>
      </c>
      <c r="C564" s="350">
        <v>46069</v>
      </c>
      <c r="D564" s="351">
        <v>46054</v>
      </c>
      <c r="E564" s="340" t="s">
        <v>1232</v>
      </c>
      <c r="F564" s="340" t="s">
        <v>894</v>
      </c>
      <c r="G564" s="340" t="s">
        <v>1362</v>
      </c>
      <c r="I564" s="340" t="s">
        <v>1489</v>
      </c>
      <c r="K564" s="343">
        <v>0</v>
      </c>
      <c r="L564" s="343">
        <v>-150</v>
      </c>
      <c r="M564" s="343">
        <v>-1174598.27</v>
      </c>
      <c r="O564" s="343">
        <v>0</v>
      </c>
    </row>
    <row r="565" spans="1:15" x14ac:dyDescent="0.3">
      <c r="A565" s="340" t="s">
        <v>891</v>
      </c>
      <c r="B565" s="350">
        <v>46055</v>
      </c>
      <c r="C565" s="350">
        <v>46069</v>
      </c>
      <c r="D565" s="351">
        <v>46054</v>
      </c>
      <c r="E565" s="340" t="s">
        <v>1232</v>
      </c>
      <c r="F565" s="340" t="s">
        <v>894</v>
      </c>
      <c r="G565" s="340" t="s">
        <v>1362</v>
      </c>
      <c r="I565" s="340" t="s">
        <v>1490</v>
      </c>
      <c r="K565" s="343">
        <v>0</v>
      </c>
      <c r="L565" s="343">
        <v>-150</v>
      </c>
      <c r="M565" s="343">
        <v>-1174748.27</v>
      </c>
      <c r="O565" s="343">
        <v>0</v>
      </c>
    </row>
    <row r="566" spans="1:15" x14ac:dyDescent="0.3">
      <c r="A566" s="340" t="s">
        <v>891</v>
      </c>
      <c r="B566" s="350">
        <v>46055</v>
      </c>
      <c r="C566" s="350">
        <v>46069</v>
      </c>
      <c r="D566" s="351">
        <v>46054</v>
      </c>
      <c r="E566" s="340" t="s">
        <v>1232</v>
      </c>
      <c r="F566" s="340" t="s">
        <v>894</v>
      </c>
      <c r="G566" s="340" t="s">
        <v>1487</v>
      </c>
      <c r="I566" s="340" t="s">
        <v>1491</v>
      </c>
      <c r="K566" s="343">
        <v>0</v>
      </c>
      <c r="L566" s="343">
        <v>-59</v>
      </c>
      <c r="M566" s="343">
        <v>-1174807.27</v>
      </c>
      <c r="O566" s="343">
        <v>0</v>
      </c>
    </row>
    <row r="567" spans="1:15" x14ac:dyDescent="0.3">
      <c r="A567" s="340" t="s">
        <v>891</v>
      </c>
      <c r="B567" s="350">
        <v>46055</v>
      </c>
      <c r="C567" s="350">
        <v>46069</v>
      </c>
      <c r="D567" s="351">
        <v>46054</v>
      </c>
      <c r="E567" s="340" t="s">
        <v>1232</v>
      </c>
      <c r="F567" s="340" t="s">
        <v>894</v>
      </c>
      <c r="G567" s="340" t="s">
        <v>1362</v>
      </c>
      <c r="I567" s="340" t="s">
        <v>1491</v>
      </c>
      <c r="K567" s="343">
        <v>0</v>
      </c>
      <c r="L567" s="343">
        <v>-750</v>
      </c>
      <c r="M567" s="343">
        <v>-1175557.27</v>
      </c>
      <c r="O567" s="343">
        <v>0</v>
      </c>
    </row>
    <row r="568" spans="1:15" x14ac:dyDescent="0.3">
      <c r="A568" s="340" t="s">
        <v>891</v>
      </c>
      <c r="B568" s="350">
        <v>46055</v>
      </c>
      <c r="C568" s="350">
        <v>46069</v>
      </c>
      <c r="D568" s="351">
        <v>46054</v>
      </c>
      <c r="E568" s="340" t="s">
        <v>1492</v>
      </c>
      <c r="F568" s="340" t="s">
        <v>894</v>
      </c>
      <c r="G568" s="340" t="s">
        <v>1493</v>
      </c>
      <c r="I568" s="340" t="s">
        <v>753</v>
      </c>
      <c r="K568" s="343">
        <v>0</v>
      </c>
      <c r="L568" s="343">
        <v>-556.25</v>
      </c>
      <c r="M568" s="343">
        <v>-1176113.52</v>
      </c>
      <c r="O568" s="343">
        <v>0</v>
      </c>
    </row>
    <row r="569" spans="1:15" x14ac:dyDescent="0.3">
      <c r="A569" s="340" t="s">
        <v>891</v>
      </c>
      <c r="B569" s="350">
        <v>46055</v>
      </c>
      <c r="C569" s="350">
        <v>46071</v>
      </c>
      <c r="D569" s="351">
        <v>46054</v>
      </c>
      <c r="E569" s="340" t="s">
        <v>1494</v>
      </c>
      <c r="F569" s="340" t="s">
        <v>894</v>
      </c>
      <c r="G569" s="340" t="s">
        <v>1495</v>
      </c>
      <c r="I569" s="340" t="s">
        <v>740</v>
      </c>
      <c r="K569" s="343">
        <v>0</v>
      </c>
      <c r="L569" s="343">
        <v>-81.19</v>
      </c>
      <c r="M569" s="343">
        <v>-1176194.71</v>
      </c>
      <c r="O569" s="343">
        <v>0</v>
      </c>
    </row>
    <row r="570" spans="1:15" x14ac:dyDescent="0.3">
      <c r="A570" s="340" t="s">
        <v>891</v>
      </c>
      <c r="B570" s="350">
        <v>46055</v>
      </c>
      <c r="C570" s="350">
        <v>46071</v>
      </c>
      <c r="D570" s="351">
        <v>46054</v>
      </c>
      <c r="E570" s="340" t="s">
        <v>1496</v>
      </c>
      <c r="F570" s="340" t="s">
        <v>894</v>
      </c>
      <c r="G570" s="340" t="s">
        <v>1497</v>
      </c>
      <c r="I570" s="340" t="s">
        <v>740</v>
      </c>
      <c r="K570" s="343">
        <v>0</v>
      </c>
      <c r="L570" s="343">
        <v>-200.26</v>
      </c>
      <c r="M570" s="343">
        <v>-1176394.97</v>
      </c>
      <c r="O570" s="343">
        <v>0</v>
      </c>
    </row>
    <row r="571" spans="1:15" x14ac:dyDescent="0.3">
      <c r="A571" s="340" t="s">
        <v>891</v>
      </c>
      <c r="B571" s="350">
        <v>46055</v>
      </c>
      <c r="C571" s="350">
        <v>46073</v>
      </c>
      <c r="D571" s="351">
        <v>46054</v>
      </c>
      <c r="E571" s="340" t="s">
        <v>1498</v>
      </c>
      <c r="F571" s="340" t="s">
        <v>894</v>
      </c>
      <c r="G571" s="340" t="s">
        <v>1499</v>
      </c>
      <c r="I571" s="340" t="s">
        <v>740</v>
      </c>
      <c r="K571" s="343">
        <v>0</v>
      </c>
      <c r="L571" s="343">
        <v>-15</v>
      </c>
      <c r="M571" s="343">
        <v>-1176409.97</v>
      </c>
      <c r="O571" s="343">
        <v>0</v>
      </c>
    </row>
    <row r="572" spans="1:15" x14ac:dyDescent="0.3">
      <c r="A572" s="340" t="s">
        <v>891</v>
      </c>
      <c r="B572" s="350">
        <v>46055</v>
      </c>
      <c r="C572" s="350">
        <v>46073</v>
      </c>
      <c r="D572" s="351">
        <v>46054</v>
      </c>
      <c r="E572" s="340" t="s">
        <v>1498</v>
      </c>
      <c r="F572" s="340" t="s">
        <v>894</v>
      </c>
      <c r="G572" s="340" t="s">
        <v>1500</v>
      </c>
      <c r="I572" s="340" t="s">
        <v>740</v>
      </c>
      <c r="K572" s="343">
        <v>0</v>
      </c>
      <c r="L572" s="343">
        <v>-129.9</v>
      </c>
      <c r="M572" s="343">
        <v>-1176539.8700000001</v>
      </c>
      <c r="O572" s="343">
        <v>0</v>
      </c>
    </row>
    <row r="573" spans="1:15" x14ac:dyDescent="0.3">
      <c r="A573" s="340" t="s">
        <v>891</v>
      </c>
      <c r="B573" s="350">
        <v>46055</v>
      </c>
      <c r="C573" s="350">
        <v>46073</v>
      </c>
      <c r="D573" s="351">
        <v>46054</v>
      </c>
      <c r="E573" s="340" t="s">
        <v>1498</v>
      </c>
      <c r="F573" s="340" t="s">
        <v>894</v>
      </c>
      <c r="G573" s="340" t="s">
        <v>1501</v>
      </c>
      <c r="I573" s="340" t="s">
        <v>740</v>
      </c>
      <c r="K573" s="343">
        <v>0</v>
      </c>
      <c r="L573" s="343">
        <v>-129.9</v>
      </c>
      <c r="M573" s="343">
        <v>-1176669.77</v>
      </c>
      <c r="O573" s="343">
        <v>0</v>
      </c>
    </row>
    <row r="574" spans="1:15" x14ac:dyDescent="0.3">
      <c r="A574" s="340" t="s">
        <v>891</v>
      </c>
      <c r="B574" s="350">
        <v>46055</v>
      </c>
      <c r="C574" s="350">
        <v>46078</v>
      </c>
      <c r="D574" s="351">
        <v>46054</v>
      </c>
      <c r="E574" s="340" t="s">
        <v>1502</v>
      </c>
      <c r="F574" s="340" t="s">
        <v>894</v>
      </c>
      <c r="G574" s="340" t="s">
        <v>1026</v>
      </c>
      <c r="I574" s="340" t="s">
        <v>744</v>
      </c>
      <c r="K574" s="343">
        <v>0</v>
      </c>
      <c r="L574" s="343">
        <v>-1091.2</v>
      </c>
      <c r="M574" s="343">
        <v>-1177760.97</v>
      </c>
      <c r="O574" s="343">
        <v>0</v>
      </c>
    </row>
    <row r="575" spans="1:15" x14ac:dyDescent="0.3">
      <c r="A575" s="340" t="s">
        <v>891</v>
      </c>
      <c r="B575" s="350">
        <v>46055</v>
      </c>
      <c r="C575" s="350">
        <v>46137</v>
      </c>
      <c r="D575" s="351">
        <v>46113</v>
      </c>
      <c r="E575" s="340" t="s">
        <v>1503</v>
      </c>
      <c r="F575" s="340" t="s">
        <v>894</v>
      </c>
      <c r="G575" s="340" t="s">
        <v>1021</v>
      </c>
      <c r="I575" s="340" t="s">
        <v>1022</v>
      </c>
      <c r="K575" s="343">
        <v>0</v>
      </c>
      <c r="L575" s="343">
        <v>-6150</v>
      </c>
      <c r="M575" s="343">
        <v>-1183910.97</v>
      </c>
      <c r="O575" s="343">
        <v>0</v>
      </c>
    </row>
    <row r="576" spans="1:15" x14ac:dyDescent="0.3">
      <c r="A576" s="340" t="s">
        <v>891</v>
      </c>
      <c r="B576" s="350">
        <v>46057</v>
      </c>
      <c r="C576" s="350">
        <v>46069</v>
      </c>
      <c r="D576" s="351">
        <v>46054</v>
      </c>
      <c r="E576" s="340" t="s">
        <v>1504</v>
      </c>
      <c r="F576" s="340" t="s">
        <v>894</v>
      </c>
      <c r="G576" s="340" t="s">
        <v>1505</v>
      </c>
      <c r="I576" s="340" t="s">
        <v>753</v>
      </c>
      <c r="K576" s="343">
        <v>0</v>
      </c>
      <c r="L576" s="343">
        <v>-757.75</v>
      </c>
      <c r="M576" s="343">
        <v>-1184668.72</v>
      </c>
      <c r="O576" s="343">
        <v>0</v>
      </c>
    </row>
    <row r="577" spans="1:15" x14ac:dyDescent="0.3">
      <c r="A577" s="340" t="s">
        <v>891</v>
      </c>
      <c r="B577" s="350">
        <v>46058</v>
      </c>
      <c r="C577" s="350">
        <v>46081</v>
      </c>
      <c r="D577" s="351">
        <v>46054</v>
      </c>
      <c r="E577" s="340" t="s">
        <v>1506</v>
      </c>
      <c r="F577" s="340" t="s">
        <v>894</v>
      </c>
      <c r="G577" s="340" t="s">
        <v>1039</v>
      </c>
      <c r="I577" s="340" t="s">
        <v>746</v>
      </c>
      <c r="K577" s="343">
        <v>0</v>
      </c>
      <c r="L577" s="343">
        <v>-32225.13</v>
      </c>
      <c r="M577" s="343">
        <v>-1216893.8500000001</v>
      </c>
      <c r="O577" s="343">
        <v>0</v>
      </c>
    </row>
    <row r="578" spans="1:15" x14ac:dyDescent="0.3">
      <c r="A578" s="340" t="s">
        <v>891</v>
      </c>
      <c r="B578" s="350">
        <v>46059</v>
      </c>
      <c r="C578" s="350">
        <v>46059</v>
      </c>
      <c r="D578" s="351">
        <v>46054</v>
      </c>
      <c r="E578" s="340" t="s">
        <v>1507</v>
      </c>
      <c r="F578" s="340" t="s">
        <v>894</v>
      </c>
      <c r="G578" s="340" t="s">
        <v>1508</v>
      </c>
      <c r="I578" s="340" t="s">
        <v>745</v>
      </c>
      <c r="K578" s="343">
        <v>0</v>
      </c>
      <c r="L578" s="343">
        <v>-58.54</v>
      </c>
      <c r="M578" s="343">
        <v>-1216952.3899999999</v>
      </c>
      <c r="O578" s="343">
        <v>0</v>
      </c>
    </row>
    <row r="579" spans="1:15" x14ac:dyDescent="0.3">
      <c r="A579" s="340" t="s">
        <v>891</v>
      </c>
      <c r="B579" s="350">
        <v>46059</v>
      </c>
      <c r="C579" s="350">
        <v>46059</v>
      </c>
      <c r="D579" s="351">
        <v>46054</v>
      </c>
      <c r="E579" s="340" t="s">
        <v>1507</v>
      </c>
      <c r="F579" s="340" t="s">
        <v>894</v>
      </c>
      <c r="G579" s="340" t="s">
        <v>1509</v>
      </c>
      <c r="I579" s="340" t="s">
        <v>745</v>
      </c>
      <c r="K579" s="343">
        <v>0</v>
      </c>
      <c r="L579" s="343">
        <v>-560.13</v>
      </c>
      <c r="M579" s="343">
        <v>-1217512.52</v>
      </c>
      <c r="O579" s="343">
        <v>0</v>
      </c>
    </row>
    <row r="580" spans="1:15" x14ac:dyDescent="0.3">
      <c r="A580" s="340" t="s">
        <v>891</v>
      </c>
      <c r="B580" s="350">
        <v>46059</v>
      </c>
      <c r="C580" s="350">
        <v>46059</v>
      </c>
      <c r="D580" s="351">
        <v>46054</v>
      </c>
      <c r="E580" s="340" t="s">
        <v>1507</v>
      </c>
      <c r="F580" s="340" t="s">
        <v>894</v>
      </c>
      <c r="G580" s="340" t="s">
        <v>1510</v>
      </c>
      <c r="I580" s="340" t="s">
        <v>745</v>
      </c>
      <c r="K580" s="343">
        <v>0</v>
      </c>
      <c r="L580" s="343">
        <v>-181.33</v>
      </c>
      <c r="M580" s="343">
        <v>-1217693.8500000001</v>
      </c>
      <c r="O580" s="343">
        <v>0</v>
      </c>
    </row>
    <row r="581" spans="1:15" x14ac:dyDescent="0.3">
      <c r="A581" s="340" t="s">
        <v>891</v>
      </c>
      <c r="B581" s="350">
        <v>46059</v>
      </c>
      <c r="C581" s="350">
        <v>46059</v>
      </c>
      <c r="D581" s="351">
        <v>46054</v>
      </c>
      <c r="E581" s="340" t="s">
        <v>1507</v>
      </c>
      <c r="F581" s="340" t="s">
        <v>894</v>
      </c>
      <c r="G581" s="340" t="s">
        <v>1511</v>
      </c>
      <c r="I581" s="340" t="s">
        <v>745</v>
      </c>
      <c r="K581" s="343">
        <v>0</v>
      </c>
      <c r="L581" s="343">
        <v>-62.79</v>
      </c>
      <c r="M581" s="343">
        <v>-1217756.6399999999</v>
      </c>
      <c r="O581" s="343">
        <v>0</v>
      </c>
    </row>
    <row r="582" spans="1:15" x14ac:dyDescent="0.3">
      <c r="A582" s="340" t="s">
        <v>891</v>
      </c>
      <c r="B582" s="350">
        <v>46059</v>
      </c>
      <c r="C582" s="350">
        <v>46059</v>
      </c>
      <c r="D582" s="351">
        <v>46054</v>
      </c>
      <c r="E582" s="340" t="s">
        <v>1507</v>
      </c>
      <c r="F582" s="340" t="s">
        <v>894</v>
      </c>
      <c r="G582" s="340" t="s">
        <v>1512</v>
      </c>
      <c r="I582" s="340" t="s">
        <v>745</v>
      </c>
      <c r="K582" s="343">
        <v>0</v>
      </c>
      <c r="L582" s="343">
        <v>-332.98</v>
      </c>
      <c r="M582" s="343">
        <v>-1218089.6200000001</v>
      </c>
      <c r="O582" s="343">
        <v>0</v>
      </c>
    </row>
    <row r="583" spans="1:15" x14ac:dyDescent="0.3">
      <c r="A583" s="340" t="s">
        <v>891</v>
      </c>
      <c r="B583" s="350">
        <v>46059</v>
      </c>
      <c r="C583" s="350">
        <v>46059</v>
      </c>
      <c r="D583" s="351">
        <v>46054</v>
      </c>
      <c r="E583" s="340" t="s">
        <v>1507</v>
      </c>
      <c r="F583" s="340" t="s">
        <v>894</v>
      </c>
      <c r="G583" s="340" t="s">
        <v>1513</v>
      </c>
      <c r="I583" s="340" t="s">
        <v>745</v>
      </c>
      <c r="K583" s="343">
        <v>0</v>
      </c>
      <c r="L583" s="343">
        <v>-11.98</v>
      </c>
      <c r="M583" s="343">
        <v>-1218101.6000000001</v>
      </c>
      <c r="O583" s="343">
        <v>0</v>
      </c>
    </row>
    <row r="584" spans="1:15" x14ac:dyDescent="0.3">
      <c r="A584" s="340" t="s">
        <v>891</v>
      </c>
      <c r="B584" s="350">
        <v>46059</v>
      </c>
      <c r="C584" s="350">
        <v>46059</v>
      </c>
      <c r="D584" s="351">
        <v>46054</v>
      </c>
      <c r="E584" s="340" t="s">
        <v>1507</v>
      </c>
      <c r="F584" s="340" t="s">
        <v>894</v>
      </c>
      <c r="G584" s="340" t="s">
        <v>1514</v>
      </c>
      <c r="I584" s="340" t="s">
        <v>745</v>
      </c>
      <c r="K584" s="343">
        <v>0</v>
      </c>
      <c r="L584" s="343">
        <v>-315.82</v>
      </c>
      <c r="M584" s="343">
        <v>-1218417.42</v>
      </c>
      <c r="O584" s="343">
        <v>0</v>
      </c>
    </row>
    <row r="585" spans="1:15" x14ac:dyDescent="0.3">
      <c r="A585" s="340" t="s">
        <v>891</v>
      </c>
      <c r="B585" s="350">
        <v>46059</v>
      </c>
      <c r="C585" s="350">
        <v>46059</v>
      </c>
      <c r="D585" s="351">
        <v>46054</v>
      </c>
      <c r="E585" s="340" t="s">
        <v>1507</v>
      </c>
      <c r="F585" s="340" t="s">
        <v>894</v>
      </c>
      <c r="G585" s="340" t="s">
        <v>1515</v>
      </c>
      <c r="I585" s="340" t="s">
        <v>745</v>
      </c>
      <c r="K585" s="343">
        <v>0</v>
      </c>
      <c r="L585" s="343">
        <v>-23.69</v>
      </c>
      <c r="M585" s="343">
        <v>-1218441.1100000001</v>
      </c>
      <c r="O585" s="343">
        <v>0</v>
      </c>
    </row>
    <row r="586" spans="1:15" x14ac:dyDescent="0.3">
      <c r="A586" s="340" t="s">
        <v>891</v>
      </c>
      <c r="B586" s="350">
        <v>46059</v>
      </c>
      <c r="C586" s="350">
        <v>46059</v>
      </c>
      <c r="D586" s="351">
        <v>46054</v>
      </c>
      <c r="E586" s="340" t="s">
        <v>1507</v>
      </c>
      <c r="F586" s="340" t="s">
        <v>894</v>
      </c>
      <c r="G586" s="340" t="s">
        <v>1516</v>
      </c>
      <c r="I586" s="340" t="s">
        <v>745</v>
      </c>
      <c r="K586" s="343">
        <v>0</v>
      </c>
      <c r="L586" s="343">
        <v>-112.54</v>
      </c>
      <c r="M586" s="343">
        <v>-1218553.6499999999</v>
      </c>
      <c r="O586" s="343">
        <v>0</v>
      </c>
    </row>
    <row r="587" spans="1:15" x14ac:dyDescent="0.3">
      <c r="A587" s="340" t="s">
        <v>891</v>
      </c>
      <c r="B587" s="350">
        <v>46059</v>
      </c>
      <c r="C587" s="350">
        <v>46059</v>
      </c>
      <c r="D587" s="351">
        <v>46054</v>
      </c>
      <c r="E587" s="340" t="s">
        <v>1507</v>
      </c>
      <c r="F587" s="340" t="s">
        <v>894</v>
      </c>
      <c r="G587" s="340" t="s">
        <v>1517</v>
      </c>
      <c r="I587" s="340" t="s">
        <v>745</v>
      </c>
      <c r="K587" s="343">
        <v>0</v>
      </c>
      <c r="L587" s="343">
        <v>-63.97</v>
      </c>
      <c r="M587" s="343">
        <v>-1218617.6200000001</v>
      </c>
      <c r="O587" s="343">
        <v>0</v>
      </c>
    </row>
    <row r="588" spans="1:15" x14ac:dyDescent="0.3">
      <c r="A588" s="340" t="s">
        <v>891</v>
      </c>
      <c r="B588" s="350">
        <v>46059</v>
      </c>
      <c r="C588" s="350">
        <v>46059</v>
      </c>
      <c r="D588" s="351">
        <v>46054</v>
      </c>
      <c r="E588" s="340" t="s">
        <v>1507</v>
      </c>
      <c r="F588" s="340" t="s">
        <v>894</v>
      </c>
      <c r="G588" s="340" t="s">
        <v>1518</v>
      </c>
      <c r="I588" s="340" t="s">
        <v>745</v>
      </c>
      <c r="K588" s="343">
        <v>0</v>
      </c>
      <c r="L588" s="343">
        <v>-65.069999999999993</v>
      </c>
      <c r="M588" s="343">
        <v>-1218682.69</v>
      </c>
      <c r="O588" s="343">
        <v>0</v>
      </c>
    </row>
    <row r="589" spans="1:15" x14ac:dyDescent="0.3">
      <c r="A589" s="340" t="s">
        <v>891</v>
      </c>
      <c r="B589" s="350">
        <v>46059</v>
      </c>
      <c r="C589" s="350">
        <v>46059</v>
      </c>
      <c r="D589" s="351">
        <v>46054</v>
      </c>
      <c r="E589" s="340" t="s">
        <v>1507</v>
      </c>
      <c r="F589" s="340" t="s">
        <v>894</v>
      </c>
      <c r="G589" s="340" t="s">
        <v>1519</v>
      </c>
      <c r="I589" s="340" t="s">
        <v>745</v>
      </c>
      <c r="K589" s="343">
        <v>0</v>
      </c>
      <c r="L589" s="343">
        <v>-175.87</v>
      </c>
      <c r="M589" s="343">
        <v>-1218858.56</v>
      </c>
      <c r="O589" s="343">
        <v>0</v>
      </c>
    </row>
    <row r="590" spans="1:15" x14ac:dyDescent="0.3">
      <c r="A590" s="340" t="s">
        <v>891</v>
      </c>
      <c r="B590" s="350">
        <v>46059</v>
      </c>
      <c r="C590" s="350">
        <v>46059</v>
      </c>
      <c r="D590" s="351">
        <v>46054</v>
      </c>
      <c r="E590" s="340" t="s">
        <v>1507</v>
      </c>
      <c r="F590" s="340" t="s">
        <v>894</v>
      </c>
      <c r="G590" s="340" t="s">
        <v>1520</v>
      </c>
      <c r="I590" s="340" t="s">
        <v>745</v>
      </c>
      <c r="K590" s="343">
        <v>0</v>
      </c>
      <c r="L590" s="343">
        <v>-160.18</v>
      </c>
      <c r="M590" s="343">
        <v>-1219018.74</v>
      </c>
      <c r="O590" s="343">
        <v>0</v>
      </c>
    </row>
    <row r="591" spans="1:15" x14ac:dyDescent="0.3">
      <c r="A591" s="340" t="s">
        <v>891</v>
      </c>
      <c r="B591" s="350">
        <v>46059</v>
      </c>
      <c r="C591" s="350">
        <v>46073</v>
      </c>
      <c r="D591" s="351">
        <v>46054</v>
      </c>
      <c r="E591" s="340" t="s">
        <v>1521</v>
      </c>
      <c r="F591" s="340" t="s">
        <v>894</v>
      </c>
      <c r="G591" s="340" t="s">
        <v>1522</v>
      </c>
      <c r="I591" s="340" t="s">
        <v>753</v>
      </c>
      <c r="K591" s="343">
        <v>0</v>
      </c>
      <c r="L591" s="343">
        <v>-270.63</v>
      </c>
      <c r="M591" s="343">
        <v>-1219289.3700000001</v>
      </c>
      <c r="O591" s="343">
        <v>0</v>
      </c>
    </row>
    <row r="592" spans="1:15" x14ac:dyDescent="0.3">
      <c r="A592" s="340" t="s">
        <v>891</v>
      </c>
      <c r="B592" s="350">
        <v>46059</v>
      </c>
      <c r="C592" s="350">
        <v>46078</v>
      </c>
      <c r="D592" s="351">
        <v>46054</v>
      </c>
      <c r="E592" s="340" t="s">
        <v>1523</v>
      </c>
      <c r="F592" s="340" t="s">
        <v>894</v>
      </c>
      <c r="G592" s="340" t="s">
        <v>1524</v>
      </c>
      <c r="I592" s="340" t="s">
        <v>765</v>
      </c>
      <c r="K592" s="343">
        <v>0</v>
      </c>
      <c r="L592" s="343">
        <v>-2195.0500000000002</v>
      </c>
      <c r="M592" s="343">
        <v>-1221484.42</v>
      </c>
      <c r="O592" s="343">
        <v>0</v>
      </c>
    </row>
    <row r="593" spans="1:15" x14ac:dyDescent="0.3">
      <c r="A593" s="340" t="s">
        <v>891</v>
      </c>
      <c r="B593" s="350">
        <v>46059</v>
      </c>
      <c r="C593" s="350">
        <v>46078</v>
      </c>
      <c r="D593" s="351">
        <v>46054</v>
      </c>
      <c r="E593" s="340" t="s">
        <v>1525</v>
      </c>
      <c r="F593" s="340" t="s">
        <v>894</v>
      </c>
      <c r="G593" s="340" t="s">
        <v>1526</v>
      </c>
      <c r="I593" s="340" t="s">
        <v>765</v>
      </c>
      <c r="K593" s="343">
        <v>0</v>
      </c>
      <c r="L593" s="343">
        <v>-629.15</v>
      </c>
      <c r="M593" s="343">
        <v>-1222113.57</v>
      </c>
      <c r="O593" s="343">
        <v>0</v>
      </c>
    </row>
    <row r="594" spans="1:15" x14ac:dyDescent="0.3">
      <c r="A594" s="340" t="s">
        <v>891</v>
      </c>
      <c r="B594" s="350">
        <v>46062</v>
      </c>
      <c r="C594" s="350">
        <v>46062</v>
      </c>
      <c r="D594" s="351">
        <v>46054</v>
      </c>
      <c r="E594" s="340" t="s">
        <v>1527</v>
      </c>
      <c r="F594" s="340" t="s">
        <v>894</v>
      </c>
      <c r="G594" s="340" t="s">
        <v>1528</v>
      </c>
      <c r="I594" s="340" t="s">
        <v>745</v>
      </c>
      <c r="K594" s="343">
        <v>0</v>
      </c>
      <c r="L594" s="343">
        <v>-8.44</v>
      </c>
      <c r="M594" s="343">
        <v>-1222122.01</v>
      </c>
      <c r="O594" s="343">
        <v>0</v>
      </c>
    </row>
    <row r="595" spans="1:15" x14ac:dyDescent="0.3">
      <c r="A595" s="340" t="s">
        <v>891</v>
      </c>
      <c r="B595" s="350">
        <v>46062</v>
      </c>
      <c r="C595" s="350">
        <v>46062</v>
      </c>
      <c r="D595" s="351">
        <v>46054</v>
      </c>
      <c r="E595" s="340" t="s">
        <v>1527</v>
      </c>
      <c r="F595" s="340" t="s">
        <v>894</v>
      </c>
      <c r="G595" s="340" t="s">
        <v>1529</v>
      </c>
      <c r="I595" s="340" t="s">
        <v>745</v>
      </c>
      <c r="K595" s="343">
        <v>0</v>
      </c>
      <c r="L595" s="343">
        <v>-54.84</v>
      </c>
      <c r="M595" s="343">
        <v>-1222176.8500000001</v>
      </c>
      <c r="O595" s="343">
        <v>0</v>
      </c>
    </row>
    <row r="596" spans="1:15" x14ac:dyDescent="0.3">
      <c r="A596" s="340" t="s">
        <v>891</v>
      </c>
      <c r="B596" s="350">
        <v>46062</v>
      </c>
      <c r="C596" s="350">
        <v>46062</v>
      </c>
      <c r="D596" s="351">
        <v>46054</v>
      </c>
      <c r="E596" s="340" t="s">
        <v>1527</v>
      </c>
      <c r="F596" s="340" t="s">
        <v>894</v>
      </c>
      <c r="G596" s="340" t="s">
        <v>1530</v>
      </c>
      <c r="I596" s="340" t="s">
        <v>745</v>
      </c>
      <c r="K596" s="343">
        <v>0</v>
      </c>
      <c r="L596" s="343">
        <v>-13.96</v>
      </c>
      <c r="M596" s="343">
        <v>-1222190.81</v>
      </c>
      <c r="O596" s="343">
        <v>0</v>
      </c>
    </row>
    <row r="597" spans="1:15" x14ac:dyDescent="0.3">
      <c r="A597" s="340" t="s">
        <v>891</v>
      </c>
      <c r="B597" s="350">
        <v>46062</v>
      </c>
      <c r="C597" s="350">
        <v>46062</v>
      </c>
      <c r="D597" s="351">
        <v>46054</v>
      </c>
      <c r="E597" s="340" t="s">
        <v>1527</v>
      </c>
      <c r="F597" s="340" t="s">
        <v>894</v>
      </c>
      <c r="G597" s="340" t="s">
        <v>1531</v>
      </c>
      <c r="I597" s="340" t="s">
        <v>745</v>
      </c>
      <c r="K597" s="343">
        <v>0</v>
      </c>
      <c r="L597" s="343">
        <v>-49.46</v>
      </c>
      <c r="M597" s="343">
        <v>-1222240.27</v>
      </c>
      <c r="O597" s="343">
        <v>0</v>
      </c>
    </row>
    <row r="598" spans="1:15" x14ac:dyDescent="0.3">
      <c r="A598" s="340" t="s">
        <v>891</v>
      </c>
      <c r="B598" s="350">
        <v>46062</v>
      </c>
      <c r="C598" s="350">
        <v>46062</v>
      </c>
      <c r="D598" s="351">
        <v>46054</v>
      </c>
      <c r="E598" s="340" t="s">
        <v>1527</v>
      </c>
      <c r="F598" s="340" t="s">
        <v>894</v>
      </c>
      <c r="G598" s="340" t="s">
        <v>1532</v>
      </c>
      <c r="I598" s="340" t="s">
        <v>745</v>
      </c>
      <c r="K598" s="343">
        <v>0</v>
      </c>
      <c r="L598" s="343">
        <v>-68.38</v>
      </c>
      <c r="M598" s="343">
        <v>-1222308.6499999999</v>
      </c>
      <c r="O598" s="343">
        <v>0</v>
      </c>
    </row>
    <row r="599" spans="1:15" x14ac:dyDescent="0.3">
      <c r="A599" s="340" t="s">
        <v>891</v>
      </c>
      <c r="B599" s="350">
        <v>46062</v>
      </c>
      <c r="C599" s="350">
        <v>46062</v>
      </c>
      <c r="D599" s="351">
        <v>46054</v>
      </c>
      <c r="E599" s="340" t="s">
        <v>1527</v>
      </c>
      <c r="F599" s="340" t="s">
        <v>894</v>
      </c>
      <c r="G599" s="340" t="s">
        <v>1533</v>
      </c>
      <c r="I599" s="340" t="s">
        <v>745</v>
      </c>
      <c r="K599" s="343">
        <v>0</v>
      </c>
      <c r="L599" s="343">
        <v>-4.95</v>
      </c>
      <c r="M599" s="343">
        <v>-1222313.6000000001</v>
      </c>
      <c r="O599" s="343">
        <v>0</v>
      </c>
    </row>
    <row r="600" spans="1:15" x14ac:dyDescent="0.3">
      <c r="A600" s="340" t="s">
        <v>891</v>
      </c>
      <c r="B600" s="350">
        <v>46062</v>
      </c>
      <c r="C600" s="350">
        <v>46062</v>
      </c>
      <c r="D600" s="351">
        <v>46054</v>
      </c>
      <c r="E600" s="340" t="s">
        <v>1527</v>
      </c>
      <c r="F600" s="340" t="s">
        <v>894</v>
      </c>
      <c r="G600" s="340" t="s">
        <v>1534</v>
      </c>
      <c r="I600" s="340" t="s">
        <v>745</v>
      </c>
      <c r="K600" s="343">
        <v>0</v>
      </c>
      <c r="L600" s="343">
        <v>-11.36</v>
      </c>
      <c r="M600" s="343">
        <v>-1222324.96</v>
      </c>
      <c r="O600" s="343">
        <v>0</v>
      </c>
    </row>
    <row r="601" spans="1:15" x14ac:dyDescent="0.3">
      <c r="A601" s="340" t="s">
        <v>891</v>
      </c>
      <c r="B601" s="350">
        <v>46062</v>
      </c>
      <c r="C601" s="350">
        <v>46062</v>
      </c>
      <c r="D601" s="351">
        <v>46054</v>
      </c>
      <c r="E601" s="340" t="s">
        <v>1527</v>
      </c>
      <c r="F601" s="340" t="s">
        <v>894</v>
      </c>
      <c r="G601" s="340" t="s">
        <v>1535</v>
      </c>
      <c r="I601" s="340" t="s">
        <v>745</v>
      </c>
      <c r="K601" s="343">
        <v>0</v>
      </c>
      <c r="L601" s="343">
        <v>-20.16</v>
      </c>
      <c r="M601" s="343">
        <v>-1222345.1200000001</v>
      </c>
      <c r="O601" s="343">
        <v>0</v>
      </c>
    </row>
    <row r="602" spans="1:15" x14ac:dyDescent="0.3">
      <c r="A602" s="340" t="s">
        <v>891</v>
      </c>
      <c r="B602" s="350">
        <v>46062</v>
      </c>
      <c r="C602" s="350">
        <v>46062</v>
      </c>
      <c r="D602" s="351">
        <v>46054</v>
      </c>
      <c r="E602" s="340" t="s">
        <v>1527</v>
      </c>
      <c r="F602" s="340" t="s">
        <v>894</v>
      </c>
      <c r="G602" s="340" t="s">
        <v>1517</v>
      </c>
      <c r="I602" s="340" t="s">
        <v>745</v>
      </c>
      <c r="K602" s="343">
        <v>0</v>
      </c>
      <c r="L602" s="343">
        <v>-53.29</v>
      </c>
      <c r="M602" s="343">
        <v>-1222398.4099999999</v>
      </c>
      <c r="O602" s="343">
        <v>0</v>
      </c>
    </row>
    <row r="603" spans="1:15" x14ac:dyDescent="0.3">
      <c r="A603" s="340" t="s">
        <v>891</v>
      </c>
      <c r="B603" s="350">
        <v>46062</v>
      </c>
      <c r="C603" s="350">
        <v>46062</v>
      </c>
      <c r="D603" s="351">
        <v>46054</v>
      </c>
      <c r="E603" s="340" t="s">
        <v>1527</v>
      </c>
      <c r="F603" s="340" t="s">
        <v>894</v>
      </c>
      <c r="G603" s="340" t="s">
        <v>1536</v>
      </c>
      <c r="I603" s="340" t="s">
        <v>745</v>
      </c>
      <c r="K603" s="343">
        <v>0</v>
      </c>
      <c r="L603" s="343">
        <v>-104.7</v>
      </c>
      <c r="M603" s="343">
        <v>-1222503.1100000001</v>
      </c>
      <c r="O603" s="343">
        <v>0</v>
      </c>
    </row>
    <row r="604" spans="1:15" x14ac:dyDescent="0.3">
      <c r="A604" s="340" t="s">
        <v>891</v>
      </c>
      <c r="B604" s="350">
        <v>46062</v>
      </c>
      <c r="C604" s="350">
        <v>46062</v>
      </c>
      <c r="D604" s="351">
        <v>46054</v>
      </c>
      <c r="E604" s="340" t="s">
        <v>1527</v>
      </c>
      <c r="F604" s="340" t="s">
        <v>894</v>
      </c>
      <c r="G604" s="340" t="s">
        <v>1537</v>
      </c>
      <c r="I604" s="340" t="s">
        <v>745</v>
      </c>
      <c r="K604" s="343">
        <v>0</v>
      </c>
      <c r="L604" s="343">
        <v>-89.92</v>
      </c>
      <c r="M604" s="343">
        <v>-1222593.03</v>
      </c>
      <c r="O604" s="343">
        <v>0</v>
      </c>
    </row>
    <row r="605" spans="1:15" x14ac:dyDescent="0.3">
      <c r="A605" s="340" t="s">
        <v>891</v>
      </c>
      <c r="B605" s="350">
        <v>46062</v>
      </c>
      <c r="C605" s="350">
        <v>46062</v>
      </c>
      <c r="D605" s="351">
        <v>46054</v>
      </c>
      <c r="E605" s="340" t="s">
        <v>1527</v>
      </c>
      <c r="F605" s="340" t="s">
        <v>894</v>
      </c>
      <c r="G605" s="340" t="s">
        <v>1538</v>
      </c>
      <c r="I605" s="340" t="s">
        <v>745</v>
      </c>
      <c r="K605" s="343">
        <v>0</v>
      </c>
      <c r="L605" s="343">
        <v>-10.98</v>
      </c>
      <c r="M605" s="343">
        <v>-1222604.01</v>
      </c>
      <c r="O605" s="343">
        <v>0</v>
      </c>
    </row>
    <row r="606" spans="1:15" x14ac:dyDescent="0.3">
      <c r="A606" s="340" t="s">
        <v>891</v>
      </c>
      <c r="B606" s="350">
        <v>46062</v>
      </c>
      <c r="C606" s="350">
        <v>46062</v>
      </c>
      <c r="D606" s="351">
        <v>46054</v>
      </c>
      <c r="E606" s="340" t="s">
        <v>1527</v>
      </c>
      <c r="F606" s="340" t="s">
        <v>894</v>
      </c>
      <c r="G606" s="340" t="s">
        <v>1539</v>
      </c>
      <c r="I606" s="340" t="s">
        <v>745</v>
      </c>
      <c r="K606" s="343">
        <v>0</v>
      </c>
      <c r="L606" s="343">
        <v>-59.62</v>
      </c>
      <c r="M606" s="343">
        <v>-1222663.6299999999</v>
      </c>
      <c r="O606" s="343">
        <v>0</v>
      </c>
    </row>
    <row r="607" spans="1:15" x14ac:dyDescent="0.3">
      <c r="A607" s="340" t="s">
        <v>891</v>
      </c>
      <c r="B607" s="350">
        <v>46062</v>
      </c>
      <c r="C607" s="350">
        <v>46062</v>
      </c>
      <c r="D607" s="351">
        <v>46054</v>
      </c>
      <c r="E607" s="340" t="s">
        <v>1527</v>
      </c>
      <c r="F607" s="340" t="s">
        <v>894</v>
      </c>
      <c r="G607" s="340" t="s">
        <v>1540</v>
      </c>
      <c r="I607" s="340" t="s">
        <v>745</v>
      </c>
      <c r="K607" s="343">
        <v>0</v>
      </c>
      <c r="L607" s="343">
        <v>-260.5</v>
      </c>
      <c r="M607" s="343">
        <v>-1222924.1299999999</v>
      </c>
      <c r="O607" s="343">
        <v>0</v>
      </c>
    </row>
    <row r="608" spans="1:15" x14ac:dyDescent="0.3">
      <c r="A608" s="340" t="s">
        <v>891</v>
      </c>
      <c r="B608" s="350">
        <v>46062</v>
      </c>
      <c r="C608" s="350">
        <v>46062</v>
      </c>
      <c r="D608" s="351">
        <v>46054</v>
      </c>
      <c r="E608" s="340" t="s">
        <v>1527</v>
      </c>
      <c r="F608" s="340" t="s">
        <v>894</v>
      </c>
      <c r="G608" s="340" t="s">
        <v>1541</v>
      </c>
      <c r="I608" s="340" t="s">
        <v>745</v>
      </c>
      <c r="K608" s="343">
        <v>0</v>
      </c>
      <c r="L608" s="343">
        <v>-122.9</v>
      </c>
      <c r="M608" s="343">
        <v>-1223047.03</v>
      </c>
      <c r="O608" s="343">
        <v>0</v>
      </c>
    </row>
    <row r="609" spans="1:15" x14ac:dyDescent="0.3">
      <c r="A609" s="340" t="s">
        <v>891</v>
      </c>
      <c r="B609" s="350">
        <v>46062</v>
      </c>
      <c r="C609" s="350">
        <v>46062</v>
      </c>
      <c r="D609" s="351">
        <v>46054</v>
      </c>
      <c r="E609" s="340" t="s">
        <v>1527</v>
      </c>
      <c r="F609" s="340" t="s">
        <v>894</v>
      </c>
      <c r="G609" s="340" t="s">
        <v>1194</v>
      </c>
      <c r="I609" s="340" t="s">
        <v>745</v>
      </c>
      <c r="K609" s="343">
        <v>0</v>
      </c>
      <c r="L609" s="343">
        <v>-85.75</v>
      </c>
      <c r="M609" s="343">
        <v>-1223132.78</v>
      </c>
      <c r="O609" s="343">
        <v>0</v>
      </c>
    </row>
    <row r="610" spans="1:15" x14ac:dyDescent="0.3">
      <c r="A610" s="340" t="s">
        <v>891</v>
      </c>
      <c r="B610" s="350">
        <v>46062</v>
      </c>
      <c r="C610" s="350">
        <v>46062</v>
      </c>
      <c r="D610" s="351">
        <v>46054</v>
      </c>
      <c r="E610" s="340" t="s">
        <v>1527</v>
      </c>
      <c r="F610" s="340" t="s">
        <v>894</v>
      </c>
      <c r="G610" s="340" t="s">
        <v>1542</v>
      </c>
      <c r="I610" s="340" t="s">
        <v>745</v>
      </c>
      <c r="K610" s="343">
        <v>0</v>
      </c>
      <c r="L610" s="343">
        <v>-93.34</v>
      </c>
      <c r="M610" s="343">
        <v>-1223226.1200000001</v>
      </c>
      <c r="O610" s="343">
        <v>0</v>
      </c>
    </row>
    <row r="611" spans="1:15" x14ac:dyDescent="0.3">
      <c r="A611" s="340" t="s">
        <v>891</v>
      </c>
      <c r="B611" s="350">
        <v>46062</v>
      </c>
      <c r="C611" s="350">
        <v>46062</v>
      </c>
      <c r="D611" s="351">
        <v>46054</v>
      </c>
      <c r="E611" s="340" t="s">
        <v>1527</v>
      </c>
      <c r="F611" s="340" t="s">
        <v>894</v>
      </c>
      <c r="G611" s="340" t="s">
        <v>1543</v>
      </c>
      <c r="I611" s="340" t="s">
        <v>745</v>
      </c>
      <c r="K611" s="343">
        <v>0</v>
      </c>
      <c r="L611" s="343">
        <v>-25.68</v>
      </c>
      <c r="M611" s="343">
        <v>-1223251.8</v>
      </c>
      <c r="O611" s="343">
        <v>0</v>
      </c>
    </row>
    <row r="612" spans="1:15" x14ac:dyDescent="0.3">
      <c r="A612" s="340" t="s">
        <v>891</v>
      </c>
      <c r="B612" s="350">
        <v>46062</v>
      </c>
      <c r="C612" s="350">
        <v>46062</v>
      </c>
      <c r="D612" s="351">
        <v>46054</v>
      </c>
      <c r="E612" s="340" t="s">
        <v>1527</v>
      </c>
      <c r="F612" s="340" t="s">
        <v>894</v>
      </c>
      <c r="G612" s="340" t="s">
        <v>1544</v>
      </c>
      <c r="I612" s="340" t="s">
        <v>745</v>
      </c>
      <c r="K612" s="343">
        <v>0</v>
      </c>
      <c r="L612" s="343">
        <v>-95.36</v>
      </c>
      <c r="M612" s="343">
        <v>-1223347.1599999999</v>
      </c>
      <c r="O612" s="343">
        <v>0</v>
      </c>
    </row>
    <row r="613" spans="1:15" x14ac:dyDescent="0.3">
      <c r="A613" s="340" t="s">
        <v>891</v>
      </c>
      <c r="B613" s="350">
        <v>46062</v>
      </c>
      <c r="C613" s="350">
        <v>46062</v>
      </c>
      <c r="D613" s="351">
        <v>46054</v>
      </c>
      <c r="E613" s="340" t="s">
        <v>1527</v>
      </c>
      <c r="F613" s="340" t="s">
        <v>894</v>
      </c>
      <c r="G613" s="340" t="s">
        <v>1545</v>
      </c>
      <c r="I613" s="340" t="s">
        <v>745</v>
      </c>
      <c r="K613" s="343">
        <v>0</v>
      </c>
      <c r="L613" s="343">
        <v>-32.229999999999997</v>
      </c>
      <c r="M613" s="343">
        <v>-1223379.3899999999</v>
      </c>
      <c r="O613" s="343">
        <v>0</v>
      </c>
    </row>
    <row r="614" spans="1:15" x14ac:dyDescent="0.3">
      <c r="A614" s="340" t="s">
        <v>891</v>
      </c>
      <c r="B614" s="350">
        <v>46062</v>
      </c>
      <c r="C614" s="350">
        <v>46062</v>
      </c>
      <c r="D614" s="351">
        <v>46054</v>
      </c>
      <c r="E614" s="340" t="s">
        <v>1527</v>
      </c>
      <c r="F614" s="340" t="s">
        <v>894</v>
      </c>
      <c r="G614" s="340" t="s">
        <v>1546</v>
      </c>
      <c r="I614" s="340" t="s">
        <v>745</v>
      </c>
      <c r="K614" s="343">
        <v>0</v>
      </c>
      <c r="L614" s="343">
        <v>-126.64</v>
      </c>
      <c r="M614" s="343">
        <v>-1223506.03</v>
      </c>
      <c r="O614" s="343">
        <v>0</v>
      </c>
    </row>
    <row r="615" spans="1:15" x14ac:dyDescent="0.3">
      <c r="A615" s="340" t="s">
        <v>891</v>
      </c>
      <c r="B615" s="350">
        <v>46062</v>
      </c>
      <c r="C615" s="350">
        <v>46062</v>
      </c>
      <c r="D615" s="351">
        <v>46054</v>
      </c>
      <c r="E615" s="340" t="s">
        <v>1527</v>
      </c>
      <c r="F615" s="340" t="s">
        <v>894</v>
      </c>
      <c r="G615" s="340" t="s">
        <v>1509</v>
      </c>
      <c r="I615" s="340" t="s">
        <v>745</v>
      </c>
      <c r="K615" s="343">
        <v>0</v>
      </c>
      <c r="L615" s="343">
        <v>-560.1</v>
      </c>
      <c r="M615" s="343">
        <v>-1224066.1299999999</v>
      </c>
      <c r="O615" s="343">
        <v>0</v>
      </c>
    </row>
    <row r="616" spans="1:15" x14ac:dyDescent="0.3">
      <c r="A616" s="340" t="s">
        <v>891</v>
      </c>
      <c r="B616" s="350">
        <v>46062</v>
      </c>
      <c r="C616" s="350">
        <v>46062</v>
      </c>
      <c r="D616" s="351">
        <v>46054</v>
      </c>
      <c r="E616" s="340" t="s">
        <v>1527</v>
      </c>
      <c r="F616" s="340" t="s">
        <v>894</v>
      </c>
      <c r="G616" s="340" t="s">
        <v>1547</v>
      </c>
      <c r="I616" s="340" t="s">
        <v>745</v>
      </c>
      <c r="K616" s="343">
        <v>0</v>
      </c>
      <c r="L616" s="343">
        <v>-38.28</v>
      </c>
      <c r="M616" s="343">
        <v>-1224104.4099999999</v>
      </c>
      <c r="O616" s="343">
        <v>0</v>
      </c>
    </row>
    <row r="617" spans="1:15" x14ac:dyDescent="0.3">
      <c r="A617" s="340" t="s">
        <v>891</v>
      </c>
      <c r="B617" s="350">
        <v>46062</v>
      </c>
      <c r="C617" s="350">
        <v>46062</v>
      </c>
      <c r="D617" s="351">
        <v>46054</v>
      </c>
      <c r="E617" s="340" t="s">
        <v>1527</v>
      </c>
      <c r="F617" s="340" t="s">
        <v>894</v>
      </c>
      <c r="G617" s="340" t="s">
        <v>1548</v>
      </c>
      <c r="I617" s="340" t="s">
        <v>745</v>
      </c>
      <c r="K617" s="343">
        <v>0</v>
      </c>
      <c r="L617" s="343">
        <v>-44.75</v>
      </c>
      <c r="M617" s="343">
        <v>-1224149.1599999999</v>
      </c>
      <c r="O617" s="343">
        <v>0</v>
      </c>
    </row>
    <row r="618" spans="1:15" x14ac:dyDescent="0.3">
      <c r="A618" s="340" t="s">
        <v>891</v>
      </c>
      <c r="B618" s="350">
        <v>46062</v>
      </c>
      <c r="C618" s="350">
        <v>46062</v>
      </c>
      <c r="D618" s="351">
        <v>46054</v>
      </c>
      <c r="E618" s="340" t="s">
        <v>1527</v>
      </c>
      <c r="F618" s="340" t="s">
        <v>894</v>
      </c>
      <c r="G618" s="340" t="s">
        <v>1188</v>
      </c>
      <c r="I618" s="340" t="s">
        <v>745</v>
      </c>
      <c r="K618" s="343">
        <v>0</v>
      </c>
      <c r="L618" s="343">
        <v>-58.44</v>
      </c>
      <c r="M618" s="343">
        <v>-1224207.6000000001</v>
      </c>
      <c r="O618" s="343">
        <v>0</v>
      </c>
    </row>
    <row r="619" spans="1:15" x14ac:dyDescent="0.3">
      <c r="A619" s="340" t="s">
        <v>891</v>
      </c>
      <c r="B619" s="350">
        <v>46062</v>
      </c>
      <c r="C619" s="350">
        <v>46062</v>
      </c>
      <c r="D619" s="351">
        <v>46054</v>
      </c>
      <c r="E619" s="340" t="s">
        <v>1527</v>
      </c>
      <c r="F619" s="340" t="s">
        <v>894</v>
      </c>
      <c r="G619" s="340" t="s">
        <v>1187</v>
      </c>
      <c r="I619" s="340" t="s">
        <v>745</v>
      </c>
      <c r="K619" s="343">
        <v>0</v>
      </c>
      <c r="L619" s="343">
        <v>-47.57</v>
      </c>
      <c r="M619" s="343">
        <v>-1224255.17</v>
      </c>
      <c r="O619" s="343">
        <v>0</v>
      </c>
    </row>
    <row r="620" spans="1:15" x14ac:dyDescent="0.3">
      <c r="A620" s="340" t="s">
        <v>891</v>
      </c>
      <c r="B620" s="350">
        <v>46062</v>
      </c>
      <c r="C620" s="350">
        <v>46062</v>
      </c>
      <c r="D620" s="351">
        <v>46054</v>
      </c>
      <c r="E620" s="340" t="s">
        <v>1527</v>
      </c>
      <c r="F620" s="340" t="s">
        <v>894</v>
      </c>
      <c r="G620" s="340" t="s">
        <v>1549</v>
      </c>
      <c r="I620" s="340" t="s">
        <v>745</v>
      </c>
      <c r="K620" s="343">
        <v>0</v>
      </c>
      <c r="L620" s="343">
        <v>-177.52</v>
      </c>
      <c r="M620" s="343">
        <v>-1224432.69</v>
      </c>
      <c r="O620" s="343">
        <v>0</v>
      </c>
    </row>
    <row r="621" spans="1:15" x14ac:dyDescent="0.3">
      <c r="A621" s="340" t="s">
        <v>891</v>
      </c>
      <c r="B621" s="350">
        <v>46062</v>
      </c>
      <c r="C621" s="350">
        <v>46062</v>
      </c>
      <c r="D621" s="351">
        <v>46054</v>
      </c>
      <c r="E621" s="340" t="s">
        <v>1527</v>
      </c>
      <c r="F621" s="340" t="s">
        <v>894</v>
      </c>
      <c r="G621" s="340" t="s">
        <v>1550</v>
      </c>
      <c r="I621" s="340" t="s">
        <v>745</v>
      </c>
      <c r="K621" s="343">
        <v>0</v>
      </c>
      <c r="L621" s="343">
        <v>-201.19</v>
      </c>
      <c r="M621" s="343">
        <v>-1224633.8799999999</v>
      </c>
      <c r="O621" s="343">
        <v>0</v>
      </c>
    </row>
    <row r="622" spans="1:15" x14ac:dyDescent="0.3">
      <c r="A622" s="340" t="s">
        <v>891</v>
      </c>
      <c r="B622" s="350">
        <v>46062</v>
      </c>
      <c r="C622" s="350">
        <v>46062</v>
      </c>
      <c r="D622" s="351">
        <v>46054</v>
      </c>
      <c r="E622" s="340" t="s">
        <v>1527</v>
      </c>
      <c r="F622" s="340" t="s">
        <v>894</v>
      </c>
      <c r="G622" s="340" t="s">
        <v>1551</v>
      </c>
      <c r="I622" s="340" t="s">
        <v>745</v>
      </c>
      <c r="K622" s="343">
        <v>0</v>
      </c>
      <c r="L622" s="343">
        <v>-40.89</v>
      </c>
      <c r="M622" s="343">
        <v>-1224674.77</v>
      </c>
      <c r="O622" s="343">
        <v>0</v>
      </c>
    </row>
    <row r="623" spans="1:15" x14ac:dyDescent="0.3">
      <c r="A623" s="340" t="s">
        <v>891</v>
      </c>
      <c r="B623" s="350">
        <v>46062</v>
      </c>
      <c r="C623" s="350">
        <v>46062</v>
      </c>
      <c r="D623" s="351">
        <v>46054</v>
      </c>
      <c r="E623" s="340" t="s">
        <v>1527</v>
      </c>
      <c r="F623" s="340" t="s">
        <v>894</v>
      </c>
      <c r="G623" s="340" t="s">
        <v>1552</v>
      </c>
      <c r="I623" s="340" t="s">
        <v>745</v>
      </c>
      <c r="K623" s="343">
        <v>0</v>
      </c>
      <c r="L623" s="343">
        <v>-18.05</v>
      </c>
      <c r="M623" s="343">
        <v>-1224692.82</v>
      </c>
      <c r="O623" s="343">
        <v>0</v>
      </c>
    </row>
    <row r="624" spans="1:15" x14ac:dyDescent="0.3">
      <c r="A624" s="340" t="s">
        <v>891</v>
      </c>
      <c r="B624" s="350">
        <v>46062</v>
      </c>
      <c r="C624" s="350">
        <v>46062</v>
      </c>
      <c r="D624" s="351">
        <v>46054</v>
      </c>
      <c r="E624" s="340" t="s">
        <v>1527</v>
      </c>
      <c r="F624" s="340" t="s">
        <v>894</v>
      </c>
      <c r="G624" s="340" t="s">
        <v>1553</v>
      </c>
      <c r="I624" s="340" t="s">
        <v>745</v>
      </c>
      <c r="K624" s="343">
        <v>0</v>
      </c>
      <c r="L624" s="343">
        <v>-214.24</v>
      </c>
      <c r="M624" s="343">
        <v>-1224907.06</v>
      </c>
      <c r="O624" s="343">
        <v>0</v>
      </c>
    </row>
    <row r="625" spans="1:15" x14ac:dyDescent="0.3">
      <c r="A625" s="340" t="s">
        <v>891</v>
      </c>
      <c r="B625" s="350">
        <v>46062</v>
      </c>
      <c r="C625" s="350">
        <v>46062</v>
      </c>
      <c r="D625" s="351">
        <v>46054</v>
      </c>
      <c r="E625" s="340" t="s">
        <v>1527</v>
      </c>
      <c r="F625" s="340" t="s">
        <v>894</v>
      </c>
      <c r="G625" s="340" t="s">
        <v>1554</v>
      </c>
      <c r="I625" s="340" t="s">
        <v>745</v>
      </c>
      <c r="K625" s="343">
        <v>0</v>
      </c>
      <c r="L625" s="343">
        <v>-80.53</v>
      </c>
      <c r="M625" s="343">
        <v>-1224987.5900000001</v>
      </c>
      <c r="O625" s="343">
        <v>0</v>
      </c>
    </row>
    <row r="626" spans="1:15" x14ac:dyDescent="0.3">
      <c r="A626" s="340" t="s">
        <v>891</v>
      </c>
      <c r="B626" s="350">
        <v>46062</v>
      </c>
      <c r="C626" s="350">
        <v>46062</v>
      </c>
      <c r="D626" s="351">
        <v>46054</v>
      </c>
      <c r="E626" s="340" t="s">
        <v>1527</v>
      </c>
      <c r="F626" s="340" t="s">
        <v>894</v>
      </c>
      <c r="G626" s="340" t="s">
        <v>1555</v>
      </c>
      <c r="I626" s="340" t="s">
        <v>745</v>
      </c>
      <c r="K626" s="343">
        <v>0</v>
      </c>
      <c r="L626" s="343">
        <v>-25.37</v>
      </c>
      <c r="M626" s="343">
        <v>-1225012.96</v>
      </c>
      <c r="O626" s="343">
        <v>0</v>
      </c>
    </row>
    <row r="627" spans="1:15" x14ac:dyDescent="0.3">
      <c r="A627" s="340" t="s">
        <v>891</v>
      </c>
      <c r="B627" s="350">
        <v>46062</v>
      </c>
      <c r="C627" s="350">
        <v>46062</v>
      </c>
      <c r="D627" s="351">
        <v>46054</v>
      </c>
      <c r="E627" s="340" t="s">
        <v>1527</v>
      </c>
      <c r="F627" s="340" t="s">
        <v>894</v>
      </c>
      <c r="G627" s="340" t="s">
        <v>1556</v>
      </c>
      <c r="I627" s="340" t="s">
        <v>745</v>
      </c>
      <c r="K627" s="343">
        <v>0</v>
      </c>
      <c r="L627" s="343">
        <v>-38.159999999999997</v>
      </c>
      <c r="M627" s="343">
        <v>-1225051.1200000001</v>
      </c>
      <c r="O627" s="343">
        <v>0</v>
      </c>
    </row>
    <row r="628" spans="1:15" x14ac:dyDescent="0.3">
      <c r="A628" s="340" t="s">
        <v>891</v>
      </c>
      <c r="B628" s="350">
        <v>46062</v>
      </c>
      <c r="C628" s="350">
        <v>46062</v>
      </c>
      <c r="D628" s="351">
        <v>46054</v>
      </c>
      <c r="E628" s="340" t="s">
        <v>1527</v>
      </c>
      <c r="F628" s="340" t="s">
        <v>894</v>
      </c>
      <c r="G628" s="340" t="s">
        <v>1557</v>
      </c>
      <c r="I628" s="340" t="s">
        <v>745</v>
      </c>
      <c r="K628" s="343">
        <v>0</v>
      </c>
      <c r="L628" s="343">
        <v>-29.14</v>
      </c>
      <c r="M628" s="343">
        <v>-1225080.26</v>
      </c>
      <c r="O628" s="343">
        <v>0</v>
      </c>
    </row>
    <row r="629" spans="1:15" x14ac:dyDescent="0.3">
      <c r="A629" s="340" t="s">
        <v>891</v>
      </c>
      <c r="B629" s="350">
        <v>46062</v>
      </c>
      <c r="C629" s="350">
        <v>46062</v>
      </c>
      <c r="D629" s="351">
        <v>46054</v>
      </c>
      <c r="E629" s="340" t="s">
        <v>1527</v>
      </c>
      <c r="F629" s="340" t="s">
        <v>894</v>
      </c>
      <c r="G629" s="340" t="s">
        <v>1558</v>
      </c>
      <c r="I629" s="340" t="s">
        <v>745</v>
      </c>
      <c r="K629" s="343">
        <v>0</v>
      </c>
      <c r="L629" s="343">
        <v>-45.41</v>
      </c>
      <c r="M629" s="343">
        <v>-1225125.67</v>
      </c>
      <c r="O629" s="343">
        <v>0</v>
      </c>
    </row>
    <row r="630" spans="1:15" x14ac:dyDescent="0.3">
      <c r="A630" s="340" t="s">
        <v>891</v>
      </c>
      <c r="B630" s="350">
        <v>46062</v>
      </c>
      <c r="C630" s="350">
        <v>46062</v>
      </c>
      <c r="D630" s="351">
        <v>46054</v>
      </c>
      <c r="E630" s="340" t="s">
        <v>1527</v>
      </c>
      <c r="F630" s="340" t="s">
        <v>894</v>
      </c>
      <c r="G630" s="340" t="s">
        <v>1559</v>
      </c>
      <c r="I630" s="340" t="s">
        <v>745</v>
      </c>
      <c r="K630" s="343">
        <v>0</v>
      </c>
      <c r="L630" s="343">
        <v>-45.98</v>
      </c>
      <c r="M630" s="343">
        <v>-1225171.6499999999</v>
      </c>
      <c r="O630" s="343">
        <v>0</v>
      </c>
    </row>
    <row r="631" spans="1:15" x14ac:dyDescent="0.3">
      <c r="A631" s="340" t="s">
        <v>891</v>
      </c>
      <c r="B631" s="350">
        <v>46062</v>
      </c>
      <c r="C631" s="350">
        <v>46062</v>
      </c>
      <c r="D631" s="351">
        <v>46054</v>
      </c>
      <c r="E631" s="340" t="s">
        <v>1527</v>
      </c>
      <c r="F631" s="340" t="s">
        <v>894</v>
      </c>
      <c r="G631" s="340" t="s">
        <v>1560</v>
      </c>
      <c r="I631" s="340" t="s">
        <v>745</v>
      </c>
      <c r="K631" s="343">
        <v>0</v>
      </c>
      <c r="L631" s="343">
        <v>-51.41</v>
      </c>
      <c r="M631" s="343">
        <v>-1225223.06</v>
      </c>
      <c r="O631" s="343">
        <v>0</v>
      </c>
    </row>
    <row r="632" spans="1:15" x14ac:dyDescent="0.3">
      <c r="A632" s="340" t="s">
        <v>891</v>
      </c>
      <c r="B632" s="350">
        <v>46062</v>
      </c>
      <c r="C632" s="350">
        <v>46062</v>
      </c>
      <c r="D632" s="351">
        <v>46054</v>
      </c>
      <c r="E632" s="340" t="s">
        <v>1527</v>
      </c>
      <c r="F632" s="340" t="s">
        <v>894</v>
      </c>
      <c r="G632" s="340" t="s">
        <v>1561</v>
      </c>
      <c r="I632" s="340" t="s">
        <v>745</v>
      </c>
      <c r="K632" s="343">
        <v>0</v>
      </c>
      <c r="L632" s="343">
        <v>-94.69</v>
      </c>
      <c r="M632" s="343">
        <v>-1225317.75</v>
      </c>
      <c r="O632" s="343">
        <v>0</v>
      </c>
    </row>
    <row r="633" spans="1:15" x14ac:dyDescent="0.3">
      <c r="A633" s="340" t="s">
        <v>891</v>
      </c>
      <c r="B633" s="350">
        <v>46062</v>
      </c>
      <c r="C633" s="350">
        <v>46062</v>
      </c>
      <c r="D633" s="351">
        <v>46054</v>
      </c>
      <c r="E633" s="340" t="s">
        <v>1527</v>
      </c>
      <c r="F633" s="340" t="s">
        <v>894</v>
      </c>
      <c r="G633" s="340" t="s">
        <v>1562</v>
      </c>
      <c r="I633" s="340" t="s">
        <v>745</v>
      </c>
      <c r="K633" s="343">
        <v>0</v>
      </c>
      <c r="L633" s="343">
        <v>-775.77</v>
      </c>
      <c r="M633" s="343">
        <v>-1226093.52</v>
      </c>
      <c r="O633" s="343">
        <v>0</v>
      </c>
    </row>
    <row r="634" spans="1:15" x14ac:dyDescent="0.3">
      <c r="A634" s="340" t="s">
        <v>891</v>
      </c>
      <c r="B634" s="350">
        <v>46062</v>
      </c>
      <c r="C634" s="350">
        <v>46062</v>
      </c>
      <c r="D634" s="351">
        <v>46054</v>
      </c>
      <c r="E634" s="340" t="s">
        <v>1527</v>
      </c>
      <c r="F634" s="340" t="s">
        <v>894</v>
      </c>
      <c r="G634" s="340" t="s">
        <v>1563</v>
      </c>
      <c r="I634" s="340" t="s">
        <v>745</v>
      </c>
      <c r="K634" s="343">
        <v>0</v>
      </c>
      <c r="L634" s="343">
        <v>-164.41</v>
      </c>
      <c r="M634" s="343">
        <v>-1226257.93</v>
      </c>
      <c r="O634" s="343">
        <v>0</v>
      </c>
    </row>
    <row r="635" spans="1:15" x14ac:dyDescent="0.3">
      <c r="A635" s="340" t="s">
        <v>891</v>
      </c>
      <c r="B635" s="350">
        <v>46062</v>
      </c>
      <c r="C635" s="350">
        <v>46062</v>
      </c>
      <c r="D635" s="351">
        <v>46054</v>
      </c>
      <c r="E635" s="340" t="s">
        <v>1527</v>
      </c>
      <c r="F635" s="340" t="s">
        <v>894</v>
      </c>
      <c r="G635" s="340" t="s">
        <v>1564</v>
      </c>
      <c r="I635" s="340" t="s">
        <v>745</v>
      </c>
      <c r="K635" s="343">
        <v>0</v>
      </c>
      <c r="L635" s="343">
        <v>-159.09</v>
      </c>
      <c r="M635" s="343">
        <v>-1226417.02</v>
      </c>
      <c r="O635" s="343">
        <v>0</v>
      </c>
    </row>
    <row r="636" spans="1:15" x14ac:dyDescent="0.3">
      <c r="A636" s="340" t="s">
        <v>891</v>
      </c>
      <c r="B636" s="350">
        <v>46062</v>
      </c>
      <c r="C636" s="350">
        <v>46062</v>
      </c>
      <c r="D636" s="351">
        <v>46054</v>
      </c>
      <c r="E636" s="340" t="s">
        <v>1527</v>
      </c>
      <c r="F636" s="340" t="s">
        <v>894</v>
      </c>
      <c r="G636" s="340" t="s">
        <v>1565</v>
      </c>
      <c r="I636" s="340" t="s">
        <v>745</v>
      </c>
      <c r="K636" s="343">
        <v>0</v>
      </c>
      <c r="L636" s="343">
        <v>-45.69</v>
      </c>
      <c r="M636" s="343">
        <v>-1226462.71</v>
      </c>
      <c r="O636" s="343">
        <v>0</v>
      </c>
    </row>
    <row r="637" spans="1:15" x14ac:dyDescent="0.3">
      <c r="A637" s="340" t="s">
        <v>891</v>
      </c>
      <c r="B637" s="350">
        <v>46062</v>
      </c>
      <c r="C637" s="350">
        <v>46069</v>
      </c>
      <c r="D637" s="351">
        <v>46054</v>
      </c>
      <c r="E637" s="340" t="s">
        <v>1232</v>
      </c>
      <c r="F637" s="340" t="s">
        <v>894</v>
      </c>
      <c r="G637" s="340" t="s">
        <v>1362</v>
      </c>
      <c r="I637" s="340" t="s">
        <v>1566</v>
      </c>
      <c r="K637" s="343">
        <v>0</v>
      </c>
      <c r="L637" s="343">
        <v>-100</v>
      </c>
      <c r="M637" s="343">
        <v>-1226562.71</v>
      </c>
      <c r="O637" s="343">
        <v>0</v>
      </c>
    </row>
    <row r="638" spans="1:15" x14ac:dyDescent="0.3">
      <c r="A638" s="340" t="s">
        <v>891</v>
      </c>
      <c r="B638" s="350">
        <v>46062</v>
      </c>
      <c r="C638" s="350">
        <v>46069</v>
      </c>
      <c r="D638" s="351">
        <v>46054</v>
      </c>
      <c r="E638" s="340" t="s">
        <v>1232</v>
      </c>
      <c r="F638" s="340" t="s">
        <v>894</v>
      </c>
      <c r="G638" s="340" t="s">
        <v>1362</v>
      </c>
      <c r="I638" s="340" t="s">
        <v>1567</v>
      </c>
      <c r="K638" s="343">
        <v>0</v>
      </c>
      <c r="L638" s="343">
        <v>-750</v>
      </c>
      <c r="M638" s="343">
        <v>-1227312.71</v>
      </c>
      <c r="O638" s="343">
        <v>0</v>
      </c>
    </row>
    <row r="639" spans="1:15" x14ac:dyDescent="0.3">
      <c r="A639" s="340" t="s">
        <v>891</v>
      </c>
      <c r="B639" s="350">
        <v>46062</v>
      </c>
      <c r="C639" s="350">
        <v>46069</v>
      </c>
      <c r="D639" s="351">
        <v>46054</v>
      </c>
      <c r="E639" s="340" t="s">
        <v>1232</v>
      </c>
      <c r="F639" s="340" t="s">
        <v>894</v>
      </c>
      <c r="G639" s="340" t="s">
        <v>1362</v>
      </c>
      <c r="I639" s="340" t="s">
        <v>1568</v>
      </c>
      <c r="K639" s="343">
        <v>0</v>
      </c>
      <c r="L639" s="343">
        <v>-750</v>
      </c>
      <c r="M639" s="343">
        <v>-1228062.71</v>
      </c>
      <c r="O639" s="343">
        <v>0</v>
      </c>
    </row>
    <row r="640" spans="1:15" x14ac:dyDescent="0.3">
      <c r="A640" s="340" t="s">
        <v>891</v>
      </c>
      <c r="B640" s="350">
        <v>46063</v>
      </c>
      <c r="C640" s="350">
        <v>46064</v>
      </c>
      <c r="D640" s="351">
        <v>46054</v>
      </c>
      <c r="E640" s="340" t="s">
        <v>1569</v>
      </c>
      <c r="F640" s="340" t="s">
        <v>894</v>
      </c>
      <c r="G640" s="340" t="s">
        <v>1570</v>
      </c>
      <c r="I640" s="340" t="s">
        <v>743</v>
      </c>
      <c r="K640" s="343">
        <v>0</v>
      </c>
      <c r="L640" s="343">
        <v>-35774.1</v>
      </c>
      <c r="M640" s="343">
        <v>-1263836.81</v>
      </c>
      <c r="O640" s="343">
        <v>0</v>
      </c>
    </row>
    <row r="641" spans="1:15" x14ac:dyDescent="0.3">
      <c r="A641" s="340" t="s">
        <v>891</v>
      </c>
      <c r="B641" s="350">
        <v>46063</v>
      </c>
      <c r="C641" s="350">
        <v>46073</v>
      </c>
      <c r="D641" s="351">
        <v>46054</v>
      </c>
      <c r="E641" s="340" t="s">
        <v>1571</v>
      </c>
      <c r="F641" s="340" t="s">
        <v>894</v>
      </c>
      <c r="G641" s="340" t="s">
        <v>1007</v>
      </c>
      <c r="I641" s="340" t="s">
        <v>1005</v>
      </c>
      <c r="K641" s="343">
        <v>0</v>
      </c>
      <c r="L641" s="343">
        <v>-944.68</v>
      </c>
      <c r="M641" s="343">
        <v>-1264781.49</v>
      </c>
      <c r="O641" s="343">
        <v>0</v>
      </c>
    </row>
    <row r="642" spans="1:15" x14ac:dyDescent="0.3">
      <c r="A642" s="340" t="s">
        <v>891</v>
      </c>
      <c r="B642" s="350">
        <v>46063</v>
      </c>
      <c r="C642" s="350">
        <v>46076</v>
      </c>
      <c r="D642" s="351">
        <v>46054</v>
      </c>
      <c r="E642" s="340" t="s">
        <v>1572</v>
      </c>
      <c r="F642" s="340" t="s">
        <v>894</v>
      </c>
      <c r="G642" s="340" t="s">
        <v>1573</v>
      </c>
      <c r="I642" s="340" t="s">
        <v>768</v>
      </c>
      <c r="K642" s="343">
        <v>0</v>
      </c>
      <c r="L642" s="343">
        <v>-91.83</v>
      </c>
      <c r="M642" s="343">
        <v>-1264873.32</v>
      </c>
      <c r="O642" s="343">
        <v>0</v>
      </c>
    </row>
    <row r="643" spans="1:15" x14ac:dyDescent="0.3">
      <c r="A643" s="340" t="s">
        <v>891</v>
      </c>
      <c r="B643" s="350">
        <v>46063</v>
      </c>
      <c r="C643" s="350">
        <v>46091</v>
      </c>
      <c r="D643" s="351">
        <v>46082</v>
      </c>
      <c r="E643" s="340" t="s">
        <v>1574</v>
      </c>
      <c r="F643" s="340" t="s">
        <v>894</v>
      </c>
      <c r="G643" s="340" t="s">
        <v>1575</v>
      </c>
      <c r="I643" s="340" t="s">
        <v>739</v>
      </c>
      <c r="K643" s="343">
        <v>0</v>
      </c>
      <c r="L643" s="343">
        <v>-632</v>
      </c>
      <c r="M643" s="343">
        <v>-1265505.32</v>
      </c>
      <c r="O643" s="343">
        <v>0</v>
      </c>
    </row>
    <row r="644" spans="1:15" x14ac:dyDescent="0.3">
      <c r="A644" s="340" t="s">
        <v>891</v>
      </c>
      <c r="B644" s="350">
        <v>46063</v>
      </c>
      <c r="C644" s="350">
        <v>46091</v>
      </c>
      <c r="D644" s="351">
        <v>46082</v>
      </c>
      <c r="E644" s="340" t="s">
        <v>1574</v>
      </c>
      <c r="F644" s="340" t="s">
        <v>894</v>
      </c>
      <c r="G644" s="340" t="s">
        <v>1576</v>
      </c>
      <c r="I644" s="340" t="s">
        <v>739</v>
      </c>
      <c r="K644" s="343">
        <v>0</v>
      </c>
      <c r="L644" s="343">
        <v>-471.94</v>
      </c>
      <c r="M644" s="343">
        <v>-1265977.26</v>
      </c>
      <c r="O644" s="343">
        <v>0</v>
      </c>
    </row>
    <row r="645" spans="1:15" x14ac:dyDescent="0.3">
      <c r="A645" s="340" t="s">
        <v>891</v>
      </c>
      <c r="B645" s="350">
        <v>46065</v>
      </c>
      <c r="C645" s="350">
        <v>46076</v>
      </c>
      <c r="D645" s="351">
        <v>46054</v>
      </c>
      <c r="E645" s="340" t="s">
        <v>1577</v>
      </c>
      <c r="F645" s="340" t="s">
        <v>894</v>
      </c>
      <c r="G645" s="340" t="s">
        <v>1578</v>
      </c>
      <c r="I645" s="340" t="s">
        <v>747</v>
      </c>
      <c r="K645" s="343">
        <v>0</v>
      </c>
      <c r="L645" s="343">
        <v>-200</v>
      </c>
      <c r="M645" s="343">
        <v>-1266177.26</v>
      </c>
      <c r="O645" s="343">
        <v>0</v>
      </c>
    </row>
    <row r="646" spans="1:15" x14ac:dyDescent="0.3">
      <c r="A646" s="340" t="s">
        <v>891</v>
      </c>
      <c r="B646" s="350">
        <v>46066</v>
      </c>
      <c r="C646" s="350">
        <v>46066</v>
      </c>
      <c r="D646" s="351">
        <v>46054</v>
      </c>
      <c r="E646" s="340" t="s">
        <v>1579</v>
      </c>
      <c r="F646" s="340" t="s">
        <v>1078</v>
      </c>
      <c r="G646" s="340" t="s">
        <v>1465</v>
      </c>
      <c r="I646" s="340" t="s">
        <v>980</v>
      </c>
      <c r="K646" s="343">
        <v>1625.03</v>
      </c>
      <c r="L646" s="343">
        <v>0</v>
      </c>
      <c r="M646" s="343">
        <v>-1264552.23</v>
      </c>
      <c r="O646" s="343">
        <v>0</v>
      </c>
    </row>
    <row r="647" spans="1:15" x14ac:dyDescent="0.3">
      <c r="A647" s="340" t="s">
        <v>891</v>
      </c>
      <c r="B647" s="350">
        <v>46066</v>
      </c>
      <c r="C647" s="350">
        <v>46070</v>
      </c>
      <c r="D647" s="351">
        <v>46054</v>
      </c>
      <c r="E647" s="340" t="s">
        <v>1580</v>
      </c>
      <c r="F647" s="340" t="s">
        <v>894</v>
      </c>
      <c r="G647" s="340" t="s">
        <v>1581</v>
      </c>
      <c r="I647" s="340" t="s">
        <v>232</v>
      </c>
      <c r="K647" s="343">
        <v>0</v>
      </c>
      <c r="L647" s="343">
        <v>-12873.43</v>
      </c>
      <c r="M647" s="343">
        <v>-1277425.6599999999</v>
      </c>
      <c r="O647" s="343">
        <v>0</v>
      </c>
    </row>
    <row r="648" spans="1:15" x14ac:dyDescent="0.3">
      <c r="A648" s="340" t="s">
        <v>891</v>
      </c>
      <c r="B648" s="350">
        <v>46066</v>
      </c>
      <c r="C648" s="350">
        <v>46076</v>
      </c>
      <c r="D648" s="351">
        <v>46054</v>
      </c>
      <c r="E648" s="340" t="s">
        <v>1582</v>
      </c>
      <c r="F648" s="340" t="s">
        <v>894</v>
      </c>
      <c r="G648" s="340" t="s">
        <v>1583</v>
      </c>
      <c r="I648" s="340" t="s">
        <v>754</v>
      </c>
      <c r="K648" s="343">
        <v>0</v>
      </c>
      <c r="L648" s="343">
        <v>-3947</v>
      </c>
      <c r="M648" s="343">
        <v>-1281372.6599999999</v>
      </c>
      <c r="O648" s="343">
        <v>0</v>
      </c>
    </row>
    <row r="649" spans="1:15" x14ac:dyDescent="0.3">
      <c r="A649" s="340" t="s">
        <v>891</v>
      </c>
      <c r="B649" s="350">
        <v>46066</v>
      </c>
      <c r="C649" s="350">
        <v>46101</v>
      </c>
      <c r="D649" s="351">
        <v>46082</v>
      </c>
      <c r="E649" s="340" t="s">
        <v>1584</v>
      </c>
      <c r="F649" s="340" t="s">
        <v>894</v>
      </c>
      <c r="G649" s="340" t="s">
        <v>1585</v>
      </c>
      <c r="I649" s="340" t="s">
        <v>232</v>
      </c>
      <c r="K649" s="343">
        <v>0</v>
      </c>
      <c r="L649" s="343">
        <v>-1212.6600000000001</v>
      </c>
      <c r="M649" s="343">
        <v>-1282585.32</v>
      </c>
      <c r="O649" s="343">
        <v>0</v>
      </c>
    </row>
    <row r="650" spans="1:15" x14ac:dyDescent="0.3">
      <c r="A650" s="340" t="s">
        <v>891</v>
      </c>
      <c r="B650" s="350">
        <v>46068</v>
      </c>
      <c r="C650" s="350">
        <v>46101</v>
      </c>
      <c r="D650" s="351">
        <v>46082</v>
      </c>
      <c r="E650" s="340" t="s">
        <v>1586</v>
      </c>
      <c r="F650" s="340" t="s">
        <v>894</v>
      </c>
      <c r="G650" s="340" t="s">
        <v>1587</v>
      </c>
      <c r="I650" s="340" t="s">
        <v>755</v>
      </c>
      <c r="K650" s="343">
        <v>0</v>
      </c>
      <c r="L650" s="343">
        <v>-30616.19</v>
      </c>
      <c r="M650" s="343">
        <v>-1313201.51</v>
      </c>
      <c r="O650" s="343">
        <v>0</v>
      </c>
    </row>
    <row r="651" spans="1:15" x14ac:dyDescent="0.3">
      <c r="A651" s="340" t="s">
        <v>891</v>
      </c>
      <c r="B651" s="350">
        <v>46069</v>
      </c>
      <c r="C651" s="350">
        <v>46069</v>
      </c>
      <c r="D651" s="351">
        <v>46054</v>
      </c>
      <c r="E651" s="340" t="s">
        <v>1588</v>
      </c>
      <c r="F651" s="340" t="s">
        <v>894</v>
      </c>
      <c r="G651" s="340" t="s">
        <v>1551</v>
      </c>
      <c r="I651" s="340" t="s">
        <v>745</v>
      </c>
      <c r="K651" s="343">
        <v>0</v>
      </c>
      <c r="L651" s="343">
        <v>-20.440000000000001</v>
      </c>
      <c r="M651" s="343">
        <v>-1313221.95</v>
      </c>
      <c r="O651" s="343">
        <v>0</v>
      </c>
    </row>
    <row r="652" spans="1:15" x14ac:dyDescent="0.3">
      <c r="A652" s="340" t="s">
        <v>891</v>
      </c>
      <c r="B652" s="350">
        <v>46069</v>
      </c>
      <c r="C652" s="350">
        <v>46069</v>
      </c>
      <c r="D652" s="351">
        <v>46054</v>
      </c>
      <c r="E652" s="340" t="s">
        <v>1588</v>
      </c>
      <c r="F652" s="340" t="s">
        <v>894</v>
      </c>
      <c r="G652" s="340" t="s">
        <v>1589</v>
      </c>
      <c r="I652" s="340" t="s">
        <v>745</v>
      </c>
      <c r="K652" s="343">
        <v>0</v>
      </c>
      <c r="L652" s="343">
        <v>-50.65</v>
      </c>
      <c r="M652" s="343">
        <v>-1313272.6000000001</v>
      </c>
      <c r="O652" s="343">
        <v>0</v>
      </c>
    </row>
    <row r="653" spans="1:15" x14ac:dyDescent="0.3">
      <c r="A653" s="340" t="s">
        <v>891</v>
      </c>
      <c r="B653" s="350">
        <v>46069</v>
      </c>
      <c r="C653" s="350">
        <v>46069</v>
      </c>
      <c r="D653" s="351">
        <v>46054</v>
      </c>
      <c r="E653" s="340" t="s">
        <v>1588</v>
      </c>
      <c r="F653" s="340" t="s">
        <v>894</v>
      </c>
      <c r="G653" s="340" t="s">
        <v>1555</v>
      </c>
      <c r="I653" s="340" t="s">
        <v>745</v>
      </c>
      <c r="K653" s="343">
        <v>0</v>
      </c>
      <c r="L653" s="343">
        <v>-36.25</v>
      </c>
      <c r="M653" s="343">
        <v>-1313308.8500000001</v>
      </c>
      <c r="O653" s="343">
        <v>0</v>
      </c>
    </row>
    <row r="654" spans="1:15" x14ac:dyDescent="0.3">
      <c r="A654" s="340" t="s">
        <v>891</v>
      </c>
      <c r="B654" s="350">
        <v>46069</v>
      </c>
      <c r="C654" s="350">
        <v>46069</v>
      </c>
      <c r="D654" s="351">
        <v>46054</v>
      </c>
      <c r="E654" s="340" t="s">
        <v>1588</v>
      </c>
      <c r="F654" s="340" t="s">
        <v>894</v>
      </c>
      <c r="G654" s="340" t="s">
        <v>1544</v>
      </c>
      <c r="I654" s="340" t="s">
        <v>745</v>
      </c>
      <c r="K654" s="343">
        <v>0</v>
      </c>
      <c r="L654" s="343">
        <v>-42.37</v>
      </c>
      <c r="M654" s="343">
        <v>-1313351.22</v>
      </c>
      <c r="O654" s="343">
        <v>0</v>
      </c>
    </row>
    <row r="655" spans="1:15" x14ac:dyDescent="0.3">
      <c r="A655" s="340" t="s">
        <v>891</v>
      </c>
      <c r="B655" s="350">
        <v>46069</v>
      </c>
      <c r="C655" s="350">
        <v>46069</v>
      </c>
      <c r="D655" s="351">
        <v>46054</v>
      </c>
      <c r="E655" s="340" t="s">
        <v>1588</v>
      </c>
      <c r="F655" s="340" t="s">
        <v>894</v>
      </c>
      <c r="G655" s="340" t="s">
        <v>1554</v>
      </c>
      <c r="I655" s="340" t="s">
        <v>745</v>
      </c>
      <c r="K655" s="343">
        <v>0</v>
      </c>
      <c r="L655" s="343">
        <v>-93.95</v>
      </c>
      <c r="M655" s="343">
        <v>-1313445.17</v>
      </c>
      <c r="O655" s="343">
        <v>0</v>
      </c>
    </row>
    <row r="656" spans="1:15" x14ac:dyDescent="0.3">
      <c r="A656" s="340" t="s">
        <v>891</v>
      </c>
      <c r="B656" s="350">
        <v>46069</v>
      </c>
      <c r="C656" s="350">
        <v>46069</v>
      </c>
      <c r="D656" s="351">
        <v>46054</v>
      </c>
      <c r="E656" s="340" t="s">
        <v>1588</v>
      </c>
      <c r="F656" s="340" t="s">
        <v>894</v>
      </c>
      <c r="G656" s="340" t="s">
        <v>1590</v>
      </c>
      <c r="I656" s="340" t="s">
        <v>745</v>
      </c>
      <c r="K656" s="343">
        <v>0</v>
      </c>
      <c r="L656" s="343">
        <v>-1137.4100000000001</v>
      </c>
      <c r="M656" s="343">
        <v>-1314582.58</v>
      </c>
      <c r="O656" s="343">
        <v>0</v>
      </c>
    </row>
    <row r="657" spans="1:15" x14ac:dyDescent="0.3">
      <c r="A657" s="340" t="s">
        <v>891</v>
      </c>
      <c r="B657" s="350">
        <v>46069</v>
      </c>
      <c r="C657" s="350">
        <v>46069</v>
      </c>
      <c r="D657" s="351">
        <v>46054</v>
      </c>
      <c r="E657" s="340" t="s">
        <v>1588</v>
      </c>
      <c r="F657" s="340" t="s">
        <v>894</v>
      </c>
      <c r="G657" s="340" t="s">
        <v>1562</v>
      </c>
      <c r="I657" s="340" t="s">
        <v>745</v>
      </c>
      <c r="K657" s="343">
        <v>0</v>
      </c>
      <c r="L657" s="343">
        <v>-172.38</v>
      </c>
      <c r="M657" s="343">
        <v>-1314754.96</v>
      </c>
      <c r="O657" s="343">
        <v>0</v>
      </c>
    </row>
    <row r="658" spans="1:15" x14ac:dyDescent="0.3">
      <c r="A658" s="340" t="s">
        <v>891</v>
      </c>
      <c r="B658" s="350">
        <v>46069</v>
      </c>
      <c r="C658" s="350">
        <v>46069</v>
      </c>
      <c r="D658" s="351">
        <v>46054</v>
      </c>
      <c r="E658" s="340" t="s">
        <v>1588</v>
      </c>
      <c r="F658" s="340" t="s">
        <v>894</v>
      </c>
      <c r="G658" s="340" t="s">
        <v>1537</v>
      </c>
      <c r="I658" s="340" t="s">
        <v>745</v>
      </c>
      <c r="K658" s="343">
        <v>0</v>
      </c>
      <c r="L658" s="343">
        <v>-71.95</v>
      </c>
      <c r="M658" s="343">
        <v>-1314826.9099999999</v>
      </c>
      <c r="O658" s="343">
        <v>0</v>
      </c>
    </row>
    <row r="659" spans="1:15" x14ac:dyDescent="0.3">
      <c r="A659" s="340" t="s">
        <v>891</v>
      </c>
      <c r="B659" s="350">
        <v>46069</v>
      </c>
      <c r="C659" s="350">
        <v>46069</v>
      </c>
      <c r="D659" s="351">
        <v>46054</v>
      </c>
      <c r="E659" s="340" t="s">
        <v>1588</v>
      </c>
      <c r="F659" s="340" t="s">
        <v>894</v>
      </c>
      <c r="G659" s="340" t="s">
        <v>1591</v>
      </c>
      <c r="I659" s="340" t="s">
        <v>745</v>
      </c>
      <c r="K659" s="343">
        <v>0</v>
      </c>
      <c r="L659" s="343">
        <v>-27.14</v>
      </c>
      <c r="M659" s="343">
        <v>-1314854.05</v>
      </c>
      <c r="O659" s="343">
        <v>0</v>
      </c>
    </row>
    <row r="660" spans="1:15" x14ac:dyDescent="0.3">
      <c r="A660" s="340" t="s">
        <v>891</v>
      </c>
      <c r="B660" s="350">
        <v>46069</v>
      </c>
      <c r="C660" s="350">
        <v>46069</v>
      </c>
      <c r="D660" s="351">
        <v>46054</v>
      </c>
      <c r="E660" s="340" t="s">
        <v>1588</v>
      </c>
      <c r="F660" s="340" t="s">
        <v>894</v>
      </c>
      <c r="G660" s="340" t="s">
        <v>1592</v>
      </c>
      <c r="I660" s="340" t="s">
        <v>745</v>
      </c>
      <c r="K660" s="343">
        <v>0</v>
      </c>
      <c r="L660" s="343">
        <v>-76.099999999999994</v>
      </c>
      <c r="M660" s="343">
        <v>-1314930.1499999999</v>
      </c>
      <c r="O660" s="343">
        <v>0</v>
      </c>
    </row>
    <row r="661" spans="1:15" x14ac:dyDescent="0.3">
      <c r="A661" s="340" t="s">
        <v>891</v>
      </c>
      <c r="B661" s="350">
        <v>46069</v>
      </c>
      <c r="C661" s="350">
        <v>46069</v>
      </c>
      <c r="D661" s="351">
        <v>46054</v>
      </c>
      <c r="E661" s="340" t="s">
        <v>1588</v>
      </c>
      <c r="F661" s="340" t="s">
        <v>894</v>
      </c>
      <c r="G661" s="340" t="s">
        <v>1509</v>
      </c>
      <c r="I661" s="340" t="s">
        <v>745</v>
      </c>
      <c r="K661" s="343">
        <v>0</v>
      </c>
      <c r="L661" s="343">
        <v>-280.06</v>
      </c>
      <c r="M661" s="343">
        <v>-1315210.21</v>
      </c>
      <c r="O661" s="343">
        <v>0</v>
      </c>
    </row>
    <row r="662" spans="1:15" x14ac:dyDescent="0.3">
      <c r="A662" s="340" t="s">
        <v>891</v>
      </c>
      <c r="B662" s="350">
        <v>46069</v>
      </c>
      <c r="C662" s="350">
        <v>46069</v>
      </c>
      <c r="D662" s="351">
        <v>46054</v>
      </c>
      <c r="E662" s="340" t="s">
        <v>1588</v>
      </c>
      <c r="F662" s="340" t="s">
        <v>894</v>
      </c>
      <c r="G662" s="340" t="s">
        <v>1542</v>
      </c>
      <c r="I662" s="340" t="s">
        <v>745</v>
      </c>
      <c r="K662" s="343">
        <v>0</v>
      </c>
      <c r="L662" s="343">
        <v>-18.649999999999999</v>
      </c>
      <c r="M662" s="343">
        <v>-1315228.8600000001</v>
      </c>
      <c r="O662" s="343">
        <v>0</v>
      </c>
    </row>
    <row r="663" spans="1:15" x14ac:dyDescent="0.3">
      <c r="A663" s="340" t="s">
        <v>891</v>
      </c>
      <c r="B663" s="350">
        <v>46069</v>
      </c>
      <c r="C663" s="350">
        <v>46069</v>
      </c>
      <c r="D663" s="351">
        <v>46054</v>
      </c>
      <c r="E663" s="340" t="s">
        <v>1588</v>
      </c>
      <c r="F663" s="340" t="s">
        <v>894</v>
      </c>
      <c r="G663" s="340" t="s">
        <v>1547</v>
      </c>
      <c r="I663" s="340" t="s">
        <v>745</v>
      </c>
      <c r="K663" s="343">
        <v>0</v>
      </c>
      <c r="L663" s="343">
        <v>-63.8</v>
      </c>
      <c r="M663" s="343">
        <v>-1315292.6599999999</v>
      </c>
      <c r="O663" s="343">
        <v>0</v>
      </c>
    </row>
    <row r="664" spans="1:15" x14ac:dyDescent="0.3">
      <c r="A664" s="340" t="s">
        <v>891</v>
      </c>
      <c r="B664" s="350">
        <v>46069</v>
      </c>
      <c r="C664" s="350">
        <v>46069</v>
      </c>
      <c r="D664" s="351">
        <v>46054</v>
      </c>
      <c r="E664" s="340" t="s">
        <v>1588</v>
      </c>
      <c r="F664" s="340" t="s">
        <v>894</v>
      </c>
      <c r="G664" s="340" t="s">
        <v>1548</v>
      </c>
      <c r="I664" s="340" t="s">
        <v>745</v>
      </c>
      <c r="K664" s="343">
        <v>0</v>
      </c>
      <c r="L664" s="343">
        <v>-74.62</v>
      </c>
      <c r="M664" s="343">
        <v>-1315367.28</v>
      </c>
      <c r="O664" s="343">
        <v>0</v>
      </c>
    </row>
    <row r="665" spans="1:15" x14ac:dyDescent="0.3">
      <c r="A665" s="340" t="s">
        <v>891</v>
      </c>
      <c r="B665" s="350">
        <v>46069</v>
      </c>
      <c r="C665" s="350">
        <v>46069</v>
      </c>
      <c r="D665" s="351">
        <v>46054</v>
      </c>
      <c r="E665" s="340" t="s">
        <v>1588</v>
      </c>
      <c r="F665" s="340" t="s">
        <v>894</v>
      </c>
      <c r="G665" s="340" t="s">
        <v>1541</v>
      </c>
      <c r="I665" s="340" t="s">
        <v>745</v>
      </c>
      <c r="K665" s="343">
        <v>0</v>
      </c>
      <c r="L665" s="343">
        <v>-43.38</v>
      </c>
      <c r="M665" s="343">
        <v>-1315410.6599999999</v>
      </c>
      <c r="O665" s="343">
        <v>0</v>
      </c>
    </row>
    <row r="666" spans="1:15" x14ac:dyDescent="0.3">
      <c r="A666" s="340" t="s">
        <v>891</v>
      </c>
      <c r="B666" s="350">
        <v>46069</v>
      </c>
      <c r="C666" s="350">
        <v>46069</v>
      </c>
      <c r="D666" s="351">
        <v>46054</v>
      </c>
      <c r="E666" s="340" t="s">
        <v>1588</v>
      </c>
      <c r="F666" s="340" t="s">
        <v>894</v>
      </c>
      <c r="G666" s="340" t="s">
        <v>1194</v>
      </c>
      <c r="I666" s="340" t="s">
        <v>745</v>
      </c>
      <c r="K666" s="343">
        <v>0</v>
      </c>
      <c r="L666" s="343">
        <v>-40.340000000000003</v>
      </c>
      <c r="M666" s="343">
        <v>-1315451</v>
      </c>
      <c r="O666" s="343">
        <v>0</v>
      </c>
    </row>
    <row r="667" spans="1:15" x14ac:dyDescent="0.3">
      <c r="A667" s="340" t="s">
        <v>891</v>
      </c>
      <c r="B667" s="350">
        <v>46069</v>
      </c>
      <c r="C667" s="350">
        <v>46069</v>
      </c>
      <c r="D667" s="351">
        <v>46054</v>
      </c>
      <c r="E667" s="340" t="s">
        <v>1588</v>
      </c>
      <c r="F667" s="340" t="s">
        <v>894</v>
      </c>
      <c r="G667" s="340" t="s">
        <v>1184</v>
      </c>
      <c r="I667" s="340" t="s">
        <v>745</v>
      </c>
      <c r="K667" s="343">
        <v>0</v>
      </c>
      <c r="L667" s="343">
        <v>-62.2</v>
      </c>
      <c r="M667" s="343">
        <v>-1315513.2</v>
      </c>
      <c r="O667" s="343">
        <v>0</v>
      </c>
    </row>
    <row r="668" spans="1:15" x14ac:dyDescent="0.3">
      <c r="A668" s="340" t="s">
        <v>891</v>
      </c>
      <c r="B668" s="350">
        <v>46069</v>
      </c>
      <c r="C668" s="350">
        <v>46069</v>
      </c>
      <c r="D668" s="351">
        <v>46054</v>
      </c>
      <c r="E668" s="340" t="s">
        <v>1588</v>
      </c>
      <c r="F668" s="340" t="s">
        <v>894</v>
      </c>
      <c r="G668" s="340" t="s">
        <v>1543</v>
      </c>
      <c r="I668" s="340" t="s">
        <v>745</v>
      </c>
      <c r="K668" s="343">
        <v>0</v>
      </c>
      <c r="L668" s="343">
        <v>-8.5399999999999991</v>
      </c>
      <c r="M668" s="343">
        <v>-1315521.74</v>
      </c>
      <c r="O668" s="343">
        <v>0</v>
      </c>
    </row>
    <row r="669" spans="1:15" x14ac:dyDescent="0.3">
      <c r="A669" s="340" t="s">
        <v>891</v>
      </c>
      <c r="B669" s="350">
        <v>46069</v>
      </c>
      <c r="C669" s="350">
        <v>46069</v>
      </c>
      <c r="D669" s="351">
        <v>46054</v>
      </c>
      <c r="E669" s="340" t="s">
        <v>1588</v>
      </c>
      <c r="F669" s="340" t="s">
        <v>894</v>
      </c>
      <c r="G669" s="340" t="s">
        <v>1593</v>
      </c>
      <c r="I669" s="340" t="s">
        <v>745</v>
      </c>
      <c r="K669" s="343">
        <v>0</v>
      </c>
      <c r="L669" s="343">
        <v>-50.65</v>
      </c>
      <c r="M669" s="343">
        <v>-1315572.3899999999</v>
      </c>
      <c r="O669" s="343">
        <v>0</v>
      </c>
    </row>
    <row r="670" spans="1:15" x14ac:dyDescent="0.3">
      <c r="A670" s="340" t="s">
        <v>891</v>
      </c>
      <c r="B670" s="350">
        <v>46069</v>
      </c>
      <c r="C670" s="350">
        <v>46069</v>
      </c>
      <c r="D670" s="351">
        <v>46054</v>
      </c>
      <c r="E670" s="340" t="s">
        <v>1588</v>
      </c>
      <c r="F670" s="340" t="s">
        <v>894</v>
      </c>
      <c r="G670" s="340" t="s">
        <v>1594</v>
      </c>
      <c r="I670" s="340" t="s">
        <v>745</v>
      </c>
      <c r="K670" s="343">
        <v>0</v>
      </c>
      <c r="L670" s="343">
        <v>-14.05</v>
      </c>
      <c r="M670" s="343">
        <v>-1315586.44</v>
      </c>
      <c r="O670" s="343">
        <v>0</v>
      </c>
    </row>
    <row r="671" spans="1:15" x14ac:dyDescent="0.3">
      <c r="A671" s="340" t="s">
        <v>891</v>
      </c>
      <c r="B671" s="350">
        <v>46069</v>
      </c>
      <c r="C671" s="350">
        <v>46069</v>
      </c>
      <c r="D671" s="351">
        <v>46054</v>
      </c>
      <c r="E671" s="340" t="s">
        <v>1588</v>
      </c>
      <c r="F671" s="340" t="s">
        <v>894</v>
      </c>
      <c r="G671" s="340" t="s">
        <v>1595</v>
      </c>
      <c r="I671" s="340" t="s">
        <v>745</v>
      </c>
      <c r="K671" s="343">
        <v>0</v>
      </c>
      <c r="L671" s="343">
        <v>-10.32</v>
      </c>
      <c r="M671" s="343">
        <v>-1315596.76</v>
      </c>
      <c r="O671" s="343">
        <v>0</v>
      </c>
    </row>
    <row r="672" spans="1:15" x14ac:dyDescent="0.3">
      <c r="A672" s="340" t="s">
        <v>891</v>
      </c>
      <c r="B672" s="350">
        <v>46069</v>
      </c>
      <c r="C672" s="350">
        <v>46069</v>
      </c>
      <c r="D672" s="351">
        <v>46054</v>
      </c>
      <c r="E672" s="340" t="s">
        <v>1596</v>
      </c>
      <c r="F672" s="340" t="s">
        <v>894</v>
      </c>
      <c r="G672" s="340" t="s">
        <v>1597</v>
      </c>
      <c r="I672" s="340" t="s">
        <v>745</v>
      </c>
      <c r="K672" s="343">
        <v>0</v>
      </c>
      <c r="L672" s="343">
        <v>-49.76</v>
      </c>
      <c r="M672" s="343">
        <v>-1315646.52</v>
      </c>
      <c r="O672" s="343">
        <v>0</v>
      </c>
    </row>
    <row r="673" spans="1:15" x14ac:dyDescent="0.3">
      <c r="A673" s="340" t="s">
        <v>891</v>
      </c>
      <c r="B673" s="350">
        <v>46069</v>
      </c>
      <c r="C673" s="350">
        <v>46069</v>
      </c>
      <c r="D673" s="351">
        <v>46054</v>
      </c>
      <c r="E673" s="340" t="s">
        <v>1598</v>
      </c>
      <c r="F673" s="340" t="s">
        <v>894</v>
      </c>
      <c r="G673" s="340" t="s">
        <v>1599</v>
      </c>
      <c r="I673" s="340" t="s">
        <v>745</v>
      </c>
      <c r="K673" s="343">
        <v>0</v>
      </c>
      <c r="L673" s="343">
        <v>-94.23</v>
      </c>
      <c r="M673" s="343">
        <v>-1315740.75</v>
      </c>
      <c r="O673" s="343">
        <v>0</v>
      </c>
    </row>
    <row r="674" spans="1:15" x14ac:dyDescent="0.3">
      <c r="A674" s="340" t="s">
        <v>891</v>
      </c>
      <c r="B674" s="350">
        <v>46069</v>
      </c>
      <c r="C674" s="350">
        <v>46069</v>
      </c>
      <c r="D674" s="351">
        <v>46054</v>
      </c>
      <c r="E674" s="340" t="s">
        <v>1598</v>
      </c>
      <c r="F674" s="340" t="s">
        <v>894</v>
      </c>
      <c r="G674" s="340" t="s">
        <v>1600</v>
      </c>
      <c r="I674" s="340" t="s">
        <v>745</v>
      </c>
      <c r="K674" s="343">
        <v>0</v>
      </c>
      <c r="L674" s="343">
        <v>-114.24</v>
      </c>
      <c r="M674" s="343">
        <v>-1315854.99</v>
      </c>
      <c r="O674" s="343">
        <v>0</v>
      </c>
    </row>
    <row r="675" spans="1:15" x14ac:dyDescent="0.3">
      <c r="A675" s="340" t="s">
        <v>891</v>
      </c>
      <c r="B675" s="350">
        <v>46069</v>
      </c>
      <c r="C675" s="350">
        <v>46069</v>
      </c>
      <c r="D675" s="351">
        <v>46054</v>
      </c>
      <c r="E675" s="340" t="s">
        <v>1598</v>
      </c>
      <c r="F675" s="340" t="s">
        <v>894</v>
      </c>
      <c r="G675" s="340" t="s">
        <v>1601</v>
      </c>
      <c r="I675" s="340" t="s">
        <v>745</v>
      </c>
      <c r="K675" s="343">
        <v>0</v>
      </c>
      <c r="L675" s="343">
        <v>-38.08</v>
      </c>
      <c r="M675" s="343">
        <v>-1315893.07</v>
      </c>
      <c r="O675" s="343">
        <v>0</v>
      </c>
    </row>
    <row r="676" spans="1:15" x14ac:dyDescent="0.3">
      <c r="A676" s="340" t="s">
        <v>891</v>
      </c>
      <c r="B676" s="350">
        <v>46069</v>
      </c>
      <c r="C676" s="350">
        <v>46069</v>
      </c>
      <c r="D676" s="351">
        <v>46054</v>
      </c>
      <c r="E676" s="340" t="s">
        <v>1598</v>
      </c>
      <c r="F676" s="340" t="s">
        <v>894</v>
      </c>
      <c r="G676" s="340" t="s">
        <v>1602</v>
      </c>
      <c r="I676" s="340" t="s">
        <v>745</v>
      </c>
      <c r="K676" s="343">
        <v>0</v>
      </c>
      <c r="L676" s="343">
        <v>-233.9</v>
      </c>
      <c r="M676" s="343">
        <v>-1316126.97</v>
      </c>
      <c r="O676" s="343">
        <v>0</v>
      </c>
    </row>
    <row r="677" spans="1:15" x14ac:dyDescent="0.3">
      <c r="A677" s="340" t="s">
        <v>891</v>
      </c>
      <c r="B677" s="350">
        <v>46069</v>
      </c>
      <c r="C677" s="350">
        <v>46069</v>
      </c>
      <c r="D677" s="351">
        <v>46054</v>
      </c>
      <c r="E677" s="340" t="s">
        <v>1598</v>
      </c>
      <c r="F677" s="340" t="s">
        <v>894</v>
      </c>
      <c r="G677" s="340" t="s">
        <v>1603</v>
      </c>
      <c r="I677" s="340" t="s">
        <v>745</v>
      </c>
      <c r="K677" s="343">
        <v>0</v>
      </c>
      <c r="L677" s="343">
        <v>-183.78</v>
      </c>
      <c r="M677" s="343">
        <v>-1316310.75</v>
      </c>
      <c r="O677" s="343">
        <v>0</v>
      </c>
    </row>
    <row r="678" spans="1:15" x14ac:dyDescent="0.3">
      <c r="A678" s="340" t="s">
        <v>891</v>
      </c>
      <c r="B678" s="350">
        <v>46069</v>
      </c>
      <c r="C678" s="350">
        <v>46069</v>
      </c>
      <c r="D678" s="351">
        <v>46054</v>
      </c>
      <c r="E678" s="340" t="s">
        <v>1598</v>
      </c>
      <c r="F678" s="340" t="s">
        <v>894</v>
      </c>
      <c r="G678" s="340" t="s">
        <v>1604</v>
      </c>
      <c r="I678" s="340" t="s">
        <v>745</v>
      </c>
      <c r="K678" s="343">
        <v>0</v>
      </c>
      <c r="L678" s="343">
        <v>-101.9</v>
      </c>
      <c r="M678" s="343">
        <v>-1316412.6499999999</v>
      </c>
      <c r="O678" s="343">
        <v>0</v>
      </c>
    </row>
    <row r="679" spans="1:15" x14ac:dyDescent="0.3">
      <c r="A679" s="340" t="s">
        <v>891</v>
      </c>
      <c r="B679" s="350">
        <v>46069</v>
      </c>
      <c r="C679" s="350">
        <v>46069</v>
      </c>
      <c r="D679" s="351">
        <v>46054</v>
      </c>
      <c r="E679" s="340" t="s">
        <v>1598</v>
      </c>
      <c r="F679" s="340" t="s">
        <v>894</v>
      </c>
      <c r="G679" s="340" t="s">
        <v>1605</v>
      </c>
      <c r="I679" s="340" t="s">
        <v>745</v>
      </c>
      <c r="K679" s="343">
        <v>0</v>
      </c>
      <c r="L679" s="343">
        <v>-46.65</v>
      </c>
      <c r="M679" s="343">
        <v>-1316459.3</v>
      </c>
      <c r="O679" s="343">
        <v>0</v>
      </c>
    </row>
    <row r="680" spans="1:15" x14ac:dyDescent="0.3">
      <c r="A680" s="340" t="s">
        <v>891</v>
      </c>
      <c r="B680" s="350">
        <v>46069</v>
      </c>
      <c r="C680" s="350">
        <v>46069</v>
      </c>
      <c r="D680" s="351">
        <v>46054</v>
      </c>
      <c r="E680" s="340" t="s">
        <v>1598</v>
      </c>
      <c r="F680" s="340" t="s">
        <v>894</v>
      </c>
      <c r="G680" s="340" t="s">
        <v>1606</v>
      </c>
      <c r="I680" s="340" t="s">
        <v>745</v>
      </c>
      <c r="K680" s="343">
        <v>0</v>
      </c>
      <c r="L680" s="343">
        <v>-32.36</v>
      </c>
      <c r="M680" s="343">
        <v>-1316491.6599999999</v>
      </c>
      <c r="O680" s="343">
        <v>0</v>
      </c>
    </row>
    <row r="681" spans="1:15" x14ac:dyDescent="0.3">
      <c r="A681" s="340" t="s">
        <v>891</v>
      </c>
      <c r="B681" s="350">
        <v>46069</v>
      </c>
      <c r="C681" s="350">
        <v>46069</v>
      </c>
      <c r="D681" s="351">
        <v>46054</v>
      </c>
      <c r="E681" s="340" t="s">
        <v>1598</v>
      </c>
      <c r="F681" s="340" t="s">
        <v>894</v>
      </c>
      <c r="G681" s="340" t="s">
        <v>1607</v>
      </c>
      <c r="I681" s="340" t="s">
        <v>745</v>
      </c>
      <c r="K681" s="343">
        <v>0</v>
      </c>
      <c r="L681" s="343">
        <v>-23.41</v>
      </c>
      <c r="M681" s="343">
        <v>-1316515.07</v>
      </c>
      <c r="O681" s="343">
        <v>0</v>
      </c>
    </row>
    <row r="682" spans="1:15" x14ac:dyDescent="0.3">
      <c r="A682" s="340" t="s">
        <v>891</v>
      </c>
      <c r="B682" s="350">
        <v>46069</v>
      </c>
      <c r="C682" s="350">
        <v>46069</v>
      </c>
      <c r="D682" s="351">
        <v>46054</v>
      </c>
      <c r="E682" s="340" t="s">
        <v>1598</v>
      </c>
      <c r="F682" s="340" t="s">
        <v>894</v>
      </c>
      <c r="G682" s="340" t="s">
        <v>1608</v>
      </c>
      <c r="I682" s="340" t="s">
        <v>745</v>
      </c>
      <c r="K682" s="343">
        <v>0</v>
      </c>
      <c r="L682" s="343">
        <v>-64.72</v>
      </c>
      <c r="M682" s="343">
        <v>-1316579.79</v>
      </c>
      <c r="O682" s="343">
        <v>0</v>
      </c>
    </row>
    <row r="683" spans="1:15" x14ac:dyDescent="0.3">
      <c r="A683" s="340" t="s">
        <v>891</v>
      </c>
      <c r="B683" s="350">
        <v>46069</v>
      </c>
      <c r="C683" s="350">
        <v>46069</v>
      </c>
      <c r="D683" s="351">
        <v>46054</v>
      </c>
      <c r="E683" s="340" t="s">
        <v>1598</v>
      </c>
      <c r="F683" s="340" t="s">
        <v>894</v>
      </c>
      <c r="G683" s="340" t="s">
        <v>1609</v>
      </c>
      <c r="I683" s="340" t="s">
        <v>745</v>
      </c>
      <c r="K683" s="343">
        <v>0</v>
      </c>
      <c r="L683" s="343">
        <v>-68.069999999999993</v>
      </c>
      <c r="M683" s="343">
        <v>-1316647.8600000001</v>
      </c>
      <c r="O683" s="343">
        <v>0</v>
      </c>
    </row>
    <row r="684" spans="1:15" x14ac:dyDescent="0.3">
      <c r="A684" s="340" t="s">
        <v>891</v>
      </c>
      <c r="B684" s="350">
        <v>46069</v>
      </c>
      <c r="C684" s="350">
        <v>46069</v>
      </c>
      <c r="D684" s="351">
        <v>46054</v>
      </c>
      <c r="E684" s="340" t="s">
        <v>1598</v>
      </c>
      <c r="F684" s="340" t="s">
        <v>894</v>
      </c>
      <c r="G684" s="340" t="s">
        <v>1610</v>
      </c>
      <c r="I684" s="340" t="s">
        <v>745</v>
      </c>
      <c r="K684" s="343">
        <v>0</v>
      </c>
      <c r="L684" s="343">
        <v>-51.4</v>
      </c>
      <c r="M684" s="343">
        <v>-1316699.26</v>
      </c>
      <c r="O684" s="343">
        <v>0</v>
      </c>
    </row>
    <row r="685" spans="1:15" x14ac:dyDescent="0.3">
      <c r="A685" s="340" t="s">
        <v>891</v>
      </c>
      <c r="B685" s="350">
        <v>46069</v>
      </c>
      <c r="C685" s="350">
        <v>46069</v>
      </c>
      <c r="D685" s="351">
        <v>46054</v>
      </c>
      <c r="E685" s="340" t="s">
        <v>1598</v>
      </c>
      <c r="F685" s="340" t="s">
        <v>894</v>
      </c>
      <c r="G685" s="340" t="s">
        <v>1611</v>
      </c>
      <c r="I685" s="340" t="s">
        <v>745</v>
      </c>
      <c r="K685" s="343">
        <v>0</v>
      </c>
      <c r="L685" s="343">
        <v>-51.4</v>
      </c>
      <c r="M685" s="343">
        <v>-1316750.6599999999</v>
      </c>
      <c r="O685" s="343">
        <v>0</v>
      </c>
    </row>
    <row r="686" spans="1:15" x14ac:dyDescent="0.3">
      <c r="A686" s="340" t="s">
        <v>891</v>
      </c>
      <c r="B686" s="350">
        <v>46069</v>
      </c>
      <c r="C686" s="350">
        <v>46069</v>
      </c>
      <c r="D686" s="351">
        <v>46054</v>
      </c>
      <c r="E686" s="340" t="s">
        <v>1598</v>
      </c>
      <c r="F686" s="340" t="s">
        <v>894</v>
      </c>
      <c r="G686" s="340" t="s">
        <v>1612</v>
      </c>
      <c r="I686" s="340" t="s">
        <v>745</v>
      </c>
      <c r="K686" s="343">
        <v>0</v>
      </c>
      <c r="L686" s="343">
        <v>-76.09</v>
      </c>
      <c r="M686" s="343">
        <v>-1316826.75</v>
      </c>
      <c r="O686" s="343">
        <v>0</v>
      </c>
    </row>
    <row r="687" spans="1:15" x14ac:dyDescent="0.3">
      <c r="A687" s="340" t="s">
        <v>891</v>
      </c>
      <c r="B687" s="350">
        <v>46069</v>
      </c>
      <c r="C687" s="350">
        <v>46069</v>
      </c>
      <c r="D687" s="351">
        <v>46054</v>
      </c>
      <c r="E687" s="340" t="s">
        <v>1598</v>
      </c>
      <c r="F687" s="340" t="s">
        <v>894</v>
      </c>
      <c r="G687" s="340" t="s">
        <v>1613</v>
      </c>
      <c r="I687" s="340" t="s">
        <v>745</v>
      </c>
      <c r="K687" s="343">
        <v>0</v>
      </c>
      <c r="L687" s="343">
        <v>-47.93</v>
      </c>
      <c r="M687" s="343">
        <v>-1316874.68</v>
      </c>
      <c r="O687" s="343">
        <v>0</v>
      </c>
    </row>
    <row r="688" spans="1:15" x14ac:dyDescent="0.3">
      <c r="A688" s="340" t="s">
        <v>891</v>
      </c>
      <c r="B688" s="350">
        <v>46069</v>
      </c>
      <c r="C688" s="350">
        <v>46069</v>
      </c>
      <c r="D688" s="351">
        <v>46054</v>
      </c>
      <c r="E688" s="340" t="s">
        <v>1598</v>
      </c>
      <c r="F688" s="340" t="s">
        <v>894</v>
      </c>
      <c r="G688" s="340" t="s">
        <v>1614</v>
      </c>
      <c r="I688" s="340" t="s">
        <v>745</v>
      </c>
      <c r="K688" s="343">
        <v>0</v>
      </c>
      <c r="L688" s="343">
        <v>-59.81</v>
      </c>
      <c r="M688" s="343">
        <v>-1316934.49</v>
      </c>
      <c r="O688" s="343">
        <v>0</v>
      </c>
    </row>
    <row r="689" spans="1:15" x14ac:dyDescent="0.3">
      <c r="A689" s="340" t="s">
        <v>891</v>
      </c>
      <c r="B689" s="350">
        <v>46069</v>
      </c>
      <c r="C689" s="350">
        <v>46069</v>
      </c>
      <c r="D689" s="351">
        <v>46054</v>
      </c>
      <c r="E689" s="340" t="s">
        <v>1598</v>
      </c>
      <c r="F689" s="340" t="s">
        <v>894</v>
      </c>
      <c r="G689" s="340" t="s">
        <v>1615</v>
      </c>
      <c r="I689" s="340" t="s">
        <v>745</v>
      </c>
      <c r="K689" s="343">
        <v>0</v>
      </c>
      <c r="L689" s="343">
        <v>-84.96</v>
      </c>
      <c r="M689" s="343">
        <v>-1317019.45</v>
      </c>
      <c r="O689" s="343">
        <v>0</v>
      </c>
    </row>
    <row r="690" spans="1:15" x14ac:dyDescent="0.3">
      <c r="A690" s="340" t="s">
        <v>891</v>
      </c>
      <c r="B690" s="350">
        <v>46069</v>
      </c>
      <c r="C690" s="350">
        <v>46069</v>
      </c>
      <c r="D690" s="351">
        <v>46054</v>
      </c>
      <c r="E690" s="340" t="s">
        <v>1616</v>
      </c>
      <c r="F690" s="340" t="s">
        <v>894</v>
      </c>
      <c r="G690" s="340" t="s">
        <v>1508</v>
      </c>
      <c r="I690" s="340" t="s">
        <v>745</v>
      </c>
      <c r="K690" s="343">
        <v>0</v>
      </c>
      <c r="L690" s="343">
        <v>-78.05</v>
      </c>
      <c r="M690" s="343">
        <v>-1317097.5</v>
      </c>
      <c r="O690" s="343">
        <v>0</v>
      </c>
    </row>
    <row r="691" spans="1:15" x14ac:dyDescent="0.3">
      <c r="A691" s="340" t="s">
        <v>891</v>
      </c>
      <c r="B691" s="350">
        <v>46069</v>
      </c>
      <c r="C691" s="350">
        <v>46069</v>
      </c>
      <c r="D691" s="351">
        <v>46054</v>
      </c>
      <c r="E691" s="340" t="s">
        <v>1616</v>
      </c>
      <c r="F691" s="340" t="s">
        <v>894</v>
      </c>
      <c r="G691" s="340" t="s">
        <v>1617</v>
      </c>
      <c r="I691" s="340" t="s">
        <v>745</v>
      </c>
      <c r="K691" s="343">
        <v>0</v>
      </c>
      <c r="L691" s="343">
        <v>-74.61</v>
      </c>
      <c r="M691" s="343">
        <v>-1317172.1100000001</v>
      </c>
      <c r="O691" s="343">
        <v>0</v>
      </c>
    </row>
    <row r="692" spans="1:15" x14ac:dyDescent="0.3">
      <c r="A692" s="340" t="s">
        <v>891</v>
      </c>
      <c r="B692" s="350">
        <v>46069</v>
      </c>
      <c r="C692" s="350">
        <v>46069</v>
      </c>
      <c r="D692" s="351">
        <v>46054</v>
      </c>
      <c r="E692" s="340" t="s">
        <v>1616</v>
      </c>
      <c r="F692" s="340" t="s">
        <v>894</v>
      </c>
      <c r="G692" s="340" t="s">
        <v>1547</v>
      </c>
      <c r="I692" s="340" t="s">
        <v>745</v>
      </c>
      <c r="K692" s="343">
        <v>0</v>
      </c>
      <c r="L692" s="343">
        <v>-51.02</v>
      </c>
      <c r="M692" s="343">
        <v>-1317223.1299999999</v>
      </c>
      <c r="O692" s="343">
        <v>0</v>
      </c>
    </row>
    <row r="693" spans="1:15" x14ac:dyDescent="0.3">
      <c r="A693" s="340" t="s">
        <v>891</v>
      </c>
      <c r="B693" s="350">
        <v>46069</v>
      </c>
      <c r="C693" s="350">
        <v>46069</v>
      </c>
      <c r="D693" s="351">
        <v>46054</v>
      </c>
      <c r="E693" s="340" t="s">
        <v>1616</v>
      </c>
      <c r="F693" s="340" t="s">
        <v>894</v>
      </c>
      <c r="G693" s="340" t="s">
        <v>1548</v>
      </c>
      <c r="I693" s="340" t="s">
        <v>745</v>
      </c>
      <c r="K693" s="343">
        <v>0</v>
      </c>
      <c r="L693" s="343">
        <v>-59.69</v>
      </c>
      <c r="M693" s="343">
        <v>-1317282.82</v>
      </c>
      <c r="O693" s="343">
        <v>0</v>
      </c>
    </row>
    <row r="694" spans="1:15" x14ac:dyDescent="0.3">
      <c r="A694" s="340" t="s">
        <v>891</v>
      </c>
      <c r="B694" s="350">
        <v>46069</v>
      </c>
      <c r="C694" s="350">
        <v>46069</v>
      </c>
      <c r="D694" s="351">
        <v>46054</v>
      </c>
      <c r="E694" s="340" t="s">
        <v>1616</v>
      </c>
      <c r="F694" s="340" t="s">
        <v>894</v>
      </c>
      <c r="G694" s="340" t="s">
        <v>1187</v>
      </c>
      <c r="I694" s="340" t="s">
        <v>745</v>
      </c>
      <c r="K694" s="343">
        <v>0</v>
      </c>
      <c r="L694" s="343">
        <v>-178.44</v>
      </c>
      <c r="M694" s="343">
        <v>-1317461.26</v>
      </c>
      <c r="O694" s="343">
        <v>0</v>
      </c>
    </row>
    <row r="695" spans="1:15" x14ac:dyDescent="0.3">
      <c r="A695" s="340" t="s">
        <v>891</v>
      </c>
      <c r="B695" s="350">
        <v>46069</v>
      </c>
      <c r="C695" s="350">
        <v>46069</v>
      </c>
      <c r="D695" s="351">
        <v>46054</v>
      </c>
      <c r="E695" s="340" t="s">
        <v>1616</v>
      </c>
      <c r="F695" s="340" t="s">
        <v>894</v>
      </c>
      <c r="G695" s="340" t="s">
        <v>1188</v>
      </c>
      <c r="I695" s="340" t="s">
        <v>745</v>
      </c>
      <c r="K695" s="343">
        <v>0</v>
      </c>
      <c r="L695" s="343">
        <v>-219.18</v>
      </c>
      <c r="M695" s="343">
        <v>-1317680.44</v>
      </c>
      <c r="O695" s="343">
        <v>0</v>
      </c>
    </row>
    <row r="696" spans="1:15" x14ac:dyDescent="0.3">
      <c r="A696" s="340" t="s">
        <v>891</v>
      </c>
      <c r="B696" s="350">
        <v>46069</v>
      </c>
      <c r="C696" s="350">
        <v>46069</v>
      </c>
      <c r="D696" s="351">
        <v>46054</v>
      </c>
      <c r="E696" s="340" t="s">
        <v>1616</v>
      </c>
      <c r="F696" s="340" t="s">
        <v>894</v>
      </c>
      <c r="G696" s="340" t="s">
        <v>1618</v>
      </c>
      <c r="I696" s="340" t="s">
        <v>745</v>
      </c>
      <c r="K696" s="343">
        <v>0</v>
      </c>
      <c r="L696" s="343">
        <v>-235.7</v>
      </c>
      <c r="M696" s="343">
        <v>-1317916.1399999999</v>
      </c>
      <c r="O696" s="343">
        <v>0</v>
      </c>
    </row>
    <row r="697" spans="1:15" x14ac:dyDescent="0.3">
      <c r="A697" s="340" t="s">
        <v>891</v>
      </c>
      <c r="B697" s="350">
        <v>46069</v>
      </c>
      <c r="C697" s="350">
        <v>46069</v>
      </c>
      <c r="D697" s="351">
        <v>46054</v>
      </c>
      <c r="E697" s="340" t="s">
        <v>1616</v>
      </c>
      <c r="F697" s="340" t="s">
        <v>894</v>
      </c>
      <c r="G697" s="340" t="s">
        <v>1619</v>
      </c>
      <c r="I697" s="340" t="s">
        <v>745</v>
      </c>
      <c r="K697" s="343">
        <v>0</v>
      </c>
      <c r="L697" s="343">
        <v>-97.74</v>
      </c>
      <c r="M697" s="343">
        <v>-1318013.8799999999</v>
      </c>
      <c r="O697" s="343">
        <v>0</v>
      </c>
    </row>
    <row r="698" spans="1:15" x14ac:dyDescent="0.3">
      <c r="A698" s="340" t="s">
        <v>891</v>
      </c>
      <c r="B698" s="350">
        <v>46069</v>
      </c>
      <c r="C698" s="350">
        <v>46069</v>
      </c>
      <c r="D698" s="351">
        <v>46054</v>
      </c>
      <c r="E698" s="340" t="s">
        <v>1616</v>
      </c>
      <c r="F698" s="340" t="s">
        <v>894</v>
      </c>
      <c r="G698" s="340" t="s">
        <v>1620</v>
      </c>
      <c r="I698" s="340" t="s">
        <v>745</v>
      </c>
      <c r="K698" s="343">
        <v>0</v>
      </c>
      <c r="L698" s="343">
        <v>-182.03</v>
      </c>
      <c r="M698" s="343">
        <v>-1318195.9099999999</v>
      </c>
      <c r="O698" s="343">
        <v>0</v>
      </c>
    </row>
    <row r="699" spans="1:15" x14ac:dyDescent="0.3">
      <c r="A699" s="340" t="s">
        <v>891</v>
      </c>
      <c r="B699" s="350">
        <v>46069</v>
      </c>
      <c r="C699" s="350">
        <v>46069</v>
      </c>
      <c r="D699" s="351">
        <v>46054</v>
      </c>
      <c r="E699" s="340" t="s">
        <v>1616</v>
      </c>
      <c r="F699" s="340" t="s">
        <v>894</v>
      </c>
      <c r="G699" s="340" t="s">
        <v>1621</v>
      </c>
      <c r="I699" s="340" t="s">
        <v>745</v>
      </c>
      <c r="K699" s="343">
        <v>0</v>
      </c>
      <c r="L699" s="343">
        <v>-154.22999999999999</v>
      </c>
      <c r="M699" s="343">
        <v>-1318350.1399999999</v>
      </c>
      <c r="O699" s="343">
        <v>0</v>
      </c>
    </row>
    <row r="700" spans="1:15" x14ac:dyDescent="0.3">
      <c r="A700" s="340" t="s">
        <v>891</v>
      </c>
      <c r="B700" s="350">
        <v>46069</v>
      </c>
      <c r="C700" s="350">
        <v>46069</v>
      </c>
      <c r="D700" s="351">
        <v>46054</v>
      </c>
      <c r="E700" s="340" t="s">
        <v>1616</v>
      </c>
      <c r="F700" s="340" t="s">
        <v>894</v>
      </c>
      <c r="G700" s="340" t="s">
        <v>1622</v>
      </c>
      <c r="I700" s="340" t="s">
        <v>745</v>
      </c>
      <c r="K700" s="343">
        <v>0</v>
      </c>
      <c r="L700" s="343">
        <v>-154.22999999999999</v>
      </c>
      <c r="M700" s="343">
        <v>-1318504.3700000001</v>
      </c>
      <c r="O700" s="343">
        <v>0</v>
      </c>
    </row>
    <row r="701" spans="1:15" x14ac:dyDescent="0.3">
      <c r="A701" s="340" t="s">
        <v>891</v>
      </c>
      <c r="B701" s="350">
        <v>46069</v>
      </c>
      <c r="C701" s="350">
        <v>46069</v>
      </c>
      <c r="D701" s="351">
        <v>46054</v>
      </c>
      <c r="E701" s="340" t="s">
        <v>1616</v>
      </c>
      <c r="F701" s="340" t="s">
        <v>894</v>
      </c>
      <c r="G701" s="340" t="s">
        <v>1623</v>
      </c>
      <c r="I701" s="340" t="s">
        <v>745</v>
      </c>
      <c r="K701" s="343">
        <v>0</v>
      </c>
      <c r="L701" s="343">
        <v>-41.48</v>
      </c>
      <c r="M701" s="343">
        <v>-1318545.8500000001</v>
      </c>
      <c r="O701" s="343">
        <v>0</v>
      </c>
    </row>
    <row r="702" spans="1:15" x14ac:dyDescent="0.3">
      <c r="A702" s="340" t="s">
        <v>891</v>
      </c>
      <c r="B702" s="350">
        <v>46069</v>
      </c>
      <c r="C702" s="350">
        <v>46069</v>
      </c>
      <c r="D702" s="351">
        <v>46054</v>
      </c>
      <c r="E702" s="340" t="s">
        <v>1616</v>
      </c>
      <c r="F702" s="340" t="s">
        <v>894</v>
      </c>
      <c r="G702" s="340" t="s">
        <v>1624</v>
      </c>
      <c r="I702" s="340" t="s">
        <v>745</v>
      </c>
      <c r="K702" s="343">
        <v>0</v>
      </c>
      <c r="L702" s="343">
        <v>-170.36</v>
      </c>
      <c r="M702" s="343">
        <v>-1318716.21</v>
      </c>
      <c r="O702" s="343">
        <v>0</v>
      </c>
    </row>
    <row r="703" spans="1:15" x14ac:dyDescent="0.3">
      <c r="A703" s="340" t="s">
        <v>891</v>
      </c>
      <c r="B703" s="350">
        <v>46069</v>
      </c>
      <c r="C703" s="350">
        <v>46069</v>
      </c>
      <c r="D703" s="351">
        <v>46054</v>
      </c>
      <c r="E703" s="340" t="s">
        <v>1616</v>
      </c>
      <c r="F703" s="340" t="s">
        <v>894</v>
      </c>
      <c r="G703" s="340" t="s">
        <v>1509</v>
      </c>
      <c r="I703" s="340" t="s">
        <v>745</v>
      </c>
      <c r="K703" s="343">
        <v>0</v>
      </c>
      <c r="L703" s="343">
        <v>-560.12</v>
      </c>
      <c r="M703" s="343">
        <v>-1319276.33</v>
      </c>
      <c r="O703" s="343">
        <v>0</v>
      </c>
    </row>
    <row r="704" spans="1:15" x14ac:dyDescent="0.3">
      <c r="A704" s="340" t="s">
        <v>891</v>
      </c>
      <c r="B704" s="350">
        <v>46069</v>
      </c>
      <c r="C704" s="350">
        <v>46069</v>
      </c>
      <c r="D704" s="351">
        <v>46054</v>
      </c>
      <c r="E704" s="340" t="s">
        <v>1616</v>
      </c>
      <c r="F704" s="340" t="s">
        <v>894</v>
      </c>
      <c r="G704" s="340" t="s">
        <v>1625</v>
      </c>
      <c r="I704" s="340" t="s">
        <v>745</v>
      </c>
      <c r="K704" s="343">
        <v>0</v>
      </c>
      <c r="L704" s="343">
        <v>-104.23</v>
      </c>
      <c r="M704" s="343">
        <v>-1319380.56</v>
      </c>
      <c r="O704" s="343">
        <v>0</v>
      </c>
    </row>
    <row r="705" spans="1:15" x14ac:dyDescent="0.3">
      <c r="A705" s="340" t="s">
        <v>891</v>
      </c>
      <c r="B705" s="350">
        <v>46069</v>
      </c>
      <c r="C705" s="350">
        <v>46069</v>
      </c>
      <c r="D705" s="351">
        <v>46054</v>
      </c>
      <c r="E705" s="340" t="s">
        <v>1616</v>
      </c>
      <c r="F705" s="340" t="s">
        <v>894</v>
      </c>
      <c r="G705" s="340" t="s">
        <v>1626</v>
      </c>
      <c r="I705" s="340" t="s">
        <v>745</v>
      </c>
      <c r="K705" s="343">
        <v>0</v>
      </c>
      <c r="L705" s="343">
        <v>-33.94</v>
      </c>
      <c r="M705" s="343">
        <v>-1319414.5</v>
      </c>
      <c r="O705" s="343">
        <v>0</v>
      </c>
    </row>
    <row r="706" spans="1:15" x14ac:dyDescent="0.3">
      <c r="A706" s="340" t="s">
        <v>891</v>
      </c>
      <c r="B706" s="350">
        <v>46069</v>
      </c>
      <c r="C706" s="350">
        <v>46069</v>
      </c>
      <c r="D706" s="351">
        <v>46054</v>
      </c>
      <c r="E706" s="340" t="s">
        <v>1616</v>
      </c>
      <c r="F706" s="340" t="s">
        <v>894</v>
      </c>
      <c r="G706" s="340" t="s">
        <v>1544</v>
      </c>
      <c r="I706" s="340" t="s">
        <v>745</v>
      </c>
      <c r="K706" s="343">
        <v>0</v>
      </c>
      <c r="L706" s="343">
        <v>-148.33000000000001</v>
      </c>
      <c r="M706" s="343">
        <v>-1319562.83</v>
      </c>
      <c r="O706" s="343">
        <v>0</v>
      </c>
    </row>
    <row r="707" spans="1:15" x14ac:dyDescent="0.3">
      <c r="A707" s="340" t="s">
        <v>891</v>
      </c>
      <c r="B707" s="350">
        <v>46069</v>
      </c>
      <c r="C707" s="350">
        <v>46069</v>
      </c>
      <c r="D707" s="351">
        <v>46054</v>
      </c>
      <c r="E707" s="340" t="s">
        <v>1616</v>
      </c>
      <c r="F707" s="340" t="s">
        <v>894</v>
      </c>
      <c r="G707" s="340" t="s">
        <v>1627</v>
      </c>
      <c r="I707" s="340" t="s">
        <v>745</v>
      </c>
      <c r="K707" s="343">
        <v>0</v>
      </c>
      <c r="L707" s="343">
        <v>-12.9</v>
      </c>
      <c r="M707" s="343">
        <v>-1319575.73</v>
      </c>
      <c r="O707" s="343">
        <v>0</v>
      </c>
    </row>
    <row r="708" spans="1:15" x14ac:dyDescent="0.3">
      <c r="A708" s="340" t="s">
        <v>891</v>
      </c>
      <c r="B708" s="350">
        <v>46069</v>
      </c>
      <c r="C708" s="350">
        <v>46069</v>
      </c>
      <c r="D708" s="351">
        <v>46054</v>
      </c>
      <c r="E708" s="340" t="s">
        <v>1616</v>
      </c>
      <c r="F708" s="340" t="s">
        <v>894</v>
      </c>
      <c r="G708" s="340" t="s">
        <v>1511</v>
      </c>
      <c r="I708" s="340" t="s">
        <v>745</v>
      </c>
      <c r="K708" s="343">
        <v>0</v>
      </c>
      <c r="L708" s="343">
        <v>-62.79</v>
      </c>
      <c r="M708" s="343">
        <v>-1319638.52</v>
      </c>
      <c r="O708" s="343">
        <v>0</v>
      </c>
    </row>
    <row r="709" spans="1:15" x14ac:dyDescent="0.3">
      <c r="A709" s="340" t="s">
        <v>891</v>
      </c>
      <c r="B709" s="350">
        <v>46069</v>
      </c>
      <c r="C709" s="350">
        <v>46069</v>
      </c>
      <c r="D709" s="351">
        <v>46054</v>
      </c>
      <c r="E709" s="340" t="s">
        <v>1616</v>
      </c>
      <c r="F709" s="340" t="s">
        <v>894</v>
      </c>
      <c r="G709" s="340" t="s">
        <v>1628</v>
      </c>
      <c r="I709" s="340" t="s">
        <v>745</v>
      </c>
      <c r="K709" s="343">
        <v>0</v>
      </c>
      <c r="L709" s="343">
        <v>-33.4</v>
      </c>
      <c r="M709" s="343">
        <v>-1319671.92</v>
      </c>
      <c r="O709" s="343">
        <v>0</v>
      </c>
    </row>
    <row r="710" spans="1:15" x14ac:dyDescent="0.3">
      <c r="A710" s="340" t="s">
        <v>891</v>
      </c>
      <c r="B710" s="350">
        <v>46069</v>
      </c>
      <c r="C710" s="350">
        <v>46069</v>
      </c>
      <c r="D710" s="351">
        <v>46054</v>
      </c>
      <c r="E710" s="340" t="s">
        <v>1616</v>
      </c>
      <c r="F710" s="340" t="s">
        <v>894</v>
      </c>
      <c r="G710" s="340" t="s">
        <v>1629</v>
      </c>
      <c r="I710" s="340" t="s">
        <v>745</v>
      </c>
      <c r="K710" s="343">
        <v>0</v>
      </c>
      <c r="L710" s="343">
        <v>-87</v>
      </c>
      <c r="M710" s="343">
        <v>-1319758.92</v>
      </c>
      <c r="O710" s="343">
        <v>0</v>
      </c>
    </row>
    <row r="711" spans="1:15" x14ac:dyDescent="0.3">
      <c r="A711" s="340" t="s">
        <v>891</v>
      </c>
      <c r="B711" s="350">
        <v>46069</v>
      </c>
      <c r="C711" s="350">
        <v>46069</v>
      </c>
      <c r="D711" s="351">
        <v>46054</v>
      </c>
      <c r="E711" s="340" t="s">
        <v>1616</v>
      </c>
      <c r="F711" s="340" t="s">
        <v>894</v>
      </c>
      <c r="G711" s="340" t="s">
        <v>1630</v>
      </c>
      <c r="I711" s="340" t="s">
        <v>745</v>
      </c>
      <c r="K711" s="343">
        <v>0</v>
      </c>
      <c r="L711" s="343">
        <v>-98.38</v>
      </c>
      <c r="M711" s="343">
        <v>-1319857.3</v>
      </c>
      <c r="O711" s="343">
        <v>0</v>
      </c>
    </row>
    <row r="712" spans="1:15" x14ac:dyDescent="0.3">
      <c r="A712" s="340" t="s">
        <v>891</v>
      </c>
      <c r="B712" s="350">
        <v>46069</v>
      </c>
      <c r="C712" s="350">
        <v>46069</v>
      </c>
      <c r="D712" s="351">
        <v>46054</v>
      </c>
      <c r="E712" s="340" t="s">
        <v>1616</v>
      </c>
      <c r="F712" s="340" t="s">
        <v>894</v>
      </c>
      <c r="G712" s="340" t="s">
        <v>1631</v>
      </c>
      <c r="I712" s="340" t="s">
        <v>745</v>
      </c>
      <c r="K712" s="343">
        <v>0</v>
      </c>
      <c r="L712" s="343">
        <v>-94.16</v>
      </c>
      <c r="M712" s="343">
        <v>-1319951.46</v>
      </c>
      <c r="O712" s="343">
        <v>0</v>
      </c>
    </row>
    <row r="713" spans="1:15" x14ac:dyDescent="0.3">
      <c r="A713" s="340" t="s">
        <v>891</v>
      </c>
      <c r="B713" s="350">
        <v>46069</v>
      </c>
      <c r="C713" s="350">
        <v>46069</v>
      </c>
      <c r="D713" s="351">
        <v>46054</v>
      </c>
      <c r="E713" s="340" t="s">
        <v>1616</v>
      </c>
      <c r="F713" s="340" t="s">
        <v>894</v>
      </c>
      <c r="G713" s="340" t="s">
        <v>1632</v>
      </c>
      <c r="I713" s="340" t="s">
        <v>745</v>
      </c>
      <c r="K713" s="343">
        <v>0</v>
      </c>
      <c r="L713" s="343">
        <v>-482.97</v>
      </c>
      <c r="M713" s="343">
        <v>-1320434.43</v>
      </c>
      <c r="O713" s="343">
        <v>0</v>
      </c>
    </row>
    <row r="714" spans="1:15" x14ac:dyDescent="0.3">
      <c r="A714" s="340" t="s">
        <v>891</v>
      </c>
      <c r="B714" s="350">
        <v>46069</v>
      </c>
      <c r="C714" s="350">
        <v>46069</v>
      </c>
      <c r="D714" s="351">
        <v>46054</v>
      </c>
      <c r="E714" s="340" t="s">
        <v>1616</v>
      </c>
      <c r="F714" s="340" t="s">
        <v>894</v>
      </c>
      <c r="G714" s="340" t="s">
        <v>1633</v>
      </c>
      <c r="I714" s="340" t="s">
        <v>745</v>
      </c>
      <c r="K714" s="343">
        <v>0</v>
      </c>
      <c r="L714" s="343">
        <v>-968.8</v>
      </c>
      <c r="M714" s="343">
        <v>-1321403.23</v>
      </c>
      <c r="O714" s="343">
        <v>0</v>
      </c>
    </row>
    <row r="715" spans="1:15" x14ac:dyDescent="0.3">
      <c r="A715" s="340" t="s">
        <v>891</v>
      </c>
      <c r="B715" s="350">
        <v>46069</v>
      </c>
      <c r="C715" s="350">
        <v>46069</v>
      </c>
      <c r="D715" s="351">
        <v>46054</v>
      </c>
      <c r="E715" s="340" t="s">
        <v>1616</v>
      </c>
      <c r="F715" s="340" t="s">
        <v>894</v>
      </c>
      <c r="G715" s="340" t="s">
        <v>1193</v>
      </c>
      <c r="I715" s="340" t="s">
        <v>745</v>
      </c>
      <c r="K715" s="343">
        <v>0</v>
      </c>
      <c r="L715" s="343">
        <v>-224.57</v>
      </c>
      <c r="M715" s="343">
        <v>-1321627.8</v>
      </c>
      <c r="O715" s="343">
        <v>0</v>
      </c>
    </row>
    <row r="716" spans="1:15" x14ac:dyDescent="0.3">
      <c r="A716" s="340" t="s">
        <v>891</v>
      </c>
      <c r="B716" s="350">
        <v>46069</v>
      </c>
      <c r="C716" s="350">
        <v>46076</v>
      </c>
      <c r="D716" s="351">
        <v>46054</v>
      </c>
      <c r="E716" s="340" t="s">
        <v>1634</v>
      </c>
      <c r="F716" s="340" t="s">
        <v>894</v>
      </c>
      <c r="G716" s="340" t="s">
        <v>1635</v>
      </c>
      <c r="I716" s="340" t="s">
        <v>765</v>
      </c>
      <c r="K716" s="343">
        <v>0</v>
      </c>
      <c r="L716" s="343">
        <v>-1177.44</v>
      </c>
      <c r="M716" s="343">
        <v>-1322805.24</v>
      </c>
      <c r="O716" s="343">
        <v>0</v>
      </c>
    </row>
    <row r="717" spans="1:15" x14ac:dyDescent="0.3">
      <c r="A717" s="340" t="s">
        <v>891</v>
      </c>
      <c r="B717" s="350">
        <v>46069</v>
      </c>
      <c r="C717" s="350">
        <v>46088</v>
      </c>
      <c r="D717" s="351">
        <v>46082</v>
      </c>
      <c r="E717" s="340" t="s">
        <v>1636</v>
      </c>
      <c r="F717" s="340" t="s">
        <v>894</v>
      </c>
      <c r="G717" s="340" t="s">
        <v>1637</v>
      </c>
      <c r="I717" s="340" t="s">
        <v>1638</v>
      </c>
      <c r="K717" s="343">
        <v>0</v>
      </c>
      <c r="L717" s="343">
        <v>-1827.69</v>
      </c>
      <c r="M717" s="343">
        <v>-1324632.93</v>
      </c>
      <c r="O717" s="343">
        <v>0</v>
      </c>
    </row>
    <row r="718" spans="1:15" x14ac:dyDescent="0.3">
      <c r="A718" s="340" t="s">
        <v>891</v>
      </c>
      <c r="B718" s="350">
        <v>46070</v>
      </c>
      <c r="C718" s="350">
        <v>46070</v>
      </c>
      <c r="D718" s="351">
        <v>46054</v>
      </c>
      <c r="E718" s="340" t="s">
        <v>1639</v>
      </c>
      <c r="F718" s="340" t="s">
        <v>1078</v>
      </c>
      <c r="G718" s="340" t="s">
        <v>1581</v>
      </c>
      <c r="I718" s="340" t="s">
        <v>232</v>
      </c>
      <c r="K718" s="343">
        <v>12873.43</v>
      </c>
      <c r="L718" s="343">
        <v>0</v>
      </c>
      <c r="M718" s="343">
        <v>-1311759.5</v>
      </c>
      <c r="O718" s="343">
        <v>0</v>
      </c>
    </row>
    <row r="719" spans="1:15" x14ac:dyDescent="0.3">
      <c r="A719" s="340" t="s">
        <v>891</v>
      </c>
      <c r="B719" s="350">
        <v>46070</v>
      </c>
      <c r="C719" s="350">
        <v>46070</v>
      </c>
      <c r="D719" s="351">
        <v>46054</v>
      </c>
      <c r="E719" s="340" t="s">
        <v>1640</v>
      </c>
      <c r="F719" s="340" t="s">
        <v>1078</v>
      </c>
      <c r="G719" s="340" t="s">
        <v>1362</v>
      </c>
      <c r="I719" s="340" t="s">
        <v>1567</v>
      </c>
      <c r="K719" s="343">
        <v>750</v>
      </c>
      <c r="L719" s="343">
        <v>0</v>
      </c>
      <c r="M719" s="343">
        <v>-1311009.5</v>
      </c>
      <c r="O719" s="343">
        <v>0</v>
      </c>
    </row>
    <row r="720" spans="1:15" x14ac:dyDescent="0.3">
      <c r="A720" s="340" t="s">
        <v>891</v>
      </c>
      <c r="B720" s="350">
        <v>46070</v>
      </c>
      <c r="C720" s="350">
        <v>46070</v>
      </c>
      <c r="D720" s="351">
        <v>46054</v>
      </c>
      <c r="E720" s="340" t="s">
        <v>1641</v>
      </c>
      <c r="F720" s="340" t="s">
        <v>1078</v>
      </c>
      <c r="G720" s="340" t="s">
        <v>1487</v>
      </c>
      <c r="I720" s="340" t="s">
        <v>1488</v>
      </c>
      <c r="K720" s="343">
        <v>651</v>
      </c>
      <c r="L720" s="343">
        <v>0</v>
      </c>
      <c r="M720" s="343">
        <v>-1310358.5</v>
      </c>
      <c r="O720" s="343">
        <v>0</v>
      </c>
    </row>
    <row r="721" spans="1:15" x14ac:dyDescent="0.3">
      <c r="A721" s="340" t="s">
        <v>891</v>
      </c>
      <c r="B721" s="350">
        <v>46070</v>
      </c>
      <c r="C721" s="350">
        <v>46070</v>
      </c>
      <c r="D721" s="351">
        <v>46054</v>
      </c>
      <c r="E721" s="340" t="s">
        <v>1642</v>
      </c>
      <c r="F721" s="340" t="s">
        <v>1078</v>
      </c>
      <c r="G721" s="340" t="s">
        <v>1362</v>
      </c>
      <c r="I721" s="340" t="s">
        <v>1490</v>
      </c>
      <c r="K721" s="343">
        <v>150</v>
      </c>
      <c r="L721" s="343">
        <v>0</v>
      </c>
      <c r="M721" s="343">
        <v>-1310208.5</v>
      </c>
      <c r="O721" s="343">
        <v>0</v>
      </c>
    </row>
    <row r="722" spans="1:15" x14ac:dyDescent="0.3">
      <c r="A722" s="340" t="s">
        <v>891</v>
      </c>
      <c r="B722" s="350">
        <v>46070</v>
      </c>
      <c r="C722" s="350">
        <v>46070</v>
      </c>
      <c r="D722" s="351">
        <v>46054</v>
      </c>
      <c r="E722" s="340" t="s">
        <v>1643</v>
      </c>
      <c r="F722" s="340" t="s">
        <v>1078</v>
      </c>
      <c r="G722" s="340" t="s">
        <v>1362</v>
      </c>
      <c r="I722" s="340" t="s">
        <v>1566</v>
      </c>
      <c r="K722" s="343">
        <v>100</v>
      </c>
      <c r="L722" s="343">
        <v>0</v>
      </c>
      <c r="M722" s="343">
        <v>-1310108.5</v>
      </c>
      <c r="O722" s="343">
        <v>0</v>
      </c>
    </row>
    <row r="723" spans="1:15" x14ac:dyDescent="0.3">
      <c r="A723" s="340" t="s">
        <v>891</v>
      </c>
      <c r="B723" s="350">
        <v>46070</v>
      </c>
      <c r="C723" s="350">
        <v>46070</v>
      </c>
      <c r="D723" s="351">
        <v>46054</v>
      </c>
      <c r="E723" s="340" t="s">
        <v>1644</v>
      </c>
      <c r="F723" s="340" t="s">
        <v>1078</v>
      </c>
      <c r="G723" s="340" t="s">
        <v>1362</v>
      </c>
      <c r="I723" s="340" t="s">
        <v>1568</v>
      </c>
      <c r="K723" s="343">
        <v>750</v>
      </c>
      <c r="L723" s="343">
        <v>0</v>
      </c>
      <c r="M723" s="343">
        <v>-1309358.5</v>
      </c>
      <c r="O723" s="343">
        <v>0</v>
      </c>
    </row>
    <row r="724" spans="1:15" x14ac:dyDescent="0.3">
      <c r="A724" s="340" t="s">
        <v>891</v>
      </c>
      <c r="B724" s="350">
        <v>46070</v>
      </c>
      <c r="C724" s="350">
        <v>46070</v>
      </c>
      <c r="D724" s="351">
        <v>46054</v>
      </c>
      <c r="E724" s="340" t="s">
        <v>1645</v>
      </c>
      <c r="F724" s="340" t="s">
        <v>1078</v>
      </c>
      <c r="G724" s="340" t="s">
        <v>1362</v>
      </c>
      <c r="I724" s="340" t="s">
        <v>1491</v>
      </c>
      <c r="K724" s="343">
        <v>750</v>
      </c>
      <c r="L724" s="343">
        <v>0</v>
      </c>
      <c r="M724" s="343">
        <v>-1308608.5</v>
      </c>
      <c r="O724" s="343">
        <v>0</v>
      </c>
    </row>
    <row r="725" spans="1:15" x14ac:dyDescent="0.3">
      <c r="A725" s="340" t="s">
        <v>891</v>
      </c>
      <c r="B725" s="350">
        <v>46070</v>
      </c>
      <c r="C725" s="350">
        <v>46070</v>
      </c>
      <c r="D725" s="351">
        <v>46054</v>
      </c>
      <c r="E725" s="340" t="s">
        <v>1645</v>
      </c>
      <c r="F725" s="340" t="s">
        <v>1078</v>
      </c>
      <c r="G725" s="340" t="s">
        <v>1487</v>
      </c>
      <c r="I725" s="340" t="s">
        <v>1491</v>
      </c>
      <c r="K725" s="343">
        <v>59</v>
      </c>
      <c r="L725" s="343">
        <v>0</v>
      </c>
      <c r="M725" s="343">
        <v>-1308549.5</v>
      </c>
      <c r="O725" s="343">
        <v>0</v>
      </c>
    </row>
    <row r="726" spans="1:15" x14ac:dyDescent="0.3">
      <c r="A726" s="340" t="s">
        <v>891</v>
      </c>
      <c r="B726" s="350">
        <v>46070</v>
      </c>
      <c r="C726" s="350">
        <v>46070</v>
      </c>
      <c r="D726" s="351">
        <v>46054</v>
      </c>
      <c r="E726" s="340" t="s">
        <v>1646</v>
      </c>
      <c r="F726" s="340" t="s">
        <v>1078</v>
      </c>
      <c r="G726" s="340" t="s">
        <v>1362</v>
      </c>
      <c r="I726" s="340" t="s">
        <v>1489</v>
      </c>
      <c r="K726" s="343">
        <v>150</v>
      </c>
      <c r="L726" s="343">
        <v>0</v>
      </c>
      <c r="M726" s="343">
        <v>-1308399.5</v>
      </c>
      <c r="O726" s="343">
        <v>0</v>
      </c>
    </row>
    <row r="727" spans="1:15" x14ac:dyDescent="0.3">
      <c r="A727" s="340" t="s">
        <v>891</v>
      </c>
      <c r="B727" s="350">
        <v>46070</v>
      </c>
      <c r="C727" s="350">
        <v>46070</v>
      </c>
      <c r="D727" s="351">
        <v>46054</v>
      </c>
      <c r="E727" s="340" t="s">
        <v>1647</v>
      </c>
      <c r="F727" s="340" t="s">
        <v>1078</v>
      </c>
      <c r="G727" s="340" t="s">
        <v>1362</v>
      </c>
      <c r="I727" s="340" t="s">
        <v>1486</v>
      </c>
      <c r="K727" s="343">
        <v>319.77999999999997</v>
      </c>
      <c r="L727" s="343">
        <v>0</v>
      </c>
      <c r="M727" s="343">
        <v>-1308079.72</v>
      </c>
      <c r="O727" s="343">
        <v>0</v>
      </c>
    </row>
    <row r="728" spans="1:15" x14ac:dyDescent="0.3">
      <c r="A728" s="340" t="s">
        <v>891</v>
      </c>
      <c r="B728" s="350">
        <v>46070</v>
      </c>
      <c r="C728" s="350">
        <v>46073</v>
      </c>
      <c r="D728" s="351">
        <v>46054</v>
      </c>
      <c r="E728" s="340" t="s">
        <v>1648</v>
      </c>
      <c r="F728" s="340" t="s">
        <v>894</v>
      </c>
      <c r="G728" s="340" t="s">
        <v>1649</v>
      </c>
      <c r="I728" s="340" t="s">
        <v>740</v>
      </c>
      <c r="K728" s="343">
        <v>0</v>
      </c>
      <c r="L728" s="343">
        <v>-129.9</v>
      </c>
      <c r="M728" s="343">
        <v>-1308209.6200000001</v>
      </c>
      <c r="O728" s="343">
        <v>0</v>
      </c>
    </row>
    <row r="729" spans="1:15" x14ac:dyDescent="0.3">
      <c r="A729" s="340" t="s">
        <v>891</v>
      </c>
      <c r="B729" s="350">
        <v>46070</v>
      </c>
      <c r="C729" s="350">
        <v>46073</v>
      </c>
      <c r="D729" s="351">
        <v>46054</v>
      </c>
      <c r="E729" s="340" t="s">
        <v>1648</v>
      </c>
      <c r="F729" s="340" t="s">
        <v>894</v>
      </c>
      <c r="G729" s="340" t="s">
        <v>1650</v>
      </c>
      <c r="I729" s="340" t="s">
        <v>740</v>
      </c>
      <c r="K729" s="343">
        <v>0</v>
      </c>
      <c r="L729" s="343">
        <v>-770</v>
      </c>
      <c r="M729" s="343">
        <v>-1308979.6200000001</v>
      </c>
      <c r="O729" s="343">
        <v>0</v>
      </c>
    </row>
    <row r="730" spans="1:15" x14ac:dyDescent="0.3">
      <c r="A730" s="340" t="s">
        <v>891</v>
      </c>
      <c r="B730" s="350">
        <v>46070</v>
      </c>
      <c r="C730" s="350">
        <v>46073</v>
      </c>
      <c r="D730" s="351">
        <v>46054</v>
      </c>
      <c r="E730" s="340" t="s">
        <v>1651</v>
      </c>
      <c r="F730" s="340" t="s">
        <v>894</v>
      </c>
      <c r="G730" s="340" t="s">
        <v>1652</v>
      </c>
      <c r="I730" s="340" t="s">
        <v>740</v>
      </c>
      <c r="K730" s="343">
        <v>0</v>
      </c>
      <c r="L730" s="343">
        <v>-260</v>
      </c>
      <c r="M730" s="343">
        <v>-1309239.6200000001</v>
      </c>
      <c r="O730" s="343">
        <v>0</v>
      </c>
    </row>
    <row r="731" spans="1:15" x14ac:dyDescent="0.3">
      <c r="A731" s="340" t="s">
        <v>891</v>
      </c>
      <c r="B731" s="350">
        <v>46070</v>
      </c>
      <c r="C731" s="350">
        <v>46073</v>
      </c>
      <c r="D731" s="351">
        <v>46054</v>
      </c>
      <c r="E731" s="340" t="s">
        <v>1651</v>
      </c>
      <c r="F731" s="340" t="s">
        <v>894</v>
      </c>
      <c r="G731" s="340" t="s">
        <v>1653</v>
      </c>
      <c r="I731" s="340" t="s">
        <v>740</v>
      </c>
      <c r="K731" s="343">
        <v>0</v>
      </c>
      <c r="L731" s="343">
        <v>-150</v>
      </c>
      <c r="M731" s="343">
        <v>-1309389.6200000001</v>
      </c>
      <c r="O731" s="343">
        <v>0</v>
      </c>
    </row>
    <row r="732" spans="1:15" x14ac:dyDescent="0.3">
      <c r="A732" s="340" t="s">
        <v>891</v>
      </c>
      <c r="B732" s="350">
        <v>46070</v>
      </c>
      <c r="C732" s="350">
        <v>46073</v>
      </c>
      <c r="D732" s="351">
        <v>46054</v>
      </c>
      <c r="E732" s="340" t="s">
        <v>1654</v>
      </c>
      <c r="F732" s="340" t="s">
        <v>894</v>
      </c>
      <c r="G732" s="340" t="s">
        <v>1655</v>
      </c>
      <c r="I732" s="340" t="s">
        <v>740</v>
      </c>
      <c r="K732" s="343">
        <v>0</v>
      </c>
      <c r="L732" s="343">
        <v>-870</v>
      </c>
      <c r="M732" s="343">
        <v>-1310259.6200000001</v>
      </c>
      <c r="O732" s="343">
        <v>0</v>
      </c>
    </row>
    <row r="733" spans="1:15" x14ac:dyDescent="0.3">
      <c r="A733" s="340" t="s">
        <v>891</v>
      </c>
      <c r="B733" s="350">
        <v>46070</v>
      </c>
      <c r="C733" s="350">
        <v>46075</v>
      </c>
      <c r="D733" s="351">
        <v>46054</v>
      </c>
      <c r="E733" s="340" t="s">
        <v>1656</v>
      </c>
      <c r="F733" s="340" t="s">
        <v>894</v>
      </c>
      <c r="G733" s="340" t="s">
        <v>1657</v>
      </c>
      <c r="I733" s="340" t="s">
        <v>1658</v>
      </c>
      <c r="K733" s="343">
        <v>0</v>
      </c>
      <c r="L733" s="343">
        <v>-1487.5</v>
      </c>
      <c r="M733" s="343">
        <v>-1311747.1200000001</v>
      </c>
      <c r="O733" s="343">
        <v>0</v>
      </c>
    </row>
    <row r="734" spans="1:15" x14ac:dyDescent="0.3">
      <c r="A734" s="340" t="s">
        <v>891</v>
      </c>
      <c r="B734" s="350">
        <v>46070</v>
      </c>
      <c r="C734" s="350">
        <v>46078</v>
      </c>
      <c r="D734" s="351">
        <v>46054</v>
      </c>
      <c r="E734" s="340" t="s">
        <v>1659</v>
      </c>
      <c r="F734" s="340" t="s">
        <v>894</v>
      </c>
      <c r="G734" s="340" t="s">
        <v>1317</v>
      </c>
      <c r="I734" s="340" t="s">
        <v>740</v>
      </c>
      <c r="K734" s="343">
        <v>0</v>
      </c>
      <c r="L734" s="343">
        <v>-248.98</v>
      </c>
      <c r="M734" s="343">
        <v>-1311996.1000000001</v>
      </c>
      <c r="O734" s="343">
        <v>0</v>
      </c>
    </row>
    <row r="735" spans="1:15" x14ac:dyDescent="0.3">
      <c r="A735" s="340" t="s">
        <v>891</v>
      </c>
      <c r="B735" s="350">
        <v>46070</v>
      </c>
      <c r="C735" s="350">
        <v>46078</v>
      </c>
      <c r="D735" s="351">
        <v>46054</v>
      </c>
      <c r="E735" s="340" t="s">
        <v>1659</v>
      </c>
      <c r="F735" s="340" t="s">
        <v>894</v>
      </c>
      <c r="G735" s="340" t="s">
        <v>1660</v>
      </c>
      <c r="I735" s="340" t="s">
        <v>740</v>
      </c>
      <c r="K735" s="343">
        <v>0</v>
      </c>
      <c r="L735" s="343">
        <v>-750</v>
      </c>
      <c r="M735" s="343">
        <v>-1312746.1000000001</v>
      </c>
      <c r="O735" s="343">
        <v>0</v>
      </c>
    </row>
    <row r="736" spans="1:15" x14ac:dyDescent="0.3">
      <c r="A736" s="340" t="s">
        <v>891</v>
      </c>
      <c r="B736" s="350">
        <v>46070</v>
      </c>
      <c r="C736" s="350">
        <v>46078</v>
      </c>
      <c r="D736" s="351">
        <v>46054</v>
      </c>
      <c r="E736" s="340" t="s">
        <v>1661</v>
      </c>
      <c r="F736" s="340" t="s">
        <v>894</v>
      </c>
      <c r="G736" s="340" t="s">
        <v>1662</v>
      </c>
      <c r="I736" s="340" t="s">
        <v>740</v>
      </c>
      <c r="K736" s="343">
        <v>0</v>
      </c>
      <c r="L736" s="343">
        <v>-60</v>
      </c>
      <c r="M736" s="343">
        <v>-1312806.1000000001</v>
      </c>
      <c r="O736" s="343">
        <v>0</v>
      </c>
    </row>
    <row r="737" spans="1:15" x14ac:dyDescent="0.3">
      <c r="A737" s="340" t="s">
        <v>891</v>
      </c>
      <c r="B737" s="350">
        <v>46070</v>
      </c>
      <c r="C737" s="350">
        <v>46078</v>
      </c>
      <c r="D737" s="351">
        <v>46054</v>
      </c>
      <c r="E737" s="340" t="s">
        <v>1661</v>
      </c>
      <c r="F737" s="340" t="s">
        <v>894</v>
      </c>
      <c r="G737" s="340" t="s">
        <v>1317</v>
      </c>
      <c r="I737" s="340" t="s">
        <v>740</v>
      </c>
      <c r="K737" s="343">
        <v>0</v>
      </c>
      <c r="L737" s="343">
        <v>-270.63</v>
      </c>
      <c r="M737" s="343">
        <v>-1313076.73</v>
      </c>
      <c r="O737" s="343">
        <v>0</v>
      </c>
    </row>
    <row r="738" spans="1:15" x14ac:dyDescent="0.3">
      <c r="A738" s="340" t="s">
        <v>891</v>
      </c>
      <c r="B738" s="350">
        <v>46070</v>
      </c>
      <c r="C738" s="350">
        <v>46078</v>
      </c>
      <c r="D738" s="351">
        <v>46054</v>
      </c>
      <c r="E738" s="340" t="s">
        <v>1661</v>
      </c>
      <c r="F738" s="340" t="s">
        <v>894</v>
      </c>
      <c r="G738" s="340" t="s">
        <v>1663</v>
      </c>
      <c r="I738" s="340" t="s">
        <v>740</v>
      </c>
      <c r="K738" s="343">
        <v>0</v>
      </c>
      <c r="L738" s="343">
        <v>-730</v>
      </c>
      <c r="M738" s="343">
        <v>-1313806.73</v>
      </c>
      <c r="O738" s="343">
        <v>0</v>
      </c>
    </row>
    <row r="739" spans="1:15" x14ac:dyDescent="0.3">
      <c r="A739" s="340" t="s">
        <v>891</v>
      </c>
      <c r="B739" s="350">
        <v>46071</v>
      </c>
      <c r="C739" s="350">
        <v>46076</v>
      </c>
      <c r="D739" s="351">
        <v>46054</v>
      </c>
      <c r="E739" s="340" t="s">
        <v>1232</v>
      </c>
      <c r="F739" s="340" t="s">
        <v>894</v>
      </c>
      <c r="G739" s="340" t="s">
        <v>1487</v>
      </c>
      <c r="I739" s="340" t="s">
        <v>1664</v>
      </c>
      <c r="K739" s="343">
        <v>0</v>
      </c>
      <c r="L739" s="343">
        <v>-41</v>
      </c>
      <c r="M739" s="343">
        <v>-1313847.73</v>
      </c>
      <c r="O739" s="343">
        <v>0</v>
      </c>
    </row>
    <row r="740" spans="1:15" x14ac:dyDescent="0.3">
      <c r="A740" s="340" t="s">
        <v>891</v>
      </c>
      <c r="B740" s="350">
        <v>46071</v>
      </c>
      <c r="C740" s="350">
        <v>46078</v>
      </c>
      <c r="D740" s="351">
        <v>46054</v>
      </c>
      <c r="E740" s="340" t="s">
        <v>1665</v>
      </c>
      <c r="F740" s="340" t="s">
        <v>894</v>
      </c>
      <c r="G740" s="340" t="s">
        <v>1316</v>
      </c>
      <c r="I740" s="340" t="s">
        <v>740</v>
      </c>
      <c r="K740" s="343">
        <v>0</v>
      </c>
      <c r="L740" s="343">
        <v>-520</v>
      </c>
      <c r="M740" s="343">
        <v>-1314367.73</v>
      </c>
      <c r="O740" s="343">
        <v>0</v>
      </c>
    </row>
    <row r="741" spans="1:15" x14ac:dyDescent="0.3">
      <c r="A741" s="340" t="s">
        <v>891</v>
      </c>
      <c r="B741" s="350">
        <v>46071</v>
      </c>
      <c r="C741" s="350">
        <v>46078</v>
      </c>
      <c r="D741" s="351">
        <v>46054</v>
      </c>
      <c r="E741" s="340" t="s">
        <v>1665</v>
      </c>
      <c r="F741" s="340" t="s">
        <v>894</v>
      </c>
      <c r="G741" s="340" t="s">
        <v>1317</v>
      </c>
      <c r="I741" s="340" t="s">
        <v>740</v>
      </c>
      <c r="K741" s="343">
        <v>0</v>
      </c>
      <c r="L741" s="343">
        <v>-411.35</v>
      </c>
      <c r="M741" s="343">
        <v>-1314779.08</v>
      </c>
      <c r="O741" s="343">
        <v>0</v>
      </c>
    </row>
    <row r="742" spans="1:15" x14ac:dyDescent="0.3">
      <c r="A742" s="340" t="s">
        <v>891</v>
      </c>
      <c r="B742" s="350">
        <v>46071</v>
      </c>
      <c r="C742" s="350">
        <v>46078</v>
      </c>
      <c r="D742" s="351">
        <v>46054</v>
      </c>
      <c r="E742" s="340" t="s">
        <v>1665</v>
      </c>
      <c r="F742" s="340" t="s">
        <v>894</v>
      </c>
      <c r="G742" s="340" t="s">
        <v>1666</v>
      </c>
      <c r="I742" s="340" t="s">
        <v>740</v>
      </c>
      <c r="K742" s="343">
        <v>0</v>
      </c>
      <c r="L742" s="343">
        <v>-1250</v>
      </c>
      <c r="M742" s="343">
        <v>-1316029.08</v>
      </c>
      <c r="O742" s="343">
        <v>0</v>
      </c>
    </row>
    <row r="743" spans="1:15" x14ac:dyDescent="0.3">
      <c r="A743" s="340" t="s">
        <v>891</v>
      </c>
      <c r="B743" s="350">
        <v>46071</v>
      </c>
      <c r="C743" s="350">
        <v>46078</v>
      </c>
      <c r="D743" s="351">
        <v>46054</v>
      </c>
      <c r="E743" s="340" t="s">
        <v>1667</v>
      </c>
      <c r="F743" s="340" t="s">
        <v>894</v>
      </c>
      <c r="G743" s="340" t="s">
        <v>1320</v>
      </c>
      <c r="I743" s="340" t="s">
        <v>740</v>
      </c>
      <c r="K743" s="343">
        <v>0</v>
      </c>
      <c r="L743" s="343">
        <v>-260</v>
      </c>
      <c r="M743" s="343">
        <v>-1316289.08</v>
      </c>
      <c r="O743" s="343">
        <v>0</v>
      </c>
    </row>
    <row r="744" spans="1:15" x14ac:dyDescent="0.3">
      <c r="A744" s="340" t="s">
        <v>891</v>
      </c>
      <c r="B744" s="350">
        <v>46071</v>
      </c>
      <c r="C744" s="350">
        <v>46078</v>
      </c>
      <c r="D744" s="351">
        <v>46054</v>
      </c>
      <c r="E744" s="340" t="s">
        <v>1667</v>
      </c>
      <c r="F744" s="340" t="s">
        <v>894</v>
      </c>
      <c r="G744" s="340" t="s">
        <v>1317</v>
      </c>
      <c r="I744" s="340" t="s">
        <v>740</v>
      </c>
      <c r="K744" s="343">
        <v>0</v>
      </c>
      <c r="L744" s="343">
        <v>-248.98</v>
      </c>
      <c r="M744" s="343">
        <v>-1316538.06</v>
      </c>
      <c r="O744" s="343">
        <v>0</v>
      </c>
    </row>
    <row r="745" spans="1:15" x14ac:dyDescent="0.3">
      <c r="A745" s="340" t="s">
        <v>891</v>
      </c>
      <c r="B745" s="350">
        <v>46071</v>
      </c>
      <c r="C745" s="350">
        <v>46078</v>
      </c>
      <c r="D745" s="351">
        <v>46054</v>
      </c>
      <c r="E745" s="340" t="s">
        <v>1667</v>
      </c>
      <c r="F745" s="340" t="s">
        <v>894</v>
      </c>
      <c r="G745" s="340" t="s">
        <v>1668</v>
      </c>
      <c r="I745" s="340" t="s">
        <v>740</v>
      </c>
      <c r="K745" s="343">
        <v>0</v>
      </c>
      <c r="L745" s="343">
        <v>-850</v>
      </c>
      <c r="M745" s="343">
        <v>-1317388.06</v>
      </c>
      <c r="O745" s="343">
        <v>0</v>
      </c>
    </row>
    <row r="746" spans="1:15" x14ac:dyDescent="0.3">
      <c r="A746" s="340" t="s">
        <v>891</v>
      </c>
      <c r="B746" s="350">
        <v>46071</v>
      </c>
      <c r="C746" s="350">
        <v>46078</v>
      </c>
      <c r="D746" s="351">
        <v>46054</v>
      </c>
      <c r="E746" s="340" t="s">
        <v>1669</v>
      </c>
      <c r="F746" s="340" t="s">
        <v>894</v>
      </c>
      <c r="G746" s="340" t="s">
        <v>1670</v>
      </c>
      <c r="I746" s="340" t="s">
        <v>740</v>
      </c>
      <c r="K746" s="343">
        <v>0</v>
      </c>
      <c r="L746" s="343">
        <v>-260</v>
      </c>
      <c r="M746" s="343">
        <v>-1317648.06</v>
      </c>
      <c r="O746" s="343">
        <v>0</v>
      </c>
    </row>
    <row r="747" spans="1:15" x14ac:dyDescent="0.3">
      <c r="A747" s="340" t="s">
        <v>891</v>
      </c>
      <c r="B747" s="350">
        <v>46071</v>
      </c>
      <c r="C747" s="350">
        <v>46078</v>
      </c>
      <c r="D747" s="351">
        <v>46054</v>
      </c>
      <c r="E747" s="340" t="s">
        <v>1669</v>
      </c>
      <c r="F747" s="340" t="s">
        <v>894</v>
      </c>
      <c r="G747" s="340" t="s">
        <v>1317</v>
      </c>
      <c r="I747" s="340" t="s">
        <v>740</v>
      </c>
      <c r="K747" s="343">
        <v>0</v>
      </c>
      <c r="L747" s="343">
        <v>-292.27999999999997</v>
      </c>
      <c r="M747" s="343">
        <v>-1317940.3400000001</v>
      </c>
      <c r="O747" s="343">
        <v>0</v>
      </c>
    </row>
    <row r="748" spans="1:15" x14ac:dyDescent="0.3">
      <c r="A748" s="340" t="s">
        <v>891</v>
      </c>
      <c r="B748" s="350">
        <v>46071</v>
      </c>
      <c r="C748" s="350">
        <v>46078</v>
      </c>
      <c r="D748" s="351">
        <v>46054</v>
      </c>
      <c r="E748" s="340" t="s">
        <v>1669</v>
      </c>
      <c r="F748" s="340" t="s">
        <v>894</v>
      </c>
      <c r="G748" s="340" t="s">
        <v>1671</v>
      </c>
      <c r="I748" s="340" t="s">
        <v>740</v>
      </c>
      <c r="K748" s="343">
        <v>0</v>
      </c>
      <c r="L748" s="343">
        <v>-900</v>
      </c>
      <c r="M748" s="343">
        <v>-1318840.3400000001</v>
      </c>
      <c r="O748" s="343">
        <v>0</v>
      </c>
    </row>
    <row r="749" spans="1:15" x14ac:dyDescent="0.3">
      <c r="A749" s="340" t="s">
        <v>891</v>
      </c>
      <c r="B749" s="350">
        <v>46072</v>
      </c>
      <c r="C749" s="350">
        <v>46072</v>
      </c>
      <c r="D749" s="351">
        <v>46054</v>
      </c>
      <c r="E749" s="340" t="s">
        <v>1672</v>
      </c>
      <c r="F749" s="340" t="s">
        <v>1078</v>
      </c>
      <c r="G749" s="340" t="s">
        <v>968</v>
      </c>
      <c r="I749" s="340" t="s">
        <v>771</v>
      </c>
      <c r="K749" s="343">
        <v>37000.51</v>
      </c>
      <c r="L749" s="343">
        <v>0</v>
      </c>
      <c r="M749" s="343">
        <v>-1281839.83</v>
      </c>
      <c r="O749" s="343">
        <v>0</v>
      </c>
    </row>
    <row r="750" spans="1:15" x14ac:dyDescent="0.3">
      <c r="A750" s="340" t="s">
        <v>891</v>
      </c>
      <c r="B750" s="350">
        <v>46072</v>
      </c>
      <c r="C750" s="350">
        <v>46072</v>
      </c>
      <c r="D750" s="351">
        <v>46054</v>
      </c>
      <c r="E750" s="340" t="s">
        <v>1673</v>
      </c>
      <c r="F750" s="340" t="s">
        <v>1078</v>
      </c>
      <c r="G750" s="340" t="s">
        <v>1452</v>
      </c>
      <c r="I750" s="340" t="s">
        <v>771</v>
      </c>
      <c r="K750" s="343">
        <v>2687.51</v>
      </c>
      <c r="L750" s="343">
        <v>0</v>
      </c>
      <c r="M750" s="343">
        <v>-1279152.32</v>
      </c>
      <c r="O750" s="343">
        <v>0</v>
      </c>
    </row>
    <row r="751" spans="1:15" x14ac:dyDescent="0.3">
      <c r="A751" s="340" t="s">
        <v>891</v>
      </c>
      <c r="B751" s="350">
        <v>46072</v>
      </c>
      <c r="C751" s="350">
        <v>46072</v>
      </c>
      <c r="D751" s="351">
        <v>46054</v>
      </c>
      <c r="E751" s="340" t="s">
        <v>1674</v>
      </c>
      <c r="F751" s="340" t="s">
        <v>1078</v>
      </c>
      <c r="G751" s="340" t="s">
        <v>1467</v>
      </c>
      <c r="I751" s="340" t="s">
        <v>1468</v>
      </c>
      <c r="K751" s="343">
        <v>7662.38</v>
      </c>
      <c r="L751" s="343">
        <v>0</v>
      </c>
      <c r="M751" s="343">
        <v>-1271489.94</v>
      </c>
      <c r="O751" s="343">
        <v>0</v>
      </c>
    </row>
    <row r="752" spans="1:15" x14ac:dyDescent="0.3">
      <c r="A752" s="340" t="s">
        <v>891</v>
      </c>
      <c r="B752" s="350">
        <v>46072</v>
      </c>
      <c r="C752" s="350">
        <v>46077</v>
      </c>
      <c r="D752" s="351">
        <v>46054</v>
      </c>
      <c r="E752" s="340" t="s">
        <v>1675</v>
      </c>
      <c r="F752" s="340" t="s">
        <v>894</v>
      </c>
      <c r="G752" s="340" t="s">
        <v>1676</v>
      </c>
      <c r="I752" s="340" t="s">
        <v>1033</v>
      </c>
      <c r="K752" s="343">
        <v>0</v>
      </c>
      <c r="L752" s="343">
        <v>-1056</v>
      </c>
      <c r="M752" s="343">
        <v>-1272545.94</v>
      </c>
      <c r="O752" s="343">
        <v>0</v>
      </c>
    </row>
    <row r="753" spans="1:15" x14ac:dyDescent="0.3">
      <c r="A753" s="340" t="s">
        <v>891</v>
      </c>
      <c r="B753" s="350">
        <v>46072</v>
      </c>
      <c r="C753" s="350">
        <v>46077</v>
      </c>
      <c r="D753" s="351">
        <v>46054</v>
      </c>
      <c r="E753" s="340" t="s">
        <v>1677</v>
      </c>
      <c r="F753" s="340" t="s">
        <v>894</v>
      </c>
      <c r="G753" s="340" t="s">
        <v>1678</v>
      </c>
      <c r="I753" s="340" t="s">
        <v>1033</v>
      </c>
      <c r="K753" s="343">
        <v>0</v>
      </c>
      <c r="L753" s="343">
        <v>-1416</v>
      </c>
      <c r="M753" s="343">
        <v>-1273961.94</v>
      </c>
      <c r="O753" s="343">
        <v>0</v>
      </c>
    </row>
    <row r="754" spans="1:15" x14ac:dyDescent="0.3">
      <c r="A754" s="340" t="s">
        <v>891</v>
      </c>
      <c r="B754" s="350">
        <v>46072</v>
      </c>
      <c r="C754" s="350">
        <v>46077</v>
      </c>
      <c r="D754" s="351">
        <v>46054</v>
      </c>
      <c r="E754" s="340" t="s">
        <v>1679</v>
      </c>
      <c r="F754" s="340" t="s">
        <v>894</v>
      </c>
      <c r="G754" s="340" t="s">
        <v>1680</v>
      </c>
      <c r="I754" s="340" t="s">
        <v>1033</v>
      </c>
      <c r="K754" s="343">
        <v>0</v>
      </c>
      <c r="L754" s="343">
        <v>-750</v>
      </c>
      <c r="M754" s="343">
        <v>-1274711.94</v>
      </c>
      <c r="O754" s="343">
        <v>0</v>
      </c>
    </row>
    <row r="755" spans="1:15" x14ac:dyDescent="0.3">
      <c r="A755" s="340" t="s">
        <v>891</v>
      </c>
      <c r="B755" s="350">
        <v>46073</v>
      </c>
      <c r="C755" s="350">
        <v>46072</v>
      </c>
      <c r="D755" s="351">
        <v>46054</v>
      </c>
      <c r="E755" s="340" t="s">
        <v>1681</v>
      </c>
      <c r="F755" s="340" t="s">
        <v>1078</v>
      </c>
      <c r="G755" s="340" t="s">
        <v>1570</v>
      </c>
      <c r="I755" s="340" t="s">
        <v>743</v>
      </c>
      <c r="K755" s="343">
        <v>35774.1</v>
      </c>
      <c r="L755" s="343">
        <v>0</v>
      </c>
      <c r="M755" s="343">
        <v>-1238937.8400000001</v>
      </c>
      <c r="O755" s="343">
        <v>0</v>
      </c>
    </row>
    <row r="756" spans="1:15" x14ac:dyDescent="0.3">
      <c r="A756" s="340" t="s">
        <v>891</v>
      </c>
      <c r="B756" s="350">
        <v>46073</v>
      </c>
      <c r="C756" s="350">
        <v>46072</v>
      </c>
      <c r="D756" s="351">
        <v>46054</v>
      </c>
      <c r="E756" s="340" t="s">
        <v>1681</v>
      </c>
      <c r="F756" s="340" t="s">
        <v>1078</v>
      </c>
      <c r="G756" s="340" t="s">
        <v>1079</v>
      </c>
      <c r="I756" s="340" t="s">
        <v>743</v>
      </c>
      <c r="K756" s="343">
        <v>7799.32</v>
      </c>
      <c r="L756" s="343">
        <v>0</v>
      </c>
      <c r="M756" s="343">
        <v>-1231138.52</v>
      </c>
      <c r="O756" s="343">
        <v>0</v>
      </c>
    </row>
    <row r="757" spans="1:15" x14ac:dyDescent="0.3">
      <c r="A757" s="340" t="s">
        <v>891</v>
      </c>
      <c r="B757" s="350">
        <v>46073</v>
      </c>
      <c r="C757" s="350">
        <v>46073</v>
      </c>
      <c r="D757" s="351">
        <v>46054</v>
      </c>
      <c r="E757" s="340" t="s">
        <v>1682</v>
      </c>
      <c r="F757" s="340" t="s">
        <v>1078</v>
      </c>
      <c r="G757" s="340" t="s">
        <v>1170</v>
      </c>
      <c r="I757" s="340" t="s">
        <v>753</v>
      </c>
      <c r="K757" s="343">
        <v>900.42</v>
      </c>
      <c r="L757" s="343">
        <v>0</v>
      </c>
      <c r="M757" s="343">
        <v>-1230238.1000000001</v>
      </c>
      <c r="O757" s="343">
        <v>0</v>
      </c>
    </row>
    <row r="758" spans="1:15" x14ac:dyDescent="0.3">
      <c r="A758" s="340" t="s">
        <v>891</v>
      </c>
      <c r="B758" s="350">
        <v>46073</v>
      </c>
      <c r="C758" s="350">
        <v>46073</v>
      </c>
      <c r="D758" s="351">
        <v>46054</v>
      </c>
      <c r="E758" s="340" t="s">
        <v>1682</v>
      </c>
      <c r="F758" s="340" t="s">
        <v>1078</v>
      </c>
      <c r="G758" s="340" t="s">
        <v>1090</v>
      </c>
      <c r="I758" s="340" t="s">
        <v>753</v>
      </c>
      <c r="K758" s="343">
        <v>1195</v>
      </c>
      <c r="L758" s="343">
        <v>0</v>
      </c>
      <c r="M758" s="343">
        <v>-1229043.1000000001</v>
      </c>
      <c r="O758" s="343">
        <v>0</v>
      </c>
    </row>
    <row r="759" spans="1:15" x14ac:dyDescent="0.3">
      <c r="A759" s="340" t="s">
        <v>891</v>
      </c>
      <c r="B759" s="350">
        <v>46073</v>
      </c>
      <c r="C759" s="350">
        <v>46073</v>
      </c>
      <c r="D759" s="351">
        <v>46054</v>
      </c>
      <c r="E759" s="340" t="s">
        <v>1682</v>
      </c>
      <c r="F759" s="340" t="s">
        <v>1078</v>
      </c>
      <c r="G759" s="340" t="s">
        <v>1088</v>
      </c>
      <c r="I759" s="340" t="s">
        <v>753</v>
      </c>
      <c r="K759" s="343">
        <v>357.5</v>
      </c>
      <c r="L759" s="343">
        <v>0</v>
      </c>
      <c r="M759" s="343">
        <v>-1228685.6000000001</v>
      </c>
      <c r="O759" s="343">
        <v>0</v>
      </c>
    </row>
    <row r="760" spans="1:15" x14ac:dyDescent="0.3">
      <c r="A760" s="340" t="s">
        <v>891</v>
      </c>
      <c r="B760" s="350">
        <v>46073</v>
      </c>
      <c r="C760" s="350">
        <v>46073</v>
      </c>
      <c r="D760" s="351">
        <v>46054</v>
      </c>
      <c r="E760" s="340" t="s">
        <v>1682</v>
      </c>
      <c r="F760" s="340" t="s">
        <v>1078</v>
      </c>
      <c r="G760" s="340" t="s">
        <v>1030</v>
      </c>
      <c r="I760" s="340" t="s">
        <v>753</v>
      </c>
      <c r="K760" s="343">
        <v>465.48</v>
      </c>
      <c r="L760" s="343">
        <v>0</v>
      </c>
      <c r="M760" s="343">
        <v>-1228220.1200000001</v>
      </c>
      <c r="O760" s="343">
        <v>0</v>
      </c>
    </row>
    <row r="761" spans="1:15" x14ac:dyDescent="0.3">
      <c r="A761" s="340" t="s">
        <v>891</v>
      </c>
      <c r="B761" s="350">
        <v>46073</v>
      </c>
      <c r="C761" s="350">
        <v>46073</v>
      </c>
      <c r="D761" s="351">
        <v>46054</v>
      </c>
      <c r="E761" s="340" t="s">
        <v>1683</v>
      </c>
      <c r="F761" s="340" t="s">
        <v>1078</v>
      </c>
      <c r="G761" s="340" t="s">
        <v>1002</v>
      </c>
      <c r="I761" s="340" t="s">
        <v>750</v>
      </c>
      <c r="K761" s="343">
        <v>10175.5</v>
      </c>
      <c r="L761" s="343">
        <v>0</v>
      </c>
      <c r="M761" s="343">
        <v>-1218044.6200000001</v>
      </c>
      <c r="O761" s="343">
        <v>0</v>
      </c>
    </row>
    <row r="762" spans="1:15" x14ac:dyDescent="0.3">
      <c r="A762" s="340" t="s">
        <v>891</v>
      </c>
      <c r="B762" s="350">
        <v>46073</v>
      </c>
      <c r="C762" s="350">
        <v>46073</v>
      </c>
      <c r="D762" s="351">
        <v>46054</v>
      </c>
      <c r="E762" s="340" t="s">
        <v>1684</v>
      </c>
      <c r="F762" s="340" t="s">
        <v>894</v>
      </c>
      <c r="G762" s="340" t="s">
        <v>1685</v>
      </c>
      <c r="I762" s="340" t="s">
        <v>753</v>
      </c>
      <c r="K762" s="343">
        <v>0</v>
      </c>
      <c r="L762" s="343">
        <v>-5885.55</v>
      </c>
      <c r="M762" s="343">
        <v>-1223930.17</v>
      </c>
      <c r="O762" s="343">
        <v>0</v>
      </c>
    </row>
    <row r="763" spans="1:15" x14ac:dyDescent="0.3">
      <c r="A763" s="340" t="s">
        <v>891</v>
      </c>
      <c r="B763" s="350">
        <v>46073</v>
      </c>
      <c r="C763" s="350">
        <v>46073</v>
      </c>
      <c r="D763" s="351">
        <v>46054</v>
      </c>
      <c r="E763" s="340" t="s">
        <v>1686</v>
      </c>
      <c r="F763" s="340" t="s">
        <v>894</v>
      </c>
      <c r="G763" s="340" t="s">
        <v>1687</v>
      </c>
      <c r="I763" s="340" t="s">
        <v>740</v>
      </c>
      <c r="K763" s="343">
        <v>0</v>
      </c>
      <c r="L763" s="343">
        <v>-562.9</v>
      </c>
      <c r="M763" s="343">
        <v>-1224493.07</v>
      </c>
      <c r="O763" s="343">
        <v>0</v>
      </c>
    </row>
    <row r="764" spans="1:15" x14ac:dyDescent="0.3">
      <c r="A764" s="340" t="s">
        <v>891</v>
      </c>
      <c r="B764" s="350">
        <v>46073</v>
      </c>
      <c r="C764" s="350">
        <v>46073</v>
      </c>
      <c r="D764" s="351">
        <v>46054</v>
      </c>
      <c r="E764" s="340" t="s">
        <v>1686</v>
      </c>
      <c r="F764" s="340" t="s">
        <v>894</v>
      </c>
      <c r="G764" s="340" t="s">
        <v>1688</v>
      </c>
      <c r="I764" s="340" t="s">
        <v>740</v>
      </c>
      <c r="K764" s="343">
        <v>0</v>
      </c>
      <c r="L764" s="343">
        <v>-64.95</v>
      </c>
      <c r="M764" s="343">
        <v>-1224558.02</v>
      </c>
      <c r="O764" s="343">
        <v>0</v>
      </c>
    </row>
    <row r="765" spans="1:15" x14ac:dyDescent="0.3">
      <c r="A765" s="340" t="s">
        <v>891</v>
      </c>
      <c r="B765" s="350">
        <v>46073</v>
      </c>
      <c r="C765" s="350">
        <v>46073</v>
      </c>
      <c r="D765" s="351">
        <v>46054</v>
      </c>
      <c r="E765" s="340" t="s">
        <v>1689</v>
      </c>
      <c r="F765" s="340" t="s">
        <v>894</v>
      </c>
      <c r="G765" s="340" t="s">
        <v>1690</v>
      </c>
      <c r="I765" s="340" t="s">
        <v>740</v>
      </c>
      <c r="K765" s="343">
        <v>0</v>
      </c>
      <c r="L765" s="343">
        <v>-750</v>
      </c>
      <c r="M765" s="343">
        <v>-1225308.02</v>
      </c>
      <c r="O765" s="343">
        <v>0</v>
      </c>
    </row>
    <row r="766" spans="1:15" x14ac:dyDescent="0.3">
      <c r="A766" s="340" t="s">
        <v>891</v>
      </c>
      <c r="B766" s="350">
        <v>46073</v>
      </c>
      <c r="C766" s="350">
        <v>46073</v>
      </c>
      <c r="D766" s="351">
        <v>46054</v>
      </c>
      <c r="E766" s="340" t="s">
        <v>1691</v>
      </c>
      <c r="F766" s="340" t="s">
        <v>894</v>
      </c>
      <c r="G766" s="340" t="s">
        <v>1692</v>
      </c>
      <c r="I766" s="340" t="s">
        <v>740</v>
      </c>
      <c r="K766" s="343">
        <v>0</v>
      </c>
      <c r="L766" s="343">
        <v>-520</v>
      </c>
      <c r="M766" s="343">
        <v>-1225828.02</v>
      </c>
      <c r="O766" s="343">
        <v>0</v>
      </c>
    </row>
    <row r="767" spans="1:15" x14ac:dyDescent="0.3">
      <c r="A767" s="340" t="s">
        <v>891</v>
      </c>
      <c r="B767" s="350">
        <v>46073</v>
      </c>
      <c r="C767" s="350">
        <v>46073</v>
      </c>
      <c r="D767" s="351">
        <v>46054</v>
      </c>
      <c r="E767" s="340" t="s">
        <v>1693</v>
      </c>
      <c r="F767" s="340" t="s">
        <v>894</v>
      </c>
      <c r="G767" s="340" t="s">
        <v>1694</v>
      </c>
      <c r="I767" s="340" t="s">
        <v>740</v>
      </c>
      <c r="K767" s="343">
        <v>0</v>
      </c>
      <c r="L767" s="343">
        <v>-55</v>
      </c>
      <c r="M767" s="343">
        <v>-1225883.02</v>
      </c>
      <c r="O767" s="343">
        <v>0</v>
      </c>
    </row>
    <row r="768" spans="1:15" x14ac:dyDescent="0.3">
      <c r="A768" s="340" t="s">
        <v>891</v>
      </c>
      <c r="B768" s="350">
        <v>46073</v>
      </c>
      <c r="C768" s="350">
        <v>46073</v>
      </c>
      <c r="D768" s="351">
        <v>46054</v>
      </c>
      <c r="E768" s="340" t="s">
        <v>1695</v>
      </c>
      <c r="F768" s="340" t="s">
        <v>894</v>
      </c>
      <c r="G768" s="340" t="s">
        <v>1696</v>
      </c>
      <c r="I768" s="340" t="s">
        <v>740</v>
      </c>
      <c r="K768" s="343">
        <v>0</v>
      </c>
      <c r="L768" s="343">
        <v>-70.36</v>
      </c>
      <c r="M768" s="343">
        <v>-1225953.3799999999</v>
      </c>
      <c r="O768" s="343">
        <v>0</v>
      </c>
    </row>
    <row r="769" spans="1:15" x14ac:dyDescent="0.3">
      <c r="A769" s="340" t="s">
        <v>891</v>
      </c>
      <c r="B769" s="350">
        <v>46073</v>
      </c>
      <c r="C769" s="350">
        <v>46075</v>
      </c>
      <c r="D769" s="351">
        <v>46054</v>
      </c>
      <c r="E769" s="340" t="s">
        <v>1697</v>
      </c>
      <c r="F769" s="340" t="s">
        <v>894</v>
      </c>
      <c r="G769" s="340" t="s">
        <v>1279</v>
      </c>
      <c r="I769" s="340" t="s">
        <v>741</v>
      </c>
      <c r="K769" s="343">
        <v>0</v>
      </c>
      <c r="L769" s="343">
        <v>-399.45</v>
      </c>
      <c r="M769" s="343">
        <v>-1226352.83</v>
      </c>
      <c r="O769" s="343">
        <v>0</v>
      </c>
    </row>
    <row r="770" spans="1:15" x14ac:dyDescent="0.3">
      <c r="A770" s="340" t="s">
        <v>891</v>
      </c>
      <c r="B770" s="350">
        <v>46073</v>
      </c>
      <c r="C770" s="350">
        <v>46076</v>
      </c>
      <c r="D770" s="351">
        <v>46054</v>
      </c>
      <c r="E770" s="340" t="s">
        <v>1698</v>
      </c>
      <c r="F770" s="340" t="s">
        <v>894</v>
      </c>
      <c r="G770" s="340" t="s">
        <v>1699</v>
      </c>
      <c r="I770" s="340" t="s">
        <v>740</v>
      </c>
      <c r="K770" s="343">
        <v>0</v>
      </c>
      <c r="L770" s="343">
        <v>-324.75</v>
      </c>
      <c r="M770" s="343">
        <v>-1226677.58</v>
      </c>
      <c r="O770" s="343">
        <v>0</v>
      </c>
    </row>
    <row r="771" spans="1:15" x14ac:dyDescent="0.3">
      <c r="A771" s="340" t="s">
        <v>891</v>
      </c>
      <c r="B771" s="350">
        <v>46073</v>
      </c>
      <c r="C771" s="350">
        <v>46076</v>
      </c>
      <c r="D771" s="351">
        <v>46054</v>
      </c>
      <c r="E771" s="340" t="s">
        <v>1698</v>
      </c>
      <c r="F771" s="340" t="s">
        <v>894</v>
      </c>
      <c r="G771" s="340" t="s">
        <v>1688</v>
      </c>
      <c r="I771" s="340" t="s">
        <v>740</v>
      </c>
      <c r="K771" s="343">
        <v>0</v>
      </c>
      <c r="L771" s="343">
        <v>-64.95</v>
      </c>
      <c r="M771" s="343">
        <v>-1226742.53</v>
      </c>
      <c r="O771" s="343">
        <v>0</v>
      </c>
    </row>
    <row r="772" spans="1:15" x14ac:dyDescent="0.3">
      <c r="A772" s="340" t="s">
        <v>891</v>
      </c>
      <c r="B772" s="350">
        <v>46073</v>
      </c>
      <c r="C772" s="350">
        <v>46076</v>
      </c>
      <c r="D772" s="351">
        <v>46054</v>
      </c>
      <c r="E772" s="340" t="s">
        <v>1700</v>
      </c>
      <c r="F772" s="340" t="s">
        <v>894</v>
      </c>
      <c r="G772" s="340" t="s">
        <v>1701</v>
      </c>
      <c r="I772" s="340" t="s">
        <v>740</v>
      </c>
      <c r="K772" s="343">
        <v>0</v>
      </c>
      <c r="L772" s="343">
        <v>-48.71</v>
      </c>
      <c r="M772" s="343">
        <v>-1226791.24</v>
      </c>
      <c r="O772" s="343">
        <v>0</v>
      </c>
    </row>
    <row r="773" spans="1:15" x14ac:dyDescent="0.3">
      <c r="A773" s="340" t="s">
        <v>891</v>
      </c>
      <c r="B773" s="350">
        <v>46073</v>
      </c>
      <c r="C773" s="350">
        <v>46081</v>
      </c>
      <c r="D773" s="351">
        <v>46054</v>
      </c>
      <c r="E773" s="340" t="s">
        <v>1702</v>
      </c>
      <c r="F773" s="340" t="s">
        <v>894</v>
      </c>
      <c r="G773" s="340" t="s">
        <v>1039</v>
      </c>
      <c r="I773" s="340" t="s">
        <v>746</v>
      </c>
      <c r="K773" s="343">
        <v>0</v>
      </c>
      <c r="L773" s="343">
        <v>-27636.86</v>
      </c>
      <c r="M773" s="343">
        <v>-1254428.1000000001</v>
      </c>
      <c r="O773" s="343">
        <v>0</v>
      </c>
    </row>
    <row r="774" spans="1:15" x14ac:dyDescent="0.3">
      <c r="A774" s="340" t="s">
        <v>891</v>
      </c>
      <c r="B774" s="350">
        <v>46073</v>
      </c>
      <c r="C774" s="350">
        <v>46081</v>
      </c>
      <c r="D774" s="351">
        <v>46054</v>
      </c>
      <c r="E774" s="340" t="s">
        <v>1703</v>
      </c>
      <c r="F774" s="340" t="s">
        <v>894</v>
      </c>
      <c r="G774" s="340" t="s">
        <v>1039</v>
      </c>
      <c r="I774" s="340" t="s">
        <v>746</v>
      </c>
      <c r="K774" s="343">
        <v>0</v>
      </c>
      <c r="L774" s="343">
        <v>-46649.2</v>
      </c>
      <c r="M774" s="343">
        <v>-1301077.3</v>
      </c>
      <c r="O774" s="343">
        <v>0</v>
      </c>
    </row>
    <row r="775" spans="1:15" x14ac:dyDescent="0.3">
      <c r="A775" s="340" t="s">
        <v>891</v>
      </c>
      <c r="B775" s="350">
        <v>46073</v>
      </c>
      <c r="C775" s="350">
        <v>46105</v>
      </c>
      <c r="D775" s="351">
        <v>46082</v>
      </c>
      <c r="E775" s="340" t="s">
        <v>1704</v>
      </c>
      <c r="F775" s="340" t="s">
        <v>894</v>
      </c>
      <c r="G775" s="340" t="s">
        <v>1227</v>
      </c>
      <c r="I775" s="340" t="s">
        <v>750</v>
      </c>
      <c r="K775" s="343">
        <v>0</v>
      </c>
      <c r="L775" s="343">
        <v>-10175.5</v>
      </c>
      <c r="M775" s="343">
        <v>-1311252.8</v>
      </c>
      <c r="O775" s="343">
        <v>0</v>
      </c>
    </row>
    <row r="776" spans="1:15" x14ac:dyDescent="0.3">
      <c r="A776" s="340" t="s">
        <v>891</v>
      </c>
      <c r="B776" s="350">
        <v>46073</v>
      </c>
      <c r="C776" s="350">
        <v>46113</v>
      </c>
      <c r="D776" s="351">
        <v>46082</v>
      </c>
      <c r="E776" s="340" t="s">
        <v>1705</v>
      </c>
      <c r="F776" s="340" t="s">
        <v>894</v>
      </c>
      <c r="G776" s="340" t="s">
        <v>1281</v>
      </c>
      <c r="I776" s="340" t="s">
        <v>771</v>
      </c>
      <c r="K776" s="343">
        <v>0</v>
      </c>
      <c r="L776" s="343">
        <v>-6255.23</v>
      </c>
      <c r="M776" s="343">
        <v>-1317508.03</v>
      </c>
      <c r="O776" s="343">
        <v>0</v>
      </c>
    </row>
    <row r="777" spans="1:15" x14ac:dyDescent="0.3">
      <c r="A777" s="340" t="s">
        <v>891</v>
      </c>
      <c r="B777" s="350">
        <v>46074</v>
      </c>
      <c r="C777" s="350">
        <v>46074</v>
      </c>
      <c r="D777" s="351">
        <v>46054</v>
      </c>
      <c r="E777" s="340" t="s">
        <v>1706</v>
      </c>
      <c r="F777" s="340" t="s">
        <v>1078</v>
      </c>
      <c r="G777" s="340" t="s">
        <v>1039</v>
      </c>
      <c r="I777" s="340" t="s">
        <v>746</v>
      </c>
      <c r="K777" s="343">
        <v>14500.6</v>
      </c>
      <c r="L777" s="343">
        <v>0</v>
      </c>
      <c r="M777" s="343">
        <v>-1303007.43</v>
      </c>
      <c r="O777" s="343">
        <v>0</v>
      </c>
    </row>
    <row r="778" spans="1:15" x14ac:dyDescent="0.3">
      <c r="A778" s="340" t="s">
        <v>891</v>
      </c>
      <c r="B778" s="350">
        <v>46074</v>
      </c>
      <c r="C778" s="350">
        <v>46074</v>
      </c>
      <c r="D778" s="351">
        <v>46054</v>
      </c>
      <c r="E778" s="340" t="s">
        <v>1707</v>
      </c>
      <c r="F778" s="340" t="s">
        <v>1078</v>
      </c>
      <c r="G778" s="340" t="s">
        <v>1007</v>
      </c>
      <c r="I778" s="340" t="s">
        <v>1005</v>
      </c>
      <c r="K778" s="343">
        <v>730.69</v>
      </c>
      <c r="L778" s="343">
        <v>0</v>
      </c>
      <c r="M778" s="343">
        <v>-1302276.74</v>
      </c>
      <c r="O778" s="343">
        <v>0</v>
      </c>
    </row>
    <row r="779" spans="1:15" x14ac:dyDescent="0.3">
      <c r="A779" s="340" t="s">
        <v>891</v>
      </c>
      <c r="B779" s="350">
        <v>46074</v>
      </c>
      <c r="C779" s="350">
        <v>46074</v>
      </c>
      <c r="D779" s="351">
        <v>46054</v>
      </c>
      <c r="E779" s="340" t="s">
        <v>1707</v>
      </c>
      <c r="F779" s="340" t="s">
        <v>1078</v>
      </c>
      <c r="G779" s="340" t="s">
        <v>1004</v>
      </c>
      <c r="I779" s="340" t="s">
        <v>1005</v>
      </c>
      <c r="K779" s="343">
        <v>5197</v>
      </c>
      <c r="L779" s="343">
        <v>0</v>
      </c>
      <c r="M779" s="343">
        <v>-1297079.74</v>
      </c>
      <c r="O779" s="343">
        <v>0</v>
      </c>
    </row>
    <row r="780" spans="1:15" x14ac:dyDescent="0.3">
      <c r="A780" s="340" t="s">
        <v>891</v>
      </c>
      <c r="B780" s="350">
        <v>46074</v>
      </c>
      <c r="C780" s="350">
        <v>46074</v>
      </c>
      <c r="D780" s="351">
        <v>46054</v>
      </c>
      <c r="E780" s="340" t="s">
        <v>1708</v>
      </c>
      <c r="F780" s="340" t="s">
        <v>1078</v>
      </c>
      <c r="G780" s="340" t="s">
        <v>1007</v>
      </c>
      <c r="I780" s="340" t="s">
        <v>1005</v>
      </c>
      <c r="K780" s="343">
        <v>944.68</v>
      </c>
      <c r="L780" s="343">
        <v>0</v>
      </c>
      <c r="M780" s="343">
        <v>-1296135.06</v>
      </c>
      <c r="O780" s="343">
        <v>0</v>
      </c>
    </row>
    <row r="781" spans="1:15" x14ac:dyDescent="0.3">
      <c r="A781" s="340" t="s">
        <v>891</v>
      </c>
      <c r="B781" s="350">
        <v>46076</v>
      </c>
      <c r="C781" s="350">
        <v>46076</v>
      </c>
      <c r="D781" s="351">
        <v>46054</v>
      </c>
      <c r="E781" s="340" t="s">
        <v>1709</v>
      </c>
      <c r="F781" s="340" t="s">
        <v>894</v>
      </c>
      <c r="G781" s="340" t="s">
        <v>1710</v>
      </c>
      <c r="I781" s="340" t="s">
        <v>740</v>
      </c>
      <c r="K781" s="343">
        <v>0</v>
      </c>
      <c r="L781" s="343">
        <v>-129.9</v>
      </c>
      <c r="M781" s="343">
        <v>-1296264.96</v>
      </c>
      <c r="O781" s="343">
        <v>0</v>
      </c>
    </row>
    <row r="782" spans="1:15" x14ac:dyDescent="0.3">
      <c r="A782" s="340" t="s">
        <v>891</v>
      </c>
      <c r="B782" s="350">
        <v>46076</v>
      </c>
      <c r="C782" s="350">
        <v>46076</v>
      </c>
      <c r="D782" s="351">
        <v>46054</v>
      </c>
      <c r="E782" s="340" t="s">
        <v>1711</v>
      </c>
      <c r="F782" s="340" t="s">
        <v>894</v>
      </c>
      <c r="G782" s="340" t="s">
        <v>1712</v>
      </c>
      <c r="I782" s="340" t="s">
        <v>740</v>
      </c>
      <c r="K782" s="343">
        <v>0</v>
      </c>
      <c r="L782" s="343">
        <v>-129.9</v>
      </c>
      <c r="M782" s="343">
        <v>-1296394.8600000001</v>
      </c>
      <c r="O782" s="343">
        <v>0</v>
      </c>
    </row>
    <row r="783" spans="1:15" x14ac:dyDescent="0.3">
      <c r="A783" s="340" t="s">
        <v>891</v>
      </c>
      <c r="B783" s="350">
        <v>46076</v>
      </c>
      <c r="C783" s="350">
        <v>46076</v>
      </c>
      <c r="D783" s="351">
        <v>46054</v>
      </c>
      <c r="E783" s="340" t="s">
        <v>1713</v>
      </c>
      <c r="F783" s="340" t="s">
        <v>894</v>
      </c>
      <c r="G783" s="340" t="s">
        <v>1714</v>
      </c>
      <c r="I783" s="340" t="s">
        <v>740</v>
      </c>
      <c r="K783" s="343">
        <v>0</v>
      </c>
      <c r="L783" s="343">
        <v>-129.9</v>
      </c>
      <c r="M783" s="343">
        <v>-1296524.76</v>
      </c>
      <c r="O783" s="343">
        <v>0</v>
      </c>
    </row>
    <row r="784" spans="1:15" x14ac:dyDescent="0.3">
      <c r="A784" s="340" t="s">
        <v>891</v>
      </c>
      <c r="B784" s="350">
        <v>46076</v>
      </c>
      <c r="C784" s="350">
        <v>46076</v>
      </c>
      <c r="D784" s="351">
        <v>46054</v>
      </c>
      <c r="E784" s="340" t="s">
        <v>1715</v>
      </c>
      <c r="F784" s="340" t="s">
        <v>894</v>
      </c>
      <c r="G784" s="340" t="s">
        <v>1716</v>
      </c>
      <c r="I784" s="340" t="s">
        <v>740</v>
      </c>
      <c r="K784" s="343">
        <v>0</v>
      </c>
      <c r="L784" s="343">
        <v>-200.26</v>
      </c>
      <c r="M784" s="343">
        <v>-1296725.02</v>
      </c>
      <c r="O784" s="343">
        <v>0</v>
      </c>
    </row>
    <row r="785" spans="1:15" x14ac:dyDescent="0.3">
      <c r="A785" s="340" t="s">
        <v>891</v>
      </c>
      <c r="B785" s="350">
        <v>46076</v>
      </c>
      <c r="C785" s="350">
        <v>46076</v>
      </c>
      <c r="D785" s="351">
        <v>46054</v>
      </c>
      <c r="E785" s="340" t="s">
        <v>1717</v>
      </c>
      <c r="F785" s="340" t="s">
        <v>894</v>
      </c>
      <c r="G785" s="340" t="s">
        <v>1718</v>
      </c>
      <c r="I785" s="340" t="s">
        <v>740</v>
      </c>
      <c r="K785" s="343">
        <v>0</v>
      </c>
      <c r="L785" s="343">
        <v>-487.13</v>
      </c>
      <c r="M785" s="343">
        <v>-1297212.1499999999</v>
      </c>
      <c r="O785" s="343">
        <v>0</v>
      </c>
    </row>
    <row r="786" spans="1:15" x14ac:dyDescent="0.3">
      <c r="A786" s="340" t="s">
        <v>891</v>
      </c>
      <c r="B786" s="350">
        <v>46076</v>
      </c>
      <c r="C786" s="350">
        <v>46076</v>
      </c>
      <c r="D786" s="351">
        <v>46054</v>
      </c>
      <c r="E786" s="340" t="s">
        <v>1719</v>
      </c>
      <c r="F786" s="340" t="s">
        <v>894</v>
      </c>
      <c r="G786" s="340" t="s">
        <v>1720</v>
      </c>
      <c r="I786" s="340" t="s">
        <v>740</v>
      </c>
      <c r="K786" s="343">
        <v>0</v>
      </c>
      <c r="L786" s="343">
        <v>-48.71</v>
      </c>
      <c r="M786" s="343">
        <v>-1297260.8600000001</v>
      </c>
      <c r="O786" s="343">
        <v>0</v>
      </c>
    </row>
    <row r="787" spans="1:15" x14ac:dyDescent="0.3">
      <c r="A787" s="340" t="s">
        <v>891</v>
      </c>
      <c r="B787" s="350">
        <v>46076</v>
      </c>
      <c r="C787" s="350">
        <v>46076</v>
      </c>
      <c r="D787" s="351">
        <v>46054</v>
      </c>
      <c r="E787" s="340" t="s">
        <v>1721</v>
      </c>
      <c r="F787" s="340" t="s">
        <v>894</v>
      </c>
      <c r="G787" s="340" t="s">
        <v>1722</v>
      </c>
      <c r="I787" s="340" t="s">
        <v>740</v>
      </c>
      <c r="K787" s="343">
        <v>0</v>
      </c>
      <c r="L787" s="343">
        <v>-146.13999999999999</v>
      </c>
      <c r="M787" s="343">
        <v>-1297407</v>
      </c>
      <c r="O787" s="343">
        <v>0</v>
      </c>
    </row>
    <row r="788" spans="1:15" x14ac:dyDescent="0.3">
      <c r="A788" s="340" t="s">
        <v>891</v>
      </c>
      <c r="B788" s="350">
        <v>46076</v>
      </c>
      <c r="C788" s="350">
        <v>46076</v>
      </c>
      <c r="D788" s="351">
        <v>46054</v>
      </c>
      <c r="E788" s="340" t="s">
        <v>1723</v>
      </c>
      <c r="F788" s="340" t="s">
        <v>894</v>
      </c>
      <c r="G788" s="340" t="s">
        <v>1724</v>
      </c>
      <c r="I788" s="340" t="s">
        <v>740</v>
      </c>
      <c r="K788" s="343">
        <v>0</v>
      </c>
      <c r="L788" s="343">
        <v>-48.71</v>
      </c>
      <c r="M788" s="343">
        <v>-1297455.71</v>
      </c>
      <c r="O788" s="343">
        <v>0</v>
      </c>
    </row>
    <row r="789" spans="1:15" x14ac:dyDescent="0.3">
      <c r="A789" s="340" t="s">
        <v>891</v>
      </c>
      <c r="B789" s="350">
        <v>46076</v>
      </c>
      <c r="C789" s="350">
        <v>46076</v>
      </c>
      <c r="D789" s="351">
        <v>46054</v>
      </c>
      <c r="E789" s="340" t="s">
        <v>1725</v>
      </c>
      <c r="F789" s="340" t="s">
        <v>894</v>
      </c>
      <c r="G789" s="340" t="s">
        <v>1726</v>
      </c>
      <c r="I789" s="340" t="s">
        <v>740</v>
      </c>
      <c r="K789" s="343">
        <v>0</v>
      </c>
      <c r="L789" s="343">
        <v>-97.43</v>
      </c>
      <c r="M789" s="343">
        <v>-1297553.1399999999</v>
      </c>
      <c r="O789" s="343">
        <v>0</v>
      </c>
    </row>
    <row r="790" spans="1:15" x14ac:dyDescent="0.3">
      <c r="A790" s="340" t="s">
        <v>891</v>
      </c>
      <c r="B790" s="350">
        <v>46076</v>
      </c>
      <c r="C790" s="350">
        <v>46076</v>
      </c>
      <c r="D790" s="351">
        <v>46054</v>
      </c>
      <c r="E790" s="340" t="s">
        <v>1727</v>
      </c>
      <c r="F790" s="340" t="s">
        <v>894</v>
      </c>
      <c r="G790" s="340" t="s">
        <v>1728</v>
      </c>
      <c r="I790" s="340" t="s">
        <v>740</v>
      </c>
      <c r="K790" s="343">
        <v>0</v>
      </c>
      <c r="L790" s="343">
        <v>-530</v>
      </c>
      <c r="M790" s="343">
        <v>-1298083.1399999999</v>
      </c>
      <c r="O790" s="343">
        <v>0</v>
      </c>
    </row>
    <row r="791" spans="1:15" x14ac:dyDescent="0.3">
      <c r="A791" s="340" t="s">
        <v>891</v>
      </c>
      <c r="B791" s="350">
        <v>46076</v>
      </c>
      <c r="C791" s="350">
        <v>46076</v>
      </c>
      <c r="D791" s="351">
        <v>46054</v>
      </c>
      <c r="E791" s="340" t="s">
        <v>1729</v>
      </c>
      <c r="F791" s="340" t="s">
        <v>894</v>
      </c>
      <c r="G791" s="340" t="s">
        <v>1730</v>
      </c>
      <c r="I791" s="340" t="s">
        <v>740</v>
      </c>
      <c r="K791" s="343">
        <v>0</v>
      </c>
      <c r="L791" s="343">
        <v>-295</v>
      </c>
      <c r="M791" s="343">
        <v>-1298378.1399999999</v>
      </c>
      <c r="O791" s="343">
        <v>0</v>
      </c>
    </row>
    <row r="792" spans="1:15" x14ac:dyDescent="0.3">
      <c r="A792" s="340" t="s">
        <v>891</v>
      </c>
      <c r="B792" s="350">
        <v>46076</v>
      </c>
      <c r="C792" s="350">
        <v>46076</v>
      </c>
      <c r="D792" s="351">
        <v>46054</v>
      </c>
      <c r="E792" s="340" t="s">
        <v>1731</v>
      </c>
      <c r="F792" s="340" t="s">
        <v>894</v>
      </c>
      <c r="G792" s="340" t="s">
        <v>1732</v>
      </c>
      <c r="I792" s="340" t="s">
        <v>740</v>
      </c>
      <c r="K792" s="343">
        <v>0</v>
      </c>
      <c r="L792" s="343">
        <v>-178.61</v>
      </c>
      <c r="M792" s="343">
        <v>-1298556.75</v>
      </c>
      <c r="O792" s="343">
        <v>0</v>
      </c>
    </row>
    <row r="793" spans="1:15" x14ac:dyDescent="0.3">
      <c r="A793" s="340" t="s">
        <v>891</v>
      </c>
      <c r="B793" s="350">
        <v>46076</v>
      </c>
      <c r="C793" s="350">
        <v>46076</v>
      </c>
      <c r="D793" s="351">
        <v>46054</v>
      </c>
      <c r="E793" s="340" t="s">
        <v>1733</v>
      </c>
      <c r="F793" s="340" t="s">
        <v>894</v>
      </c>
      <c r="G793" s="340" t="s">
        <v>1734</v>
      </c>
      <c r="I793" s="340" t="s">
        <v>740</v>
      </c>
      <c r="K793" s="343">
        <v>0</v>
      </c>
      <c r="L793" s="343">
        <v>-81.19</v>
      </c>
      <c r="M793" s="343">
        <v>-1298637.94</v>
      </c>
      <c r="O793" s="343">
        <v>0</v>
      </c>
    </row>
    <row r="794" spans="1:15" x14ac:dyDescent="0.3">
      <c r="A794" s="340" t="s">
        <v>891</v>
      </c>
      <c r="B794" s="350">
        <v>46076</v>
      </c>
      <c r="C794" s="350">
        <v>46076</v>
      </c>
      <c r="D794" s="351">
        <v>46054</v>
      </c>
      <c r="E794" s="340" t="s">
        <v>1735</v>
      </c>
      <c r="F794" s="340" t="s">
        <v>894</v>
      </c>
      <c r="G794" s="340" t="s">
        <v>1736</v>
      </c>
      <c r="I794" s="340" t="s">
        <v>740</v>
      </c>
      <c r="K794" s="343">
        <v>0</v>
      </c>
      <c r="L794" s="343">
        <v>-129.9</v>
      </c>
      <c r="M794" s="343">
        <v>-1298767.8400000001</v>
      </c>
      <c r="O794" s="343">
        <v>0</v>
      </c>
    </row>
    <row r="795" spans="1:15" x14ac:dyDescent="0.3">
      <c r="A795" s="340" t="s">
        <v>891</v>
      </c>
      <c r="B795" s="350">
        <v>46076</v>
      </c>
      <c r="C795" s="350">
        <v>46076</v>
      </c>
      <c r="D795" s="351">
        <v>46054</v>
      </c>
      <c r="E795" s="340" t="s">
        <v>1737</v>
      </c>
      <c r="F795" s="340" t="s">
        <v>894</v>
      </c>
      <c r="G795" s="340" t="s">
        <v>1738</v>
      </c>
      <c r="I795" s="340" t="s">
        <v>740</v>
      </c>
      <c r="K795" s="343">
        <v>0</v>
      </c>
      <c r="L795" s="343">
        <v>-129.9</v>
      </c>
      <c r="M795" s="343">
        <v>-1298897.74</v>
      </c>
      <c r="O795" s="343">
        <v>0</v>
      </c>
    </row>
    <row r="796" spans="1:15" x14ac:dyDescent="0.3">
      <c r="A796" s="340" t="s">
        <v>891</v>
      </c>
      <c r="B796" s="350">
        <v>46076</v>
      </c>
      <c r="C796" s="350">
        <v>46076</v>
      </c>
      <c r="D796" s="351">
        <v>46054</v>
      </c>
      <c r="E796" s="340" t="s">
        <v>1739</v>
      </c>
      <c r="F796" s="340" t="s">
        <v>894</v>
      </c>
      <c r="G796" s="340" t="s">
        <v>1740</v>
      </c>
      <c r="I796" s="340" t="s">
        <v>740</v>
      </c>
      <c r="K796" s="343">
        <v>0</v>
      </c>
      <c r="L796" s="343">
        <v>-185</v>
      </c>
      <c r="M796" s="343">
        <v>-1299082.74</v>
      </c>
      <c r="O796" s="343">
        <v>0</v>
      </c>
    </row>
    <row r="797" spans="1:15" x14ac:dyDescent="0.3">
      <c r="A797" s="340" t="s">
        <v>891</v>
      </c>
      <c r="B797" s="350">
        <v>46076</v>
      </c>
      <c r="C797" s="350">
        <v>46076</v>
      </c>
      <c r="D797" s="351">
        <v>46054</v>
      </c>
      <c r="E797" s="340" t="s">
        <v>1739</v>
      </c>
      <c r="F797" s="340" t="s">
        <v>894</v>
      </c>
      <c r="G797" s="340" t="s">
        <v>1741</v>
      </c>
      <c r="I797" s="340" t="s">
        <v>740</v>
      </c>
      <c r="K797" s="343">
        <v>0</v>
      </c>
      <c r="L797" s="343">
        <v>-520</v>
      </c>
      <c r="M797" s="343">
        <v>-1299602.74</v>
      </c>
      <c r="O797" s="343">
        <v>0</v>
      </c>
    </row>
    <row r="798" spans="1:15" x14ac:dyDescent="0.3">
      <c r="A798" s="340" t="s">
        <v>891</v>
      </c>
      <c r="B798" s="350">
        <v>46076</v>
      </c>
      <c r="C798" s="350">
        <v>46076</v>
      </c>
      <c r="D798" s="351">
        <v>46054</v>
      </c>
      <c r="E798" s="340" t="s">
        <v>1742</v>
      </c>
      <c r="F798" s="340" t="s">
        <v>1078</v>
      </c>
      <c r="G798" s="340" t="s">
        <v>1578</v>
      </c>
      <c r="I798" s="340" t="s">
        <v>747</v>
      </c>
      <c r="K798" s="343">
        <v>200</v>
      </c>
      <c r="L798" s="343">
        <v>0</v>
      </c>
      <c r="M798" s="343">
        <v>-1299402.74</v>
      </c>
      <c r="O798" s="343">
        <v>0</v>
      </c>
    </row>
    <row r="799" spans="1:15" x14ac:dyDescent="0.3">
      <c r="A799" s="340" t="s">
        <v>891</v>
      </c>
      <c r="B799" s="350">
        <v>46076</v>
      </c>
      <c r="C799" s="350">
        <v>46076</v>
      </c>
      <c r="D799" s="351">
        <v>46054</v>
      </c>
      <c r="E799" s="340" t="s">
        <v>1742</v>
      </c>
      <c r="F799" s="340" t="s">
        <v>1078</v>
      </c>
      <c r="G799" s="340" t="s">
        <v>1289</v>
      </c>
      <c r="I799" s="340" t="s">
        <v>747</v>
      </c>
      <c r="K799" s="343">
        <v>200</v>
      </c>
      <c r="L799" s="343">
        <v>0</v>
      </c>
      <c r="M799" s="343">
        <v>-1299202.74</v>
      </c>
      <c r="O799" s="343">
        <v>0</v>
      </c>
    </row>
    <row r="800" spans="1:15" x14ac:dyDescent="0.3">
      <c r="A800" s="340" t="s">
        <v>891</v>
      </c>
      <c r="B800" s="350">
        <v>46076</v>
      </c>
      <c r="C800" s="350">
        <v>46076</v>
      </c>
      <c r="D800" s="351">
        <v>46054</v>
      </c>
      <c r="E800" s="340" t="s">
        <v>1743</v>
      </c>
      <c r="F800" s="340" t="s">
        <v>1078</v>
      </c>
      <c r="G800" s="340" t="s">
        <v>1583</v>
      </c>
      <c r="I800" s="340" t="s">
        <v>754</v>
      </c>
      <c r="K800" s="343">
        <v>3947</v>
      </c>
      <c r="L800" s="343">
        <v>0</v>
      </c>
      <c r="M800" s="343">
        <v>-1295255.74</v>
      </c>
      <c r="O800" s="343">
        <v>0</v>
      </c>
    </row>
    <row r="801" spans="1:15" x14ac:dyDescent="0.3">
      <c r="A801" s="340" t="s">
        <v>891</v>
      </c>
      <c r="B801" s="350">
        <v>46076</v>
      </c>
      <c r="C801" s="350">
        <v>46078</v>
      </c>
      <c r="D801" s="351">
        <v>46054</v>
      </c>
      <c r="E801" s="340" t="s">
        <v>1744</v>
      </c>
      <c r="F801" s="340" t="s">
        <v>894</v>
      </c>
      <c r="G801" s="340" t="s">
        <v>1745</v>
      </c>
      <c r="I801" s="340" t="s">
        <v>740</v>
      </c>
      <c r="K801" s="343">
        <v>0</v>
      </c>
      <c r="L801" s="343">
        <v>-129.9</v>
      </c>
      <c r="M801" s="343">
        <v>-1295385.6399999999</v>
      </c>
      <c r="O801" s="343">
        <v>0</v>
      </c>
    </row>
    <row r="802" spans="1:15" x14ac:dyDescent="0.3">
      <c r="A802" s="340" t="s">
        <v>891</v>
      </c>
      <c r="B802" s="350">
        <v>46076</v>
      </c>
      <c r="C802" s="350">
        <v>46078</v>
      </c>
      <c r="D802" s="351">
        <v>46054</v>
      </c>
      <c r="E802" s="340" t="s">
        <v>1744</v>
      </c>
      <c r="F802" s="340" t="s">
        <v>894</v>
      </c>
      <c r="G802" s="340" t="s">
        <v>1746</v>
      </c>
      <c r="I802" s="340" t="s">
        <v>740</v>
      </c>
      <c r="K802" s="343">
        <v>0</v>
      </c>
      <c r="L802" s="343">
        <v>-35</v>
      </c>
      <c r="M802" s="343">
        <v>-1295420.6399999999</v>
      </c>
      <c r="O802" s="343">
        <v>0</v>
      </c>
    </row>
    <row r="803" spans="1:15" x14ac:dyDescent="0.3">
      <c r="A803" s="340" t="s">
        <v>891</v>
      </c>
      <c r="B803" s="350">
        <v>46076</v>
      </c>
      <c r="C803" s="350">
        <v>46078</v>
      </c>
      <c r="D803" s="351">
        <v>46054</v>
      </c>
      <c r="E803" s="340" t="s">
        <v>1747</v>
      </c>
      <c r="F803" s="340" t="s">
        <v>894</v>
      </c>
      <c r="G803" s="340" t="s">
        <v>1748</v>
      </c>
      <c r="I803" s="340" t="s">
        <v>740</v>
      </c>
      <c r="K803" s="343">
        <v>0</v>
      </c>
      <c r="L803" s="343">
        <v>-497.95</v>
      </c>
      <c r="M803" s="343">
        <v>-1295918.5900000001</v>
      </c>
      <c r="O803" s="343">
        <v>0</v>
      </c>
    </row>
    <row r="804" spans="1:15" x14ac:dyDescent="0.3">
      <c r="A804" s="340" t="s">
        <v>891</v>
      </c>
      <c r="B804" s="350">
        <v>46076</v>
      </c>
      <c r="C804" s="350">
        <v>46078</v>
      </c>
      <c r="D804" s="351">
        <v>46054</v>
      </c>
      <c r="E804" s="340" t="s">
        <v>1747</v>
      </c>
      <c r="F804" s="340" t="s">
        <v>894</v>
      </c>
      <c r="G804" s="340" t="s">
        <v>1749</v>
      </c>
      <c r="I804" s="340" t="s">
        <v>740</v>
      </c>
      <c r="K804" s="343">
        <v>0</v>
      </c>
      <c r="L804" s="343">
        <v>-445</v>
      </c>
      <c r="M804" s="343">
        <v>-1296363.5900000001</v>
      </c>
      <c r="O804" s="343">
        <v>0</v>
      </c>
    </row>
    <row r="805" spans="1:15" x14ac:dyDescent="0.3">
      <c r="A805" s="340" t="s">
        <v>891</v>
      </c>
      <c r="B805" s="350">
        <v>46076</v>
      </c>
      <c r="C805" s="350">
        <v>46078</v>
      </c>
      <c r="D805" s="351">
        <v>46054</v>
      </c>
      <c r="E805" s="340" t="s">
        <v>1747</v>
      </c>
      <c r="F805" s="340" t="s">
        <v>894</v>
      </c>
      <c r="G805" s="340" t="s">
        <v>1366</v>
      </c>
      <c r="I805" s="340" t="s">
        <v>740</v>
      </c>
      <c r="K805" s="343">
        <v>0</v>
      </c>
      <c r="L805" s="343">
        <v>-880</v>
      </c>
      <c r="M805" s="343">
        <v>-1297243.5900000001</v>
      </c>
      <c r="O805" s="343">
        <v>0</v>
      </c>
    </row>
    <row r="806" spans="1:15" x14ac:dyDescent="0.3">
      <c r="A806" s="340" t="s">
        <v>891</v>
      </c>
      <c r="B806" s="350">
        <v>46077</v>
      </c>
      <c r="C806" s="350">
        <v>46076</v>
      </c>
      <c r="D806" s="351">
        <v>46054</v>
      </c>
      <c r="E806" s="340" t="s">
        <v>1750</v>
      </c>
      <c r="F806" s="340" t="s">
        <v>894</v>
      </c>
      <c r="G806" s="340" t="s">
        <v>1751</v>
      </c>
      <c r="I806" s="340" t="s">
        <v>740</v>
      </c>
      <c r="K806" s="343">
        <v>0</v>
      </c>
      <c r="L806" s="343">
        <v>-305</v>
      </c>
      <c r="M806" s="343">
        <v>-1297548.5900000001</v>
      </c>
      <c r="O806" s="343">
        <v>0</v>
      </c>
    </row>
    <row r="807" spans="1:15" x14ac:dyDescent="0.3">
      <c r="A807" s="340" t="s">
        <v>891</v>
      </c>
      <c r="B807" s="350">
        <v>46077</v>
      </c>
      <c r="C807" s="350">
        <v>46076</v>
      </c>
      <c r="D807" s="351">
        <v>46054</v>
      </c>
      <c r="E807" s="340" t="s">
        <v>1752</v>
      </c>
      <c r="F807" s="340" t="s">
        <v>894</v>
      </c>
      <c r="G807" s="340" t="s">
        <v>1753</v>
      </c>
      <c r="I807" s="340" t="s">
        <v>740</v>
      </c>
      <c r="K807" s="343">
        <v>0</v>
      </c>
      <c r="L807" s="343">
        <v>-520</v>
      </c>
      <c r="M807" s="343">
        <v>-1298068.5900000001</v>
      </c>
      <c r="O807" s="343">
        <v>0</v>
      </c>
    </row>
    <row r="808" spans="1:15" x14ac:dyDescent="0.3">
      <c r="A808" s="340" t="s">
        <v>891</v>
      </c>
      <c r="B808" s="350">
        <v>46077</v>
      </c>
      <c r="C808" s="350">
        <v>46076</v>
      </c>
      <c r="D808" s="351">
        <v>46054</v>
      </c>
      <c r="E808" s="340" t="s">
        <v>1752</v>
      </c>
      <c r="F808" s="340" t="s">
        <v>894</v>
      </c>
      <c r="G808" s="340" t="s">
        <v>1754</v>
      </c>
      <c r="I808" s="340" t="s">
        <v>740</v>
      </c>
      <c r="K808" s="343">
        <v>0</v>
      </c>
      <c r="L808" s="343">
        <v>-520</v>
      </c>
      <c r="M808" s="343">
        <v>-1298588.5900000001</v>
      </c>
      <c r="O808" s="343">
        <v>0</v>
      </c>
    </row>
    <row r="809" spans="1:15" x14ac:dyDescent="0.3">
      <c r="A809" s="340" t="s">
        <v>891</v>
      </c>
      <c r="B809" s="350">
        <v>46077</v>
      </c>
      <c r="C809" s="350">
        <v>46076</v>
      </c>
      <c r="D809" s="351">
        <v>46054</v>
      </c>
      <c r="E809" s="340" t="s">
        <v>1755</v>
      </c>
      <c r="F809" s="340" t="s">
        <v>894</v>
      </c>
      <c r="G809" s="340" t="s">
        <v>1756</v>
      </c>
      <c r="I809" s="340" t="s">
        <v>740</v>
      </c>
      <c r="K809" s="343">
        <v>0</v>
      </c>
      <c r="L809" s="343">
        <v>-520</v>
      </c>
      <c r="M809" s="343">
        <v>-1299108.5900000001</v>
      </c>
      <c r="O809" s="343">
        <v>0</v>
      </c>
    </row>
    <row r="810" spans="1:15" x14ac:dyDescent="0.3">
      <c r="A810" s="340" t="s">
        <v>891</v>
      </c>
      <c r="B810" s="350">
        <v>46077</v>
      </c>
      <c r="C810" s="350">
        <v>46076</v>
      </c>
      <c r="D810" s="351">
        <v>46054</v>
      </c>
      <c r="E810" s="340" t="s">
        <v>1757</v>
      </c>
      <c r="F810" s="340" t="s">
        <v>894</v>
      </c>
      <c r="G810" s="340" t="s">
        <v>1758</v>
      </c>
      <c r="I810" s="340" t="s">
        <v>740</v>
      </c>
      <c r="K810" s="343">
        <v>0</v>
      </c>
      <c r="L810" s="343">
        <v>-119.08</v>
      </c>
      <c r="M810" s="343">
        <v>-1299227.67</v>
      </c>
      <c r="O810" s="343">
        <v>0</v>
      </c>
    </row>
    <row r="811" spans="1:15" x14ac:dyDescent="0.3">
      <c r="A811" s="340" t="s">
        <v>891</v>
      </c>
      <c r="B811" s="350">
        <v>46077</v>
      </c>
      <c r="C811" s="350">
        <v>46076</v>
      </c>
      <c r="D811" s="351">
        <v>46054</v>
      </c>
      <c r="E811" s="340" t="s">
        <v>1757</v>
      </c>
      <c r="F811" s="340" t="s">
        <v>894</v>
      </c>
      <c r="G811" s="340" t="s">
        <v>1759</v>
      </c>
      <c r="I811" s="340" t="s">
        <v>740</v>
      </c>
      <c r="K811" s="343">
        <v>0</v>
      </c>
      <c r="L811" s="343">
        <v>-119.08</v>
      </c>
      <c r="M811" s="343">
        <v>-1299346.75</v>
      </c>
      <c r="O811" s="343">
        <v>0</v>
      </c>
    </row>
    <row r="812" spans="1:15" x14ac:dyDescent="0.3">
      <c r="A812" s="340" t="s">
        <v>891</v>
      </c>
      <c r="B812" s="350">
        <v>46077</v>
      </c>
      <c r="C812" s="350">
        <v>46076</v>
      </c>
      <c r="D812" s="351">
        <v>46054</v>
      </c>
      <c r="E812" s="340" t="s">
        <v>1757</v>
      </c>
      <c r="F812" s="340" t="s">
        <v>894</v>
      </c>
      <c r="G812" s="340" t="s">
        <v>1760</v>
      </c>
      <c r="I812" s="340" t="s">
        <v>740</v>
      </c>
      <c r="K812" s="343">
        <v>0</v>
      </c>
      <c r="L812" s="343">
        <v>-129.9</v>
      </c>
      <c r="M812" s="343">
        <v>-1299476.6499999999</v>
      </c>
      <c r="O812" s="343">
        <v>0</v>
      </c>
    </row>
    <row r="813" spans="1:15" x14ac:dyDescent="0.3">
      <c r="A813" s="340" t="s">
        <v>891</v>
      </c>
      <c r="B813" s="350">
        <v>46077</v>
      </c>
      <c r="C813" s="350">
        <v>46076</v>
      </c>
      <c r="D813" s="351">
        <v>46054</v>
      </c>
      <c r="E813" s="340" t="s">
        <v>1757</v>
      </c>
      <c r="F813" s="340" t="s">
        <v>894</v>
      </c>
      <c r="G813" s="340" t="s">
        <v>1761</v>
      </c>
      <c r="I813" s="340" t="s">
        <v>740</v>
      </c>
      <c r="K813" s="343">
        <v>0</v>
      </c>
      <c r="L813" s="343">
        <v>-129.9</v>
      </c>
      <c r="M813" s="343">
        <v>-1299606.55</v>
      </c>
      <c r="O813" s="343">
        <v>0</v>
      </c>
    </row>
    <row r="814" spans="1:15" x14ac:dyDescent="0.3">
      <c r="A814" s="340" t="s">
        <v>891</v>
      </c>
      <c r="B814" s="350">
        <v>46077</v>
      </c>
      <c r="C814" s="350">
        <v>46076</v>
      </c>
      <c r="D814" s="351">
        <v>46054</v>
      </c>
      <c r="E814" s="340" t="s">
        <v>1757</v>
      </c>
      <c r="F814" s="340" t="s">
        <v>894</v>
      </c>
      <c r="G814" s="340" t="s">
        <v>1762</v>
      </c>
      <c r="I814" s="340" t="s">
        <v>740</v>
      </c>
      <c r="K814" s="343">
        <v>0</v>
      </c>
      <c r="L814" s="343">
        <v>-129.9</v>
      </c>
      <c r="M814" s="343">
        <v>-1299736.45</v>
      </c>
      <c r="O814" s="343">
        <v>0</v>
      </c>
    </row>
    <row r="815" spans="1:15" x14ac:dyDescent="0.3">
      <c r="A815" s="340" t="s">
        <v>891</v>
      </c>
      <c r="B815" s="350">
        <v>46077</v>
      </c>
      <c r="C815" s="350">
        <v>46076</v>
      </c>
      <c r="D815" s="351">
        <v>46054</v>
      </c>
      <c r="E815" s="340" t="s">
        <v>1757</v>
      </c>
      <c r="F815" s="340" t="s">
        <v>894</v>
      </c>
      <c r="G815" s="340" t="s">
        <v>1763</v>
      </c>
      <c r="I815" s="340" t="s">
        <v>740</v>
      </c>
      <c r="K815" s="343">
        <v>0</v>
      </c>
      <c r="L815" s="343">
        <v>-119.07</v>
      </c>
      <c r="M815" s="343">
        <v>-1299855.52</v>
      </c>
      <c r="O815" s="343">
        <v>0</v>
      </c>
    </row>
    <row r="816" spans="1:15" x14ac:dyDescent="0.3">
      <c r="A816" s="340" t="s">
        <v>891</v>
      </c>
      <c r="B816" s="350">
        <v>46077</v>
      </c>
      <c r="C816" s="350">
        <v>46076</v>
      </c>
      <c r="D816" s="351">
        <v>46054</v>
      </c>
      <c r="E816" s="340" t="s">
        <v>1764</v>
      </c>
      <c r="F816" s="340" t="s">
        <v>894</v>
      </c>
      <c r="G816" s="340" t="s">
        <v>1765</v>
      </c>
      <c r="I816" s="340" t="s">
        <v>740</v>
      </c>
      <c r="K816" s="343">
        <v>0</v>
      </c>
      <c r="L816" s="343">
        <v>-129.9</v>
      </c>
      <c r="M816" s="343">
        <v>-1299985.42</v>
      </c>
      <c r="O816" s="343">
        <v>0</v>
      </c>
    </row>
    <row r="817" spans="1:15" x14ac:dyDescent="0.3">
      <c r="A817" s="340" t="s">
        <v>891</v>
      </c>
      <c r="B817" s="350">
        <v>46077</v>
      </c>
      <c r="C817" s="350">
        <v>46076</v>
      </c>
      <c r="D817" s="351">
        <v>46054</v>
      </c>
      <c r="E817" s="340" t="s">
        <v>1766</v>
      </c>
      <c r="F817" s="340" t="s">
        <v>894</v>
      </c>
      <c r="G817" s="340" t="s">
        <v>1767</v>
      </c>
      <c r="I817" s="340" t="s">
        <v>740</v>
      </c>
      <c r="K817" s="343">
        <v>0</v>
      </c>
      <c r="L817" s="343">
        <v>-178.61</v>
      </c>
      <c r="M817" s="343">
        <v>-1300164.03</v>
      </c>
      <c r="O817" s="343">
        <v>0</v>
      </c>
    </row>
    <row r="818" spans="1:15" x14ac:dyDescent="0.3">
      <c r="A818" s="340" t="s">
        <v>891</v>
      </c>
      <c r="B818" s="350">
        <v>46077</v>
      </c>
      <c r="C818" s="350">
        <v>46076</v>
      </c>
      <c r="D818" s="351">
        <v>46054</v>
      </c>
      <c r="E818" s="340" t="s">
        <v>1768</v>
      </c>
      <c r="F818" s="340" t="s">
        <v>894</v>
      </c>
      <c r="G818" s="340" t="s">
        <v>1769</v>
      </c>
      <c r="I818" s="340" t="s">
        <v>740</v>
      </c>
      <c r="K818" s="343">
        <v>0</v>
      </c>
      <c r="L818" s="343">
        <v>-156.96</v>
      </c>
      <c r="M818" s="343">
        <v>-1300320.99</v>
      </c>
      <c r="O818" s="343">
        <v>0</v>
      </c>
    </row>
    <row r="819" spans="1:15" x14ac:dyDescent="0.3">
      <c r="A819" s="340" t="s">
        <v>891</v>
      </c>
      <c r="B819" s="350">
        <v>46077</v>
      </c>
      <c r="C819" s="350">
        <v>46076</v>
      </c>
      <c r="D819" s="351">
        <v>46054</v>
      </c>
      <c r="E819" s="340" t="s">
        <v>1770</v>
      </c>
      <c r="F819" s="340" t="s">
        <v>894</v>
      </c>
      <c r="G819" s="340" t="s">
        <v>1771</v>
      </c>
      <c r="I819" s="340" t="s">
        <v>740</v>
      </c>
      <c r="K819" s="343">
        <v>0</v>
      </c>
      <c r="L819" s="343">
        <v>-765</v>
      </c>
      <c r="M819" s="343">
        <v>-1301085.99</v>
      </c>
      <c r="O819" s="343">
        <v>0</v>
      </c>
    </row>
    <row r="820" spans="1:15" x14ac:dyDescent="0.3">
      <c r="A820" s="340" t="s">
        <v>891</v>
      </c>
      <c r="B820" s="350">
        <v>46077</v>
      </c>
      <c r="C820" s="350">
        <v>46076</v>
      </c>
      <c r="D820" s="351">
        <v>46054</v>
      </c>
      <c r="E820" s="340" t="s">
        <v>1772</v>
      </c>
      <c r="F820" s="340" t="s">
        <v>894</v>
      </c>
      <c r="G820" s="340" t="s">
        <v>1773</v>
      </c>
      <c r="I820" s="340" t="s">
        <v>740</v>
      </c>
      <c r="K820" s="343">
        <v>0</v>
      </c>
      <c r="L820" s="343">
        <v>-200.26</v>
      </c>
      <c r="M820" s="343">
        <v>-1301286.25</v>
      </c>
      <c r="O820" s="343">
        <v>0</v>
      </c>
    </row>
    <row r="821" spans="1:15" x14ac:dyDescent="0.3">
      <c r="A821" s="340" t="s">
        <v>891</v>
      </c>
      <c r="B821" s="350">
        <v>46077</v>
      </c>
      <c r="C821" s="350">
        <v>46076</v>
      </c>
      <c r="D821" s="351">
        <v>46054</v>
      </c>
      <c r="E821" s="340" t="s">
        <v>1774</v>
      </c>
      <c r="F821" s="340" t="s">
        <v>894</v>
      </c>
      <c r="G821" s="340" t="s">
        <v>1775</v>
      </c>
      <c r="I821" s="340" t="s">
        <v>740</v>
      </c>
      <c r="K821" s="343">
        <v>0</v>
      </c>
      <c r="L821" s="343">
        <v>-92.01</v>
      </c>
      <c r="M821" s="343">
        <v>-1301378.26</v>
      </c>
      <c r="O821" s="343">
        <v>0</v>
      </c>
    </row>
    <row r="822" spans="1:15" x14ac:dyDescent="0.3">
      <c r="A822" s="340" t="s">
        <v>891</v>
      </c>
      <c r="B822" s="350">
        <v>46077</v>
      </c>
      <c r="C822" s="350">
        <v>46076</v>
      </c>
      <c r="D822" s="351">
        <v>46054</v>
      </c>
      <c r="E822" s="340" t="s">
        <v>1776</v>
      </c>
      <c r="F822" s="340" t="s">
        <v>894</v>
      </c>
      <c r="G822" s="340" t="s">
        <v>1777</v>
      </c>
      <c r="I822" s="340" t="s">
        <v>740</v>
      </c>
      <c r="K822" s="343">
        <v>0</v>
      </c>
      <c r="L822" s="343">
        <v>-129.9</v>
      </c>
      <c r="M822" s="343">
        <v>-1301508.1599999999</v>
      </c>
      <c r="O822" s="343">
        <v>0</v>
      </c>
    </row>
    <row r="823" spans="1:15" x14ac:dyDescent="0.3">
      <c r="A823" s="340" t="s">
        <v>891</v>
      </c>
      <c r="B823" s="350">
        <v>46077</v>
      </c>
      <c r="C823" s="350">
        <v>46076</v>
      </c>
      <c r="D823" s="351">
        <v>46054</v>
      </c>
      <c r="E823" s="340" t="s">
        <v>1778</v>
      </c>
      <c r="F823" s="340" t="s">
        <v>894</v>
      </c>
      <c r="G823" s="340" t="s">
        <v>1779</v>
      </c>
      <c r="I823" s="340" t="s">
        <v>740</v>
      </c>
      <c r="K823" s="343">
        <v>0</v>
      </c>
      <c r="L823" s="343">
        <v>-167.79</v>
      </c>
      <c r="M823" s="343">
        <v>-1301675.95</v>
      </c>
      <c r="O823" s="343">
        <v>0</v>
      </c>
    </row>
    <row r="824" spans="1:15" x14ac:dyDescent="0.3">
      <c r="A824" s="340" t="s">
        <v>891</v>
      </c>
      <c r="B824" s="350">
        <v>46077</v>
      </c>
      <c r="C824" s="350">
        <v>46076</v>
      </c>
      <c r="D824" s="351">
        <v>46054</v>
      </c>
      <c r="E824" s="340" t="s">
        <v>1780</v>
      </c>
      <c r="F824" s="340" t="s">
        <v>894</v>
      </c>
      <c r="G824" s="340" t="s">
        <v>1781</v>
      </c>
      <c r="I824" s="340" t="s">
        <v>740</v>
      </c>
      <c r="K824" s="343">
        <v>0</v>
      </c>
      <c r="L824" s="343">
        <v>-178.61</v>
      </c>
      <c r="M824" s="343">
        <v>-1301854.56</v>
      </c>
      <c r="O824" s="343">
        <v>0</v>
      </c>
    </row>
    <row r="825" spans="1:15" x14ac:dyDescent="0.3">
      <c r="A825" s="340" t="s">
        <v>891</v>
      </c>
      <c r="B825" s="350">
        <v>46077</v>
      </c>
      <c r="C825" s="350">
        <v>46077</v>
      </c>
      <c r="D825" s="351">
        <v>46054</v>
      </c>
      <c r="E825" s="340" t="s">
        <v>1782</v>
      </c>
      <c r="F825" s="340" t="s">
        <v>894</v>
      </c>
      <c r="G825" s="340" t="s">
        <v>1783</v>
      </c>
      <c r="I825" s="340" t="s">
        <v>745</v>
      </c>
      <c r="K825" s="343">
        <v>0</v>
      </c>
      <c r="L825" s="343">
        <v>-198.1</v>
      </c>
      <c r="M825" s="343">
        <v>-1302052.6599999999</v>
      </c>
      <c r="O825" s="343">
        <v>0</v>
      </c>
    </row>
    <row r="826" spans="1:15" x14ac:dyDescent="0.3">
      <c r="A826" s="340" t="s">
        <v>891</v>
      </c>
      <c r="B826" s="350">
        <v>46077</v>
      </c>
      <c r="C826" s="350">
        <v>46077</v>
      </c>
      <c r="D826" s="351">
        <v>46054</v>
      </c>
      <c r="E826" s="340" t="s">
        <v>1782</v>
      </c>
      <c r="F826" s="340" t="s">
        <v>894</v>
      </c>
      <c r="G826" s="340" t="s">
        <v>1784</v>
      </c>
      <c r="I826" s="340" t="s">
        <v>745</v>
      </c>
      <c r="K826" s="343">
        <v>0</v>
      </c>
      <c r="L826" s="343">
        <v>-39.340000000000003</v>
      </c>
      <c r="M826" s="343">
        <v>-1302092</v>
      </c>
      <c r="O826" s="343">
        <v>0</v>
      </c>
    </row>
    <row r="827" spans="1:15" x14ac:dyDescent="0.3">
      <c r="A827" s="340" t="s">
        <v>891</v>
      </c>
      <c r="B827" s="350">
        <v>46077</v>
      </c>
      <c r="C827" s="350">
        <v>46077</v>
      </c>
      <c r="D827" s="351">
        <v>46054</v>
      </c>
      <c r="E827" s="340" t="s">
        <v>1782</v>
      </c>
      <c r="F827" s="340" t="s">
        <v>894</v>
      </c>
      <c r="G827" s="340" t="s">
        <v>1785</v>
      </c>
      <c r="I827" s="340" t="s">
        <v>745</v>
      </c>
      <c r="K827" s="343">
        <v>0</v>
      </c>
      <c r="L827" s="343">
        <v>-39.94</v>
      </c>
      <c r="M827" s="343">
        <v>-1302131.94</v>
      </c>
      <c r="O827" s="343">
        <v>0</v>
      </c>
    </row>
    <row r="828" spans="1:15" x14ac:dyDescent="0.3">
      <c r="A828" s="340" t="s">
        <v>891</v>
      </c>
      <c r="B828" s="350">
        <v>46077</v>
      </c>
      <c r="C828" s="350">
        <v>46077</v>
      </c>
      <c r="D828" s="351">
        <v>46054</v>
      </c>
      <c r="E828" s="340" t="s">
        <v>1782</v>
      </c>
      <c r="F828" s="340" t="s">
        <v>894</v>
      </c>
      <c r="G828" s="340" t="s">
        <v>1786</v>
      </c>
      <c r="I828" s="340" t="s">
        <v>745</v>
      </c>
      <c r="K828" s="343">
        <v>0</v>
      </c>
      <c r="L828" s="343">
        <v>-39.94</v>
      </c>
      <c r="M828" s="343">
        <v>-1302171.8799999999</v>
      </c>
      <c r="O828" s="343">
        <v>0</v>
      </c>
    </row>
    <row r="829" spans="1:15" x14ac:dyDescent="0.3">
      <c r="A829" s="340" t="s">
        <v>891</v>
      </c>
      <c r="B829" s="350">
        <v>46077</v>
      </c>
      <c r="C829" s="350">
        <v>46077</v>
      </c>
      <c r="D829" s="351">
        <v>46054</v>
      </c>
      <c r="E829" s="340" t="s">
        <v>1782</v>
      </c>
      <c r="F829" s="340" t="s">
        <v>894</v>
      </c>
      <c r="G829" s="340" t="s">
        <v>1787</v>
      </c>
      <c r="I829" s="340" t="s">
        <v>745</v>
      </c>
      <c r="K829" s="343">
        <v>0</v>
      </c>
      <c r="L829" s="343">
        <v>-39.94</v>
      </c>
      <c r="M829" s="343">
        <v>-1302211.82</v>
      </c>
      <c r="O829" s="343">
        <v>0</v>
      </c>
    </row>
    <row r="830" spans="1:15" x14ac:dyDescent="0.3">
      <c r="A830" s="340" t="s">
        <v>891</v>
      </c>
      <c r="B830" s="350">
        <v>46077</v>
      </c>
      <c r="C830" s="350">
        <v>46077</v>
      </c>
      <c r="D830" s="351">
        <v>46054</v>
      </c>
      <c r="E830" s="340" t="s">
        <v>1782</v>
      </c>
      <c r="F830" s="340" t="s">
        <v>894</v>
      </c>
      <c r="G830" s="340" t="s">
        <v>1788</v>
      </c>
      <c r="I830" s="340" t="s">
        <v>745</v>
      </c>
      <c r="K830" s="343">
        <v>0</v>
      </c>
      <c r="L830" s="343">
        <v>-39.94</v>
      </c>
      <c r="M830" s="343">
        <v>-1302251.76</v>
      </c>
      <c r="O830" s="343">
        <v>0</v>
      </c>
    </row>
    <row r="831" spans="1:15" x14ac:dyDescent="0.3">
      <c r="A831" s="340" t="s">
        <v>891</v>
      </c>
      <c r="B831" s="350">
        <v>46077</v>
      </c>
      <c r="C831" s="350">
        <v>46077</v>
      </c>
      <c r="D831" s="351">
        <v>46054</v>
      </c>
      <c r="E831" s="340" t="s">
        <v>1782</v>
      </c>
      <c r="F831" s="340" t="s">
        <v>894</v>
      </c>
      <c r="G831" s="340" t="s">
        <v>1789</v>
      </c>
      <c r="I831" s="340" t="s">
        <v>745</v>
      </c>
      <c r="K831" s="343">
        <v>0</v>
      </c>
      <c r="L831" s="343">
        <v>-122.85</v>
      </c>
      <c r="M831" s="343">
        <v>-1302374.6100000001</v>
      </c>
      <c r="O831" s="343">
        <v>0</v>
      </c>
    </row>
    <row r="832" spans="1:15" x14ac:dyDescent="0.3">
      <c r="A832" s="340" t="s">
        <v>891</v>
      </c>
      <c r="B832" s="350">
        <v>46077</v>
      </c>
      <c r="C832" s="350">
        <v>46077</v>
      </c>
      <c r="D832" s="351">
        <v>46054</v>
      </c>
      <c r="E832" s="340" t="s">
        <v>1782</v>
      </c>
      <c r="F832" s="340" t="s">
        <v>894</v>
      </c>
      <c r="G832" s="340" t="s">
        <v>1790</v>
      </c>
      <c r="I832" s="340" t="s">
        <v>745</v>
      </c>
      <c r="K832" s="343">
        <v>0</v>
      </c>
      <c r="L832" s="343">
        <v>-297.20999999999998</v>
      </c>
      <c r="M832" s="343">
        <v>-1302671.82</v>
      </c>
      <c r="O832" s="343">
        <v>0</v>
      </c>
    </row>
    <row r="833" spans="1:15" x14ac:dyDescent="0.3">
      <c r="A833" s="340" t="s">
        <v>891</v>
      </c>
      <c r="B833" s="350">
        <v>46077</v>
      </c>
      <c r="C833" s="350">
        <v>46077</v>
      </c>
      <c r="D833" s="351">
        <v>46054</v>
      </c>
      <c r="E833" s="340" t="s">
        <v>1782</v>
      </c>
      <c r="F833" s="340" t="s">
        <v>894</v>
      </c>
      <c r="G833" s="340" t="s">
        <v>1791</v>
      </c>
      <c r="I833" s="340" t="s">
        <v>745</v>
      </c>
      <c r="K833" s="343">
        <v>0</v>
      </c>
      <c r="L833" s="343">
        <v>-171.46</v>
      </c>
      <c r="M833" s="343">
        <v>-1302843.28</v>
      </c>
      <c r="O833" s="343">
        <v>0</v>
      </c>
    </row>
    <row r="834" spans="1:15" x14ac:dyDescent="0.3">
      <c r="A834" s="340" t="s">
        <v>891</v>
      </c>
      <c r="B834" s="350">
        <v>46077</v>
      </c>
      <c r="C834" s="350">
        <v>46077</v>
      </c>
      <c r="D834" s="351">
        <v>46054</v>
      </c>
      <c r="E834" s="340" t="s">
        <v>1782</v>
      </c>
      <c r="F834" s="340" t="s">
        <v>894</v>
      </c>
      <c r="G834" s="340" t="s">
        <v>1792</v>
      </c>
      <c r="I834" s="340" t="s">
        <v>745</v>
      </c>
      <c r="K834" s="343">
        <v>0</v>
      </c>
      <c r="L834" s="343">
        <v>-517.44000000000005</v>
      </c>
      <c r="M834" s="343">
        <v>-1303360.72</v>
      </c>
      <c r="O834" s="343">
        <v>0</v>
      </c>
    </row>
    <row r="835" spans="1:15" x14ac:dyDescent="0.3">
      <c r="A835" s="340" t="s">
        <v>891</v>
      </c>
      <c r="B835" s="350">
        <v>46077</v>
      </c>
      <c r="C835" s="350">
        <v>46077</v>
      </c>
      <c r="D835" s="351">
        <v>46054</v>
      </c>
      <c r="E835" s="340" t="s">
        <v>1782</v>
      </c>
      <c r="F835" s="340" t="s">
        <v>894</v>
      </c>
      <c r="G835" s="340" t="s">
        <v>1631</v>
      </c>
      <c r="I835" s="340" t="s">
        <v>745</v>
      </c>
      <c r="K835" s="343">
        <v>0</v>
      </c>
      <c r="L835" s="343">
        <v>-94.17</v>
      </c>
      <c r="M835" s="343">
        <v>-1303454.8899999999</v>
      </c>
      <c r="O835" s="343">
        <v>0</v>
      </c>
    </row>
    <row r="836" spans="1:15" x14ac:dyDescent="0.3">
      <c r="A836" s="340" t="s">
        <v>891</v>
      </c>
      <c r="B836" s="350">
        <v>46077</v>
      </c>
      <c r="C836" s="350">
        <v>46077</v>
      </c>
      <c r="D836" s="351">
        <v>46054</v>
      </c>
      <c r="E836" s="340" t="s">
        <v>1782</v>
      </c>
      <c r="F836" s="340" t="s">
        <v>894</v>
      </c>
      <c r="G836" s="340" t="s">
        <v>1793</v>
      </c>
      <c r="I836" s="340" t="s">
        <v>745</v>
      </c>
      <c r="K836" s="343">
        <v>0</v>
      </c>
      <c r="L836" s="343">
        <v>-54.38</v>
      </c>
      <c r="M836" s="343">
        <v>-1303509.27</v>
      </c>
      <c r="O836" s="343">
        <v>0</v>
      </c>
    </row>
    <row r="837" spans="1:15" x14ac:dyDescent="0.3">
      <c r="A837" s="340" t="s">
        <v>891</v>
      </c>
      <c r="B837" s="350">
        <v>46077</v>
      </c>
      <c r="C837" s="350">
        <v>46077</v>
      </c>
      <c r="D837" s="351">
        <v>46054</v>
      </c>
      <c r="E837" s="340" t="s">
        <v>1794</v>
      </c>
      <c r="F837" s="340" t="s">
        <v>894</v>
      </c>
      <c r="G837" s="340" t="s">
        <v>1795</v>
      </c>
      <c r="I837" s="340" t="s">
        <v>745</v>
      </c>
      <c r="K837" s="343">
        <v>0</v>
      </c>
      <c r="L837" s="343">
        <v>-60.44</v>
      </c>
      <c r="M837" s="343">
        <v>-1303569.71</v>
      </c>
      <c r="O837" s="343">
        <v>0</v>
      </c>
    </row>
    <row r="838" spans="1:15" x14ac:dyDescent="0.3">
      <c r="A838" s="340" t="s">
        <v>891</v>
      </c>
      <c r="B838" s="350">
        <v>46077</v>
      </c>
      <c r="C838" s="350">
        <v>46077</v>
      </c>
      <c r="D838" s="351">
        <v>46054</v>
      </c>
      <c r="E838" s="340" t="s">
        <v>1794</v>
      </c>
      <c r="F838" s="340" t="s">
        <v>894</v>
      </c>
      <c r="G838" s="340" t="s">
        <v>1589</v>
      </c>
      <c r="I838" s="340" t="s">
        <v>745</v>
      </c>
      <c r="K838" s="343">
        <v>0</v>
      </c>
      <c r="L838" s="343">
        <v>-67.56</v>
      </c>
      <c r="M838" s="343">
        <v>-1303637.27</v>
      </c>
      <c r="O838" s="343">
        <v>0</v>
      </c>
    </row>
    <row r="839" spans="1:15" x14ac:dyDescent="0.3">
      <c r="A839" s="340" t="s">
        <v>891</v>
      </c>
      <c r="B839" s="350">
        <v>46077</v>
      </c>
      <c r="C839" s="350">
        <v>46077</v>
      </c>
      <c r="D839" s="351">
        <v>46054</v>
      </c>
      <c r="E839" s="340" t="s">
        <v>1796</v>
      </c>
      <c r="F839" s="340" t="s">
        <v>1078</v>
      </c>
      <c r="G839" s="340" t="s">
        <v>1487</v>
      </c>
      <c r="I839" s="340" t="s">
        <v>1664</v>
      </c>
      <c r="K839" s="343">
        <v>41</v>
      </c>
      <c r="L839" s="343">
        <v>0</v>
      </c>
      <c r="M839" s="343">
        <v>-1303596.27</v>
      </c>
      <c r="O839" s="343">
        <v>0</v>
      </c>
    </row>
    <row r="840" spans="1:15" x14ac:dyDescent="0.3">
      <c r="A840" s="340" t="s">
        <v>891</v>
      </c>
      <c r="B840" s="350">
        <v>46077</v>
      </c>
      <c r="C840" s="350">
        <v>46077</v>
      </c>
      <c r="D840" s="351">
        <v>46054</v>
      </c>
      <c r="E840" s="340" t="s">
        <v>1797</v>
      </c>
      <c r="F840" s="340" t="s">
        <v>894</v>
      </c>
      <c r="G840" s="340" t="s">
        <v>1798</v>
      </c>
      <c r="I840" s="340" t="s">
        <v>1033</v>
      </c>
      <c r="K840" s="343">
        <v>0</v>
      </c>
      <c r="L840" s="343">
        <v>-1367</v>
      </c>
      <c r="M840" s="343">
        <v>-1304963.27</v>
      </c>
      <c r="O840" s="343">
        <v>0</v>
      </c>
    </row>
    <row r="841" spans="1:15" x14ac:dyDescent="0.3">
      <c r="A841" s="340" t="s">
        <v>891</v>
      </c>
      <c r="B841" s="350">
        <v>46077</v>
      </c>
      <c r="C841" s="350">
        <v>46078</v>
      </c>
      <c r="D841" s="351">
        <v>46054</v>
      </c>
      <c r="E841" s="340" t="s">
        <v>1799</v>
      </c>
      <c r="F841" s="340" t="s">
        <v>894</v>
      </c>
      <c r="G841" s="340" t="s">
        <v>1800</v>
      </c>
      <c r="I841" s="340" t="s">
        <v>740</v>
      </c>
      <c r="K841" s="343">
        <v>0</v>
      </c>
      <c r="L841" s="343">
        <v>-129.9</v>
      </c>
      <c r="M841" s="343">
        <v>-1305093.17</v>
      </c>
      <c r="O841" s="343">
        <v>0</v>
      </c>
    </row>
    <row r="842" spans="1:15" x14ac:dyDescent="0.3">
      <c r="A842" s="340" t="s">
        <v>891</v>
      </c>
      <c r="B842" s="350">
        <v>46077</v>
      </c>
      <c r="C842" s="350">
        <v>46078</v>
      </c>
      <c r="D842" s="351">
        <v>46054</v>
      </c>
      <c r="E842" s="340" t="s">
        <v>1799</v>
      </c>
      <c r="F842" s="340" t="s">
        <v>894</v>
      </c>
      <c r="G842" s="340" t="s">
        <v>1801</v>
      </c>
      <c r="I842" s="340" t="s">
        <v>740</v>
      </c>
      <c r="K842" s="343">
        <v>0</v>
      </c>
      <c r="L842" s="343">
        <v>-10</v>
      </c>
      <c r="M842" s="343">
        <v>-1305103.17</v>
      </c>
      <c r="O842" s="343">
        <v>0</v>
      </c>
    </row>
    <row r="843" spans="1:15" x14ac:dyDescent="0.3">
      <c r="A843" s="340" t="s">
        <v>891</v>
      </c>
      <c r="B843" s="350">
        <v>46077</v>
      </c>
      <c r="C843" s="350">
        <v>46078</v>
      </c>
      <c r="D843" s="351">
        <v>46054</v>
      </c>
      <c r="E843" s="340" t="s">
        <v>1802</v>
      </c>
      <c r="F843" s="340" t="s">
        <v>894</v>
      </c>
      <c r="G843" s="340" t="s">
        <v>1803</v>
      </c>
      <c r="I843" s="340" t="s">
        <v>740</v>
      </c>
      <c r="K843" s="343">
        <v>0</v>
      </c>
      <c r="L843" s="343">
        <v>-178.61</v>
      </c>
      <c r="M843" s="343">
        <v>-1305281.78</v>
      </c>
      <c r="O843" s="343">
        <v>0</v>
      </c>
    </row>
    <row r="844" spans="1:15" x14ac:dyDescent="0.3">
      <c r="A844" s="340" t="s">
        <v>891</v>
      </c>
      <c r="B844" s="350">
        <v>46077</v>
      </c>
      <c r="C844" s="350">
        <v>46078</v>
      </c>
      <c r="D844" s="351">
        <v>46054</v>
      </c>
      <c r="E844" s="340" t="s">
        <v>1802</v>
      </c>
      <c r="F844" s="340" t="s">
        <v>894</v>
      </c>
      <c r="G844" s="340" t="s">
        <v>1804</v>
      </c>
      <c r="I844" s="340" t="s">
        <v>740</v>
      </c>
      <c r="K844" s="343">
        <v>0</v>
      </c>
      <c r="L844" s="343">
        <v>-10</v>
      </c>
      <c r="M844" s="343">
        <v>-1305291.78</v>
      </c>
      <c r="O844" s="343">
        <v>0</v>
      </c>
    </row>
    <row r="845" spans="1:15" x14ac:dyDescent="0.3">
      <c r="A845" s="340" t="s">
        <v>891</v>
      </c>
      <c r="B845" s="350">
        <v>46077</v>
      </c>
      <c r="C845" s="350">
        <v>46078</v>
      </c>
      <c r="D845" s="351">
        <v>46054</v>
      </c>
      <c r="E845" s="340" t="s">
        <v>1805</v>
      </c>
      <c r="F845" s="340" t="s">
        <v>894</v>
      </c>
      <c r="G845" s="340" t="s">
        <v>1806</v>
      </c>
      <c r="I845" s="340" t="s">
        <v>740</v>
      </c>
      <c r="K845" s="343">
        <v>0</v>
      </c>
      <c r="L845" s="343">
        <v>-129.9</v>
      </c>
      <c r="M845" s="343">
        <v>-1305421.68</v>
      </c>
      <c r="O845" s="343">
        <v>0</v>
      </c>
    </row>
    <row r="846" spans="1:15" x14ac:dyDescent="0.3">
      <c r="A846" s="340" t="s">
        <v>891</v>
      </c>
      <c r="B846" s="350">
        <v>46077</v>
      </c>
      <c r="C846" s="350">
        <v>46078</v>
      </c>
      <c r="D846" s="351">
        <v>46054</v>
      </c>
      <c r="E846" s="340" t="s">
        <v>1805</v>
      </c>
      <c r="F846" s="340" t="s">
        <v>894</v>
      </c>
      <c r="G846" s="340" t="s">
        <v>1807</v>
      </c>
      <c r="I846" s="340" t="s">
        <v>740</v>
      </c>
      <c r="K846" s="343">
        <v>0</v>
      </c>
      <c r="L846" s="343">
        <v>-45</v>
      </c>
      <c r="M846" s="343">
        <v>-1305466.68</v>
      </c>
      <c r="O846" s="343">
        <v>0</v>
      </c>
    </row>
    <row r="847" spans="1:15" x14ac:dyDescent="0.3">
      <c r="A847" s="340" t="s">
        <v>891</v>
      </c>
      <c r="B847" s="350">
        <v>46077</v>
      </c>
      <c r="C847" s="350">
        <v>46078</v>
      </c>
      <c r="D847" s="351">
        <v>46054</v>
      </c>
      <c r="E847" s="340" t="s">
        <v>1808</v>
      </c>
      <c r="F847" s="340" t="s">
        <v>894</v>
      </c>
      <c r="G847" s="340" t="s">
        <v>1809</v>
      </c>
      <c r="I847" s="340" t="s">
        <v>740</v>
      </c>
      <c r="K847" s="343">
        <v>0</v>
      </c>
      <c r="L847" s="343">
        <v>-129.9</v>
      </c>
      <c r="M847" s="343">
        <v>-1305596.58</v>
      </c>
      <c r="O847" s="343">
        <v>0</v>
      </c>
    </row>
    <row r="848" spans="1:15" x14ac:dyDescent="0.3">
      <c r="A848" s="340" t="s">
        <v>891</v>
      </c>
      <c r="B848" s="350">
        <v>46077</v>
      </c>
      <c r="C848" s="350">
        <v>46078</v>
      </c>
      <c r="D848" s="351">
        <v>46054</v>
      </c>
      <c r="E848" s="340" t="s">
        <v>1808</v>
      </c>
      <c r="F848" s="340" t="s">
        <v>894</v>
      </c>
      <c r="G848" s="340" t="s">
        <v>1801</v>
      </c>
      <c r="I848" s="340" t="s">
        <v>740</v>
      </c>
      <c r="K848" s="343">
        <v>0</v>
      </c>
      <c r="L848" s="343">
        <v>-20</v>
      </c>
      <c r="M848" s="343">
        <v>-1305616.58</v>
      </c>
      <c r="O848" s="343">
        <v>0</v>
      </c>
    </row>
    <row r="849" spans="1:15" x14ac:dyDescent="0.3">
      <c r="A849" s="340" t="s">
        <v>891</v>
      </c>
      <c r="B849" s="350">
        <v>46077</v>
      </c>
      <c r="C849" s="350">
        <v>46078</v>
      </c>
      <c r="D849" s="351">
        <v>46054</v>
      </c>
      <c r="E849" s="340" t="s">
        <v>1810</v>
      </c>
      <c r="F849" s="340" t="s">
        <v>894</v>
      </c>
      <c r="G849" s="340" t="s">
        <v>1811</v>
      </c>
      <c r="I849" s="340" t="s">
        <v>740</v>
      </c>
      <c r="K849" s="343">
        <v>0</v>
      </c>
      <c r="L849" s="343">
        <v>-211.09</v>
      </c>
      <c r="M849" s="343">
        <v>-1305827.67</v>
      </c>
      <c r="O849" s="343">
        <v>0</v>
      </c>
    </row>
    <row r="850" spans="1:15" x14ac:dyDescent="0.3">
      <c r="A850" s="340" t="s">
        <v>891</v>
      </c>
      <c r="B850" s="350">
        <v>46077</v>
      </c>
      <c r="C850" s="350">
        <v>46078</v>
      </c>
      <c r="D850" s="351">
        <v>46054</v>
      </c>
      <c r="E850" s="340" t="s">
        <v>1810</v>
      </c>
      <c r="F850" s="340" t="s">
        <v>894</v>
      </c>
      <c r="G850" s="340" t="s">
        <v>1804</v>
      </c>
      <c r="I850" s="340" t="s">
        <v>740</v>
      </c>
      <c r="K850" s="343">
        <v>0</v>
      </c>
      <c r="L850" s="343">
        <v>-10</v>
      </c>
      <c r="M850" s="343">
        <v>-1305837.67</v>
      </c>
      <c r="O850" s="343">
        <v>0</v>
      </c>
    </row>
    <row r="851" spans="1:15" x14ac:dyDescent="0.3">
      <c r="A851" s="340" t="s">
        <v>891</v>
      </c>
      <c r="B851" s="350">
        <v>46077</v>
      </c>
      <c r="C851" s="350">
        <v>46078</v>
      </c>
      <c r="D851" s="351">
        <v>46054</v>
      </c>
      <c r="E851" s="340" t="s">
        <v>1812</v>
      </c>
      <c r="F851" s="340" t="s">
        <v>894</v>
      </c>
      <c r="G851" s="340" t="s">
        <v>1813</v>
      </c>
      <c r="I851" s="340" t="s">
        <v>740</v>
      </c>
      <c r="K851" s="343">
        <v>0</v>
      </c>
      <c r="L851" s="343">
        <v>-211.09</v>
      </c>
      <c r="M851" s="343">
        <v>-1306048.76</v>
      </c>
      <c r="O851" s="343">
        <v>0</v>
      </c>
    </row>
    <row r="852" spans="1:15" x14ac:dyDescent="0.3">
      <c r="A852" s="340" t="s">
        <v>891</v>
      </c>
      <c r="B852" s="350">
        <v>46077</v>
      </c>
      <c r="C852" s="350">
        <v>46078</v>
      </c>
      <c r="D852" s="351">
        <v>46054</v>
      </c>
      <c r="E852" s="340" t="s">
        <v>1812</v>
      </c>
      <c r="F852" s="340" t="s">
        <v>894</v>
      </c>
      <c r="G852" s="340" t="s">
        <v>1801</v>
      </c>
      <c r="I852" s="340" t="s">
        <v>740</v>
      </c>
      <c r="K852" s="343">
        <v>0</v>
      </c>
      <c r="L852" s="343">
        <v>-10</v>
      </c>
      <c r="M852" s="343">
        <v>-1306058.76</v>
      </c>
      <c r="O852" s="343">
        <v>0</v>
      </c>
    </row>
    <row r="853" spans="1:15" x14ac:dyDescent="0.3">
      <c r="A853" s="340" t="s">
        <v>891</v>
      </c>
      <c r="B853" s="350">
        <v>46077</v>
      </c>
      <c r="C853" s="350">
        <v>46078</v>
      </c>
      <c r="D853" s="351">
        <v>46054</v>
      </c>
      <c r="E853" s="340" t="s">
        <v>1814</v>
      </c>
      <c r="F853" s="340" t="s">
        <v>894</v>
      </c>
      <c r="G853" s="340" t="s">
        <v>1815</v>
      </c>
      <c r="I853" s="340" t="s">
        <v>740</v>
      </c>
      <c r="K853" s="343">
        <v>0</v>
      </c>
      <c r="L853" s="343">
        <v>-156.96</v>
      </c>
      <c r="M853" s="343">
        <v>-1306215.72</v>
      </c>
      <c r="O853" s="343">
        <v>0</v>
      </c>
    </row>
    <row r="854" spans="1:15" x14ac:dyDescent="0.3">
      <c r="A854" s="340" t="s">
        <v>891</v>
      </c>
      <c r="B854" s="350">
        <v>46077</v>
      </c>
      <c r="C854" s="350">
        <v>46078</v>
      </c>
      <c r="D854" s="351">
        <v>46054</v>
      </c>
      <c r="E854" s="340" t="s">
        <v>1814</v>
      </c>
      <c r="F854" s="340" t="s">
        <v>894</v>
      </c>
      <c r="G854" s="340" t="s">
        <v>1816</v>
      </c>
      <c r="I854" s="340" t="s">
        <v>740</v>
      </c>
      <c r="K854" s="343">
        <v>0</v>
      </c>
      <c r="L854" s="343">
        <v>-146.13999999999999</v>
      </c>
      <c r="M854" s="343">
        <v>-1306361.8600000001</v>
      </c>
      <c r="O854" s="343">
        <v>0</v>
      </c>
    </row>
    <row r="855" spans="1:15" x14ac:dyDescent="0.3">
      <c r="A855" s="340" t="s">
        <v>891</v>
      </c>
      <c r="B855" s="350">
        <v>46077</v>
      </c>
      <c r="C855" s="350">
        <v>46078</v>
      </c>
      <c r="D855" s="351">
        <v>46054</v>
      </c>
      <c r="E855" s="340" t="s">
        <v>1814</v>
      </c>
      <c r="F855" s="340" t="s">
        <v>894</v>
      </c>
      <c r="G855" s="340" t="s">
        <v>1817</v>
      </c>
      <c r="I855" s="340" t="s">
        <v>740</v>
      </c>
      <c r="K855" s="343">
        <v>0</v>
      </c>
      <c r="L855" s="343">
        <v>-167.79</v>
      </c>
      <c r="M855" s="343">
        <v>-1306529.6499999999</v>
      </c>
      <c r="O855" s="343">
        <v>0</v>
      </c>
    </row>
    <row r="856" spans="1:15" x14ac:dyDescent="0.3">
      <c r="A856" s="340" t="s">
        <v>891</v>
      </c>
      <c r="B856" s="350">
        <v>46077</v>
      </c>
      <c r="C856" s="350">
        <v>46078</v>
      </c>
      <c r="D856" s="351">
        <v>46054</v>
      </c>
      <c r="E856" s="340" t="s">
        <v>1814</v>
      </c>
      <c r="F856" s="340" t="s">
        <v>894</v>
      </c>
      <c r="G856" s="340" t="s">
        <v>1818</v>
      </c>
      <c r="I856" s="340" t="s">
        <v>740</v>
      </c>
      <c r="K856" s="343">
        <v>0</v>
      </c>
      <c r="L856" s="343">
        <v>-129.9</v>
      </c>
      <c r="M856" s="343">
        <v>-1306659.55</v>
      </c>
      <c r="O856" s="343">
        <v>0</v>
      </c>
    </row>
    <row r="857" spans="1:15" x14ac:dyDescent="0.3">
      <c r="A857" s="340" t="s">
        <v>891</v>
      </c>
      <c r="B857" s="350">
        <v>46077</v>
      </c>
      <c r="C857" s="350">
        <v>46078</v>
      </c>
      <c r="D857" s="351">
        <v>46054</v>
      </c>
      <c r="E857" s="340" t="s">
        <v>1814</v>
      </c>
      <c r="F857" s="340" t="s">
        <v>894</v>
      </c>
      <c r="G857" s="340" t="s">
        <v>1819</v>
      </c>
      <c r="I857" s="340" t="s">
        <v>740</v>
      </c>
      <c r="K857" s="343">
        <v>0</v>
      </c>
      <c r="L857" s="343">
        <v>-129.9</v>
      </c>
      <c r="M857" s="343">
        <v>-1306789.45</v>
      </c>
      <c r="O857" s="343">
        <v>0</v>
      </c>
    </row>
    <row r="858" spans="1:15" x14ac:dyDescent="0.3">
      <c r="A858" s="340" t="s">
        <v>891</v>
      </c>
      <c r="B858" s="350">
        <v>46077</v>
      </c>
      <c r="C858" s="350">
        <v>46078</v>
      </c>
      <c r="D858" s="351">
        <v>46054</v>
      </c>
      <c r="E858" s="340" t="s">
        <v>1814</v>
      </c>
      <c r="F858" s="340" t="s">
        <v>894</v>
      </c>
      <c r="G858" s="340" t="s">
        <v>1820</v>
      </c>
      <c r="I858" s="340" t="s">
        <v>740</v>
      </c>
      <c r="K858" s="343">
        <v>0</v>
      </c>
      <c r="L858" s="343">
        <v>-20</v>
      </c>
      <c r="M858" s="343">
        <v>-1306809.45</v>
      </c>
      <c r="O858" s="343">
        <v>0</v>
      </c>
    </row>
    <row r="859" spans="1:15" x14ac:dyDescent="0.3">
      <c r="A859" s="340" t="s">
        <v>891</v>
      </c>
      <c r="B859" s="350">
        <v>46077</v>
      </c>
      <c r="C859" s="350">
        <v>46078</v>
      </c>
      <c r="D859" s="351">
        <v>46054</v>
      </c>
      <c r="E859" s="340" t="s">
        <v>1814</v>
      </c>
      <c r="F859" s="340" t="s">
        <v>894</v>
      </c>
      <c r="G859" s="340" t="s">
        <v>1821</v>
      </c>
      <c r="I859" s="340" t="s">
        <v>740</v>
      </c>
      <c r="K859" s="343">
        <v>0</v>
      </c>
      <c r="L859" s="343">
        <v>-167.79</v>
      </c>
      <c r="M859" s="343">
        <v>-1306977.24</v>
      </c>
      <c r="O859" s="343">
        <v>0</v>
      </c>
    </row>
    <row r="860" spans="1:15" x14ac:dyDescent="0.3">
      <c r="A860" s="340" t="s">
        <v>891</v>
      </c>
      <c r="B860" s="350">
        <v>46077</v>
      </c>
      <c r="C860" s="350">
        <v>46078</v>
      </c>
      <c r="D860" s="351">
        <v>46054</v>
      </c>
      <c r="E860" s="340" t="s">
        <v>1814</v>
      </c>
      <c r="F860" s="340" t="s">
        <v>894</v>
      </c>
      <c r="G860" s="340" t="s">
        <v>1822</v>
      </c>
      <c r="I860" s="340" t="s">
        <v>740</v>
      </c>
      <c r="K860" s="343">
        <v>0</v>
      </c>
      <c r="L860" s="343">
        <v>-129.9</v>
      </c>
      <c r="M860" s="343">
        <v>-1307107.1399999999</v>
      </c>
      <c r="O860" s="343">
        <v>0</v>
      </c>
    </row>
    <row r="861" spans="1:15" x14ac:dyDescent="0.3">
      <c r="A861" s="340" t="s">
        <v>891</v>
      </c>
      <c r="B861" s="350">
        <v>46077</v>
      </c>
      <c r="C861" s="350">
        <v>46078</v>
      </c>
      <c r="D861" s="351">
        <v>46054</v>
      </c>
      <c r="E861" s="340" t="s">
        <v>1814</v>
      </c>
      <c r="F861" s="340" t="s">
        <v>894</v>
      </c>
      <c r="G861" s="340" t="s">
        <v>1801</v>
      </c>
      <c r="I861" s="340" t="s">
        <v>740</v>
      </c>
      <c r="K861" s="343">
        <v>0</v>
      </c>
      <c r="L861" s="343">
        <v>-30</v>
      </c>
      <c r="M861" s="343">
        <v>-1307137.1399999999</v>
      </c>
      <c r="O861" s="343">
        <v>0</v>
      </c>
    </row>
    <row r="862" spans="1:15" x14ac:dyDescent="0.3">
      <c r="A862" s="340" t="s">
        <v>891</v>
      </c>
      <c r="B862" s="350">
        <v>46077</v>
      </c>
      <c r="C862" s="350">
        <v>46078</v>
      </c>
      <c r="D862" s="351">
        <v>46054</v>
      </c>
      <c r="E862" s="340" t="s">
        <v>1814</v>
      </c>
      <c r="F862" s="340" t="s">
        <v>894</v>
      </c>
      <c r="G862" s="340" t="s">
        <v>1801</v>
      </c>
      <c r="I862" s="340" t="s">
        <v>740</v>
      </c>
      <c r="K862" s="343">
        <v>0</v>
      </c>
      <c r="L862" s="343">
        <v>-15</v>
      </c>
      <c r="M862" s="343">
        <v>-1307152.1399999999</v>
      </c>
      <c r="O862" s="343">
        <v>0</v>
      </c>
    </row>
    <row r="863" spans="1:15" x14ac:dyDescent="0.3">
      <c r="A863" s="340" t="s">
        <v>891</v>
      </c>
      <c r="B863" s="350">
        <v>46077</v>
      </c>
      <c r="C863" s="350">
        <v>46078</v>
      </c>
      <c r="D863" s="351">
        <v>46054</v>
      </c>
      <c r="E863" s="340" t="s">
        <v>1823</v>
      </c>
      <c r="F863" s="340" t="s">
        <v>894</v>
      </c>
      <c r="G863" s="340" t="s">
        <v>1824</v>
      </c>
      <c r="I863" s="340" t="s">
        <v>765</v>
      </c>
      <c r="K863" s="343">
        <v>0</v>
      </c>
      <c r="L863" s="343">
        <v>-368.56</v>
      </c>
      <c r="M863" s="343">
        <v>-1307520.7</v>
      </c>
      <c r="O863" s="343">
        <v>0</v>
      </c>
    </row>
    <row r="864" spans="1:15" x14ac:dyDescent="0.3">
      <c r="A864" s="340" t="s">
        <v>891</v>
      </c>
      <c r="B864" s="350">
        <v>46077</v>
      </c>
      <c r="C864" s="350">
        <v>46078</v>
      </c>
      <c r="D864" s="351">
        <v>46054</v>
      </c>
      <c r="E864" s="340" t="s">
        <v>1825</v>
      </c>
      <c r="F864" s="340" t="s">
        <v>894</v>
      </c>
      <c r="G864" s="340" t="s">
        <v>1826</v>
      </c>
      <c r="I864" s="340" t="s">
        <v>765</v>
      </c>
      <c r="K864" s="343">
        <v>0</v>
      </c>
      <c r="L864" s="343">
        <v>-700.08</v>
      </c>
      <c r="M864" s="343">
        <v>-1308220.78</v>
      </c>
      <c r="O864" s="343">
        <v>0</v>
      </c>
    </row>
    <row r="865" spans="1:15" x14ac:dyDescent="0.3">
      <c r="A865" s="340" t="s">
        <v>891</v>
      </c>
      <c r="B865" s="350">
        <v>46077</v>
      </c>
      <c r="C865" s="350">
        <v>46078</v>
      </c>
      <c r="D865" s="351">
        <v>46054</v>
      </c>
      <c r="E865" s="340" t="s">
        <v>1827</v>
      </c>
      <c r="F865" s="340" t="s">
        <v>894</v>
      </c>
      <c r="G865" s="340" t="s">
        <v>1828</v>
      </c>
      <c r="I865" s="340" t="s">
        <v>765</v>
      </c>
      <c r="K865" s="343">
        <v>0</v>
      </c>
      <c r="L865" s="343">
        <v>-704.36</v>
      </c>
      <c r="M865" s="343">
        <v>-1308925.1399999999</v>
      </c>
      <c r="O865" s="343">
        <v>0</v>
      </c>
    </row>
    <row r="866" spans="1:15" x14ac:dyDescent="0.3">
      <c r="A866" s="340" t="s">
        <v>891</v>
      </c>
      <c r="B866" s="350">
        <v>46077</v>
      </c>
      <c r="C866" s="350">
        <v>46078</v>
      </c>
      <c r="D866" s="351">
        <v>46054</v>
      </c>
      <c r="E866" s="340" t="s">
        <v>1829</v>
      </c>
      <c r="F866" s="340" t="s">
        <v>894</v>
      </c>
      <c r="G866" s="340" t="s">
        <v>1830</v>
      </c>
      <c r="I866" s="340" t="s">
        <v>765</v>
      </c>
      <c r="K866" s="343">
        <v>0</v>
      </c>
      <c r="L866" s="343">
        <v>-632.94000000000005</v>
      </c>
      <c r="M866" s="343">
        <v>-1309558.08</v>
      </c>
      <c r="O866" s="343">
        <v>0</v>
      </c>
    </row>
    <row r="867" spans="1:15" x14ac:dyDescent="0.3">
      <c r="A867" s="340" t="s">
        <v>891</v>
      </c>
      <c r="B867" s="350">
        <v>46077</v>
      </c>
      <c r="C867" s="350">
        <v>46078</v>
      </c>
      <c r="D867" s="351">
        <v>46054</v>
      </c>
      <c r="E867" s="340" t="s">
        <v>1831</v>
      </c>
      <c r="F867" s="340" t="s">
        <v>894</v>
      </c>
      <c r="G867" s="340" t="s">
        <v>1832</v>
      </c>
      <c r="I867" s="340" t="s">
        <v>765</v>
      </c>
      <c r="K867" s="343">
        <v>0</v>
      </c>
      <c r="L867" s="343">
        <v>-494.81</v>
      </c>
      <c r="M867" s="343">
        <v>-1310052.8899999999</v>
      </c>
      <c r="O867" s="343">
        <v>0</v>
      </c>
    </row>
    <row r="868" spans="1:15" x14ac:dyDescent="0.3">
      <c r="A868" s="340" t="s">
        <v>891</v>
      </c>
      <c r="B868" s="350">
        <v>46077</v>
      </c>
      <c r="C868" s="350">
        <v>46088</v>
      </c>
      <c r="D868" s="351">
        <v>46082</v>
      </c>
      <c r="E868" s="340" t="s">
        <v>1833</v>
      </c>
      <c r="F868" s="340" t="s">
        <v>894</v>
      </c>
      <c r="G868" s="340" t="s">
        <v>1834</v>
      </c>
      <c r="I868" s="340" t="s">
        <v>765</v>
      </c>
      <c r="K868" s="343">
        <v>0</v>
      </c>
      <c r="L868" s="343">
        <v>-974.75</v>
      </c>
      <c r="M868" s="343">
        <v>-1311027.6399999999</v>
      </c>
      <c r="O868" s="343">
        <v>0</v>
      </c>
    </row>
    <row r="869" spans="1:15" x14ac:dyDescent="0.3">
      <c r="A869" s="340" t="s">
        <v>891</v>
      </c>
      <c r="B869" s="350">
        <v>46077</v>
      </c>
      <c r="C869" s="350">
        <v>46088</v>
      </c>
      <c r="D869" s="351">
        <v>46082</v>
      </c>
      <c r="E869" s="340" t="s">
        <v>1835</v>
      </c>
      <c r="F869" s="340" t="s">
        <v>894</v>
      </c>
      <c r="G869" s="340" t="s">
        <v>1836</v>
      </c>
      <c r="I869" s="340" t="s">
        <v>765</v>
      </c>
      <c r="K869" s="343">
        <v>0</v>
      </c>
      <c r="L869" s="343">
        <v>-1116.04</v>
      </c>
      <c r="M869" s="343">
        <v>-1312143.68</v>
      </c>
      <c r="O869" s="343">
        <v>0</v>
      </c>
    </row>
    <row r="870" spans="1:15" x14ac:dyDescent="0.3">
      <c r="A870" s="340" t="s">
        <v>891</v>
      </c>
      <c r="B870" s="350">
        <v>46077</v>
      </c>
      <c r="C870" s="350">
        <v>46088</v>
      </c>
      <c r="D870" s="351">
        <v>46082</v>
      </c>
      <c r="E870" s="340" t="s">
        <v>1837</v>
      </c>
      <c r="F870" s="340" t="s">
        <v>894</v>
      </c>
      <c r="G870" s="340" t="s">
        <v>1838</v>
      </c>
      <c r="I870" s="340" t="s">
        <v>765</v>
      </c>
      <c r="K870" s="343">
        <v>0</v>
      </c>
      <c r="L870" s="343">
        <v>-606.80999999999995</v>
      </c>
      <c r="M870" s="343">
        <v>-1312750.49</v>
      </c>
      <c r="O870" s="343">
        <v>0</v>
      </c>
    </row>
    <row r="871" spans="1:15" x14ac:dyDescent="0.3">
      <c r="A871" s="340" t="s">
        <v>891</v>
      </c>
      <c r="B871" s="350">
        <v>46077</v>
      </c>
      <c r="C871" s="350">
        <v>46088</v>
      </c>
      <c r="D871" s="351">
        <v>46082</v>
      </c>
      <c r="E871" s="340" t="s">
        <v>1839</v>
      </c>
      <c r="F871" s="340" t="s">
        <v>894</v>
      </c>
      <c r="G871" s="340" t="s">
        <v>1840</v>
      </c>
      <c r="I871" s="340" t="s">
        <v>765</v>
      </c>
      <c r="K871" s="343">
        <v>0</v>
      </c>
      <c r="L871" s="343">
        <v>-392.71</v>
      </c>
      <c r="M871" s="343">
        <v>-1313143.2</v>
      </c>
      <c r="O871" s="343">
        <v>0</v>
      </c>
    </row>
    <row r="872" spans="1:15" x14ac:dyDescent="0.3">
      <c r="A872" s="340" t="s">
        <v>891</v>
      </c>
      <c r="B872" s="350">
        <v>46077</v>
      </c>
      <c r="C872" s="350">
        <v>46088</v>
      </c>
      <c r="D872" s="351">
        <v>46082</v>
      </c>
      <c r="E872" s="340" t="s">
        <v>1841</v>
      </c>
      <c r="F872" s="340" t="s">
        <v>894</v>
      </c>
      <c r="G872" s="340" t="s">
        <v>1842</v>
      </c>
      <c r="I872" s="340" t="s">
        <v>765</v>
      </c>
      <c r="K872" s="343">
        <v>0</v>
      </c>
      <c r="L872" s="343">
        <v>-1485.04</v>
      </c>
      <c r="M872" s="343">
        <v>-1314628.24</v>
      </c>
      <c r="O872" s="343">
        <v>0</v>
      </c>
    </row>
    <row r="873" spans="1:15" x14ac:dyDescent="0.3">
      <c r="A873" s="340" t="s">
        <v>891</v>
      </c>
      <c r="B873" s="350">
        <v>46078</v>
      </c>
      <c r="C873" s="350">
        <v>46078</v>
      </c>
      <c r="D873" s="351">
        <v>46054</v>
      </c>
      <c r="E873" s="340" t="s">
        <v>1843</v>
      </c>
      <c r="F873" s="340" t="s">
        <v>1078</v>
      </c>
      <c r="G873" s="340" t="s">
        <v>768</v>
      </c>
      <c r="I873" s="340" t="s">
        <v>768</v>
      </c>
      <c r="K873" s="343">
        <v>78.7</v>
      </c>
      <c r="L873" s="343">
        <v>0</v>
      </c>
      <c r="M873" s="343">
        <v>-1314549.54</v>
      </c>
      <c r="O873" s="343">
        <v>0</v>
      </c>
    </row>
    <row r="874" spans="1:15" x14ac:dyDescent="0.3">
      <c r="A874" s="340" t="s">
        <v>891</v>
      </c>
      <c r="B874" s="350">
        <v>46078</v>
      </c>
      <c r="C874" s="350">
        <v>46078</v>
      </c>
      <c r="D874" s="351">
        <v>46054</v>
      </c>
      <c r="E874" s="340" t="s">
        <v>1843</v>
      </c>
      <c r="F874" s="340" t="s">
        <v>1078</v>
      </c>
      <c r="G874" s="340" t="s">
        <v>1361</v>
      </c>
      <c r="I874" s="340" t="s">
        <v>768</v>
      </c>
      <c r="K874" s="343">
        <v>4500</v>
      </c>
      <c r="L874" s="343">
        <v>0</v>
      </c>
      <c r="M874" s="343">
        <v>-1310049.54</v>
      </c>
      <c r="O874" s="343">
        <v>0</v>
      </c>
    </row>
    <row r="875" spans="1:15" x14ac:dyDescent="0.3">
      <c r="A875" s="340" t="s">
        <v>891</v>
      </c>
      <c r="B875" s="350">
        <v>46078</v>
      </c>
      <c r="C875" s="350">
        <v>46078</v>
      </c>
      <c r="D875" s="351">
        <v>46054</v>
      </c>
      <c r="E875" s="340" t="s">
        <v>1843</v>
      </c>
      <c r="F875" s="340" t="s">
        <v>1078</v>
      </c>
      <c r="G875" s="340" t="s">
        <v>768</v>
      </c>
      <c r="I875" s="340" t="s">
        <v>768</v>
      </c>
      <c r="K875" s="343">
        <v>733.72</v>
      </c>
      <c r="L875" s="343">
        <v>0</v>
      </c>
      <c r="M875" s="343">
        <v>-1309315.82</v>
      </c>
      <c r="O875" s="343">
        <v>0</v>
      </c>
    </row>
    <row r="876" spans="1:15" x14ac:dyDescent="0.3">
      <c r="A876" s="340" t="s">
        <v>891</v>
      </c>
      <c r="B876" s="350">
        <v>46078</v>
      </c>
      <c r="C876" s="350">
        <v>46078</v>
      </c>
      <c r="D876" s="351">
        <v>46054</v>
      </c>
      <c r="E876" s="340" t="s">
        <v>1843</v>
      </c>
      <c r="F876" s="340" t="s">
        <v>1078</v>
      </c>
      <c r="G876" s="340" t="s">
        <v>768</v>
      </c>
      <c r="I876" s="340" t="s">
        <v>768</v>
      </c>
      <c r="K876" s="343">
        <v>402.36</v>
      </c>
      <c r="L876" s="343">
        <v>0</v>
      </c>
      <c r="M876" s="343">
        <v>-1308913.46</v>
      </c>
      <c r="O876" s="343">
        <v>0</v>
      </c>
    </row>
    <row r="877" spans="1:15" x14ac:dyDescent="0.3">
      <c r="A877" s="340" t="s">
        <v>891</v>
      </c>
      <c r="B877" s="350">
        <v>46078</v>
      </c>
      <c r="C877" s="350">
        <v>46078</v>
      </c>
      <c r="D877" s="351">
        <v>46054</v>
      </c>
      <c r="E877" s="340" t="s">
        <v>1843</v>
      </c>
      <c r="F877" s="340" t="s">
        <v>1078</v>
      </c>
      <c r="G877" s="340" t="s">
        <v>1844</v>
      </c>
      <c r="I877" s="340" t="s">
        <v>768</v>
      </c>
      <c r="K877" s="343">
        <v>1500</v>
      </c>
      <c r="L877" s="343">
        <v>0</v>
      </c>
      <c r="M877" s="343">
        <v>-1307413.46</v>
      </c>
      <c r="O877" s="343">
        <v>0</v>
      </c>
    </row>
    <row r="878" spans="1:15" x14ac:dyDescent="0.3">
      <c r="A878" s="340" t="s">
        <v>891</v>
      </c>
      <c r="B878" s="350">
        <v>46078</v>
      </c>
      <c r="C878" s="350">
        <v>46078</v>
      </c>
      <c r="D878" s="351">
        <v>46054</v>
      </c>
      <c r="E878" s="340" t="s">
        <v>1845</v>
      </c>
      <c r="F878" s="340" t="s">
        <v>1078</v>
      </c>
      <c r="G878" s="340" t="s">
        <v>903</v>
      </c>
      <c r="I878" s="340" t="s">
        <v>739</v>
      </c>
      <c r="K878" s="343">
        <v>547.01</v>
      </c>
      <c r="L878" s="343">
        <v>0</v>
      </c>
      <c r="M878" s="343">
        <v>-1306866.45</v>
      </c>
      <c r="O878" s="343">
        <v>0</v>
      </c>
    </row>
    <row r="879" spans="1:15" x14ac:dyDescent="0.3">
      <c r="A879" s="340" t="s">
        <v>891</v>
      </c>
      <c r="B879" s="350">
        <v>46078</v>
      </c>
      <c r="C879" s="350">
        <v>46078</v>
      </c>
      <c r="D879" s="351">
        <v>46054</v>
      </c>
      <c r="E879" s="340" t="s">
        <v>1845</v>
      </c>
      <c r="F879" s="340" t="s">
        <v>1078</v>
      </c>
      <c r="G879" s="340" t="s">
        <v>1079</v>
      </c>
      <c r="I879" s="340" t="s">
        <v>739</v>
      </c>
      <c r="K879" s="343">
        <v>547.01</v>
      </c>
      <c r="L879" s="343">
        <v>0</v>
      </c>
      <c r="M879" s="343">
        <v>-1306319.44</v>
      </c>
      <c r="O879" s="343">
        <v>0</v>
      </c>
    </row>
    <row r="880" spans="1:15" x14ac:dyDescent="0.3">
      <c r="A880" s="340" t="s">
        <v>891</v>
      </c>
      <c r="B880" s="350">
        <v>46078</v>
      </c>
      <c r="C880" s="350">
        <v>46078</v>
      </c>
      <c r="D880" s="351">
        <v>46054</v>
      </c>
      <c r="E880" s="340" t="s">
        <v>1846</v>
      </c>
      <c r="F880" s="340" t="s">
        <v>894</v>
      </c>
      <c r="G880" s="340" t="s">
        <v>1847</v>
      </c>
      <c r="I880" s="340" t="s">
        <v>764</v>
      </c>
      <c r="K880" s="343">
        <v>0</v>
      </c>
      <c r="L880" s="343">
        <v>-129.9</v>
      </c>
      <c r="M880" s="343">
        <v>-1306449.3400000001</v>
      </c>
      <c r="O880" s="343">
        <v>0</v>
      </c>
    </row>
    <row r="881" spans="1:15" x14ac:dyDescent="0.3">
      <c r="A881" s="340" t="s">
        <v>891</v>
      </c>
      <c r="B881" s="350">
        <v>46078</v>
      </c>
      <c r="C881" s="350">
        <v>46078</v>
      </c>
      <c r="D881" s="351">
        <v>46054</v>
      </c>
      <c r="E881" s="340" t="s">
        <v>1846</v>
      </c>
      <c r="F881" s="340" t="s">
        <v>894</v>
      </c>
      <c r="G881" s="340" t="s">
        <v>1848</v>
      </c>
      <c r="I881" s="340" t="s">
        <v>764</v>
      </c>
      <c r="K881" s="343">
        <v>0</v>
      </c>
      <c r="L881" s="343">
        <v>-129.9</v>
      </c>
      <c r="M881" s="343">
        <v>-1306579.24</v>
      </c>
      <c r="O881" s="343">
        <v>0</v>
      </c>
    </row>
    <row r="882" spans="1:15" x14ac:dyDescent="0.3">
      <c r="A882" s="340" t="s">
        <v>891</v>
      </c>
      <c r="B882" s="350">
        <v>46078</v>
      </c>
      <c r="C882" s="350">
        <v>46078</v>
      </c>
      <c r="D882" s="351">
        <v>46054</v>
      </c>
      <c r="E882" s="340" t="s">
        <v>1849</v>
      </c>
      <c r="F882" s="340" t="s">
        <v>894</v>
      </c>
      <c r="G882" s="340" t="s">
        <v>1850</v>
      </c>
      <c r="I882" s="340" t="s">
        <v>764</v>
      </c>
      <c r="K882" s="343">
        <v>0</v>
      </c>
      <c r="L882" s="343">
        <v>-86.6</v>
      </c>
      <c r="M882" s="343">
        <v>-1306665.8400000001</v>
      </c>
      <c r="O882" s="343">
        <v>0</v>
      </c>
    </row>
    <row r="883" spans="1:15" x14ac:dyDescent="0.3">
      <c r="A883" s="340" t="s">
        <v>891</v>
      </c>
      <c r="B883" s="350">
        <v>46078</v>
      </c>
      <c r="C883" s="350">
        <v>46078</v>
      </c>
      <c r="D883" s="351">
        <v>46054</v>
      </c>
      <c r="E883" s="340" t="s">
        <v>1849</v>
      </c>
      <c r="F883" s="340" t="s">
        <v>894</v>
      </c>
      <c r="G883" s="340" t="s">
        <v>1851</v>
      </c>
      <c r="I883" s="340" t="s">
        <v>764</v>
      </c>
      <c r="K883" s="343">
        <v>0</v>
      </c>
      <c r="L883" s="343">
        <v>-86.6</v>
      </c>
      <c r="M883" s="343">
        <v>-1306752.44</v>
      </c>
      <c r="O883" s="343">
        <v>0</v>
      </c>
    </row>
    <row r="884" spans="1:15" x14ac:dyDescent="0.3">
      <c r="A884" s="340" t="s">
        <v>891</v>
      </c>
      <c r="B884" s="350">
        <v>46078</v>
      </c>
      <c r="C884" s="350">
        <v>46078</v>
      </c>
      <c r="D884" s="351">
        <v>46054</v>
      </c>
      <c r="E884" s="340" t="s">
        <v>1849</v>
      </c>
      <c r="F884" s="340" t="s">
        <v>894</v>
      </c>
      <c r="G884" s="340" t="s">
        <v>1852</v>
      </c>
      <c r="I884" s="340" t="s">
        <v>764</v>
      </c>
      <c r="K884" s="343">
        <v>0</v>
      </c>
      <c r="L884" s="343">
        <v>-86.6</v>
      </c>
      <c r="M884" s="343">
        <v>-1306839.04</v>
      </c>
      <c r="O884" s="343">
        <v>0</v>
      </c>
    </row>
    <row r="885" spans="1:15" x14ac:dyDescent="0.3">
      <c r="A885" s="340" t="s">
        <v>891</v>
      </c>
      <c r="B885" s="350">
        <v>46078</v>
      </c>
      <c r="C885" s="350">
        <v>46078</v>
      </c>
      <c r="D885" s="351">
        <v>46054</v>
      </c>
      <c r="E885" s="340" t="s">
        <v>1849</v>
      </c>
      <c r="F885" s="340" t="s">
        <v>894</v>
      </c>
      <c r="G885" s="340" t="s">
        <v>1853</v>
      </c>
      <c r="I885" s="340" t="s">
        <v>764</v>
      </c>
      <c r="K885" s="343">
        <v>0</v>
      </c>
      <c r="L885" s="343">
        <v>-119.08</v>
      </c>
      <c r="M885" s="343">
        <v>-1306958.1200000001</v>
      </c>
      <c r="O885" s="343">
        <v>0</v>
      </c>
    </row>
    <row r="886" spans="1:15" x14ac:dyDescent="0.3">
      <c r="A886" s="340" t="s">
        <v>891</v>
      </c>
      <c r="B886" s="350">
        <v>46078</v>
      </c>
      <c r="C886" s="350">
        <v>46078</v>
      </c>
      <c r="D886" s="351">
        <v>46054</v>
      </c>
      <c r="E886" s="340" t="s">
        <v>1849</v>
      </c>
      <c r="F886" s="340" t="s">
        <v>894</v>
      </c>
      <c r="G886" s="340" t="s">
        <v>1854</v>
      </c>
      <c r="I886" s="340" t="s">
        <v>764</v>
      </c>
      <c r="K886" s="343">
        <v>0</v>
      </c>
      <c r="L886" s="343">
        <v>-119.08</v>
      </c>
      <c r="M886" s="343">
        <v>-1307077.2</v>
      </c>
      <c r="O886" s="343">
        <v>0</v>
      </c>
    </row>
    <row r="887" spans="1:15" x14ac:dyDescent="0.3">
      <c r="A887" s="340" t="s">
        <v>891</v>
      </c>
      <c r="B887" s="350">
        <v>46078</v>
      </c>
      <c r="C887" s="350">
        <v>46078</v>
      </c>
      <c r="D887" s="351">
        <v>46054</v>
      </c>
      <c r="E887" s="340" t="s">
        <v>1849</v>
      </c>
      <c r="F887" s="340" t="s">
        <v>894</v>
      </c>
      <c r="G887" s="340" t="s">
        <v>1855</v>
      </c>
      <c r="I887" s="340" t="s">
        <v>764</v>
      </c>
      <c r="K887" s="343">
        <v>0</v>
      </c>
      <c r="L887" s="343">
        <v>-129.9</v>
      </c>
      <c r="M887" s="343">
        <v>-1307207.1000000001</v>
      </c>
      <c r="O887" s="343">
        <v>0</v>
      </c>
    </row>
    <row r="888" spans="1:15" x14ac:dyDescent="0.3">
      <c r="A888" s="340" t="s">
        <v>891</v>
      </c>
      <c r="B888" s="350">
        <v>46078</v>
      </c>
      <c r="C888" s="350">
        <v>46078</v>
      </c>
      <c r="D888" s="351">
        <v>46054</v>
      </c>
      <c r="E888" s="340" t="s">
        <v>1849</v>
      </c>
      <c r="F888" s="340" t="s">
        <v>894</v>
      </c>
      <c r="G888" s="340" t="s">
        <v>1856</v>
      </c>
      <c r="I888" s="340" t="s">
        <v>764</v>
      </c>
      <c r="K888" s="343">
        <v>0</v>
      </c>
      <c r="L888" s="343">
        <v>-162.38</v>
      </c>
      <c r="M888" s="343">
        <v>-1307369.48</v>
      </c>
      <c r="O888" s="343">
        <v>0</v>
      </c>
    </row>
    <row r="889" spans="1:15" x14ac:dyDescent="0.3">
      <c r="A889" s="340" t="s">
        <v>891</v>
      </c>
      <c r="B889" s="350">
        <v>46078</v>
      </c>
      <c r="C889" s="350">
        <v>46078</v>
      </c>
      <c r="D889" s="351">
        <v>46054</v>
      </c>
      <c r="E889" s="340" t="s">
        <v>1849</v>
      </c>
      <c r="F889" s="340" t="s">
        <v>894</v>
      </c>
      <c r="G889" s="340" t="s">
        <v>1857</v>
      </c>
      <c r="I889" s="340" t="s">
        <v>764</v>
      </c>
      <c r="K889" s="343">
        <v>0</v>
      </c>
      <c r="L889" s="343">
        <v>-173.19</v>
      </c>
      <c r="M889" s="343">
        <v>-1307542.67</v>
      </c>
      <c r="O889" s="343">
        <v>0</v>
      </c>
    </row>
    <row r="890" spans="1:15" x14ac:dyDescent="0.3">
      <c r="A890" s="340" t="s">
        <v>891</v>
      </c>
      <c r="B890" s="350">
        <v>46078</v>
      </c>
      <c r="C890" s="350">
        <v>46097</v>
      </c>
      <c r="D890" s="351">
        <v>46082</v>
      </c>
      <c r="E890" s="340" t="s">
        <v>1858</v>
      </c>
      <c r="F890" s="340" t="s">
        <v>894</v>
      </c>
      <c r="G890" s="340" t="s">
        <v>1094</v>
      </c>
      <c r="I890" s="340" t="s">
        <v>1093</v>
      </c>
      <c r="K890" s="343">
        <v>0</v>
      </c>
      <c r="L890" s="343">
        <v>-77.819999999999993</v>
      </c>
      <c r="M890" s="343">
        <v>-1307620.49</v>
      </c>
      <c r="O890" s="343">
        <v>0</v>
      </c>
    </row>
    <row r="891" spans="1:15" x14ac:dyDescent="0.3">
      <c r="A891" s="340" t="s">
        <v>891</v>
      </c>
      <c r="B891" s="350">
        <v>46078</v>
      </c>
      <c r="C891" s="350">
        <v>46097</v>
      </c>
      <c r="D891" s="351">
        <v>46082</v>
      </c>
      <c r="E891" s="340" t="s">
        <v>1858</v>
      </c>
      <c r="F891" s="340" t="s">
        <v>894</v>
      </c>
      <c r="G891" s="340" t="s">
        <v>1092</v>
      </c>
      <c r="I891" s="340" t="s">
        <v>1093</v>
      </c>
      <c r="K891" s="343">
        <v>0</v>
      </c>
      <c r="L891" s="343">
        <v>-405</v>
      </c>
      <c r="M891" s="343">
        <v>-1308025.49</v>
      </c>
      <c r="O891" s="343">
        <v>0</v>
      </c>
    </row>
    <row r="892" spans="1:15" x14ac:dyDescent="0.3">
      <c r="A892" s="340" t="s">
        <v>891</v>
      </c>
      <c r="B892" s="350">
        <v>46078</v>
      </c>
      <c r="C892" s="350">
        <v>46104</v>
      </c>
      <c r="D892" s="351">
        <v>46082</v>
      </c>
      <c r="E892" s="340" t="s">
        <v>1859</v>
      </c>
      <c r="F892" s="340" t="s">
        <v>894</v>
      </c>
      <c r="G892" s="340" t="s">
        <v>1860</v>
      </c>
      <c r="I892" s="340" t="s">
        <v>1861</v>
      </c>
      <c r="K892" s="343">
        <v>0</v>
      </c>
      <c r="L892" s="343">
        <v>-1868.55</v>
      </c>
      <c r="M892" s="343">
        <v>-1309894.04</v>
      </c>
      <c r="O892" s="343">
        <v>0</v>
      </c>
    </row>
    <row r="893" spans="1:15" x14ac:dyDescent="0.3">
      <c r="A893" s="340" t="s">
        <v>891</v>
      </c>
      <c r="B893" s="350">
        <v>46078</v>
      </c>
      <c r="C893" s="350">
        <v>46104</v>
      </c>
      <c r="D893" s="351">
        <v>46082</v>
      </c>
      <c r="E893" s="340" t="s">
        <v>1862</v>
      </c>
      <c r="F893" s="340" t="s">
        <v>894</v>
      </c>
      <c r="G893" s="340" t="s">
        <v>1863</v>
      </c>
      <c r="I893" s="340" t="s">
        <v>1861</v>
      </c>
      <c r="K893" s="343">
        <v>0</v>
      </c>
      <c r="L893" s="343">
        <v>-5232.63</v>
      </c>
      <c r="M893" s="343">
        <v>-1315126.67</v>
      </c>
      <c r="O893" s="343">
        <v>0</v>
      </c>
    </row>
    <row r="894" spans="1:15" x14ac:dyDescent="0.3">
      <c r="A894" s="340" t="s">
        <v>891</v>
      </c>
      <c r="B894" s="350">
        <v>46078</v>
      </c>
      <c r="C894" s="350">
        <v>46104</v>
      </c>
      <c r="D894" s="351">
        <v>46082</v>
      </c>
      <c r="E894" s="340" t="s">
        <v>1864</v>
      </c>
      <c r="F894" s="340" t="s">
        <v>894</v>
      </c>
      <c r="G894" s="340" t="s">
        <v>1865</v>
      </c>
      <c r="I894" s="340" t="s">
        <v>1861</v>
      </c>
      <c r="K894" s="343">
        <v>0</v>
      </c>
      <c r="L894" s="343">
        <v>-2878.08</v>
      </c>
      <c r="M894" s="343">
        <v>-1318004.75</v>
      </c>
      <c r="O894" s="343">
        <v>0</v>
      </c>
    </row>
    <row r="895" spans="1:15" x14ac:dyDescent="0.3">
      <c r="A895" s="340" t="s">
        <v>891</v>
      </c>
      <c r="B895" s="350">
        <v>46078</v>
      </c>
      <c r="C895" s="350">
        <v>46104</v>
      </c>
      <c r="D895" s="351">
        <v>46082</v>
      </c>
      <c r="E895" s="340" t="s">
        <v>1866</v>
      </c>
      <c r="F895" s="340" t="s">
        <v>894</v>
      </c>
      <c r="G895" s="340" t="s">
        <v>1865</v>
      </c>
      <c r="I895" s="340" t="s">
        <v>1861</v>
      </c>
      <c r="K895" s="343">
        <v>0</v>
      </c>
      <c r="L895" s="343">
        <v>-5399.32</v>
      </c>
      <c r="M895" s="343">
        <v>-1323404.07</v>
      </c>
      <c r="O895" s="343">
        <v>0</v>
      </c>
    </row>
    <row r="896" spans="1:15" x14ac:dyDescent="0.3">
      <c r="A896" s="340" t="s">
        <v>891</v>
      </c>
      <c r="B896" s="350">
        <v>46078</v>
      </c>
      <c r="C896" s="350">
        <v>46104</v>
      </c>
      <c r="D896" s="351">
        <v>46082</v>
      </c>
      <c r="E896" s="340" t="s">
        <v>1867</v>
      </c>
      <c r="F896" s="340" t="s">
        <v>894</v>
      </c>
      <c r="G896" s="340" t="s">
        <v>1865</v>
      </c>
      <c r="I896" s="340" t="s">
        <v>1861</v>
      </c>
      <c r="K896" s="343">
        <v>0</v>
      </c>
      <c r="L896" s="343">
        <v>-1168.92</v>
      </c>
      <c r="M896" s="343">
        <v>-1324572.99</v>
      </c>
      <c r="O896" s="343">
        <v>0</v>
      </c>
    </row>
    <row r="897" spans="1:15" x14ac:dyDescent="0.3">
      <c r="A897" s="340" t="s">
        <v>891</v>
      </c>
      <c r="B897" s="350">
        <v>46078</v>
      </c>
      <c r="C897" s="350">
        <v>46104</v>
      </c>
      <c r="D897" s="351">
        <v>46082</v>
      </c>
      <c r="E897" s="340" t="s">
        <v>1868</v>
      </c>
      <c r="F897" s="340" t="s">
        <v>894</v>
      </c>
      <c r="G897" s="340" t="s">
        <v>1865</v>
      </c>
      <c r="I897" s="340" t="s">
        <v>1861</v>
      </c>
      <c r="K897" s="343">
        <v>0</v>
      </c>
      <c r="L897" s="343">
        <v>-877.54</v>
      </c>
      <c r="M897" s="343">
        <v>-1325450.53</v>
      </c>
      <c r="O897" s="343">
        <v>0</v>
      </c>
    </row>
    <row r="898" spans="1:15" x14ac:dyDescent="0.3">
      <c r="A898" s="340" t="s">
        <v>891</v>
      </c>
      <c r="B898" s="350">
        <v>46079</v>
      </c>
      <c r="C898" s="350">
        <v>46079</v>
      </c>
      <c r="D898" s="351">
        <v>46054</v>
      </c>
      <c r="E898" s="340" t="s">
        <v>1869</v>
      </c>
      <c r="F898" s="340" t="s">
        <v>1078</v>
      </c>
      <c r="G898" s="340" t="s">
        <v>1079</v>
      </c>
      <c r="I898" s="340" t="s">
        <v>1870</v>
      </c>
      <c r="K898" s="343">
        <v>4117.8900000000003</v>
      </c>
      <c r="L898" s="343">
        <v>0</v>
      </c>
      <c r="M898" s="343">
        <v>-1321332.6399999999</v>
      </c>
      <c r="O898" s="343">
        <v>0</v>
      </c>
    </row>
    <row r="899" spans="1:15" x14ac:dyDescent="0.3">
      <c r="A899" s="340" t="s">
        <v>891</v>
      </c>
      <c r="B899" s="350">
        <v>46079</v>
      </c>
      <c r="C899" s="350">
        <v>46079</v>
      </c>
      <c r="D899" s="351">
        <v>46054</v>
      </c>
      <c r="E899" s="340" t="s">
        <v>1871</v>
      </c>
      <c r="F899" s="340" t="s">
        <v>1078</v>
      </c>
      <c r="G899" s="340" t="s">
        <v>1079</v>
      </c>
      <c r="I899" s="340" t="s">
        <v>1872</v>
      </c>
      <c r="K899" s="343">
        <v>1376.41</v>
      </c>
      <c r="L899" s="343">
        <v>0</v>
      </c>
      <c r="M899" s="343">
        <v>-1319956.23</v>
      </c>
      <c r="O899" s="343">
        <v>0</v>
      </c>
    </row>
    <row r="900" spans="1:15" x14ac:dyDescent="0.3">
      <c r="A900" s="340" t="s">
        <v>891</v>
      </c>
      <c r="B900" s="350">
        <v>46079</v>
      </c>
      <c r="C900" s="350">
        <v>46079</v>
      </c>
      <c r="D900" s="351">
        <v>46054</v>
      </c>
      <c r="E900" s="340" t="s">
        <v>1873</v>
      </c>
      <c r="F900" s="340" t="s">
        <v>894</v>
      </c>
      <c r="G900" s="340" t="s">
        <v>1079</v>
      </c>
      <c r="I900" s="340" t="s">
        <v>1870</v>
      </c>
      <c r="K900" s="343">
        <v>4861.5200000000004</v>
      </c>
      <c r="L900" s="343">
        <v>0</v>
      </c>
      <c r="M900" s="343">
        <v>-1315094.71</v>
      </c>
      <c r="O900" s="343">
        <v>0</v>
      </c>
    </row>
    <row r="901" spans="1:15" x14ac:dyDescent="0.3">
      <c r="A901" s="340" t="s">
        <v>891</v>
      </c>
      <c r="B901" s="350">
        <v>46079</v>
      </c>
      <c r="C901" s="350">
        <v>46079</v>
      </c>
      <c r="D901" s="351">
        <v>46054</v>
      </c>
      <c r="E901" s="340" t="s">
        <v>1874</v>
      </c>
      <c r="F901" s="340" t="s">
        <v>1078</v>
      </c>
      <c r="G901" s="340" t="s">
        <v>1079</v>
      </c>
      <c r="I901" s="340" t="s">
        <v>1870</v>
      </c>
      <c r="K901" s="343">
        <v>4861.5200000000004</v>
      </c>
      <c r="L901" s="343">
        <v>0</v>
      </c>
      <c r="M901" s="343">
        <v>-1310233.19</v>
      </c>
      <c r="O901" s="343">
        <v>0</v>
      </c>
    </row>
    <row r="902" spans="1:15" x14ac:dyDescent="0.3">
      <c r="A902" s="340" t="s">
        <v>891</v>
      </c>
      <c r="B902" s="350">
        <v>46079</v>
      </c>
      <c r="C902" s="350">
        <v>46079</v>
      </c>
      <c r="D902" s="351">
        <v>46054</v>
      </c>
      <c r="E902" s="340" t="s">
        <v>1874</v>
      </c>
      <c r="F902" s="340" t="s">
        <v>1078</v>
      </c>
      <c r="G902" s="340" t="s">
        <v>1079</v>
      </c>
      <c r="I902" s="340" t="s">
        <v>1870</v>
      </c>
      <c r="K902" s="343">
        <v>0</v>
      </c>
      <c r="L902" s="343">
        <v>-4861.5200000000004</v>
      </c>
      <c r="M902" s="343">
        <v>-1315094.71</v>
      </c>
      <c r="O902" s="343">
        <v>0</v>
      </c>
    </row>
    <row r="903" spans="1:15" x14ac:dyDescent="0.3">
      <c r="A903" s="340" t="s">
        <v>891</v>
      </c>
      <c r="B903" s="350">
        <v>46079</v>
      </c>
      <c r="C903" s="350">
        <v>46079</v>
      </c>
      <c r="D903" s="351">
        <v>46054</v>
      </c>
      <c r="E903" s="340" t="s">
        <v>1875</v>
      </c>
      <c r="F903" s="340" t="s">
        <v>894</v>
      </c>
      <c r="G903" s="340" t="s">
        <v>1079</v>
      </c>
      <c r="I903" s="340" t="s">
        <v>1872</v>
      </c>
      <c r="K903" s="343">
        <v>1608.17</v>
      </c>
      <c r="L903" s="343">
        <v>0</v>
      </c>
      <c r="M903" s="343">
        <v>-1313486.54</v>
      </c>
      <c r="O903" s="343">
        <v>0</v>
      </c>
    </row>
    <row r="904" spans="1:15" x14ac:dyDescent="0.3">
      <c r="A904" s="340" t="s">
        <v>891</v>
      </c>
      <c r="B904" s="350">
        <v>46079</v>
      </c>
      <c r="C904" s="350">
        <v>46079</v>
      </c>
      <c r="D904" s="351">
        <v>46054</v>
      </c>
      <c r="E904" s="340" t="s">
        <v>1876</v>
      </c>
      <c r="F904" s="340" t="s">
        <v>1078</v>
      </c>
      <c r="G904" s="340" t="s">
        <v>1079</v>
      </c>
      <c r="I904" s="340" t="s">
        <v>1872</v>
      </c>
      <c r="K904" s="343">
        <v>1608.17</v>
      </c>
      <c r="L904" s="343">
        <v>0</v>
      </c>
      <c r="M904" s="343">
        <v>-1311878.3700000001</v>
      </c>
      <c r="O904" s="343">
        <v>0</v>
      </c>
    </row>
    <row r="905" spans="1:15" x14ac:dyDescent="0.3">
      <c r="A905" s="340" t="s">
        <v>891</v>
      </c>
      <c r="B905" s="350">
        <v>46079</v>
      </c>
      <c r="C905" s="350">
        <v>46079</v>
      </c>
      <c r="D905" s="351">
        <v>46054</v>
      </c>
      <c r="E905" s="340" t="s">
        <v>1876</v>
      </c>
      <c r="F905" s="340" t="s">
        <v>1078</v>
      </c>
      <c r="G905" s="340" t="s">
        <v>1079</v>
      </c>
      <c r="I905" s="340" t="s">
        <v>1872</v>
      </c>
      <c r="K905" s="343">
        <v>0</v>
      </c>
      <c r="L905" s="343">
        <v>-1608.17</v>
      </c>
      <c r="M905" s="343">
        <v>-1313486.54</v>
      </c>
      <c r="O905" s="343">
        <v>0</v>
      </c>
    </row>
    <row r="906" spans="1:15" x14ac:dyDescent="0.3">
      <c r="A906" s="340" t="s">
        <v>891</v>
      </c>
      <c r="B906" s="350">
        <v>46079</v>
      </c>
      <c r="C906" s="350">
        <v>46081</v>
      </c>
      <c r="D906" s="351">
        <v>46054</v>
      </c>
      <c r="E906" s="340" t="s">
        <v>1877</v>
      </c>
      <c r="F906" s="340" t="s">
        <v>894</v>
      </c>
      <c r="G906" s="340" t="s">
        <v>1281</v>
      </c>
      <c r="I906" s="340" t="s">
        <v>771</v>
      </c>
      <c r="K906" s="343">
        <v>0</v>
      </c>
      <c r="L906" s="343">
        <v>-3844.21</v>
      </c>
      <c r="M906" s="343">
        <v>-1317330.75</v>
      </c>
      <c r="O906" s="343">
        <v>0</v>
      </c>
    </row>
    <row r="907" spans="1:15" x14ac:dyDescent="0.3">
      <c r="A907" s="340" t="s">
        <v>891</v>
      </c>
      <c r="B907" s="350">
        <v>46079</v>
      </c>
      <c r="C907" s="350">
        <v>46088</v>
      </c>
      <c r="D907" s="351">
        <v>46082</v>
      </c>
      <c r="E907" s="340" t="s">
        <v>1878</v>
      </c>
      <c r="F907" s="340" t="s">
        <v>894</v>
      </c>
      <c r="G907" s="340" t="s">
        <v>1879</v>
      </c>
      <c r="I907" s="340" t="s">
        <v>753</v>
      </c>
      <c r="K907" s="343">
        <v>0</v>
      </c>
      <c r="L907" s="343">
        <v>-465.48</v>
      </c>
      <c r="M907" s="343">
        <v>-1317796.23</v>
      </c>
      <c r="O907" s="343">
        <v>0</v>
      </c>
    </row>
    <row r="908" spans="1:15" x14ac:dyDescent="0.3">
      <c r="A908" s="340" t="s">
        <v>891</v>
      </c>
      <c r="B908" s="350">
        <v>46079</v>
      </c>
      <c r="C908" s="350">
        <v>46101</v>
      </c>
      <c r="D908" s="351">
        <v>46082</v>
      </c>
      <c r="E908" s="340" t="s">
        <v>1880</v>
      </c>
      <c r="F908" s="340" t="s">
        <v>894</v>
      </c>
      <c r="G908" s="340" t="s">
        <v>1881</v>
      </c>
      <c r="I908" s="340" t="s">
        <v>756</v>
      </c>
      <c r="K908" s="343">
        <v>0</v>
      </c>
      <c r="L908" s="343">
        <v>-944.36</v>
      </c>
      <c r="M908" s="343">
        <v>-1318740.5900000001</v>
      </c>
      <c r="O908" s="343">
        <v>0</v>
      </c>
    </row>
    <row r="909" spans="1:15" x14ac:dyDescent="0.3">
      <c r="A909" s="340" t="s">
        <v>891</v>
      </c>
      <c r="B909" s="350">
        <v>46079</v>
      </c>
      <c r="C909" s="350">
        <v>46101</v>
      </c>
      <c r="D909" s="351">
        <v>46082</v>
      </c>
      <c r="E909" s="340" t="s">
        <v>1880</v>
      </c>
      <c r="F909" s="340" t="s">
        <v>894</v>
      </c>
      <c r="G909" s="340" t="s">
        <v>1882</v>
      </c>
      <c r="I909" s="340" t="s">
        <v>756</v>
      </c>
      <c r="K909" s="343">
        <v>0</v>
      </c>
      <c r="L909" s="343">
        <v>-475.87</v>
      </c>
      <c r="M909" s="343">
        <v>-1319216.46</v>
      </c>
      <c r="O909" s="343">
        <v>0</v>
      </c>
    </row>
    <row r="910" spans="1:15" x14ac:dyDescent="0.3">
      <c r="A910" s="340" t="s">
        <v>891</v>
      </c>
      <c r="B910" s="350">
        <v>46079</v>
      </c>
      <c r="C910" s="350">
        <v>46101</v>
      </c>
      <c r="D910" s="351">
        <v>46082</v>
      </c>
      <c r="E910" s="340" t="s">
        <v>1880</v>
      </c>
      <c r="F910" s="340" t="s">
        <v>894</v>
      </c>
      <c r="G910" s="340" t="s">
        <v>1883</v>
      </c>
      <c r="I910" s="340" t="s">
        <v>756</v>
      </c>
      <c r="K910" s="343">
        <v>0</v>
      </c>
      <c r="L910" s="343">
        <v>-417.16</v>
      </c>
      <c r="M910" s="343">
        <v>-1319633.6200000001</v>
      </c>
      <c r="O910" s="343">
        <v>0</v>
      </c>
    </row>
    <row r="911" spans="1:15" x14ac:dyDescent="0.3">
      <c r="A911" s="340" t="s">
        <v>891</v>
      </c>
      <c r="B911" s="350">
        <v>46079</v>
      </c>
      <c r="C911" s="350">
        <v>46101</v>
      </c>
      <c r="D911" s="351">
        <v>46082</v>
      </c>
      <c r="E911" s="340" t="s">
        <v>1880</v>
      </c>
      <c r="F911" s="340" t="s">
        <v>894</v>
      </c>
      <c r="G911" s="340" t="s">
        <v>1884</v>
      </c>
      <c r="I911" s="340" t="s">
        <v>756</v>
      </c>
      <c r="K911" s="343">
        <v>0</v>
      </c>
      <c r="L911" s="343">
        <v>-339.97</v>
      </c>
      <c r="M911" s="343">
        <v>-1319973.5900000001</v>
      </c>
      <c r="O911" s="343">
        <v>0</v>
      </c>
    </row>
    <row r="912" spans="1:15" x14ac:dyDescent="0.3">
      <c r="A912" s="340" t="s">
        <v>891</v>
      </c>
      <c r="B912" s="350">
        <v>46080</v>
      </c>
      <c r="C912" s="350">
        <v>46079</v>
      </c>
      <c r="D912" s="351">
        <v>46054</v>
      </c>
      <c r="E912" s="340" t="s">
        <v>1885</v>
      </c>
      <c r="F912" s="340" t="s">
        <v>1078</v>
      </c>
      <c r="G912" s="340" t="s">
        <v>1079</v>
      </c>
      <c r="I912" s="340" t="s">
        <v>1022</v>
      </c>
      <c r="K912" s="343">
        <v>3570.97</v>
      </c>
      <c r="L912" s="343">
        <v>0</v>
      </c>
      <c r="M912" s="343">
        <v>-1316402.6200000001</v>
      </c>
      <c r="O912" s="343">
        <v>0</v>
      </c>
    </row>
    <row r="913" spans="1:15" x14ac:dyDescent="0.3">
      <c r="A913" s="340" t="s">
        <v>891</v>
      </c>
      <c r="B913" s="350">
        <v>46080</v>
      </c>
      <c r="C913" s="350">
        <v>46079</v>
      </c>
      <c r="D913" s="351">
        <v>46054</v>
      </c>
      <c r="E913" s="340" t="s">
        <v>1885</v>
      </c>
      <c r="F913" s="340" t="s">
        <v>1078</v>
      </c>
      <c r="G913" s="340" t="s">
        <v>1079</v>
      </c>
      <c r="I913" s="340" t="s">
        <v>1022</v>
      </c>
      <c r="K913" s="343">
        <v>185.07</v>
      </c>
      <c r="L913" s="343">
        <v>0</v>
      </c>
      <c r="M913" s="343">
        <v>-1316217.55</v>
      </c>
      <c r="O913" s="343">
        <v>0</v>
      </c>
    </row>
    <row r="914" spans="1:15" x14ac:dyDescent="0.3">
      <c r="A914" s="340" t="s">
        <v>891</v>
      </c>
      <c r="B914" s="350">
        <v>46080</v>
      </c>
      <c r="C914" s="350">
        <v>46079</v>
      </c>
      <c r="D914" s="351">
        <v>46054</v>
      </c>
      <c r="E914" s="340" t="s">
        <v>1885</v>
      </c>
      <c r="F914" s="340" t="s">
        <v>1078</v>
      </c>
      <c r="G914" s="340" t="s">
        <v>1079</v>
      </c>
      <c r="I914" s="340" t="s">
        <v>1022</v>
      </c>
      <c r="K914" s="343">
        <v>11506.45</v>
      </c>
      <c r="L914" s="343">
        <v>0</v>
      </c>
      <c r="M914" s="343">
        <v>-1304711.1000000001</v>
      </c>
      <c r="O914" s="343">
        <v>0</v>
      </c>
    </row>
    <row r="915" spans="1:15" x14ac:dyDescent="0.3">
      <c r="A915" s="340" t="s">
        <v>891</v>
      </c>
      <c r="B915" s="350">
        <v>46080</v>
      </c>
      <c r="C915" s="350">
        <v>46079</v>
      </c>
      <c r="D915" s="351">
        <v>46054</v>
      </c>
      <c r="E915" s="340" t="s">
        <v>1885</v>
      </c>
      <c r="F915" s="340" t="s">
        <v>1078</v>
      </c>
      <c r="G915" s="340" t="s">
        <v>1079</v>
      </c>
      <c r="I915" s="340" t="s">
        <v>1022</v>
      </c>
      <c r="K915" s="343">
        <v>566.13</v>
      </c>
      <c r="L915" s="343">
        <v>0</v>
      </c>
      <c r="M915" s="343">
        <v>-1304144.97</v>
      </c>
      <c r="O915" s="343">
        <v>0</v>
      </c>
    </row>
    <row r="916" spans="1:15" x14ac:dyDescent="0.3">
      <c r="A916" s="340" t="s">
        <v>891</v>
      </c>
      <c r="B916" s="350">
        <v>46080</v>
      </c>
      <c r="C916" s="350">
        <v>46079</v>
      </c>
      <c r="D916" s="351">
        <v>46054</v>
      </c>
      <c r="E916" s="340" t="s">
        <v>1885</v>
      </c>
      <c r="F916" s="340" t="s">
        <v>1078</v>
      </c>
      <c r="G916" s="340" t="s">
        <v>1079</v>
      </c>
      <c r="I916" s="340" t="s">
        <v>1022</v>
      </c>
      <c r="K916" s="343">
        <v>318.73</v>
      </c>
      <c r="L916" s="343">
        <v>0</v>
      </c>
      <c r="M916" s="343">
        <v>-1303826.24</v>
      </c>
      <c r="O916" s="343">
        <v>0</v>
      </c>
    </row>
    <row r="917" spans="1:15" x14ac:dyDescent="0.3">
      <c r="A917" s="340" t="s">
        <v>891</v>
      </c>
      <c r="B917" s="350">
        <v>46080</v>
      </c>
      <c r="C917" s="350">
        <v>46080</v>
      </c>
      <c r="D917" s="351">
        <v>46054</v>
      </c>
      <c r="E917" s="340" t="s">
        <v>1886</v>
      </c>
      <c r="F917" s="340" t="s">
        <v>894</v>
      </c>
      <c r="G917" s="340" t="s">
        <v>1887</v>
      </c>
      <c r="I917" s="340" t="s">
        <v>745</v>
      </c>
      <c r="K917" s="343">
        <v>0</v>
      </c>
      <c r="L917" s="343">
        <v>-51</v>
      </c>
      <c r="M917" s="343">
        <v>-1303877.24</v>
      </c>
      <c r="O917" s="343">
        <v>0</v>
      </c>
    </row>
    <row r="918" spans="1:15" x14ac:dyDescent="0.3">
      <c r="A918" s="340" t="s">
        <v>891</v>
      </c>
      <c r="B918" s="350">
        <v>46080</v>
      </c>
      <c r="C918" s="350">
        <v>46080</v>
      </c>
      <c r="D918" s="351">
        <v>46054</v>
      </c>
      <c r="E918" s="340" t="s">
        <v>1886</v>
      </c>
      <c r="F918" s="340" t="s">
        <v>894</v>
      </c>
      <c r="G918" s="340" t="s">
        <v>1888</v>
      </c>
      <c r="I918" s="340" t="s">
        <v>745</v>
      </c>
      <c r="K918" s="343">
        <v>0</v>
      </c>
      <c r="L918" s="343">
        <v>-56.92</v>
      </c>
      <c r="M918" s="343">
        <v>-1303934.1599999999</v>
      </c>
      <c r="O918" s="343">
        <v>0</v>
      </c>
    </row>
    <row r="919" spans="1:15" x14ac:dyDescent="0.3">
      <c r="A919" s="340" t="s">
        <v>891</v>
      </c>
      <c r="B919" s="350">
        <v>46080</v>
      </c>
      <c r="C919" s="350">
        <v>46080</v>
      </c>
      <c r="D919" s="351">
        <v>46054</v>
      </c>
      <c r="E919" s="340" t="s">
        <v>1886</v>
      </c>
      <c r="F919" s="340" t="s">
        <v>894</v>
      </c>
      <c r="G919" s="340" t="s">
        <v>1541</v>
      </c>
      <c r="I919" s="340" t="s">
        <v>745</v>
      </c>
      <c r="K919" s="343">
        <v>0</v>
      </c>
      <c r="L919" s="343">
        <v>-115.68</v>
      </c>
      <c r="M919" s="343">
        <v>-1304049.8400000001</v>
      </c>
      <c r="O919" s="343">
        <v>0</v>
      </c>
    </row>
    <row r="920" spans="1:15" x14ac:dyDescent="0.3">
      <c r="A920" s="340" t="s">
        <v>891</v>
      </c>
      <c r="B920" s="350">
        <v>46080</v>
      </c>
      <c r="C920" s="350">
        <v>46080</v>
      </c>
      <c r="D920" s="351">
        <v>46054</v>
      </c>
      <c r="E920" s="340" t="s">
        <v>1886</v>
      </c>
      <c r="F920" s="340" t="s">
        <v>894</v>
      </c>
      <c r="G920" s="340" t="s">
        <v>1889</v>
      </c>
      <c r="I920" s="340" t="s">
        <v>745</v>
      </c>
      <c r="K920" s="343">
        <v>0</v>
      </c>
      <c r="L920" s="343">
        <v>-95.17</v>
      </c>
      <c r="M920" s="343">
        <v>-1304145.01</v>
      </c>
      <c r="O920" s="343">
        <v>0</v>
      </c>
    </row>
    <row r="921" spans="1:15" x14ac:dyDescent="0.3">
      <c r="A921" s="340" t="s">
        <v>891</v>
      </c>
      <c r="B921" s="350">
        <v>46080</v>
      </c>
      <c r="C921" s="350">
        <v>46080</v>
      </c>
      <c r="D921" s="351">
        <v>46054</v>
      </c>
      <c r="E921" s="340" t="s">
        <v>1886</v>
      </c>
      <c r="F921" s="340" t="s">
        <v>894</v>
      </c>
      <c r="G921" s="340" t="s">
        <v>1630</v>
      </c>
      <c r="I921" s="340" t="s">
        <v>745</v>
      </c>
      <c r="K921" s="343">
        <v>0</v>
      </c>
      <c r="L921" s="343">
        <v>-65.58</v>
      </c>
      <c r="M921" s="343">
        <v>-1304210.5900000001</v>
      </c>
      <c r="O921" s="343">
        <v>0</v>
      </c>
    </row>
    <row r="922" spans="1:15" x14ac:dyDescent="0.3">
      <c r="A922" s="340" t="s">
        <v>891</v>
      </c>
      <c r="B922" s="350">
        <v>46080</v>
      </c>
      <c r="C922" s="350">
        <v>46080</v>
      </c>
      <c r="D922" s="351">
        <v>46054</v>
      </c>
      <c r="E922" s="340" t="s">
        <v>1886</v>
      </c>
      <c r="F922" s="340" t="s">
        <v>894</v>
      </c>
      <c r="G922" s="340" t="s">
        <v>1890</v>
      </c>
      <c r="I922" s="340" t="s">
        <v>745</v>
      </c>
      <c r="K922" s="343">
        <v>0</v>
      </c>
      <c r="L922" s="343">
        <v>-205.11</v>
      </c>
      <c r="M922" s="343">
        <v>-1304415.7</v>
      </c>
      <c r="O922" s="343">
        <v>0</v>
      </c>
    </row>
    <row r="923" spans="1:15" x14ac:dyDescent="0.3">
      <c r="A923" s="340" t="s">
        <v>891</v>
      </c>
      <c r="B923" s="350">
        <v>46080</v>
      </c>
      <c r="C923" s="350">
        <v>46080</v>
      </c>
      <c r="D923" s="351">
        <v>46054</v>
      </c>
      <c r="E923" s="340" t="s">
        <v>1886</v>
      </c>
      <c r="F923" s="340" t="s">
        <v>894</v>
      </c>
      <c r="G923" s="340" t="s">
        <v>1594</v>
      </c>
      <c r="I923" s="340" t="s">
        <v>745</v>
      </c>
      <c r="K923" s="343">
        <v>0</v>
      </c>
      <c r="L923" s="343">
        <v>-49.24</v>
      </c>
      <c r="M923" s="343">
        <v>-1304464.94</v>
      </c>
      <c r="O923" s="343">
        <v>0</v>
      </c>
    </row>
    <row r="924" spans="1:15" x14ac:dyDescent="0.3">
      <c r="A924" s="340" t="s">
        <v>891</v>
      </c>
      <c r="B924" s="350">
        <v>46080</v>
      </c>
      <c r="C924" s="350">
        <v>46080</v>
      </c>
      <c r="D924" s="351">
        <v>46054</v>
      </c>
      <c r="E924" s="340" t="s">
        <v>1886</v>
      </c>
      <c r="F924" s="340" t="s">
        <v>894</v>
      </c>
      <c r="G924" s="340" t="s">
        <v>1891</v>
      </c>
      <c r="I924" s="340" t="s">
        <v>745</v>
      </c>
      <c r="K924" s="343">
        <v>0</v>
      </c>
      <c r="L924" s="343">
        <v>-483.87</v>
      </c>
      <c r="M924" s="343">
        <v>-1304948.81</v>
      </c>
      <c r="O924" s="343">
        <v>0</v>
      </c>
    </row>
    <row r="925" spans="1:15" x14ac:dyDescent="0.3">
      <c r="A925" s="340" t="s">
        <v>891</v>
      </c>
      <c r="B925" s="350">
        <v>46080</v>
      </c>
      <c r="C925" s="350">
        <v>46080</v>
      </c>
      <c r="D925" s="351">
        <v>46054</v>
      </c>
      <c r="E925" s="340" t="s">
        <v>1886</v>
      </c>
      <c r="F925" s="340" t="s">
        <v>894</v>
      </c>
      <c r="G925" s="340" t="s">
        <v>1892</v>
      </c>
      <c r="I925" s="340" t="s">
        <v>745</v>
      </c>
      <c r="K925" s="343">
        <v>0</v>
      </c>
      <c r="L925" s="343">
        <v>-141.22999999999999</v>
      </c>
      <c r="M925" s="343">
        <v>-1305090.04</v>
      </c>
      <c r="O925" s="343">
        <v>0</v>
      </c>
    </row>
    <row r="926" spans="1:15" x14ac:dyDescent="0.3">
      <c r="A926" s="340" t="s">
        <v>891</v>
      </c>
      <c r="B926" s="350">
        <v>46080</v>
      </c>
      <c r="C926" s="350">
        <v>46080</v>
      </c>
      <c r="D926" s="351">
        <v>46054</v>
      </c>
      <c r="E926" s="340" t="s">
        <v>1886</v>
      </c>
      <c r="F926" s="340" t="s">
        <v>894</v>
      </c>
      <c r="G926" s="340" t="s">
        <v>1194</v>
      </c>
      <c r="I926" s="340" t="s">
        <v>745</v>
      </c>
      <c r="K926" s="343">
        <v>0</v>
      </c>
      <c r="L926" s="343">
        <v>-80.69</v>
      </c>
      <c r="M926" s="343">
        <v>-1305170.73</v>
      </c>
      <c r="O926" s="343">
        <v>0</v>
      </c>
    </row>
    <row r="927" spans="1:15" x14ac:dyDescent="0.3">
      <c r="A927" s="340" t="s">
        <v>891</v>
      </c>
      <c r="B927" s="350">
        <v>46080</v>
      </c>
      <c r="C927" s="350">
        <v>46080</v>
      </c>
      <c r="D927" s="351">
        <v>46054</v>
      </c>
      <c r="E927" s="340" t="s">
        <v>1886</v>
      </c>
      <c r="F927" s="340" t="s">
        <v>894</v>
      </c>
      <c r="G927" s="340" t="s">
        <v>1893</v>
      </c>
      <c r="I927" s="340" t="s">
        <v>745</v>
      </c>
      <c r="K927" s="343">
        <v>0</v>
      </c>
      <c r="L927" s="343">
        <v>-177.42</v>
      </c>
      <c r="M927" s="343">
        <v>-1305348.1499999999</v>
      </c>
      <c r="O927" s="343">
        <v>0</v>
      </c>
    </row>
    <row r="928" spans="1:15" x14ac:dyDescent="0.3">
      <c r="A928" s="340" t="s">
        <v>891</v>
      </c>
      <c r="B928" s="350">
        <v>46080</v>
      </c>
      <c r="C928" s="350">
        <v>46080</v>
      </c>
      <c r="D928" s="351">
        <v>46054</v>
      </c>
      <c r="E928" s="340" t="s">
        <v>1886</v>
      </c>
      <c r="F928" s="340" t="s">
        <v>894</v>
      </c>
      <c r="G928" s="340" t="s">
        <v>1563</v>
      </c>
      <c r="I928" s="340" t="s">
        <v>745</v>
      </c>
      <c r="K928" s="343">
        <v>0</v>
      </c>
      <c r="L928" s="343">
        <v>-328.82</v>
      </c>
      <c r="M928" s="343">
        <v>-1305676.97</v>
      </c>
      <c r="O928" s="343">
        <v>0</v>
      </c>
    </row>
    <row r="929" spans="1:15" x14ac:dyDescent="0.3">
      <c r="A929" s="340" t="s">
        <v>891</v>
      </c>
      <c r="B929" s="350">
        <v>46080</v>
      </c>
      <c r="C929" s="350">
        <v>46080</v>
      </c>
      <c r="D929" s="351">
        <v>46054</v>
      </c>
      <c r="E929" s="340" t="s">
        <v>1886</v>
      </c>
      <c r="F929" s="340" t="s">
        <v>894</v>
      </c>
      <c r="G929" s="340" t="s">
        <v>1562</v>
      </c>
      <c r="I929" s="340" t="s">
        <v>745</v>
      </c>
      <c r="K929" s="343">
        <v>0</v>
      </c>
      <c r="L929" s="343">
        <v>-344.79</v>
      </c>
      <c r="M929" s="343">
        <v>-1306021.76</v>
      </c>
      <c r="O929" s="343">
        <v>0</v>
      </c>
    </row>
    <row r="930" spans="1:15" x14ac:dyDescent="0.3">
      <c r="A930" s="340" t="s">
        <v>891</v>
      </c>
      <c r="B930" s="350">
        <v>46080</v>
      </c>
      <c r="C930" s="350">
        <v>46080</v>
      </c>
      <c r="D930" s="351">
        <v>46054</v>
      </c>
      <c r="E930" s="340" t="s">
        <v>1886</v>
      </c>
      <c r="F930" s="340" t="s">
        <v>894</v>
      </c>
      <c r="G930" s="340" t="s">
        <v>1544</v>
      </c>
      <c r="I930" s="340" t="s">
        <v>745</v>
      </c>
      <c r="K930" s="343">
        <v>0</v>
      </c>
      <c r="L930" s="343">
        <v>-127.16</v>
      </c>
      <c r="M930" s="343">
        <v>-1306148.92</v>
      </c>
      <c r="O930" s="343">
        <v>0</v>
      </c>
    </row>
    <row r="931" spans="1:15" x14ac:dyDescent="0.3">
      <c r="A931" s="340" t="s">
        <v>891</v>
      </c>
      <c r="B931" s="350">
        <v>46080</v>
      </c>
      <c r="C931" s="350">
        <v>46080</v>
      </c>
      <c r="D931" s="351">
        <v>46054</v>
      </c>
      <c r="E931" s="340" t="s">
        <v>1886</v>
      </c>
      <c r="F931" s="340" t="s">
        <v>894</v>
      </c>
      <c r="G931" s="340" t="s">
        <v>1894</v>
      </c>
      <c r="I931" s="340" t="s">
        <v>745</v>
      </c>
      <c r="K931" s="343">
        <v>0</v>
      </c>
      <c r="L931" s="343">
        <v>-29.12</v>
      </c>
      <c r="M931" s="343">
        <v>-1306178.04</v>
      </c>
      <c r="O931" s="343">
        <v>0</v>
      </c>
    </row>
    <row r="932" spans="1:15" x14ac:dyDescent="0.3">
      <c r="A932" s="340" t="s">
        <v>891</v>
      </c>
      <c r="B932" s="350">
        <v>46080</v>
      </c>
      <c r="C932" s="350">
        <v>46080</v>
      </c>
      <c r="D932" s="351">
        <v>46054</v>
      </c>
      <c r="E932" s="340" t="s">
        <v>1886</v>
      </c>
      <c r="F932" s="340" t="s">
        <v>894</v>
      </c>
      <c r="G932" s="340" t="s">
        <v>1895</v>
      </c>
      <c r="I932" s="340" t="s">
        <v>745</v>
      </c>
      <c r="K932" s="343">
        <v>0</v>
      </c>
      <c r="L932" s="343">
        <v>-45.66</v>
      </c>
      <c r="M932" s="343">
        <v>-1306223.7</v>
      </c>
      <c r="O932" s="343">
        <v>0</v>
      </c>
    </row>
    <row r="933" spans="1:15" x14ac:dyDescent="0.3">
      <c r="A933" s="340" t="s">
        <v>891</v>
      </c>
      <c r="B933" s="350">
        <v>46080</v>
      </c>
      <c r="C933" s="350">
        <v>46080</v>
      </c>
      <c r="D933" s="351">
        <v>46054</v>
      </c>
      <c r="E933" s="340" t="s">
        <v>1886</v>
      </c>
      <c r="F933" s="340" t="s">
        <v>894</v>
      </c>
      <c r="G933" s="340" t="s">
        <v>1589</v>
      </c>
      <c r="I933" s="340" t="s">
        <v>745</v>
      </c>
      <c r="K933" s="343">
        <v>0</v>
      </c>
      <c r="L933" s="343">
        <v>-84.43</v>
      </c>
      <c r="M933" s="343">
        <v>-1306308.1299999999</v>
      </c>
      <c r="O933" s="343">
        <v>0</v>
      </c>
    </row>
    <row r="934" spans="1:15" x14ac:dyDescent="0.3">
      <c r="A934" s="340" t="s">
        <v>891</v>
      </c>
      <c r="B934" s="350">
        <v>46080</v>
      </c>
      <c r="C934" s="350">
        <v>46080</v>
      </c>
      <c r="D934" s="351">
        <v>46054</v>
      </c>
      <c r="E934" s="340" t="s">
        <v>1886</v>
      </c>
      <c r="F934" s="340" t="s">
        <v>894</v>
      </c>
      <c r="G934" s="340" t="s">
        <v>1555</v>
      </c>
      <c r="I934" s="340" t="s">
        <v>745</v>
      </c>
      <c r="K934" s="343">
        <v>0</v>
      </c>
      <c r="L934" s="343">
        <v>-43.5</v>
      </c>
      <c r="M934" s="343">
        <v>-1306351.6299999999</v>
      </c>
      <c r="O934" s="343">
        <v>0</v>
      </c>
    </row>
    <row r="935" spans="1:15" x14ac:dyDescent="0.3">
      <c r="A935" s="340" t="s">
        <v>891</v>
      </c>
      <c r="B935" s="350">
        <v>46080</v>
      </c>
      <c r="C935" s="350">
        <v>46080</v>
      </c>
      <c r="D935" s="351">
        <v>46054</v>
      </c>
      <c r="E935" s="340" t="s">
        <v>1886</v>
      </c>
      <c r="F935" s="340" t="s">
        <v>894</v>
      </c>
      <c r="G935" s="340" t="s">
        <v>1896</v>
      </c>
      <c r="I935" s="340" t="s">
        <v>745</v>
      </c>
      <c r="K935" s="343">
        <v>0</v>
      </c>
      <c r="L935" s="343">
        <v>-43.22</v>
      </c>
      <c r="M935" s="343">
        <v>-1306394.8500000001</v>
      </c>
      <c r="O935" s="343">
        <v>0</v>
      </c>
    </row>
    <row r="936" spans="1:15" x14ac:dyDescent="0.3">
      <c r="A936" s="340" t="s">
        <v>891</v>
      </c>
      <c r="B936" s="350">
        <v>46080</v>
      </c>
      <c r="C936" s="350">
        <v>46080</v>
      </c>
      <c r="D936" s="351">
        <v>46054</v>
      </c>
      <c r="E936" s="340" t="s">
        <v>1886</v>
      </c>
      <c r="F936" s="340" t="s">
        <v>894</v>
      </c>
      <c r="G936" s="340" t="s">
        <v>1897</v>
      </c>
      <c r="I936" s="340" t="s">
        <v>745</v>
      </c>
      <c r="K936" s="343">
        <v>0</v>
      </c>
      <c r="L936" s="343">
        <v>-45.05</v>
      </c>
      <c r="M936" s="343">
        <v>-1306439.8999999999</v>
      </c>
      <c r="O936" s="343">
        <v>0</v>
      </c>
    </row>
    <row r="937" spans="1:15" x14ac:dyDescent="0.3">
      <c r="A937" s="340" t="s">
        <v>891</v>
      </c>
      <c r="B937" s="350">
        <v>46080</v>
      </c>
      <c r="C937" s="350">
        <v>46081</v>
      </c>
      <c r="D937" s="351">
        <v>46054</v>
      </c>
      <c r="E937" s="340" t="s">
        <v>1898</v>
      </c>
      <c r="F937" s="340" t="s">
        <v>894</v>
      </c>
      <c r="G937" s="340" t="s">
        <v>1281</v>
      </c>
      <c r="I937" s="340" t="s">
        <v>771</v>
      </c>
      <c r="K937" s="343">
        <v>0</v>
      </c>
      <c r="L937" s="343">
        <v>-5590.1</v>
      </c>
      <c r="M937" s="343">
        <v>-1312030</v>
      </c>
      <c r="O937" s="343">
        <v>0</v>
      </c>
    </row>
    <row r="938" spans="1:15" x14ac:dyDescent="0.3">
      <c r="A938" s="340" t="s">
        <v>891</v>
      </c>
      <c r="B938" s="350">
        <v>46080</v>
      </c>
      <c r="C938" s="350">
        <v>46088</v>
      </c>
      <c r="D938" s="351">
        <v>46082</v>
      </c>
      <c r="E938" s="340" t="s">
        <v>1899</v>
      </c>
      <c r="F938" s="340" t="s">
        <v>894</v>
      </c>
      <c r="G938" s="340" t="s">
        <v>1144</v>
      </c>
      <c r="I938" s="340" t="s">
        <v>757</v>
      </c>
      <c r="K938" s="343">
        <v>0</v>
      </c>
      <c r="L938" s="343">
        <v>-56.08</v>
      </c>
      <c r="M938" s="343">
        <v>-1312086.08</v>
      </c>
      <c r="O938" s="343">
        <v>0</v>
      </c>
    </row>
    <row r="939" spans="1:15" x14ac:dyDescent="0.3">
      <c r="A939" s="340" t="s">
        <v>891</v>
      </c>
      <c r="B939" s="350">
        <v>46080</v>
      </c>
      <c r="C939" s="350">
        <v>46088</v>
      </c>
      <c r="D939" s="351">
        <v>46082</v>
      </c>
      <c r="E939" s="340" t="s">
        <v>1900</v>
      </c>
      <c r="F939" s="340" t="s">
        <v>894</v>
      </c>
      <c r="G939" s="340" t="s">
        <v>1901</v>
      </c>
      <c r="I939" s="340" t="s">
        <v>745</v>
      </c>
      <c r="K939" s="343">
        <v>0</v>
      </c>
      <c r="L939" s="343">
        <v>-291.3</v>
      </c>
      <c r="M939" s="343">
        <v>-1312377.3799999999</v>
      </c>
      <c r="O939" s="343">
        <v>0</v>
      </c>
    </row>
    <row r="940" spans="1:15" x14ac:dyDescent="0.3">
      <c r="A940" s="340" t="s">
        <v>891</v>
      </c>
      <c r="B940" s="350">
        <v>46080</v>
      </c>
      <c r="C940" s="350">
        <v>46088</v>
      </c>
      <c r="D940" s="351">
        <v>46082</v>
      </c>
      <c r="E940" s="340" t="s">
        <v>1900</v>
      </c>
      <c r="F940" s="340" t="s">
        <v>894</v>
      </c>
      <c r="G940" s="340" t="s">
        <v>1902</v>
      </c>
      <c r="I940" s="340" t="s">
        <v>745</v>
      </c>
      <c r="K940" s="343">
        <v>0</v>
      </c>
      <c r="L940" s="343">
        <v>-25.33</v>
      </c>
      <c r="M940" s="343">
        <v>-1312402.71</v>
      </c>
      <c r="O940" s="343">
        <v>0</v>
      </c>
    </row>
    <row r="941" spans="1:15" x14ac:dyDescent="0.3">
      <c r="A941" s="340" t="s">
        <v>891</v>
      </c>
      <c r="B941" s="350">
        <v>46080</v>
      </c>
      <c r="C941" s="350">
        <v>46088</v>
      </c>
      <c r="D941" s="351">
        <v>46082</v>
      </c>
      <c r="E941" s="340" t="s">
        <v>1900</v>
      </c>
      <c r="F941" s="340" t="s">
        <v>894</v>
      </c>
      <c r="G941" s="340" t="s">
        <v>1903</v>
      </c>
      <c r="I941" s="340" t="s">
        <v>745</v>
      </c>
      <c r="K941" s="343">
        <v>0</v>
      </c>
      <c r="L941" s="343">
        <v>-26.28</v>
      </c>
      <c r="M941" s="343">
        <v>-1312428.99</v>
      </c>
      <c r="O941" s="343">
        <v>0</v>
      </c>
    </row>
    <row r="942" spans="1:15" x14ac:dyDescent="0.3">
      <c r="A942" s="340" t="s">
        <v>891</v>
      </c>
      <c r="B942" s="350">
        <v>46080</v>
      </c>
      <c r="C942" s="350">
        <v>46088</v>
      </c>
      <c r="D942" s="351">
        <v>46082</v>
      </c>
      <c r="E942" s="340" t="s">
        <v>1900</v>
      </c>
      <c r="F942" s="340" t="s">
        <v>894</v>
      </c>
      <c r="G942" s="340" t="s">
        <v>1904</v>
      </c>
      <c r="I942" s="340" t="s">
        <v>745</v>
      </c>
      <c r="K942" s="343">
        <v>0</v>
      </c>
      <c r="L942" s="343">
        <v>-33.71</v>
      </c>
      <c r="M942" s="343">
        <v>-1312462.7</v>
      </c>
      <c r="O942" s="343">
        <v>0</v>
      </c>
    </row>
    <row r="943" spans="1:15" x14ac:dyDescent="0.3">
      <c r="A943" s="340" t="s">
        <v>891</v>
      </c>
      <c r="B943" s="350">
        <v>46080</v>
      </c>
      <c r="C943" s="350">
        <v>46088</v>
      </c>
      <c r="D943" s="351">
        <v>46082</v>
      </c>
      <c r="E943" s="340" t="s">
        <v>1900</v>
      </c>
      <c r="F943" s="340" t="s">
        <v>894</v>
      </c>
      <c r="G943" s="340" t="s">
        <v>1905</v>
      </c>
      <c r="I943" s="340" t="s">
        <v>745</v>
      </c>
      <c r="K943" s="343">
        <v>0</v>
      </c>
      <c r="L943" s="343">
        <v>-24.18</v>
      </c>
      <c r="M943" s="343">
        <v>-1312486.8799999999</v>
      </c>
      <c r="O943" s="343">
        <v>0</v>
      </c>
    </row>
    <row r="944" spans="1:15" x14ac:dyDescent="0.3">
      <c r="A944" s="340" t="s">
        <v>891</v>
      </c>
      <c r="B944" s="350">
        <v>46080</v>
      </c>
      <c r="C944" s="350">
        <v>46088</v>
      </c>
      <c r="D944" s="351">
        <v>46082</v>
      </c>
      <c r="E944" s="340" t="s">
        <v>1900</v>
      </c>
      <c r="F944" s="340" t="s">
        <v>894</v>
      </c>
      <c r="G944" s="340" t="s">
        <v>1906</v>
      </c>
      <c r="I944" s="340" t="s">
        <v>745</v>
      </c>
      <c r="K944" s="343">
        <v>0</v>
      </c>
      <c r="L944" s="343">
        <v>-20.94</v>
      </c>
      <c r="M944" s="343">
        <v>-1312507.82</v>
      </c>
      <c r="O944" s="343">
        <v>0</v>
      </c>
    </row>
    <row r="945" spans="1:15" x14ac:dyDescent="0.3">
      <c r="A945" s="340" t="s">
        <v>891</v>
      </c>
      <c r="B945" s="350">
        <v>46080</v>
      </c>
      <c r="C945" s="350">
        <v>46088</v>
      </c>
      <c r="D945" s="351">
        <v>46082</v>
      </c>
      <c r="E945" s="340" t="s">
        <v>1900</v>
      </c>
      <c r="F945" s="340" t="s">
        <v>894</v>
      </c>
      <c r="G945" s="340" t="s">
        <v>1907</v>
      </c>
      <c r="I945" s="340" t="s">
        <v>745</v>
      </c>
      <c r="K945" s="343">
        <v>0</v>
      </c>
      <c r="L945" s="343">
        <v>-24.55</v>
      </c>
      <c r="M945" s="343">
        <v>-1312532.3700000001</v>
      </c>
      <c r="O945" s="343">
        <v>0</v>
      </c>
    </row>
    <row r="946" spans="1:15" x14ac:dyDescent="0.3">
      <c r="A946" s="340" t="s">
        <v>891</v>
      </c>
      <c r="B946" s="350">
        <v>46080</v>
      </c>
      <c r="C946" s="350">
        <v>46088</v>
      </c>
      <c r="D946" s="351">
        <v>46082</v>
      </c>
      <c r="E946" s="340" t="s">
        <v>1900</v>
      </c>
      <c r="F946" s="340" t="s">
        <v>894</v>
      </c>
      <c r="G946" s="340" t="s">
        <v>1908</v>
      </c>
      <c r="I946" s="340" t="s">
        <v>745</v>
      </c>
      <c r="K946" s="343">
        <v>0</v>
      </c>
      <c r="L946" s="343">
        <v>-94.48</v>
      </c>
      <c r="M946" s="343">
        <v>-1312626.8500000001</v>
      </c>
      <c r="O946" s="343">
        <v>0</v>
      </c>
    </row>
    <row r="947" spans="1:15" x14ac:dyDescent="0.3">
      <c r="A947" s="340" t="s">
        <v>891</v>
      </c>
      <c r="B947" s="350">
        <v>46080</v>
      </c>
      <c r="C947" s="350">
        <v>46088</v>
      </c>
      <c r="D947" s="351">
        <v>46082</v>
      </c>
      <c r="E947" s="340" t="s">
        <v>1900</v>
      </c>
      <c r="F947" s="340" t="s">
        <v>894</v>
      </c>
      <c r="G947" s="340" t="s">
        <v>1909</v>
      </c>
      <c r="I947" s="340" t="s">
        <v>745</v>
      </c>
      <c r="K947" s="343">
        <v>0</v>
      </c>
      <c r="L947" s="343">
        <v>-164.27</v>
      </c>
      <c r="M947" s="343">
        <v>-1312791.1200000001</v>
      </c>
      <c r="O947" s="343">
        <v>0</v>
      </c>
    </row>
    <row r="948" spans="1:15" x14ac:dyDescent="0.3">
      <c r="A948" s="340" t="s">
        <v>891</v>
      </c>
      <c r="B948" s="350">
        <v>46080</v>
      </c>
      <c r="C948" s="350">
        <v>46088</v>
      </c>
      <c r="D948" s="351">
        <v>46082</v>
      </c>
      <c r="E948" s="340" t="s">
        <v>1900</v>
      </c>
      <c r="F948" s="340" t="s">
        <v>894</v>
      </c>
      <c r="G948" s="340" t="s">
        <v>1795</v>
      </c>
      <c r="I948" s="340" t="s">
        <v>745</v>
      </c>
      <c r="K948" s="343">
        <v>0</v>
      </c>
      <c r="L948" s="343">
        <v>-56.67</v>
      </c>
      <c r="M948" s="343">
        <v>-1312847.79</v>
      </c>
      <c r="O948" s="343">
        <v>0</v>
      </c>
    </row>
    <row r="949" spans="1:15" x14ac:dyDescent="0.3">
      <c r="A949" s="340" t="s">
        <v>891</v>
      </c>
      <c r="B949" s="350">
        <v>46080</v>
      </c>
      <c r="C949" s="350">
        <v>46088</v>
      </c>
      <c r="D949" s="351">
        <v>46082</v>
      </c>
      <c r="E949" s="340" t="s">
        <v>1900</v>
      </c>
      <c r="F949" s="340" t="s">
        <v>894</v>
      </c>
      <c r="G949" s="340" t="s">
        <v>1910</v>
      </c>
      <c r="I949" s="340" t="s">
        <v>745</v>
      </c>
      <c r="K949" s="343">
        <v>0</v>
      </c>
      <c r="L949" s="343">
        <v>-62.79</v>
      </c>
      <c r="M949" s="343">
        <v>-1312910.58</v>
      </c>
      <c r="O949" s="343">
        <v>0</v>
      </c>
    </row>
    <row r="950" spans="1:15" x14ac:dyDescent="0.3">
      <c r="A950" s="340" t="s">
        <v>891</v>
      </c>
      <c r="B950" s="350">
        <v>46080</v>
      </c>
      <c r="C950" s="350">
        <v>46088</v>
      </c>
      <c r="D950" s="351">
        <v>46082</v>
      </c>
      <c r="E950" s="340" t="s">
        <v>1900</v>
      </c>
      <c r="F950" s="340" t="s">
        <v>894</v>
      </c>
      <c r="G950" s="340" t="s">
        <v>1911</v>
      </c>
      <c r="I950" s="340" t="s">
        <v>745</v>
      </c>
      <c r="K950" s="343">
        <v>0</v>
      </c>
      <c r="L950" s="343">
        <v>-99.92</v>
      </c>
      <c r="M950" s="343">
        <v>-1313010.5</v>
      </c>
      <c r="O950" s="343">
        <v>0</v>
      </c>
    </row>
    <row r="951" spans="1:15" x14ac:dyDescent="0.3">
      <c r="A951" s="340" t="s">
        <v>891</v>
      </c>
      <c r="B951" s="350">
        <v>46080</v>
      </c>
      <c r="C951" s="350">
        <v>46088</v>
      </c>
      <c r="D951" s="351">
        <v>46082</v>
      </c>
      <c r="E951" s="340" t="s">
        <v>1900</v>
      </c>
      <c r="F951" s="340" t="s">
        <v>894</v>
      </c>
      <c r="G951" s="340" t="s">
        <v>1912</v>
      </c>
      <c r="I951" s="340" t="s">
        <v>745</v>
      </c>
      <c r="K951" s="343">
        <v>0</v>
      </c>
      <c r="L951" s="343">
        <v>-56.94</v>
      </c>
      <c r="M951" s="343">
        <v>-1313067.44</v>
      </c>
      <c r="O951" s="343">
        <v>0</v>
      </c>
    </row>
    <row r="952" spans="1:15" x14ac:dyDescent="0.3">
      <c r="A952" s="340" t="s">
        <v>891</v>
      </c>
      <c r="B952" s="350">
        <v>46080</v>
      </c>
      <c r="C952" s="350">
        <v>46088</v>
      </c>
      <c r="D952" s="351">
        <v>46082</v>
      </c>
      <c r="E952" s="340" t="s">
        <v>1900</v>
      </c>
      <c r="F952" s="340" t="s">
        <v>894</v>
      </c>
      <c r="G952" s="340" t="s">
        <v>1913</v>
      </c>
      <c r="I952" s="340" t="s">
        <v>745</v>
      </c>
      <c r="K952" s="343">
        <v>0</v>
      </c>
      <c r="L952" s="343">
        <v>-18.940000000000001</v>
      </c>
      <c r="M952" s="343">
        <v>-1313086.3799999999</v>
      </c>
      <c r="O952" s="343">
        <v>0</v>
      </c>
    </row>
    <row r="953" spans="1:15" x14ac:dyDescent="0.3">
      <c r="A953" s="340" t="s">
        <v>891</v>
      </c>
      <c r="B953" s="350">
        <v>46080</v>
      </c>
      <c r="C953" s="350">
        <v>46088</v>
      </c>
      <c r="D953" s="351">
        <v>46082</v>
      </c>
      <c r="E953" s="340" t="s">
        <v>1900</v>
      </c>
      <c r="F953" s="340" t="s">
        <v>894</v>
      </c>
      <c r="G953" s="340" t="s">
        <v>1914</v>
      </c>
      <c r="I953" s="340" t="s">
        <v>745</v>
      </c>
      <c r="K953" s="343">
        <v>0</v>
      </c>
      <c r="L953" s="343">
        <v>-17.100000000000001</v>
      </c>
      <c r="M953" s="343">
        <v>-1313103.48</v>
      </c>
      <c r="O953" s="343">
        <v>0</v>
      </c>
    </row>
    <row r="954" spans="1:15" x14ac:dyDescent="0.3">
      <c r="A954" s="340" t="s">
        <v>891</v>
      </c>
      <c r="B954" s="350">
        <v>46080</v>
      </c>
      <c r="C954" s="350">
        <v>46088</v>
      </c>
      <c r="D954" s="351">
        <v>46082</v>
      </c>
      <c r="E954" s="340" t="s">
        <v>1900</v>
      </c>
      <c r="F954" s="340" t="s">
        <v>894</v>
      </c>
      <c r="G954" s="340" t="s">
        <v>1915</v>
      </c>
      <c r="I954" s="340" t="s">
        <v>745</v>
      </c>
      <c r="K954" s="343">
        <v>0</v>
      </c>
      <c r="L954" s="343">
        <v>-74.260000000000005</v>
      </c>
      <c r="M954" s="343">
        <v>-1313177.74</v>
      </c>
      <c r="O954" s="343">
        <v>0</v>
      </c>
    </row>
    <row r="955" spans="1:15" x14ac:dyDescent="0.3">
      <c r="A955" s="340" t="s">
        <v>891</v>
      </c>
      <c r="B955" s="350">
        <v>46080</v>
      </c>
      <c r="C955" s="350">
        <v>46088</v>
      </c>
      <c r="D955" s="351">
        <v>46082</v>
      </c>
      <c r="E955" s="340" t="s">
        <v>1900</v>
      </c>
      <c r="F955" s="340" t="s">
        <v>894</v>
      </c>
      <c r="G955" s="340" t="s">
        <v>1916</v>
      </c>
      <c r="I955" s="340" t="s">
        <v>745</v>
      </c>
      <c r="K955" s="343">
        <v>0</v>
      </c>
      <c r="L955" s="343">
        <v>-18.66</v>
      </c>
      <c r="M955" s="343">
        <v>-1313196.3999999999</v>
      </c>
      <c r="O955" s="343">
        <v>0</v>
      </c>
    </row>
    <row r="956" spans="1:15" x14ac:dyDescent="0.3">
      <c r="A956" s="340" t="s">
        <v>891</v>
      </c>
      <c r="B956" s="350">
        <v>46080</v>
      </c>
      <c r="C956" s="350">
        <v>46088</v>
      </c>
      <c r="D956" s="351">
        <v>46082</v>
      </c>
      <c r="E956" s="340" t="s">
        <v>1900</v>
      </c>
      <c r="F956" s="340" t="s">
        <v>894</v>
      </c>
      <c r="G956" s="340" t="s">
        <v>1917</v>
      </c>
      <c r="I956" s="340" t="s">
        <v>745</v>
      </c>
      <c r="K956" s="343">
        <v>0</v>
      </c>
      <c r="L956" s="343">
        <v>-7.79</v>
      </c>
      <c r="M956" s="343">
        <v>-1313204.19</v>
      </c>
      <c r="O956" s="343">
        <v>0</v>
      </c>
    </row>
    <row r="957" spans="1:15" x14ac:dyDescent="0.3">
      <c r="A957" s="340" t="s">
        <v>891</v>
      </c>
      <c r="B957" s="350">
        <v>46080</v>
      </c>
      <c r="C957" s="350">
        <v>46088</v>
      </c>
      <c r="D957" s="351">
        <v>46082</v>
      </c>
      <c r="E957" s="340" t="s">
        <v>1900</v>
      </c>
      <c r="F957" s="340" t="s">
        <v>894</v>
      </c>
      <c r="G957" s="340" t="s">
        <v>1918</v>
      </c>
      <c r="I957" s="340" t="s">
        <v>745</v>
      </c>
      <c r="K957" s="343">
        <v>0</v>
      </c>
      <c r="L957" s="343">
        <v>-27.6</v>
      </c>
      <c r="M957" s="343">
        <v>-1313231.79</v>
      </c>
      <c r="O957" s="343">
        <v>0</v>
      </c>
    </row>
    <row r="958" spans="1:15" x14ac:dyDescent="0.3">
      <c r="A958" s="340" t="s">
        <v>891</v>
      </c>
      <c r="B958" s="350">
        <v>46080</v>
      </c>
      <c r="C958" s="350">
        <v>46088</v>
      </c>
      <c r="D958" s="351">
        <v>46082</v>
      </c>
      <c r="E958" s="340" t="s">
        <v>1900</v>
      </c>
      <c r="F958" s="340" t="s">
        <v>894</v>
      </c>
      <c r="G958" s="340" t="s">
        <v>1562</v>
      </c>
      <c r="I958" s="340" t="s">
        <v>745</v>
      </c>
      <c r="K958" s="343">
        <v>0</v>
      </c>
      <c r="L958" s="343">
        <v>-344.8</v>
      </c>
      <c r="M958" s="343">
        <v>-1313576.5900000001</v>
      </c>
      <c r="O958" s="343">
        <v>0</v>
      </c>
    </row>
    <row r="959" spans="1:15" x14ac:dyDescent="0.3">
      <c r="A959" s="340" t="s">
        <v>891</v>
      </c>
      <c r="B959" s="350">
        <v>46080</v>
      </c>
      <c r="C959" s="350">
        <v>46088</v>
      </c>
      <c r="D959" s="351">
        <v>46082</v>
      </c>
      <c r="E959" s="340" t="s">
        <v>1900</v>
      </c>
      <c r="F959" s="340" t="s">
        <v>894</v>
      </c>
      <c r="G959" s="340" t="s">
        <v>1919</v>
      </c>
      <c r="I959" s="340" t="s">
        <v>745</v>
      </c>
      <c r="K959" s="343">
        <v>0</v>
      </c>
      <c r="L959" s="343">
        <v>-19.03</v>
      </c>
      <c r="M959" s="343">
        <v>-1313595.6200000001</v>
      </c>
      <c r="O959" s="343">
        <v>0</v>
      </c>
    </row>
    <row r="960" spans="1:15" x14ac:dyDescent="0.3">
      <c r="A960" s="340" t="s">
        <v>891</v>
      </c>
      <c r="B960" s="350">
        <v>46080</v>
      </c>
      <c r="C960" s="350">
        <v>46088</v>
      </c>
      <c r="D960" s="351">
        <v>46082</v>
      </c>
      <c r="E960" s="340" t="s">
        <v>1900</v>
      </c>
      <c r="F960" s="340" t="s">
        <v>894</v>
      </c>
      <c r="G960" s="340" t="s">
        <v>1920</v>
      </c>
      <c r="I960" s="340" t="s">
        <v>745</v>
      </c>
      <c r="K960" s="343">
        <v>0</v>
      </c>
      <c r="L960" s="343">
        <v>-35.18</v>
      </c>
      <c r="M960" s="343">
        <v>-1313630.8</v>
      </c>
      <c r="O960" s="343">
        <v>0</v>
      </c>
    </row>
    <row r="961" spans="1:15" x14ac:dyDescent="0.3">
      <c r="A961" s="340" t="s">
        <v>891</v>
      </c>
      <c r="B961" s="350">
        <v>46080</v>
      </c>
      <c r="C961" s="350">
        <v>46088</v>
      </c>
      <c r="D961" s="351">
        <v>46082</v>
      </c>
      <c r="E961" s="340" t="s">
        <v>1900</v>
      </c>
      <c r="F961" s="340" t="s">
        <v>894</v>
      </c>
      <c r="G961" s="340" t="s">
        <v>1921</v>
      </c>
      <c r="I961" s="340" t="s">
        <v>745</v>
      </c>
      <c r="K961" s="343">
        <v>0</v>
      </c>
      <c r="L961" s="343">
        <v>-9.0399999999999991</v>
      </c>
      <c r="M961" s="343">
        <v>-1313639.8400000001</v>
      </c>
      <c r="O961" s="343">
        <v>0</v>
      </c>
    </row>
    <row r="962" spans="1:15" x14ac:dyDescent="0.3">
      <c r="A962" s="340" t="s">
        <v>891</v>
      </c>
      <c r="B962" s="350">
        <v>46080</v>
      </c>
      <c r="C962" s="350">
        <v>46088</v>
      </c>
      <c r="D962" s="351">
        <v>46082</v>
      </c>
      <c r="E962" s="340" t="s">
        <v>1900</v>
      </c>
      <c r="F962" s="340" t="s">
        <v>894</v>
      </c>
      <c r="G962" s="340" t="s">
        <v>1922</v>
      </c>
      <c r="I962" s="340" t="s">
        <v>745</v>
      </c>
      <c r="K962" s="343">
        <v>0</v>
      </c>
      <c r="L962" s="343">
        <v>-105.22</v>
      </c>
      <c r="M962" s="343">
        <v>-1313745.06</v>
      </c>
      <c r="O962" s="343">
        <v>0</v>
      </c>
    </row>
    <row r="963" spans="1:15" x14ac:dyDescent="0.3">
      <c r="A963" s="340" t="s">
        <v>891</v>
      </c>
      <c r="B963" s="350">
        <v>46080</v>
      </c>
      <c r="C963" s="350">
        <v>46088</v>
      </c>
      <c r="D963" s="351">
        <v>46082</v>
      </c>
      <c r="E963" s="340" t="s">
        <v>1900</v>
      </c>
      <c r="F963" s="340" t="s">
        <v>894</v>
      </c>
      <c r="G963" s="340" t="s">
        <v>1923</v>
      </c>
      <c r="I963" s="340" t="s">
        <v>745</v>
      </c>
      <c r="K963" s="343">
        <v>0</v>
      </c>
      <c r="L963" s="343">
        <v>-83.79</v>
      </c>
      <c r="M963" s="343">
        <v>-1313828.8500000001</v>
      </c>
      <c r="O963" s="343">
        <v>0</v>
      </c>
    </row>
    <row r="964" spans="1:15" x14ac:dyDescent="0.3">
      <c r="A964" s="340" t="s">
        <v>891</v>
      </c>
      <c r="B964" s="350">
        <v>46080</v>
      </c>
      <c r="C964" s="350">
        <v>46088</v>
      </c>
      <c r="D964" s="351">
        <v>46082</v>
      </c>
      <c r="E964" s="340" t="s">
        <v>1900</v>
      </c>
      <c r="F964" s="340" t="s">
        <v>894</v>
      </c>
      <c r="G964" s="340" t="s">
        <v>1909</v>
      </c>
      <c r="I964" s="340" t="s">
        <v>745</v>
      </c>
      <c r="K964" s="343">
        <v>0</v>
      </c>
      <c r="L964" s="343">
        <v>-230.01</v>
      </c>
      <c r="M964" s="343">
        <v>-1314058.8600000001</v>
      </c>
      <c r="O964" s="343">
        <v>0</v>
      </c>
    </row>
    <row r="965" spans="1:15" x14ac:dyDescent="0.3">
      <c r="A965" s="340" t="s">
        <v>891</v>
      </c>
      <c r="B965" s="350">
        <v>46080</v>
      </c>
      <c r="C965" s="350">
        <v>46088</v>
      </c>
      <c r="D965" s="351">
        <v>46082</v>
      </c>
      <c r="E965" s="340" t="s">
        <v>1900</v>
      </c>
      <c r="F965" s="340" t="s">
        <v>894</v>
      </c>
      <c r="G965" s="340" t="s">
        <v>1893</v>
      </c>
      <c r="I965" s="340" t="s">
        <v>745</v>
      </c>
      <c r="K965" s="343">
        <v>0</v>
      </c>
      <c r="L965" s="343">
        <v>-266.17</v>
      </c>
      <c r="M965" s="343">
        <v>-1314325.03</v>
      </c>
      <c r="O965" s="343">
        <v>0</v>
      </c>
    </row>
    <row r="966" spans="1:15" x14ac:dyDescent="0.3">
      <c r="A966" s="340" t="s">
        <v>891</v>
      </c>
      <c r="B966" s="350">
        <v>46080</v>
      </c>
      <c r="C966" s="350">
        <v>46088</v>
      </c>
      <c r="D966" s="351">
        <v>46082</v>
      </c>
      <c r="E966" s="340" t="s">
        <v>1900</v>
      </c>
      <c r="F966" s="340" t="s">
        <v>894</v>
      </c>
      <c r="G966" s="340" t="s">
        <v>1924</v>
      </c>
      <c r="I966" s="340" t="s">
        <v>745</v>
      </c>
      <c r="K966" s="343">
        <v>0</v>
      </c>
      <c r="L966" s="343">
        <v>-330.49</v>
      </c>
      <c r="M966" s="343">
        <v>-1314655.52</v>
      </c>
      <c r="O966" s="343">
        <v>0</v>
      </c>
    </row>
    <row r="967" spans="1:15" x14ac:dyDescent="0.3">
      <c r="A967" s="340" t="s">
        <v>891</v>
      </c>
      <c r="B967" s="350">
        <v>46080</v>
      </c>
      <c r="C967" s="350">
        <v>46088</v>
      </c>
      <c r="D967" s="351">
        <v>46082</v>
      </c>
      <c r="E967" s="340" t="s">
        <v>1900</v>
      </c>
      <c r="F967" s="340" t="s">
        <v>894</v>
      </c>
      <c r="G967" s="340" t="s">
        <v>1513</v>
      </c>
      <c r="I967" s="340" t="s">
        <v>745</v>
      </c>
      <c r="K967" s="343">
        <v>0</v>
      </c>
      <c r="L967" s="343">
        <v>-11.99</v>
      </c>
      <c r="M967" s="343">
        <v>-1314667.51</v>
      </c>
      <c r="O967" s="343">
        <v>0</v>
      </c>
    </row>
    <row r="968" spans="1:15" x14ac:dyDescent="0.3">
      <c r="A968" s="340" t="s">
        <v>891</v>
      </c>
      <c r="B968" s="350">
        <v>46080</v>
      </c>
      <c r="C968" s="350">
        <v>46088</v>
      </c>
      <c r="D968" s="351">
        <v>46082</v>
      </c>
      <c r="E968" s="340" t="s">
        <v>1900</v>
      </c>
      <c r="F968" s="340" t="s">
        <v>894</v>
      </c>
      <c r="G968" s="340" t="s">
        <v>1925</v>
      </c>
      <c r="I968" s="340" t="s">
        <v>745</v>
      </c>
      <c r="K968" s="343">
        <v>0</v>
      </c>
      <c r="L968" s="343">
        <v>-49.32</v>
      </c>
      <c r="M968" s="343">
        <v>-1314716.83</v>
      </c>
      <c r="O968" s="343">
        <v>0</v>
      </c>
    </row>
    <row r="969" spans="1:15" x14ac:dyDescent="0.3">
      <c r="A969" s="340" t="s">
        <v>891</v>
      </c>
      <c r="B969" s="350">
        <v>46080</v>
      </c>
      <c r="C969" s="350">
        <v>46088</v>
      </c>
      <c r="D969" s="351">
        <v>46082</v>
      </c>
      <c r="E969" s="340" t="s">
        <v>1900</v>
      </c>
      <c r="F969" s="340" t="s">
        <v>894</v>
      </c>
      <c r="G969" s="340" t="s">
        <v>1926</v>
      </c>
      <c r="I969" s="340" t="s">
        <v>745</v>
      </c>
      <c r="K969" s="343">
        <v>0</v>
      </c>
      <c r="L969" s="343">
        <v>-37.67</v>
      </c>
      <c r="M969" s="343">
        <v>-1314754.5</v>
      </c>
      <c r="O969" s="343">
        <v>0</v>
      </c>
    </row>
    <row r="970" spans="1:15" x14ac:dyDescent="0.3">
      <c r="A970" s="340" t="s">
        <v>891</v>
      </c>
      <c r="B970" s="350">
        <v>46080</v>
      </c>
      <c r="C970" s="350">
        <v>46088</v>
      </c>
      <c r="D970" s="351">
        <v>46082</v>
      </c>
      <c r="E970" s="340" t="s">
        <v>1927</v>
      </c>
      <c r="F970" s="340" t="s">
        <v>894</v>
      </c>
      <c r="G970" s="340" t="s">
        <v>1928</v>
      </c>
      <c r="I970" s="340" t="s">
        <v>1354</v>
      </c>
      <c r="K970" s="343">
        <v>0</v>
      </c>
      <c r="L970" s="343">
        <v>-457.63</v>
      </c>
      <c r="M970" s="343">
        <v>-1315212.1299999999</v>
      </c>
      <c r="O970" s="343">
        <v>0</v>
      </c>
    </row>
    <row r="971" spans="1:15" x14ac:dyDescent="0.3">
      <c r="A971" s="340" t="s">
        <v>891</v>
      </c>
      <c r="B971" s="350">
        <v>46081</v>
      </c>
      <c r="C971" s="350">
        <v>46097</v>
      </c>
      <c r="D971" s="351">
        <v>46082</v>
      </c>
      <c r="E971" s="340" t="s">
        <v>1929</v>
      </c>
      <c r="F971" s="340" t="s">
        <v>894</v>
      </c>
      <c r="G971" s="340" t="s">
        <v>1317</v>
      </c>
      <c r="I971" s="340" t="s">
        <v>740</v>
      </c>
      <c r="K971" s="343">
        <v>0</v>
      </c>
      <c r="L971" s="343">
        <v>-216.5</v>
      </c>
      <c r="M971" s="343">
        <v>-1315428.6299999999</v>
      </c>
      <c r="O971" s="343">
        <v>0</v>
      </c>
    </row>
    <row r="972" spans="1:15" x14ac:dyDescent="0.3">
      <c r="A972" s="340" t="s">
        <v>891</v>
      </c>
      <c r="B972" s="350">
        <v>46081</v>
      </c>
      <c r="C972" s="350">
        <v>46097</v>
      </c>
      <c r="D972" s="351">
        <v>46082</v>
      </c>
      <c r="E972" s="340" t="s">
        <v>1929</v>
      </c>
      <c r="F972" s="340" t="s">
        <v>894</v>
      </c>
      <c r="G972" s="340" t="s">
        <v>1930</v>
      </c>
      <c r="I972" s="340" t="s">
        <v>740</v>
      </c>
      <c r="K972" s="343">
        <v>0</v>
      </c>
      <c r="L972" s="343">
        <v>-890</v>
      </c>
      <c r="M972" s="343">
        <v>-1316318.6299999999</v>
      </c>
      <c r="O972" s="343">
        <v>0</v>
      </c>
    </row>
    <row r="973" spans="1:15" x14ac:dyDescent="0.3">
      <c r="A973" s="340" t="s">
        <v>891</v>
      </c>
      <c r="B973" s="350">
        <v>46081</v>
      </c>
      <c r="C973" s="350">
        <v>46097</v>
      </c>
      <c r="D973" s="351">
        <v>46082</v>
      </c>
      <c r="E973" s="340" t="s">
        <v>1929</v>
      </c>
      <c r="F973" s="340" t="s">
        <v>894</v>
      </c>
      <c r="G973" s="340" t="s">
        <v>1931</v>
      </c>
      <c r="I973" s="340" t="s">
        <v>740</v>
      </c>
      <c r="K973" s="343">
        <v>0</v>
      </c>
      <c r="L973" s="343">
        <v>-120</v>
      </c>
      <c r="M973" s="343">
        <v>-1316438.6299999999</v>
      </c>
      <c r="O973" s="343">
        <v>0</v>
      </c>
    </row>
    <row r="974" spans="1:15" x14ac:dyDescent="0.3">
      <c r="A974" s="340" t="s">
        <v>891</v>
      </c>
      <c r="B974" s="350">
        <v>46082</v>
      </c>
      <c r="C974" s="350">
        <v>46086</v>
      </c>
      <c r="D974" s="351">
        <v>46082</v>
      </c>
      <c r="E974" s="340" t="s">
        <v>1932</v>
      </c>
      <c r="F974" s="340" t="s">
        <v>894</v>
      </c>
      <c r="G974" s="340" t="s">
        <v>1933</v>
      </c>
      <c r="I974" s="340" t="s">
        <v>740</v>
      </c>
      <c r="K974" s="343">
        <v>0</v>
      </c>
      <c r="L974" s="343">
        <v>-520</v>
      </c>
      <c r="M974" s="343">
        <v>-1316958.6299999999</v>
      </c>
      <c r="O974" s="343">
        <v>0</v>
      </c>
    </row>
    <row r="975" spans="1:15" x14ac:dyDescent="0.3">
      <c r="A975" s="340" t="s">
        <v>891</v>
      </c>
      <c r="B975" s="350">
        <v>46082</v>
      </c>
      <c r="C975" s="350">
        <v>46086</v>
      </c>
      <c r="D975" s="351">
        <v>46082</v>
      </c>
      <c r="E975" s="340" t="s">
        <v>1932</v>
      </c>
      <c r="F975" s="340" t="s">
        <v>894</v>
      </c>
      <c r="G975" s="340" t="s">
        <v>1934</v>
      </c>
      <c r="I975" s="340" t="s">
        <v>740</v>
      </c>
      <c r="K975" s="343">
        <v>0</v>
      </c>
      <c r="L975" s="343">
        <v>-680</v>
      </c>
      <c r="M975" s="343">
        <v>-1317638.6299999999</v>
      </c>
      <c r="O975" s="343">
        <v>0</v>
      </c>
    </row>
    <row r="976" spans="1:15" x14ac:dyDescent="0.3">
      <c r="A976" s="340" t="s">
        <v>891</v>
      </c>
      <c r="B976" s="350">
        <v>46082</v>
      </c>
      <c r="C976" s="350">
        <v>46086</v>
      </c>
      <c r="D976" s="351">
        <v>46082</v>
      </c>
      <c r="E976" s="340" t="s">
        <v>1935</v>
      </c>
      <c r="F976" s="340" t="s">
        <v>894</v>
      </c>
      <c r="G976" s="340" t="s">
        <v>1936</v>
      </c>
      <c r="I976" s="340" t="s">
        <v>740</v>
      </c>
      <c r="K976" s="343">
        <v>0</v>
      </c>
      <c r="L976" s="343">
        <v>-485</v>
      </c>
      <c r="M976" s="343">
        <v>-1318123.6299999999</v>
      </c>
      <c r="O976" s="343">
        <v>0</v>
      </c>
    </row>
    <row r="977" spans="1:15" x14ac:dyDescent="0.3">
      <c r="A977" s="340" t="s">
        <v>891</v>
      </c>
      <c r="B977" s="350">
        <v>46082</v>
      </c>
      <c r="C977" s="350">
        <v>46087</v>
      </c>
      <c r="D977" s="351">
        <v>46082</v>
      </c>
      <c r="E977" s="340" t="s">
        <v>1937</v>
      </c>
      <c r="F977" s="340" t="s">
        <v>894</v>
      </c>
      <c r="G977" s="340" t="s">
        <v>1938</v>
      </c>
      <c r="I977" s="340" t="s">
        <v>740</v>
      </c>
      <c r="K977" s="343">
        <v>0</v>
      </c>
      <c r="L977" s="343">
        <v>-255</v>
      </c>
      <c r="M977" s="343">
        <v>-1318378.6299999999</v>
      </c>
      <c r="O977" s="343">
        <v>0</v>
      </c>
    </row>
    <row r="978" spans="1:15" x14ac:dyDescent="0.3">
      <c r="A978" s="340" t="s">
        <v>891</v>
      </c>
      <c r="B978" s="350">
        <v>46082</v>
      </c>
      <c r="C978" s="350">
        <v>46087</v>
      </c>
      <c r="D978" s="351">
        <v>46082</v>
      </c>
      <c r="E978" s="340" t="s">
        <v>1937</v>
      </c>
      <c r="F978" s="340" t="s">
        <v>894</v>
      </c>
      <c r="G978" s="340" t="s">
        <v>1939</v>
      </c>
      <c r="I978" s="340" t="s">
        <v>740</v>
      </c>
      <c r="K978" s="343">
        <v>0</v>
      </c>
      <c r="L978" s="343">
        <v>-135.31</v>
      </c>
      <c r="M978" s="343">
        <v>-1318513.94</v>
      </c>
      <c r="O978" s="343">
        <v>0</v>
      </c>
    </row>
    <row r="979" spans="1:15" x14ac:dyDescent="0.3">
      <c r="A979" s="340" t="s">
        <v>891</v>
      </c>
      <c r="B979" s="350">
        <v>46082</v>
      </c>
      <c r="C979" s="350">
        <v>46091</v>
      </c>
      <c r="D979" s="351">
        <v>46082</v>
      </c>
      <c r="E979" s="340" t="s">
        <v>1940</v>
      </c>
      <c r="F979" s="340" t="s">
        <v>894</v>
      </c>
      <c r="G979" s="340" t="s">
        <v>1941</v>
      </c>
      <c r="I979" s="340" t="s">
        <v>768</v>
      </c>
      <c r="K979" s="343">
        <v>0</v>
      </c>
      <c r="L979" s="343">
        <v>-6095.94</v>
      </c>
      <c r="M979" s="343">
        <v>-1324609.8799999999</v>
      </c>
      <c r="O979" s="343">
        <v>0</v>
      </c>
    </row>
    <row r="980" spans="1:15" x14ac:dyDescent="0.3">
      <c r="A980" s="340" t="s">
        <v>891</v>
      </c>
      <c r="B980" s="350">
        <v>46082</v>
      </c>
      <c r="C980" s="350">
        <v>46093</v>
      </c>
      <c r="D980" s="351">
        <v>46082</v>
      </c>
      <c r="E980" s="340" t="s">
        <v>1942</v>
      </c>
      <c r="F980" s="340" t="s">
        <v>894</v>
      </c>
      <c r="G980" s="340" t="s">
        <v>1007</v>
      </c>
      <c r="I980" s="340" t="s">
        <v>1005</v>
      </c>
      <c r="K980" s="343">
        <v>0</v>
      </c>
      <c r="L980" s="343">
        <v>-1710.08</v>
      </c>
      <c r="M980" s="343">
        <v>-1326319.96</v>
      </c>
      <c r="O980" s="343">
        <v>0</v>
      </c>
    </row>
    <row r="981" spans="1:15" x14ac:dyDescent="0.3">
      <c r="A981" s="340" t="s">
        <v>891</v>
      </c>
      <c r="B981" s="350">
        <v>46082</v>
      </c>
      <c r="C981" s="350">
        <v>46093</v>
      </c>
      <c r="D981" s="351">
        <v>46082</v>
      </c>
      <c r="E981" s="340" t="s">
        <v>1942</v>
      </c>
      <c r="F981" s="340" t="s">
        <v>894</v>
      </c>
      <c r="G981" s="340" t="s">
        <v>1004</v>
      </c>
      <c r="I981" s="340" t="s">
        <v>1005</v>
      </c>
      <c r="K981" s="343">
        <v>0</v>
      </c>
      <c r="L981" s="343">
        <v>-5197</v>
      </c>
      <c r="M981" s="343">
        <v>-1331516.96</v>
      </c>
      <c r="O981" s="343">
        <v>0</v>
      </c>
    </row>
    <row r="982" spans="1:15" x14ac:dyDescent="0.3">
      <c r="A982" s="340" t="s">
        <v>891</v>
      </c>
      <c r="B982" s="350">
        <v>46082</v>
      </c>
      <c r="C982" s="350">
        <v>46093</v>
      </c>
      <c r="D982" s="351">
        <v>46082</v>
      </c>
      <c r="E982" s="340" t="s">
        <v>1943</v>
      </c>
      <c r="F982" s="340" t="s">
        <v>894</v>
      </c>
      <c r="G982" s="340" t="s">
        <v>1015</v>
      </c>
      <c r="I982" s="340" t="s">
        <v>751</v>
      </c>
      <c r="K982" s="343">
        <v>0</v>
      </c>
      <c r="L982" s="343">
        <v>-64.95</v>
      </c>
      <c r="M982" s="343">
        <v>-1331581.9099999999</v>
      </c>
      <c r="O982" s="343">
        <v>0</v>
      </c>
    </row>
    <row r="983" spans="1:15" x14ac:dyDescent="0.3">
      <c r="A983" s="340" t="s">
        <v>891</v>
      </c>
      <c r="B983" s="350">
        <v>46082</v>
      </c>
      <c r="C983" s="350">
        <v>46101</v>
      </c>
      <c r="D983" s="351">
        <v>46082</v>
      </c>
      <c r="E983" s="340" t="s">
        <v>1944</v>
      </c>
      <c r="F983" s="340" t="s">
        <v>894</v>
      </c>
      <c r="G983" s="340" t="s">
        <v>1945</v>
      </c>
      <c r="I983" s="340" t="s">
        <v>773</v>
      </c>
      <c r="K983" s="343">
        <v>0</v>
      </c>
      <c r="L983" s="343">
        <v>-4330</v>
      </c>
      <c r="M983" s="343">
        <v>-1335911.9099999999</v>
      </c>
      <c r="O983" s="343">
        <v>0</v>
      </c>
    </row>
    <row r="984" spans="1:15" x14ac:dyDescent="0.3">
      <c r="A984" s="340" t="s">
        <v>891</v>
      </c>
      <c r="B984" s="350">
        <v>46082</v>
      </c>
      <c r="C984" s="350">
        <v>46141</v>
      </c>
      <c r="D984" s="351">
        <v>46113</v>
      </c>
      <c r="E984" s="340" t="s">
        <v>1946</v>
      </c>
      <c r="F984" s="340" t="s">
        <v>894</v>
      </c>
      <c r="G984" s="340" t="s">
        <v>1477</v>
      </c>
      <c r="I984" s="340" t="s">
        <v>772</v>
      </c>
      <c r="K984" s="343">
        <v>0</v>
      </c>
      <c r="L984" s="343">
        <v>-10000</v>
      </c>
      <c r="M984" s="343">
        <v>-1345911.91</v>
      </c>
      <c r="O984" s="343">
        <v>0</v>
      </c>
    </row>
    <row r="985" spans="1:15" x14ac:dyDescent="0.3">
      <c r="A985" s="340" t="s">
        <v>891</v>
      </c>
      <c r="B985" s="350">
        <v>46083</v>
      </c>
      <c r="C985" s="350">
        <v>46083</v>
      </c>
      <c r="D985" s="351">
        <v>46054</v>
      </c>
      <c r="E985" s="340" t="s">
        <v>1947</v>
      </c>
      <c r="F985" s="340" t="s">
        <v>1078</v>
      </c>
      <c r="G985" s="340" t="s">
        <v>1039</v>
      </c>
      <c r="I985" s="340" t="s">
        <v>746</v>
      </c>
      <c r="K985" s="343">
        <v>46649.2</v>
      </c>
      <c r="L985" s="343">
        <v>0</v>
      </c>
      <c r="M985" s="343">
        <v>-1299262.71</v>
      </c>
      <c r="O985" s="343">
        <v>0</v>
      </c>
    </row>
    <row r="986" spans="1:15" x14ac:dyDescent="0.3">
      <c r="A986" s="340" t="s">
        <v>891</v>
      </c>
      <c r="B986" s="350">
        <v>46083</v>
      </c>
      <c r="C986" s="350">
        <v>46083</v>
      </c>
      <c r="D986" s="351">
        <v>46054</v>
      </c>
      <c r="E986" s="340" t="s">
        <v>1947</v>
      </c>
      <c r="F986" s="340" t="s">
        <v>1078</v>
      </c>
      <c r="G986" s="340" t="s">
        <v>1039</v>
      </c>
      <c r="I986" s="340" t="s">
        <v>746</v>
      </c>
      <c r="K986" s="343">
        <v>27636.86</v>
      </c>
      <c r="L986" s="343">
        <v>0</v>
      </c>
      <c r="M986" s="343">
        <v>-1271625.8500000001</v>
      </c>
      <c r="O986" s="343">
        <v>0</v>
      </c>
    </row>
    <row r="987" spans="1:15" x14ac:dyDescent="0.3">
      <c r="A987" s="340" t="s">
        <v>891</v>
      </c>
      <c r="B987" s="350">
        <v>46083</v>
      </c>
      <c r="C987" s="350">
        <v>46083</v>
      </c>
      <c r="D987" s="351">
        <v>46054</v>
      </c>
      <c r="E987" s="340" t="s">
        <v>1947</v>
      </c>
      <c r="F987" s="340" t="s">
        <v>1078</v>
      </c>
      <c r="G987" s="340" t="s">
        <v>1039</v>
      </c>
      <c r="I987" s="340" t="s">
        <v>746</v>
      </c>
      <c r="K987" s="343">
        <v>32225.13</v>
      </c>
      <c r="L987" s="343">
        <v>0</v>
      </c>
      <c r="M987" s="343">
        <v>-1239400.72</v>
      </c>
      <c r="O987" s="343">
        <v>0</v>
      </c>
    </row>
    <row r="988" spans="1:15" x14ac:dyDescent="0.3">
      <c r="A988" s="340" t="s">
        <v>891</v>
      </c>
      <c r="B988" s="350">
        <v>46083</v>
      </c>
      <c r="C988" s="350">
        <v>46086</v>
      </c>
      <c r="D988" s="351">
        <v>46082</v>
      </c>
      <c r="E988" s="340" t="s">
        <v>1948</v>
      </c>
      <c r="F988" s="340" t="s">
        <v>894</v>
      </c>
      <c r="G988" s="340" t="s">
        <v>1949</v>
      </c>
      <c r="I988" s="340" t="s">
        <v>740</v>
      </c>
      <c r="K988" s="343">
        <v>0</v>
      </c>
      <c r="L988" s="343">
        <v>-670</v>
      </c>
      <c r="M988" s="343">
        <v>-1240070.72</v>
      </c>
      <c r="O988" s="343">
        <v>0</v>
      </c>
    </row>
    <row r="989" spans="1:15" x14ac:dyDescent="0.3">
      <c r="A989" s="340" t="s">
        <v>891</v>
      </c>
      <c r="B989" s="350">
        <v>46083</v>
      </c>
      <c r="C989" s="350">
        <v>46086</v>
      </c>
      <c r="D989" s="351">
        <v>46082</v>
      </c>
      <c r="E989" s="340" t="s">
        <v>1950</v>
      </c>
      <c r="F989" s="340" t="s">
        <v>894</v>
      </c>
      <c r="G989" s="340" t="s">
        <v>1951</v>
      </c>
      <c r="I989" s="340" t="s">
        <v>740</v>
      </c>
      <c r="K989" s="343">
        <v>0</v>
      </c>
      <c r="L989" s="343">
        <v>-530</v>
      </c>
      <c r="M989" s="343">
        <v>-1240600.72</v>
      </c>
      <c r="O989" s="343">
        <v>0</v>
      </c>
    </row>
    <row r="990" spans="1:15" x14ac:dyDescent="0.3">
      <c r="A990" s="340" t="s">
        <v>891</v>
      </c>
      <c r="B990" s="350">
        <v>46083</v>
      </c>
      <c r="C990" s="350">
        <v>46086</v>
      </c>
      <c r="D990" s="351">
        <v>46082</v>
      </c>
      <c r="E990" s="340" t="s">
        <v>1952</v>
      </c>
      <c r="F990" s="340" t="s">
        <v>894</v>
      </c>
      <c r="G990" s="340" t="s">
        <v>1953</v>
      </c>
      <c r="I990" s="340" t="s">
        <v>740</v>
      </c>
      <c r="K990" s="343">
        <v>0</v>
      </c>
      <c r="L990" s="343">
        <v>-480</v>
      </c>
      <c r="M990" s="343">
        <v>-1241080.72</v>
      </c>
      <c r="O990" s="343">
        <v>0</v>
      </c>
    </row>
    <row r="991" spans="1:15" x14ac:dyDescent="0.3">
      <c r="A991" s="340" t="s">
        <v>891</v>
      </c>
      <c r="B991" s="350">
        <v>46083</v>
      </c>
      <c r="C991" s="350">
        <v>46086</v>
      </c>
      <c r="D991" s="351">
        <v>46082</v>
      </c>
      <c r="E991" s="340" t="s">
        <v>1954</v>
      </c>
      <c r="F991" s="340" t="s">
        <v>894</v>
      </c>
      <c r="G991" s="340" t="s">
        <v>1955</v>
      </c>
      <c r="I991" s="340" t="s">
        <v>740</v>
      </c>
      <c r="K991" s="343">
        <v>0</v>
      </c>
      <c r="L991" s="343">
        <v>-850</v>
      </c>
      <c r="M991" s="343">
        <v>-1241930.72</v>
      </c>
      <c r="O991" s="343">
        <v>0</v>
      </c>
    </row>
    <row r="992" spans="1:15" x14ac:dyDescent="0.3">
      <c r="A992" s="340" t="s">
        <v>891</v>
      </c>
      <c r="B992" s="350">
        <v>46083</v>
      </c>
      <c r="C992" s="350">
        <v>46086</v>
      </c>
      <c r="D992" s="351">
        <v>46082</v>
      </c>
      <c r="E992" s="340" t="s">
        <v>1956</v>
      </c>
      <c r="F992" s="340" t="s">
        <v>894</v>
      </c>
      <c r="G992" s="340" t="s">
        <v>1957</v>
      </c>
      <c r="I992" s="340" t="s">
        <v>740</v>
      </c>
      <c r="K992" s="343">
        <v>0</v>
      </c>
      <c r="L992" s="343">
        <v>-765</v>
      </c>
      <c r="M992" s="343">
        <v>-1242695.72</v>
      </c>
      <c r="O992" s="343">
        <v>0</v>
      </c>
    </row>
    <row r="993" spans="1:15" x14ac:dyDescent="0.3">
      <c r="A993" s="340" t="s">
        <v>891</v>
      </c>
      <c r="B993" s="350">
        <v>46083</v>
      </c>
      <c r="C993" s="350">
        <v>46086</v>
      </c>
      <c r="D993" s="351">
        <v>46082</v>
      </c>
      <c r="E993" s="340" t="s">
        <v>1958</v>
      </c>
      <c r="F993" s="340" t="s">
        <v>894</v>
      </c>
      <c r="G993" s="340" t="s">
        <v>1959</v>
      </c>
      <c r="I993" s="340" t="s">
        <v>740</v>
      </c>
      <c r="K993" s="343">
        <v>0</v>
      </c>
      <c r="L993" s="343">
        <v>-243.56</v>
      </c>
      <c r="M993" s="343">
        <v>-1242939.28</v>
      </c>
      <c r="O993" s="343">
        <v>0</v>
      </c>
    </row>
    <row r="994" spans="1:15" x14ac:dyDescent="0.3">
      <c r="A994" s="340" t="s">
        <v>891</v>
      </c>
      <c r="B994" s="350">
        <v>46083</v>
      </c>
      <c r="C994" s="350">
        <v>46086</v>
      </c>
      <c r="D994" s="351">
        <v>46082</v>
      </c>
      <c r="E994" s="340" t="s">
        <v>1960</v>
      </c>
      <c r="F994" s="340" t="s">
        <v>894</v>
      </c>
      <c r="G994" s="340" t="s">
        <v>1961</v>
      </c>
      <c r="I994" s="340" t="s">
        <v>740</v>
      </c>
      <c r="K994" s="343">
        <v>0</v>
      </c>
      <c r="L994" s="343">
        <v>-150</v>
      </c>
      <c r="M994" s="343">
        <v>-1243089.28</v>
      </c>
      <c r="O994" s="343">
        <v>0</v>
      </c>
    </row>
    <row r="995" spans="1:15" x14ac:dyDescent="0.3">
      <c r="A995" s="340" t="s">
        <v>891</v>
      </c>
      <c r="B995" s="350">
        <v>46083</v>
      </c>
      <c r="C995" s="350">
        <v>46086</v>
      </c>
      <c r="D995" s="351">
        <v>46082</v>
      </c>
      <c r="E995" s="340" t="s">
        <v>1962</v>
      </c>
      <c r="F995" s="340" t="s">
        <v>894</v>
      </c>
      <c r="G995" s="340" t="s">
        <v>1963</v>
      </c>
      <c r="I995" s="340" t="s">
        <v>740</v>
      </c>
      <c r="K995" s="343">
        <v>0</v>
      </c>
      <c r="L995" s="343">
        <v>-189.44</v>
      </c>
      <c r="M995" s="343">
        <v>-1243278.72</v>
      </c>
      <c r="O995" s="343">
        <v>0</v>
      </c>
    </row>
    <row r="996" spans="1:15" x14ac:dyDescent="0.3">
      <c r="A996" s="340" t="s">
        <v>891</v>
      </c>
      <c r="B996" s="350">
        <v>46083</v>
      </c>
      <c r="C996" s="350">
        <v>46086</v>
      </c>
      <c r="D996" s="351">
        <v>46082</v>
      </c>
      <c r="E996" s="340" t="s">
        <v>1964</v>
      </c>
      <c r="F996" s="340" t="s">
        <v>894</v>
      </c>
      <c r="G996" s="340" t="s">
        <v>1965</v>
      </c>
      <c r="I996" s="340" t="s">
        <v>740</v>
      </c>
      <c r="K996" s="343">
        <v>0</v>
      </c>
      <c r="L996" s="343">
        <v>-243.56</v>
      </c>
      <c r="M996" s="343">
        <v>-1243522.28</v>
      </c>
      <c r="O996" s="343">
        <v>0</v>
      </c>
    </row>
    <row r="997" spans="1:15" x14ac:dyDescent="0.3">
      <c r="A997" s="340" t="s">
        <v>891</v>
      </c>
      <c r="B997" s="350">
        <v>46083</v>
      </c>
      <c r="C997" s="350">
        <v>46086</v>
      </c>
      <c r="D997" s="351">
        <v>46082</v>
      </c>
      <c r="E997" s="340" t="s">
        <v>1966</v>
      </c>
      <c r="F997" s="340" t="s">
        <v>894</v>
      </c>
      <c r="G997" s="340" t="s">
        <v>1967</v>
      </c>
      <c r="I997" s="340" t="s">
        <v>740</v>
      </c>
      <c r="K997" s="343">
        <v>0</v>
      </c>
      <c r="L997" s="343">
        <v>-260</v>
      </c>
      <c r="M997" s="343">
        <v>-1243782.28</v>
      </c>
      <c r="O997" s="343">
        <v>0</v>
      </c>
    </row>
    <row r="998" spans="1:15" x14ac:dyDescent="0.3">
      <c r="A998" s="340" t="s">
        <v>891</v>
      </c>
      <c r="B998" s="350">
        <v>46083</v>
      </c>
      <c r="C998" s="350">
        <v>46086</v>
      </c>
      <c r="D998" s="351">
        <v>46082</v>
      </c>
      <c r="E998" s="340" t="s">
        <v>1968</v>
      </c>
      <c r="F998" s="340" t="s">
        <v>894</v>
      </c>
      <c r="G998" s="340" t="s">
        <v>1969</v>
      </c>
      <c r="I998" s="340" t="s">
        <v>740</v>
      </c>
      <c r="K998" s="343">
        <v>0</v>
      </c>
      <c r="L998" s="343">
        <v>-165</v>
      </c>
      <c r="M998" s="343">
        <v>-1243947.28</v>
      </c>
      <c r="O998" s="343">
        <v>0</v>
      </c>
    </row>
    <row r="999" spans="1:15" x14ac:dyDescent="0.3">
      <c r="A999" s="340" t="s">
        <v>891</v>
      </c>
      <c r="B999" s="350">
        <v>46083</v>
      </c>
      <c r="C999" s="350">
        <v>46086</v>
      </c>
      <c r="D999" s="351">
        <v>46082</v>
      </c>
      <c r="E999" s="340" t="s">
        <v>1970</v>
      </c>
      <c r="F999" s="340" t="s">
        <v>894</v>
      </c>
      <c r="G999" s="340" t="s">
        <v>1971</v>
      </c>
      <c r="I999" s="340" t="s">
        <v>740</v>
      </c>
      <c r="K999" s="343">
        <v>0</v>
      </c>
      <c r="L999" s="343">
        <v>-243.56</v>
      </c>
      <c r="M999" s="343">
        <v>-1244190.8400000001</v>
      </c>
      <c r="O999" s="343">
        <v>0</v>
      </c>
    </row>
    <row r="1000" spans="1:15" x14ac:dyDescent="0.3">
      <c r="A1000" s="340" t="s">
        <v>891</v>
      </c>
      <c r="B1000" s="350">
        <v>46083</v>
      </c>
      <c r="C1000" s="350">
        <v>46086</v>
      </c>
      <c r="D1000" s="351">
        <v>46082</v>
      </c>
      <c r="E1000" s="340" t="s">
        <v>1972</v>
      </c>
      <c r="F1000" s="340" t="s">
        <v>894</v>
      </c>
      <c r="G1000" s="340" t="s">
        <v>1973</v>
      </c>
      <c r="I1000" s="340" t="s">
        <v>740</v>
      </c>
      <c r="K1000" s="343">
        <v>0</v>
      </c>
      <c r="L1000" s="343">
        <v>-260</v>
      </c>
      <c r="M1000" s="343">
        <v>-1244450.8400000001</v>
      </c>
      <c r="O1000" s="343">
        <v>0</v>
      </c>
    </row>
    <row r="1001" spans="1:15" x14ac:dyDescent="0.3">
      <c r="A1001" s="340" t="s">
        <v>891</v>
      </c>
      <c r="B1001" s="350">
        <v>46083</v>
      </c>
      <c r="C1001" s="350">
        <v>46086</v>
      </c>
      <c r="D1001" s="351">
        <v>46082</v>
      </c>
      <c r="E1001" s="340" t="s">
        <v>1974</v>
      </c>
      <c r="F1001" s="340" t="s">
        <v>894</v>
      </c>
      <c r="G1001" s="340" t="s">
        <v>1975</v>
      </c>
      <c r="I1001" s="340" t="s">
        <v>740</v>
      </c>
      <c r="K1001" s="343">
        <v>0</v>
      </c>
      <c r="L1001" s="343">
        <v>-185</v>
      </c>
      <c r="M1001" s="343">
        <v>-1244635.8400000001</v>
      </c>
      <c r="O1001" s="343">
        <v>0</v>
      </c>
    </row>
    <row r="1002" spans="1:15" x14ac:dyDescent="0.3">
      <c r="A1002" s="340" t="s">
        <v>891</v>
      </c>
      <c r="B1002" s="350">
        <v>46083</v>
      </c>
      <c r="C1002" s="350">
        <v>46086</v>
      </c>
      <c r="D1002" s="351">
        <v>46082</v>
      </c>
      <c r="E1002" s="340" t="s">
        <v>1976</v>
      </c>
      <c r="F1002" s="340" t="s">
        <v>894</v>
      </c>
      <c r="G1002" s="340" t="s">
        <v>1977</v>
      </c>
      <c r="I1002" s="340" t="s">
        <v>740</v>
      </c>
      <c r="K1002" s="343">
        <v>0</v>
      </c>
      <c r="L1002" s="343">
        <v>-520</v>
      </c>
      <c r="M1002" s="343">
        <v>-1245155.8400000001</v>
      </c>
      <c r="O1002" s="343">
        <v>0</v>
      </c>
    </row>
    <row r="1003" spans="1:15" x14ac:dyDescent="0.3">
      <c r="A1003" s="340" t="s">
        <v>891</v>
      </c>
      <c r="B1003" s="350">
        <v>46083</v>
      </c>
      <c r="C1003" s="350">
        <v>46086</v>
      </c>
      <c r="D1003" s="351">
        <v>46082</v>
      </c>
      <c r="E1003" s="340" t="s">
        <v>1978</v>
      </c>
      <c r="F1003" s="340" t="s">
        <v>894</v>
      </c>
      <c r="G1003" s="340" t="s">
        <v>1979</v>
      </c>
      <c r="I1003" s="340" t="s">
        <v>740</v>
      </c>
      <c r="K1003" s="343">
        <v>0</v>
      </c>
      <c r="L1003" s="343">
        <v>-545</v>
      </c>
      <c r="M1003" s="343">
        <v>-1245700.8400000001</v>
      </c>
      <c r="O1003" s="343">
        <v>0</v>
      </c>
    </row>
    <row r="1004" spans="1:15" x14ac:dyDescent="0.3">
      <c r="A1004" s="340" t="s">
        <v>891</v>
      </c>
      <c r="B1004" s="350">
        <v>46083</v>
      </c>
      <c r="C1004" s="350">
        <v>46086</v>
      </c>
      <c r="D1004" s="351">
        <v>46082</v>
      </c>
      <c r="E1004" s="340" t="s">
        <v>1980</v>
      </c>
      <c r="F1004" s="340" t="s">
        <v>894</v>
      </c>
      <c r="G1004" s="340" t="s">
        <v>1981</v>
      </c>
      <c r="I1004" s="340" t="s">
        <v>740</v>
      </c>
      <c r="K1004" s="343">
        <v>0</v>
      </c>
      <c r="L1004" s="343">
        <v>-570</v>
      </c>
      <c r="M1004" s="343">
        <v>-1246270.8400000001</v>
      </c>
      <c r="O1004" s="343">
        <v>0</v>
      </c>
    </row>
    <row r="1005" spans="1:15" x14ac:dyDescent="0.3">
      <c r="A1005" s="340" t="s">
        <v>891</v>
      </c>
      <c r="B1005" s="350">
        <v>46083</v>
      </c>
      <c r="C1005" s="350">
        <v>46087</v>
      </c>
      <c r="D1005" s="351">
        <v>46082</v>
      </c>
      <c r="E1005" s="340" t="s">
        <v>1982</v>
      </c>
      <c r="F1005" s="340" t="s">
        <v>894</v>
      </c>
      <c r="G1005" s="340" t="s">
        <v>1983</v>
      </c>
      <c r="I1005" s="340" t="s">
        <v>740</v>
      </c>
      <c r="K1005" s="343">
        <v>0</v>
      </c>
      <c r="L1005" s="343">
        <v>-156.96</v>
      </c>
      <c r="M1005" s="343">
        <v>-1246427.8</v>
      </c>
      <c r="O1005" s="343">
        <v>0</v>
      </c>
    </row>
    <row r="1006" spans="1:15" x14ac:dyDescent="0.3">
      <c r="A1006" s="340" t="s">
        <v>891</v>
      </c>
      <c r="B1006" s="350">
        <v>46083</v>
      </c>
      <c r="C1006" s="350">
        <v>46087</v>
      </c>
      <c r="D1006" s="351">
        <v>46082</v>
      </c>
      <c r="E1006" s="340" t="s">
        <v>1982</v>
      </c>
      <c r="F1006" s="340" t="s">
        <v>894</v>
      </c>
      <c r="G1006" s="340" t="s">
        <v>1984</v>
      </c>
      <c r="I1006" s="340" t="s">
        <v>740</v>
      </c>
      <c r="K1006" s="343">
        <v>0</v>
      </c>
      <c r="L1006" s="343">
        <v>-25</v>
      </c>
      <c r="M1006" s="343">
        <v>-1246452.8</v>
      </c>
      <c r="O1006" s="343">
        <v>0</v>
      </c>
    </row>
    <row r="1007" spans="1:15" x14ac:dyDescent="0.3">
      <c r="A1007" s="340" t="s">
        <v>891</v>
      </c>
      <c r="B1007" s="350">
        <v>46083</v>
      </c>
      <c r="C1007" s="350">
        <v>46087</v>
      </c>
      <c r="D1007" s="351">
        <v>46082</v>
      </c>
      <c r="E1007" s="340" t="s">
        <v>1985</v>
      </c>
      <c r="F1007" s="340" t="s">
        <v>894</v>
      </c>
      <c r="G1007" s="340" t="s">
        <v>1986</v>
      </c>
      <c r="I1007" s="340" t="s">
        <v>740</v>
      </c>
      <c r="K1007" s="343">
        <v>0</v>
      </c>
      <c r="L1007" s="343">
        <v>-178.61</v>
      </c>
      <c r="M1007" s="343">
        <v>-1246631.4099999999</v>
      </c>
      <c r="O1007" s="343">
        <v>0</v>
      </c>
    </row>
    <row r="1008" spans="1:15" x14ac:dyDescent="0.3">
      <c r="A1008" s="340" t="s">
        <v>891</v>
      </c>
      <c r="B1008" s="350">
        <v>46083</v>
      </c>
      <c r="C1008" s="350">
        <v>46087</v>
      </c>
      <c r="D1008" s="351">
        <v>46082</v>
      </c>
      <c r="E1008" s="340" t="s">
        <v>1985</v>
      </c>
      <c r="F1008" s="340" t="s">
        <v>894</v>
      </c>
      <c r="G1008" s="340" t="s">
        <v>1987</v>
      </c>
      <c r="I1008" s="340" t="s">
        <v>740</v>
      </c>
      <c r="K1008" s="343">
        <v>0</v>
      </c>
      <c r="L1008" s="343">
        <v>-45</v>
      </c>
      <c r="M1008" s="343">
        <v>-1246676.4099999999</v>
      </c>
      <c r="O1008" s="343">
        <v>0</v>
      </c>
    </row>
    <row r="1009" spans="1:15" x14ac:dyDescent="0.3">
      <c r="A1009" s="340" t="s">
        <v>891</v>
      </c>
      <c r="B1009" s="350">
        <v>46083</v>
      </c>
      <c r="C1009" s="350">
        <v>46087</v>
      </c>
      <c r="D1009" s="351">
        <v>46082</v>
      </c>
      <c r="E1009" s="340" t="s">
        <v>1988</v>
      </c>
      <c r="F1009" s="340" t="s">
        <v>894</v>
      </c>
      <c r="G1009" s="340" t="s">
        <v>1989</v>
      </c>
      <c r="I1009" s="340" t="s">
        <v>740</v>
      </c>
      <c r="K1009" s="343">
        <v>0</v>
      </c>
      <c r="L1009" s="343">
        <v>-129.9</v>
      </c>
      <c r="M1009" s="343">
        <v>-1246806.31</v>
      </c>
      <c r="O1009" s="343">
        <v>0</v>
      </c>
    </row>
    <row r="1010" spans="1:15" x14ac:dyDescent="0.3">
      <c r="A1010" s="340" t="s">
        <v>891</v>
      </c>
      <c r="B1010" s="350">
        <v>46083</v>
      </c>
      <c r="C1010" s="350">
        <v>46087</v>
      </c>
      <c r="D1010" s="351">
        <v>46082</v>
      </c>
      <c r="E1010" s="340" t="s">
        <v>1988</v>
      </c>
      <c r="F1010" s="340" t="s">
        <v>894</v>
      </c>
      <c r="G1010" s="340" t="s">
        <v>1990</v>
      </c>
      <c r="I1010" s="340" t="s">
        <v>740</v>
      </c>
      <c r="K1010" s="343">
        <v>0</v>
      </c>
      <c r="L1010" s="343">
        <v>-75</v>
      </c>
      <c r="M1010" s="343">
        <v>-1246881.31</v>
      </c>
      <c r="O1010" s="343">
        <v>0</v>
      </c>
    </row>
    <row r="1011" spans="1:15" x14ac:dyDescent="0.3">
      <c r="A1011" s="340" t="s">
        <v>891</v>
      </c>
      <c r="B1011" s="350">
        <v>46083</v>
      </c>
      <c r="C1011" s="350">
        <v>46091</v>
      </c>
      <c r="D1011" s="351">
        <v>46082</v>
      </c>
      <c r="E1011" s="340" t="s">
        <v>1991</v>
      </c>
      <c r="F1011" s="340" t="s">
        <v>894</v>
      </c>
      <c r="G1011" s="340" t="s">
        <v>1990</v>
      </c>
      <c r="I1011" s="340" t="s">
        <v>740</v>
      </c>
      <c r="K1011" s="343">
        <v>0</v>
      </c>
      <c r="L1011" s="343">
        <v>-55</v>
      </c>
      <c r="M1011" s="343">
        <v>-1246936.31</v>
      </c>
      <c r="O1011" s="343">
        <v>0</v>
      </c>
    </row>
    <row r="1012" spans="1:15" x14ac:dyDescent="0.3">
      <c r="A1012" s="340" t="s">
        <v>891</v>
      </c>
      <c r="B1012" s="350">
        <v>46083</v>
      </c>
      <c r="C1012" s="350">
        <v>46091</v>
      </c>
      <c r="D1012" s="351">
        <v>46082</v>
      </c>
      <c r="E1012" s="340" t="s">
        <v>1991</v>
      </c>
      <c r="F1012" s="340" t="s">
        <v>894</v>
      </c>
      <c r="G1012" s="340" t="s">
        <v>1992</v>
      </c>
      <c r="I1012" s="340" t="s">
        <v>740</v>
      </c>
      <c r="K1012" s="343">
        <v>0</v>
      </c>
      <c r="L1012" s="343">
        <v>-211.09</v>
      </c>
      <c r="M1012" s="343">
        <v>-1247147.3999999999</v>
      </c>
      <c r="O1012" s="343">
        <v>0</v>
      </c>
    </row>
    <row r="1013" spans="1:15" x14ac:dyDescent="0.3">
      <c r="A1013" s="340" t="s">
        <v>891</v>
      </c>
      <c r="B1013" s="350">
        <v>46083</v>
      </c>
      <c r="C1013" s="350">
        <v>46137</v>
      </c>
      <c r="D1013" s="351">
        <v>46113</v>
      </c>
      <c r="E1013" s="340" t="s">
        <v>1993</v>
      </c>
      <c r="F1013" s="340" t="s">
        <v>894</v>
      </c>
      <c r="G1013" s="340" t="s">
        <v>1021</v>
      </c>
      <c r="I1013" s="340" t="s">
        <v>1022</v>
      </c>
      <c r="K1013" s="343">
        <v>0</v>
      </c>
      <c r="L1013" s="343">
        <v>-6150</v>
      </c>
      <c r="M1013" s="343">
        <v>-1253297.3999999999</v>
      </c>
      <c r="O1013" s="343">
        <v>0</v>
      </c>
    </row>
    <row r="1014" spans="1:15" x14ac:dyDescent="0.3">
      <c r="A1014" s="340" t="s">
        <v>891</v>
      </c>
      <c r="B1014" s="350">
        <v>46084</v>
      </c>
      <c r="C1014" s="350">
        <v>46084</v>
      </c>
      <c r="D1014" s="351">
        <v>46082</v>
      </c>
      <c r="E1014" s="340" t="s">
        <v>1994</v>
      </c>
      <c r="F1014" s="340" t="s">
        <v>894</v>
      </c>
      <c r="G1014" s="340" t="s">
        <v>1995</v>
      </c>
      <c r="I1014" s="340" t="s">
        <v>764</v>
      </c>
      <c r="K1014" s="343">
        <v>0</v>
      </c>
      <c r="L1014" s="343">
        <v>-129.9</v>
      </c>
      <c r="M1014" s="343">
        <v>-1253427.3</v>
      </c>
      <c r="O1014" s="343">
        <v>0</v>
      </c>
    </row>
    <row r="1015" spans="1:15" x14ac:dyDescent="0.3">
      <c r="A1015" s="340" t="s">
        <v>891</v>
      </c>
      <c r="B1015" s="350">
        <v>46084</v>
      </c>
      <c r="C1015" s="350">
        <v>46084</v>
      </c>
      <c r="D1015" s="351">
        <v>46082</v>
      </c>
      <c r="E1015" s="340" t="s">
        <v>1994</v>
      </c>
      <c r="F1015" s="340" t="s">
        <v>894</v>
      </c>
      <c r="G1015" s="340" t="s">
        <v>1996</v>
      </c>
      <c r="I1015" s="340" t="s">
        <v>764</v>
      </c>
      <c r="K1015" s="343">
        <v>0</v>
      </c>
      <c r="L1015" s="343">
        <v>-97.42</v>
      </c>
      <c r="M1015" s="343">
        <v>-1253524.72</v>
      </c>
      <c r="O1015" s="343">
        <v>0</v>
      </c>
    </row>
    <row r="1016" spans="1:15" x14ac:dyDescent="0.3">
      <c r="A1016" s="340" t="s">
        <v>891</v>
      </c>
      <c r="B1016" s="350">
        <v>46084</v>
      </c>
      <c r="C1016" s="350">
        <v>46084</v>
      </c>
      <c r="D1016" s="351">
        <v>46082</v>
      </c>
      <c r="E1016" s="340" t="s">
        <v>1994</v>
      </c>
      <c r="F1016" s="340" t="s">
        <v>894</v>
      </c>
      <c r="G1016" s="340" t="s">
        <v>1997</v>
      </c>
      <c r="I1016" s="340" t="s">
        <v>764</v>
      </c>
      <c r="K1016" s="343">
        <v>0</v>
      </c>
      <c r="L1016" s="343">
        <v>-119.07</v>
      </c>
      <c r="M1016" s="343">
        <v>-1253643.79</v>
      </c>
      <c r="O1016" s="343">
        <v>0</v>
      </c>
    </row>
    <row r="1017" spans="1:15" x14ac:dyDescent="0.3">
      <c r="A1017" s="340" t="s">
        <v>891</v>
      </c>
      <c r="B1017" s="350">
        <v>46084</v>
      </c>
      <c r="C1017" s="350">
        <v>46084</v>
      </c>
      <c r="D1017" s="351">
        <v>46082</v>
      </c>
      <c r="E1017" s="340" t="s">
        <v>1994</v>
      </c>
      <c r="F1017" s="340" t="s">
        <v>894</v>
      </c>
      <c r="G1017" s="340" t="s">
        <v>1998</v>
      </c>
      <c r="I1017" s="340" t="s">
        <v>764</v>
      </c>
      <c r="K1017" s="343">
        <v>0</v>
      </c>
      <c r="L1017" s="343">
        <v>-140.72</v>
      </c>
      <c r="M1017" s="343">
        <v>-1253784.51</v>
      </c>
      <c r="O1017" s="343">
        <v>0</v>
      </c>
    </row>
    <row r="1018" spans="1:15" x14ac:dyDescent="0.3">
      <c r="A1018" s="340" t="s">
        <v>891</v>
      </c>
      <c r="B1018" s="350">
        <v>46084</v>
      </c>
      <c r="C1018" s="350">
        <v>46084</v>
      </c>
      <c r="D1018" s="351">
        <v>46082</v>
      </c>
      <c r="E1018" s="340" t="s">
        <v>1994</v>
      </c>
      <c r="F1018" s="340" t="s">
        <v>894</v>
      </c>
      <c r="G1018" s="340" t="s">
        <v>1999</v>
      </c>
      <c r="I1018" s="340" t="s">
        <v>764</v>
      </c>
      <c r="K1018" s="343">
        <v>0</v>
      </c>
      <c r="L1018" s="343">
        <v>-108.25</v>
      </c>
      <c r="M1018" s="343">
        <v>-1253892.76</v>
      </c>
      <c r="O1018" s="343">
        <v>0</v>
      </c>
    </row>
    <row r="1019" spans="1:15" x14ac:dyDescent="0.3">
      <c r="A1019" s="340" t="s">
        <v>891</v>
      </c>
      <c r="B1019" s="350">
        <v>46084</v>
      </c>
      <c r="C1019" s="350">
        <v>46084</v>
      </c>
      <c r="D1019" s="351">
        <v>46082</v>
      </c>
      <c r="E1019" s="340" t="s">
        <v>1994</v>
      </c>
      <c r="F1019" s="340" t="s">
        <v>894</v>
      </c>
      <c r="G1019" s="340" t="s">
        <v>2000</v>
      </c>
      <c r="I1019" s="340" t="s">
        <v>764</v>
      </c>
      <c r="K1019" s="343">
        <v>0</v>
      </c>
      <c r="L1019" s="343">
        <v>-119.09</v>
      </c>
      <c r="M1019" s="343">
        <v>-1254011.8500000001</v>
      </c>
      <c r="O1019" s="343">
        <v>0</v>
      </c>
    </row>
    <row r="1020" spans="1:15" x14ac:dyDescent="0.3">
      <c r="A1020" s="340" t="s">
        <v>891</v>
      </c>
      <c r="B1020" s="350">
        <v>46084</v>
      </c>
      <c r="C1020" s="350">
        <v>46084</v>
      </c>
      <c r="D1020" s="351">
        <v>46082</v>
      </c>
      <c r="E1020" s="340" t="s">
        <v>2001</v>
      </c>
      <c r="F1020" s="340" t="s">
        <v>1078</v>
      </c>
      <c r="G1020" s="340" t="s">
        <v>1079</v>
      </c>
      <c r="I1020" s="340" t="s">
        <v>2002</v>
      </c>
      <c r="K1020" s="343">
        <v>114.26</v>
      </c>
      <c r="L1020" s="343">
        <v>0</v>
      </c>
      <c r="M1020" s="343">
        <v>-1253897.5900000001</v>
      </c>
      <c r="O1020" s="343">
        <v>0</v>
      </c>
    </row>
    <row r="1021" spans="1:15" x14ac:dyDescent="0.3">
      <c r="A1021" s="340" t="s">
        <v>891</v>
      </c>
      <c r="B1021" s="350">
        <v>46084</v>
      </c>
      <c r="C1021" s="350">
        <v>46084</v>
      </c>
      <c r="D1021" s="351">
        <v>46082</v>
      </c>
      <c r="E1021" s="340" t="s">
        <v>2001</v>
      </c>
      <c r="F1021" s="340" t="s">
        <v>1078</v>
      </c>
      <c r="G1021" s="340" t="s">
        <v>1079</v>
      </c>
      <c r="I1021" s="340" t="s">
        <v>2002</v>
      </c>
      <c r="K1021" s="343">
        <v>149.75</v>
      </c>
      <c r="L1021" s="343">
        <v>0</v>
      </c>
      <c r="M1021" s="343">
        <v>-1253747.8400000001</v>
      </c>
      <c r="O1021" s="343">
        <v>0</v>
      </c>
    </row>
    <row r="1022" spans="1:15" x14ac:dyDescent="0.3">
      <c r="A1022" s="340" t="s">
        <v>891</v>
      </c>
      <c r="B1022" s="350">
        <v>46084</v>
      </c>
      <c r="C1022" s="350">
        <v>46084</v>
      </c>
      <c r="D1022" s="351">
        <v>46082</v>
      </c>
      <c r="E1022" s="340" t="s">
        <v>2001</v>
      </c>
      <c r="F1022" s="340" t="s">
        <v>1078</v>
      </c>
      <c r="G1022" s="340" t="s">
        <v>1079</v>
      </c>
      <c r="I1022" s="340" t="s">
        <v>2002</v>
      </c>
      <c r="K1022" s="343">
        <v>435.92</v>
      </c>
      <c r="L1022" s="343">
        <v>0</v>
      </c>
      <c r="M1022" s="343">
        <v>-1253311.92</v>
      </c>
      <c r="O1022" s="343">
        <v>0</v>
      </c>
    </row>
    <row r="1023" spans="1:15" x14ac:dyDescent="0.3">
      <c r="A1023" s="340" t="s">
        <v>891</v>
      </c>
      <c r="B1023" s="350">
        <v>46084</v>
      </c>
      <c r="C1023" s="350">
        <v>46084</v>
      </c>
      <c r="D1023" s="351">
        <v>46082</v>
      </c>
      <c r="E1023" s="340" t="s">
        <v>2001</v>
      </c>
      <c r="F1023" s="340" t="s">
        <v>1078</v>
      </c>
      <c r="G1023" s="340" t="s">
        <v>1079</v>
      </c>
      <c r="I1023" s="340" t="s">
        <v>2002</v>
      </c>
      <c r="K1023" s="343">
        <v>125.08</v>
      </c>
      <c r="L1023" s="343">
        <v>0</v>
      </c>
      <c r="M1023" s="343">
        <v>-1253186.8400000001</v>
      </c>
      <c r="O1023" s="343">
        <v>0</v>
      </c>
    </row>
    <row r="1024" spans="1:15" x14ac:dyDescent="0.3">
      <c r="A1024" s="340" t="s">
        <v>891</v>
      </c>
      <c r="B1024" s="350">
        <v>46084</v>
      </c>
      <c r="C1024" s="350">
        <v>46086</v>
      </c>
      <c r="D1024" s="351">
        <v>46082</v>
      </c>
      <c r="E1024" s="340" t="s">
        <v>2003</v>
      </c>
      <c r="F1024" s="340" t="s">
        <v>894</v>
      </c>
      <c r="G1024" s="340" t="s">
        <v>2004</v>
      </c>
      <c r="I1024" s="340" t="s">
        <v>740</v>
      </c>
      <c r="K1024" s="343">
        <v>0</v>
      </c>
      <c r="L1024" s="343">
        <v>-260</v>
      </c>
      <c r="M1024" s="343">
        <v>-1253446.8400000001</v>
      </c>
      <c r="O1024" s="343">
        <v>0</v>
      </c>
    </row>
    <row r="1025" spans="1:15" x14ac:dyDescent="0.3">
      <c r="A1025" s="340" t="s">
        <v>891</v>
      </c>
      <c r="B1025" s="350">
        <v>46084</v>
      </c>
      <c r="C1025" s="350">
        <v>46086</v>
      </c>
      <c r="D1025" s="351">
        <v>46082</v>
      </c>
      <c r="E1025" s="340" t="s">
        <v>2005</v>
      </c>
      <c r="F1025" s="340" t="s">
        <v>894</v>
      </c>
      <c r="G1025" s="340" t="s">
        <v>2006</v>
      </c>
      <c r="I1025" s="340" t="s">
        <v>740</v>
      </c>
      <c r="K1025" s="343">
        <v>0</v>
      </c>
      <c r="L1025" s="343">
        <v>-510</v>
      </c>
      <c r="M1025" s="343">
        <v>-1253956.8400000001</v>
      </c>
      <c r="O1025" s="343">
        <v>0</v>
      </c>
    </row>
    <row r="1026" spans="1:15" x14ac:dyDescent="0.3">
      <c r="A1026" s="340" t="s">
        <v>891</v>
      </c>
      <c r="B1026" s="350">
        <v>46084</v>
      </c>
      <c r="C1026" s="350">
        <v>46086</v>
      </c>
      <c r="D1026" s="351">
        <v>46082</v>
      </c>
      <c r="E1026" s="340" t="s">
        <v>2007</v>
      </c>
      <c r="F1026" s="340" t="s">
        <v>894</v>
      </c>
      <c r="G1026" s="340" t="s">
        <v>2008</v>
      </c>
      <c r="I1026" s="340" t="s">
        <v>740</v>
      </c>
      <c r="K1026" s="343">
        <v>0</v>
      </c>
      <c r="L1026" s="343">
        <v>-480</v>
      </c>
      <c r="M1026" s="343">
        <v>-1254436.8400000001</v>
      </c>
      <c r="O1026" s="343">
        <v>0</v>
      </c>
    </row>
    <row r="1027" spans="1:15" x14ac:dyDescent="0.3">
      <c r="A1027" s="340" t="s">
        <v>891</v>
      </c>
      <c r="B1027" s="350">
        <v>46084</v>
      </c>
      <c r="C1027" s="350">
        <v>46086</v>
      </c>
      <c r="D1027" s="351">
        <v>46082</v>
      </c>
      <c r="E1027" s="340" t="s">
        <v>2009</v>
      </c>
      <c r="F1027" s="340" t="s">
        <v>894</v>
      </c>
      <c r="G1027" s="340" t="s">
        <v>2010</v>
      </c>
      <c r="I1027" s="340" t="s">
        <v>740</v>
      </c>
      <c r="K1027" s="343">
        <v>0</v>
      </c>
      <c r="L1027" s="343">
        <v>-480</v>
      </c>
      <c r="M1027" s="343">
        <v>-1254916.8400000001</v>
      </c>
      <c r="O1027" s="343">
        <v>0</v>
      </c>
    </row>
    <row r="1028" spans="1:15" x14ac:dyDescent="0.3">
      <c r="A1028" s="340" t="s">
        <v>891</v>
      </c>
      <c r="B1028" s="350">
        <v>46084</v>
      </c>
      <c r="C1028" s="350">
        <v>46101</v>
      </c>
      <c r="D1028" s="351">
        <v>46082</v>
      </c>
      <c r="E1028" s="340" t="s">
        <v>2011</v>
      </c>
      <c r="F1028" s="340" t="s">
        <v>894</v>
      </c>
      <c r="G1028" s="340" t="s">
        <v>2012</v>
      </c>
      <c r="I1028" s="340" t="s">
        <v>762</v>
      </c>
      <c r="K1028" s="343">
        <v>0</v>
      </c>
      <c r="L1028" s="343">
        <v>-435</v>
      </c>
      <c r="M1028" s="343">
        <v>-1255351.8400000001</v>
      </c>
      <c r="O1028" s="343">
        <v>0</v>
      </c>
    </row>
    <row r="1029" spans="1:15" x14ac:dyDescent="0.3">
      <c r="A1029" s="340" t="s">
        <v>891</v>
      </c>
      <c r="B1029" s="350">
        <v>46084</v>
      </c>
      <c r="C1029" s="350">
        <v>46101</v>
      </c>
      <c r="D1029" s="351">
        <v>46082</v>
      </c>
      <c r="E1029" s="340" t="s">
        <v>2011</v>
      </c>
      <c r="F1029" s="340" t="s">
        <v>894</v>
      </c>
      <c r="G1029" s="340" t="s">
        <v>2013</v>
      </c>
      <c r="I1029" s="340" t="s">
        <v>762</v>
      </c>
      <c r="K1029" s="343">
        <v>0</v>
      </c>
      <c r="L1029" s="343">
        <v>-5645.36</v>
      </c>
      <c r="M1029" s="343">
        <v>-1260997.2</v>
      </c>
      <c r="O1029" s="343">
        <v>0</v>
      </c>
    </row>
    <row r="1030" spans="1:15" x14ac:dyDescent="0.3">
      <c r="A1030" s="340" t="s">
        <v>891</v>
      </c>
      <c r="B1030" s="350">
        <v>46084</v>
      </c>
      <c r="C1030" s="350">
        <v>46101</v>
      </c>
      <c r="D1030" s="351">
        <v>46082</v>
      </c>
      <c r="E1030" s="340" t="s">
        <v>2014</v>
      </c>
      <c r="F1030" s="340" t="s">
        <v>894</v>
      </c>
      <c r="G1030" s="340" t="s">
        <v>1026</v>
      </c>
      <c r="I1030" s="340" t="s">
        <v>744</v>
      </c>
      <c r="K1030" s="343">
        <v>0</v>
      </c>
      <c r="L1030" s="343">
        <v>-1091.2</v>
      </c>
      <c r="M1030" s="343">
        <v>-1262088.3999999999</v>
      </c>
      <c r="O1030" s="343">
        <v>0</v>
      </c>
    </row>
    <row r="1031" spans="1:15" x14ac:dyDescent="0.3">
      <c r="A1031" s="340" t="s">
        <v>891</v>
      </c>
      <c r="B1031" s="350">
        <v>46085</v>
      </c>
      <c r="C1031" s="350">
        <v>46085</v>
      </c>
      <c r="D1031" s="351">
        <v>46082</v>
      </c>
      <c r="E1031" s="340" t="s">
        <v>2015</v>
      </c>
      <c r="F1031" s="340" t="s">
        <v>894</v>
      </c>
      <c r="G1031" s="340" t="s">
        <v>2016</v>
      </c>
      <c r="I1031" s="340" t="s">
        <v>753</v>
      </c>
      <c r="K1031" s="343">
        <v>0</v>
      </c>
      <c r="L1031" s="343">
        <v>-791.25</v>
      </c>
      <c r="M1031" s="343">
        <v>-1262879.6499999999</v>
      </c>
      <c r="O1031" s="343">
        <v>0</v>
      </c>
    </row>
    <row r="1032" spans="1:15" x14ac:dyDescent="0.3">
      <c r="A1032" s="340" t="s">
        <v>891</v>
      </c>
      <c r="B1032" s="350">
        <v>46085</v>
      </c>
      <c r="C1032" s="350">
        <v>46091</v>
      </c>
      <c r="D1032" s="351">
        <v>46082</v>
      </c>
      <c r="E1032" s="340" t="s">
        <v>2017</v>
      </c>
      <c r="F1032" s="340" t="s">
        <v>894</v>
      </c>
      <c r="G1032" s="340" t="s">
        <v>2018</v>
      </c>
      <c r="I1032" s="340" t="s">
        <v>753</v>
      </c>
      <c r="K1032" s="343">
        <v>0</v>
      </c>
      <c r="L1032" s="343">
        <v>-430.29</v>
      </c>
      <c r="M1032" s="343">
        <v>-1263309.94</v>
      </c>
      <c r="O1032" s="343">
        <v>0</v>
      </c>
    </row>
    <row r="1033" spans="1:15" x14ac:dyDescent="0.3">
      <c r="A1033" s="340" t="s">
        <v>891</v>
      </c>
      <c r="B1033" s="350">
        <v>46085</v>
      </c>
      <c r="C1033" s="350">
        <v>46097</v>
      </c>
      <c r="D1033" s="351">
        <v>46082</v>
      </c>
      <c r="E1033" s="340" t="s">
        <v>2019</v>
      </c>
      <c r="F1033" s="340" t="s">
        <v>894</v>
      </c>
      <c r="G1033" s="340" t="s">
        <v>2020</v>
      </c>
      <c r="I1033" s="340" t="s">
        <v>1093</v>
      </c>
      <c r="K1033" s="343">
        <v>0</v>
      </c>
      <c r="L1033" s="343">
        <v>-63.96</v>
      </c>
      <c r="M1033" s="343">
        <v>-1263373.8999999999</v>
      </c>
      <c r="O1033" s="343">
        <v>0</v>
      </c>
    </row>
    <row r="1034" spans="1:15" x14ac:dyDescent="0.3">
      <c r="A1034" s="340" t="s">
        <v>891</v>
      </c>
      <c r="B1034" s="350">
        <v>46085</v>
      </c>
      <c r="C1034" s="350">
        <v>46097</v>
      </c>
      <c r="D1034" s="351">
        <v>46082</v>
      </c>
      <c r="E1034" s="340" t="s">
        <v>2021</v>
      </c>
      <c r="F1034" s="340" t="s">
        <v>894</v>
      </c>
      <c r="G1034" s="340" t="s">
        <v>2020</v>
      </c>
      <c r="I1034" s="340" t="s">
        <v>1093</v>
      </c>
      <c r="K1034" s="343">
        <v>0</v>
      </c>
      <c r="L1034" s="343">
        <v>-63.96</v>
      </c>
      <c r="M1034" s="343">
        <v>-1263437.8600000001</v>
      </c>
      <c r="O1034" s="343">
        <v>0</v>
      </c>
    </row>
    <row r="1035" spans="1:15" x14ac:dyDescent="0.3">
      <c r="A1035" s="340" t="s">
        <v>891</v>
      </c>
      <c r="B1035" s="350">
        <v>46085</v>
      </c>
      <c r="C1035" s="350">
        <v>46101</v>
      </c>
      <c r="D1035" s="351">
        <v>46082</v>
      </c>
      <c r="E1035" s="340" t="s">
        <v>2022</v>
      </c>
      <c r="F1035" s="340" t="s">
        <v>894</v>
      </c>
      <c r="G1035" s="340" t="s">
        <v>1881</v>
      </c>
      <c r="I1035" s="340" t="s">
        <v>756</v>
      </c>
      <c r="K1035" s="343">
        <v>0</v>
      </c>
      <c r="L1035" s="343">
        <v>-942.1</v>
      </c>
      <c r="M1035" s="343">
        <v>-1264379.96</v>
      </c>
      <c r="O1035" s="343">
        <v>0</v>
      </c>
    </row>
    <row r="1036" spans="1:15" x14ac:dyDescent="0.3">
      <c r="A1036" s="340" t="s">
        <v>891</v>
      </c>
      <c r="B1036" s="350">
        <v>46085</v>
      </c>
      <c r="C1036" s="350">
        <v>46104</v>
      </c>
      <c r="D1036" s="351">
        <v>46082</v>
      </c>
      <c r="E1036" s="340" t="s">
        <v>2023</v>
      </c>
      <c r="F1036" s="340" t="s">
        <v>894</v>
      </c>
      <c r="G1036" s="340" t="s">
        <v>1039</v>
      </c>
      <c r="I1036" s="340" t="s">
        <v>746</v>
      </c>
      <c r="K1036" s="343">
        <v>0</v>
      </c>
      <c r="L1036" s="343">
        <v>-5869.3</v>
      </c>
      <c r="M1036" s="343">
        <v>-1270249.26</v>
      </c>
      <c r="O1036" s="343">
        <v>0</v>
      </c>
    </row>
    <row r="1037" spans="1:15" x14ac:dyDescent="0.3">
      <c r="A1037" s="340" t="s">
        <v>891</v>
      </c>
      <c r="B1037" s="350">
        <v>46086</v>
      </c>
      <c r="C1037" s="350">
        <v>46105</v>
      </c>
      <c r="D1037" s="351">
        <v>46082</v>
      </c>
      <c r="E1037" s="340" t="s">
        <v>2024</v>
      </c>
      <c r="F1037" s="340" t="s">
        <v>894</v>
      </c>
      <c r="G1037" s="340" t="s">
        <v>1039</v>
      </c>
      <c r="I1037" s="340" t="s">
        <v>746</v>
      </c>
      <c r="K1037" s="343">
        <v>0</v>
      </c>
      <c r="L1037" s="343">
        <v>-11258.93</v>
      </c>
      <c r="M1037" s="343">
        <v>-1281508.19</v>
      </c>
      <c r="O1037" s="343">
        <v>0</v>
      </c>
    </row>
    <row r="1038" spans="1:15" x14ac:dyDescent="0.3">
      <c r="A1038" s="340" t="s">
        <v>891</v>
      </c>
      <c r="B1038" s="350">
        <v>46086</v>
      </c>
      <c r="C1038" s="350">
        <v>46105</v>
      </c>
      <c r="D1038" s="351">
        <v>46082</v>
      </c>
      <c r="E1038" s="340" t="s">
        <v>2025</v>
      </c>
      <c r="F1038" s="340" t="s">
        <v>894</v>
      </c>
      <c r="G1038" s="340" t="s">
        <v>1039</v>
      </c>
      <c r="I1038" s="340" t="s">
        <v>746</v>
      </c>
      <c r="K1038" s="343">
        <v>0</v>
      </c>
      <c r="L1038" s="343">
        <v>-16237.72</v>
      </c>
      <c r="M1038" s="343">
        <v>-1297745.9099999999</v>
      </c>
      <c r="O1038" s="343">
        <v>0</v>
      </c>
    </row>
    <row r="1039" spans="1:15" x14ac:dyDescent="0.3">
      <c r="A1039" s="340" t="s">
        <v>891</v>
      </c>
      <c r="B1039" s="350">
        <v>46086</v>
      </c>
      <c r="C1039" s="350">
        <v>46141</v>
      </c>
      <c r="D1039" s="351">
        <v>46113</v>
      </c>
      <c r="E1039" s="340" t="s">
        <v>2026</v>
      </c>
      <c r="F1039" s="340" t="s">
        <v>894</v>
      </c>
      <c r="G1039" s="340" t="s">
        <v>2027</v>
      </c>
      <c r="I1039" s="340" t="s">
        <v>775</v>
      </c>
      <c r="K1039" s="343">
        <v>0</v>
      </c>
      <c r="L1039" s="343">
        <v>-13175</v>
      </c>
      <c r="M1039" s="343">
        <v>-1310920.9099999999</v>
      </c>
      <c r="O1039" s="343">
        <v>0</v>
      </c>
    </row>
    <row r="1040" spans="1:15" x14ac:dyDescent="0.3">
      <c r="A1040" s="340" t="s">
        <v>891</v>
      </c>
      <c r="B1040" s="350">
        <v>46087</v>
      </c>
      <c r="C1040" s="350">
        <v>46087</v>
      </c>
      <c r="D1040" s="351">
        <v>46082</v>
      </c>
      <c r="E1040" s="340" t="s">
        <v>2028</v>
      </c>
      <c r="F1040" s="340" t="s">
        <v>894</v>
      </c>
      <c r="G1040" s="340" t="s">
        <v>2029</v>
      </c>
      <c r="I1040" s="340" t="s">
        <v>745</v>
      </c>
      <c r="K1040" s="343">
        <v>0</v>
      </c>
      <c r="L1040" s="343">
        <v>-41.42</v>
      </c>
      <c r="M1040" s="343">
        <v>-1310962.33</v>
      </c>
      <c r="O1040" s="343">
        <v>0</v>
      </c>
    </row>
    <row r="1041" spans="1:15" x14ac:dyDescent="0.3">
      <c r="A1041" s="340" t="s">
        <v>891</v>
      </c>
      <c r="B1041" s="350">
        <v>46087</v>
      </c>
      <c r="C1041" s="350">
        <v>46087</v>
      </c>
      <c r="D1041" s="351">
        <v>46082</v>
      </c>
      <c r="E1041" s="340" t="s">
        <v>2028</v>
      </c>
      <c r="F1041" s="340" t="s">
        <v>894</v>
      </c>
      <c r="G1041" s="340" t="s">
        <v>2030</v>
      </c>
      <c r="I1041" s="340" t="s">
        <v>745</v>
      </c>
      <c r="K1041" s="343">
        <v>0</v>
      </c>
      <c r="L1041" s="343">
        <v>-65.709999999999994</v>
      </c>
      <c r="M1041" s="343">
        <v>-1311028.04</v>
      </c>
      <c r="O1041" s="343">
        <v>0</v>
      </c>
    </row>
    <row r="1042" spans="1:15" x14ac:dyDescent="0.3">
      <c r="A1042" s="340" t="s">
        <v>891</v>
      </c>
      <c r="B1042" s="350">
        <v>46087</v>
      </c>
      <c r="C1042" s="350">
        <v>46087</v>
      </c>
      <c r="D1042" s="351">
        <v>46082</v>
      </c>
      <c r="E1042" s="340" t="s">
        <v>2028</v>
      </c>
      <c r="F1042" s="340" t="s">
        <v>894</v>
      </c>
      <c r="G1042" s="340" t="s">
        <v>2031</v>
      </c>
      <c r="I1042" s="340" t="s">
        <v>745</v>
      </c>
      <c r="K1042" s="343">
        <v>0</v>
      </c>
      <c r="L1042" s="343">
        <v>-141.21</v>
      </c>
      <c r="M1042" s="343">
        <v>-1311169.25</v>
      </c>
      <c r="O1042" s="343">
        <v>0</v>
      </c>
    </row>
    <row r="1043" spans="1:15" x14ac:dyDescent="0.3">
      <c r="A1043" s="340" t="s">
        <v>891</v>
      </c>
      <c r="B1043" s="350">
        <v>46087</v>
      </c>
      <c r="C1043" s="350">
        <v>46087</v>
      </c>
      <c r="D1043" s="351">
        <v>46082</v>
      </c>
      <c r="E1043" s="340" t="s">
        <v>2028</v>
      </c>
      <c r="F1043" s="340" t="s">
        <v>894</v>
      </c>
      <c r="G1043" s="340" t="s">
        <v>2032</v>
      </c>
      <c r="I1043" s="340" t="s">
        <v>745</v>
      </c>
      <c r="K1043" s="343">
        <v>0</v>
      </c>
      <c r="L1043" s="343">
        <v>-43.3</v>
      </c>
      <c r="M1043" s="343">
        <v>-1311212.55</v>
      </c>
      <c r="O1043" s="343">
        <v>0</v>
      </c>
    </row>
    <row r="1044" spans="1:15" x14ac:dyDescent="0.3">
      <c r="A1044" s="340" t="s">
        <v>891</v>
      </c>
      <c r="B1044" s="350">
        <v>46087</v>
      </c>
      <c r="C1044" s="350">
        <v>46097</v>
      </c>
      <c r="D1044" s="351">
        <v>46082</v>
      </c>
      <c r="E1044" s="340" t="s">
        <v>2033</v>
      </c>
      <c r="F1044" s="340" t="s">
        <v>894</v>
      </c>
      <c r="G1044" s="340" t="s">
        <v>1094</v>
      </c>
      <c r="I1044" s="340" t="s">
        <v>1093</v>
      </c>
      <c r="K1044" s="343">
        <v>0</v>
      </c>
      <c r="L1044" s="343">
        <v>-77.819999999999993</v>
      </c>
      <c r="M1044" s="343">
        <v>-1311290.3700000001</v>
      </c>
      <c r="O1044" s="343">
        <v>0</v>
      </c>
    </row>
    <row r="1045" spans="1:15" x14ac:dyDescent="0.3">
      <c r="A1045" s="340" t="s">
        <v>891</v>
      </c>
      <c r="B1045" s="350">
        <v>46087</v>
      </c>
      <c r="C1045" s="350">
        <v>46097</v>
      </c>
      <c r="D1045" s="351">
        <v>46082</v>
      </c>
      <c r="E1045" s="340" t="s">
        <v>2033</v>
      </c>
      <c r="F1045" s="340" t="s">
        <v>894</v>
      </c>
      <c r="G1045" s="340" t="s">
        <v>1092</v>
      </c>
      <c r="I1045" s="340" t="s">
        <v>1093</v>
      </c>
      <c r="K1045" s="343">
        <v>0</v>
      </c>
      <c r="L1045" s="343">
        <v>-405</v>
      </c>
      <c r="M1045" s="343">
        <v>-1311695.3700000001</v>
      </c>
      <c r="O1045" s="343">
        <v>0</v>
      </c>
    </row>
    <row r="1046" spans="1:15" x14ac:dyDescent="0.3">
      <c r="A1046" s="340" t="s">
        <v>891</v>
      </c>
      <c r="B1046" s="350">
        <v>46090</v>
      </c>
      <c r="C1046" s="350">
        <v>46108</v>
      </c>
      <c r="D1046" s="351">
        <v>46082</v>
      </c>
      <c r="E1046" s="340" t="s">
        <v>2034</v>
      </c>
      <c r="F1046" s="340" t="s">
        <v>894</v>
      </c>
      <c r="G1046" s="340" t="s">
        <v>1039</v>
      </c>
      <c r="I1046" s="340" t="s">
        <v>746</v>
      </c>
      <c r="K1046" s="343">
        <v>0</v>
      </c>
      <c r="L1046" s="343">
        <v>-8843.67</v>
      </c>
      <c r="M1046" s="343">
        <v>-1320539.04</v>
      </c>
      <c r="O1046" s="343">
        <v>0</v>
      </c>
    </row>
    <row r="1047" spans="1:15" x14ac:dyDescent="0.3">
      <c r="A1047" s="340" t="s">
        <v>891</v>
      </c>
      <c r="B1047" s="350">
        <v>46091</v>
      </c>
      <c r="C1047" s="350">
        <v>46091</v>
      </c>
      <c r="D1047" s="351">
        <v>46082</v>
      </c>
      <c r="E1047" s="340" t="s">
        <v>2035</v>
      </c>
      <c r="F1047" s="340" t="s">
        <v>1078</v>
      </c>
      <c r="G1047" s="340" t="s">
        <v>1941</v>
      </c>
      <c r="I1047" s="340" t="s">
        <v>768</v>
      </c>
      <c r="K1047" s="343">
        <v>6095.94</v>
      </c>
      <c r="L1047" s="343">
        <v>0</v>
      </c>
      <c r="M1047" s="343">
        <v>-1314443.1000000001</v>
      </c>
      <c r="O1047" s="343">
        <v>0</v>
      </c>
    </row>
    <row r="1048" spans="1:15" x14ac:dyDescent="0.3">
      <c r="A1048" s="340" t="s">
        <v>891</v>
      </c>
      <c r="B1048" s="350">
        <v>46091</v>
      </c>
      <c r="C1048" s="350">
        <v>46091</v>
      </c>
      <c r="D1048" s="351">
        <v>46082</v>
      </c>
      <c r="E1048" s="340" t="s">
        <v>2035</v>
      </c>
      <c r="F1048" s="340" t="s">
        <v>1078</v>
      </c>
      <c r="G1048" s="340" t="s">
        <v>1573</v>
      </c>
      <c r="I1048" s="340" t="s">
        <v>768</v>
      </c>
      <c r="K1048" s="343">
        <v>91.83</v>
      </c>
      <c r="L1048" s="343">
        <v>0</v>
      </c>
      <c r="M1048" s="343">
        <v>-1314351.27</v>
      </c>
      <c r="O1048" s="343">
        <v>0</v>
      </c>
    </row>
    <row r="1049" spans="1:15" x14ac:dyDescent="0.3">
      <c r="A1049" s="340" t="s">
        <v>891</v>
      </c>
      <c r="B1049" s="350">
        <v>46091</v>
      </c>
      <c r="C1049" s="350">
        <v>46091</v>
      </c>
      <c r="D1049" s="351">
        <v>46082</v>
      </c>
      <c r="E1049" s="340" t="s">
        <v>2035</v>
      </c>
      <c r="F1049" s="340" t="s">
        <v>1078</v>
      </c>
      <c r="G1049" s="340" t="s">
        <v>768</v>
      </c>
      <c r="I1049" s="340" t="s">
        <v>768</v>
      </c>
      <c r="K1049" s="343">
        <v>3354.76</v>
      </c>
      <c r="L1049" s="343">
        <v>0</v>
      </c>
      <c r="M1049" s="343">
        <v>-1310996.51</v>
      </c>
      <c r="O1049" s="343">
        <v>0</v>
      </c>
    </row>
    <row r="1050" spans="1:15" x14ac:dyDescent="0.3">
      <c r="A1050" s="340" t="s">
        <v>891</v>
      </c>
      <c r="B1050" s="350">
        <v>46091</v>
      </c>
      <c r="C1050" s="350">
        <v>46097</v>
      </c>
      <c r="D1050" s="351">
        <v>46082</v>
      </c>
      <c r="E1050" s="340" t="s">
        <v>2036</v>
      </c>
      <c r="F1050" s="340" t="s">
        <v>894</v>
      </c>
      <c r="G1050" s="340" t="s">
        <v>1007</v>
      </c>
      <c r="I1050" s="340" t="s">
        <v>1005</v>
      </c>
      <c r="K1050" s="343">
        <v>0</v>
      </c>
      <c r="L1050" s="343">
        <v>-655.53</v>
      </c>
      <c r="M1050" s="343">
        <v>-1311652.04</v>
      </c>
      <c r="O1050" s="343">
        <v>0</v>
      </c>
    </row>
    <row r="1051" spans="1:15" x14ac:dyDescent="0.3">
      <c r="A1051" s="340" t="s">
        <v>891</v>
      </c>
      <c r="B1051" s="350">
        <v>46092</v>
      </c>
      <c r="C1051" s="350">
        <v>46092</v>
      </c>
      <c r="D1051" s="351">
        <v>46082</v>
      </c>
      <c r="E1051" s="340" t="s">
        <v>2037</v>
      </c>
      <c r="F1051" s="340" t="s">
        <v>1078</v>
      </c>
      <c r="G1051" s="340" t="s">
        <v>1353</v>
      </c>
      <c r="I1051" s="340" t="s">
        <v>1354</v>
      </c>
      <c r="K1051" s="343">
        <v>3872.81</v>
      </c>
      <c r="L1051" s="343">
        <v>0</v>
      </c>
      <c r="M1051" s="343">
        <v>-1307779.23</v>
      </c>
      <c r="O1051" s="343">
        <v>0</v>
      </c>
    </row>
    <row r="1052" spans="1:15" x14ac:dyDescent="0.3">
      <c r="A1052" s="340" t="s">
        <v>891</v>
      </c>
      <c r="B1052" s="350">
        <v>46092</v>
      </c>
      <c r="C1052" s="350">
        <v>46092</v>
      </c>
      <c r="D1052" s="351">
        <v>46082</v>
      </c>
      <c r="E1052" s="340" t="s">
        <v>2038</v>
      </c>
      <c r="F1052" s="340" t="s">
        <v>894</v>
      </c>
      <c r="G1052" s="340" t="s">
        <v>2039</v>
      </c>
      <c r="I1052" s="340" t="s">
        <v>753</v>
      </c>
      <c r="K1052" s="343">
        <v>0</v>
      </c>
      <c r="L1052" s="343">
        <v>-541.25</v>
      </c>
      <c r="M1052" s="343">
        <v>-1308320.48</v>
      </c>
      <c r="O1052" s="343">
        <v>0</v>
      </c>
    </row>
    <row r="1053" spans="1:15" x14ac:dyDescent="0.3">
      <c r="A1053" s="340" t="s">
        <v>891</v>
      </c>
      <c r="B1053" s="350">
        <v>46092</v>
      </c>
      <c r="C1053" s="350">
        <v>46092</v>
      </c>
      <c r="D1053" s="351">
        <v>46082</v>
      </c>
      <c r="E1053" s="340" t="s">
        <v>2040</v>
      </c>
      <c r="F1053" s="340" t="s">
        <v>894</v>
      </c>
      <c r="G1053" s="340" t="s">
        <v>2041</v>
      </c>
      <c r="I1053" s="340" t="s">
        <v>753</v>
      </c>
      <c r="K1053" s="343">
        <v>0</v>
      </c>
      <c r="L1053" s="343">
        <v>-102.84</v>
      </c>
      <c r="M1053" s="343">
        <v>-1308423.32</v>
      </c>
      <c r="O1053" s="343">
        <v>0</v>
      </c>
    </row>
    <row r="1054" spans="1:15" x14ac:dyDescent="0.3">
      <c r="A1054" s="340" t="s">
        <v>891</v>
      </c>
      <c r="B1054" s="350">
        <v>46092</v>
      </c>
      <c r="C1054" s="350">
        <v>46093</v>
      </c>
      <c r="D1054" s="351">
        <v>46082</v>
      </c>
      <c r="E1054" s="340" t="s">
        <v>2042</v>
      </c>
      <c r="F1054" s="340" t="s">
        <v>894</v>
      </c>
      <c r="G1054" s="340" t="s">
        <v>2043</v>
      </c>
      <c r="I1054" s="340" t="s">
        <v>740</v>
      </c>
      <c r="K1054" s="343">
        <v>0</v>
      </c>
      <c r="L1054" s="343">
        <v>-770</v>
      </c>
      <c r="M1054" s="343">
        <v>-1309193.32</v>
      </c>
      <c r="O1054" s="343">
        <v>0</v>
      </c>
    </row>
    <row r="1055" spans="1:15" x14ac:dyDescent="0.3">
      <c r="A1055" s="340" t="s">
        <v>891</v>
      </c>
      <c r="B1055" s="350">
        <v>46092</v>
      </c>
      <c r="C1055" s="350">
        <v>46093</v>
      </c>
      <c r="D1055" s="351">
        <v>46082</v>
      </c>
      <c r="E1055" s="340" t="s">
        <v>2044</v>
      </c>
      <c r="F1055" s="340" t="s">
        <v>894</v>
      </c>
      <c r="G1055" s="340" t="s">
        <v>2045</v>
      </c>
      <c r="I1055" s="340" t="s">
        <v>740</v>
      </c>
      <c r="K1055" s="343">
        <v>0</v>
      </c>
      <c r="L1055" s="343">
        <v>-570</v>
      </c>
      <c r="M1055" s="343">
        <v>-1309763.32</v>
      </c>
      <c r="O1055" s="343">
        <v>0</v>
      </c>
    </row>
    <row r="1056" spans="1:15" x14ac:dyDescent="0.3">
      <c r="A1056" s="340" t="s">
        <v>891</v>
      </c>
      <c r="B1056" s="350">
        <v>46092</v>
      </c>
      <c r="C1056" s="350">
        <v>46093</v>
      </c>
      <c r="D1056" s="351">
        <v>46082</v>
      </c>
      <c r="E1056" s="340" t="s">
        <v>2046</v>
      </c>
      <c r="F1056" s="340" t="s">
        <v>894</v>
      </c>
      <c r="G1056" s="340" t="s">
        <v>2047</v>
      </c>
      <c r="I1056" s="340" t="s">
        <v>740</v>
      </c>
      <c r="K1056" s="343">
        <v>0</v>
      </c>
      <c r="L1056" s="343">
        <v>-480</v>
      </c>
      <c r="M1056" s="343">
        <v>-1310243.32</v>
      </c>
      <c r="O1056" s="343">
        <v>0</v>
      </c>
    </row>
    <row r="1057" spans="1:15" x14ac:dyDescent="0.3">
      <c r="A1057" s="340" t="s">
        <v>891</v>
      </c>
      <c r="B1057" s="350">
        <v>46092</v>
      </c>
      <c r="C1057" s="350">
        <v>46093</v>
      </c>
      <c r="D1057" s="351">
        <v>46082</v>
      </c>
      <c r="E1057" s="340" t="s">
        <v>2048</v>
      </c>
      <c r="F1057" s="340" t="s">
        <v>894</v>
      </c>
      <c r="G1057" s="340" t="s">
        <v>2049</v>
      </c>
      <c r="I1057" s="340" t="s">
        <v>740</v>
      </c>
      <c r="K1057" s="343">
        <v>0</v>
      </c>
      <c r="L1057" s="343">
        <v>-145</v>
      </c>
      <c r="M1057" s="343">
        <v>-1310388.32</v>
      </c>
      <c r="O1057" s="343">
        <v>0</v>
      </c>
    </row>
    <row r="1058" spans="1:15" x14ac:dyDescent="0.3">
      <c r="A1058" s="340" t="s">
        <v>891</v>
      </c>
      <c r="B1058" s="350">
        <v>46092</v>
      </c>
      <c r="C1058" s="350">
        <v>46093</v>
      </c>
      <c r="D1058" s="351">
        <v>46082</v>
      </c>
      <c r="E1058" s="340" t="s">
        <v>2050</v>
      </c>
      <c r="F1058" s="340" t="s">
        <v>894</v>
      </c>
      <c r="G1058" s="340" t="s">
        <v>2051</v>
      </c>
      <c r="I1058" s="340" t="s">
        <v>740</v>
      </c>
      <c r="K1058" s="343">
        <v>0</v>
      </c>
      <c r="L1058" s="343">
        <v>-195</v>
      </c>
      <c r="M1058" s="343">
        <v>-1310583.32</v>
      </c>
      <c r="O1058" s="343">
        <v>0</v>
      </c>
    </row>
    <row r="1059" spans="1:15" x14ac:dyDescent="0.3">
      <c r="A1059" s="340" t="s">
        <v>891</v>
      </c>
      <c r="B1059" s="350">
        <v>46092</v>
      </c>
      <c r="C1059" s="350">
        <v>46093</v>
      </c>
      <c r="D1059" s="351">
        <v>46082</v>
      </c>
      <c r="E1059" s="340" t="s">
        <v>2052</v>
      </c>
      <c r="F1059" s="340" t="s">
        <v>894</v>
      </c>
      <c r="G1059" s="340" t="s">
        <v>2053</v>
      </c>
      <c r="I1059" s="340" t="s">
        <v>740</v>
      </c>
      <c r="K1059" s="343">
        <v>0</v>
      </c>
      <c r="L1059" s="343">
        <v>-480</v>
      </c>
      <c r="M1059" s="343">
        <v>-1311063.32</v>
      </c>
      <c r="O1059" s="343">
        <v>0</v>
      </c>
    </row>
    <row r="1060" spans="1:15" x14ac:dyDescent="0.3">
      <c r="A1060" s="340" t="s">
        <v>891</v>
      </c>
      <c r="B1060" s="350">
        <v>46092</v>
      </c>
      <c r="C1060" s="350">
        <v>46097</v>
      </c>
      <c r="D1060" s="351">
        <v>46082</v>
      </c>
      <c r="E1060" s="340" t="s">
        <v>2054</v>
      </c>
      <c r="F1060" s="340" t="s">
        <v>894</v>
      </c>
      <c r="G1060" s="340" t="s">
        <v>2055</v>
      </c>
      <c r="I1060" s="340" t="s">
        <v>765</v>
      </c>
      <c r="K1060" s="343">
        <v>0</v>
      </c>
      <c r="L1060" s="343">
        <v>-2018.24</v>
      </c>
      <c r="M1060" s="343">
        <v>-1313081.56</v>
      </c>
      <c r="O1060" s="343">
        <v>0</v>
      </c>
    </row>
    <row r="1061" spans="1:15" x14ac:dyDescent="0.3">
      <c r="A1061" s="340" t="s">
        <v>891</v>
      </c>
      <c r="B1061" s="350">
        <v>46092</v>
      </c>
      <c r="C1061" s="350">
        <v>46097</v>
      </c>
      <c r="D1061" s="351">
        <v>46082</v>
      </c>
      <c r="E1061" s="340" t="s">
        <v>2056</v>
      </c>
      <c r="F1061" s="340" t="s">
        <v>894</v>
      </c>
      <c r="G1061" s="340" t="s">
        <v>2057</v>
      </c>
      <c r="I1061" s="340" t="s">
        <v>765</v>
      </c>
      <c r="K1061" s="343">
        <v>0</v>
      </c>
      <c r="L1061" s="343">
        <v>-1359.1</v>
      </c>
      <c r="M1061" s="343">
        <v>-1314440.6599999999</v>
      </c>
      <c r="O1061" s="343">
        <v>0</v>
      </c>
    </row>
    <row r="1062" spans="1:15" x14ac:dyDescent="0.3">
      <c r="A1062" s="340" t="s">
        <v>891</v>
      </c>
      <c r="B1062" s="350">
        <v>46092</v>
      </c>
      <c r="C1062" s="350">
        <v>46099</v>
      </c>
      <c r="D1062" s="351">
        <v>46082</v>
      </c>
      <c r="E1062" s="340" t="s">
        <v>2058</v>
      </c>
      <c r="F1062" s="340" t="s">
        <v>894</v>
      </c>
      <c r="G1062" s="340" t="s">
        <v>2059</v>
      </c>
      <c r="I1062" s="340" t="s">
        <v>765</v>
      </c>
      <c r="K1062" s="343">
        <v>0</v>
      </c>
      <c r="L1062" s="343">
        <v>-693.91</v>
      </c>
      <c r="M1062" s="343">
        <v>-1315134.57</v>
      </c>
      <c r="O1062" s="343">
        <v>0</v>
      </c>
    </row>
    <row r="1063" spans="1:15" x14ac:dyDescent="0.3">
      <c r="A1063" s="340" t="s">
        <v>891</v>
      </c>
      <c r="B1063" s="350">
        <v>46093</v>
      </c>
      <c r="C1063" s="350">
        <v>46093</v>
      </c>
      <c r="D1063" s="351">
        <v>46082</v>
      </c>
      <c r="E1063" s="340" t="s">
        <v>2060</v>
      </c>
      <c r="F1063" s="340" t="s">
        <v>894</v>
      </c>
      <c r="G1063" s="340" t="s">
        <v>2061</v>
      </c>
      <c r="I1063" s="340" t="s">
        <v>931</v>
      </c>
      <c r="K1063" s="343">
        <v>0</v>
      </c>
      <c r="L1063" s="343">
        <v>-13199.12</v>
      </c>
      <c r="M1063" s="343">
        <v>-1328333.69</v>
      </c>
      <c r="O1063" s="343">
        <v>0</v>
      </c>
    </row>
    <row r="1064" spans="1:15" x14ac:dyDescent="0.3">
      <c r="A1064" s="340" t="s">
        <v>891</v>
      </c>
      <c r="B1064" s="350">
        <v>46093</v>
      </c>
      <c r="C1064" s="350">
        <v>46093</v>
      </c>
      <c r="D1064" s="351">
        <v>46082</v>
      </c>
      <c r="E1064" s="340" t="s">
        <v>2062</v>
      </c>
      <c r="F1064" s="340" t="s">
        <v>1078</v>
      </c>
      <c r="G1064" s="340" t="s">
        <v>1079</v>
      </c>
      <c r="I1064" s="340" t="s">
        <v>931</v>
      </c>
      <c r="K1064" s="343">
        <v>2797.5</v>
      </c>
      <c r="L1064" s="343">
        <v>0</v>
      </c>
      <c r="M1064" s="343">
        <v>-1325536.19</v>
      </c>
      <c r="O1064" s="343">
        <v>0</v>
      </c>
    </row>
    <row r="1065" spans="1:15" x14ac:dyDescent="0.3">
      <c r="A1065" s="340" t="s">
        <v>891</v>
      </c>
      <c r="B1065" s="350">
        <v>46093</v>
      </c>
      <c r="C1065" s="350">
        <v>46093</v>
      </c>
      <c r="D1065" s="351">
        <v>46082</v>
      </c>
      <c r="E1065" s="340" t="s">
        <v>2062</v>
      </c>
      <c r="F1065" s="340" t="s">
        <v>1078</v>
      </c>
      <c r="G1065" s="340" t="s">
        <v>1079</v>
      </c>
      <c r="I1065" s="340" t="s">
        <v>931</v>
      </c>
      <c r="K1065" s="343">
        <v>2658</v>
      </c>
      <c r="L1065" s="343">
        <v>0</v>
      </c>
      <c r="M1065" s="343">
        <v>-1322878.19</v>
      </c>
      <c r="O1065" s="343">
        <v>0</v>
      </c>
    </row>
    <row r="1066" spans="1:15" x14ac:dyDescent="0.3">
      <c r="A1066" s="340" t="s">
        <v>891</v>
      </c>
      <c r="B1066" s="350">
        <v>46093</v>
      </c>
      <c r="C1066" s="350">
        <v>46093</v>
      </c>
      <c r="D1066" s="351">
        <v>46082</v>
      </c>
      <c r="E1066" s="340" t="s">
        <v>2062</v>
      </c>
      <c r="F1066" s="340" t="s">
        <v>1078</v>
      </c>
      <c r="G1066" s="340" t="s">
        <v>1079</v>
      </c>
      <c r="I1066" s="340" t="s">
        <v>931</v>
      </c>
      <c r="K1066" s="343">
        <v>920</v>
      </c>
      <c r="L1066" s="343">
        <v>0</v>
      </c>
      <c r="M1066" s="343">
        <v>-1321958.19</v>
      </c>
      <c r="O1066" s="343">
        <v>0</v>
      </c>
    </row>
    <row r="1067" spans="1:15" x14ac:dyDescent="0.3">
      <c r="A1067" s="340" t="s">
        <v>891</v>
      </c>
      <c r="B1067" s="350">
        <v>46093</v>
      </c>
      <c r="C1067" s="350">
        <v>46093</v>
      </c>
      <c r="D1067" s="351">
        <v>46082</v>
      </c>
      <c r="E1067" s="340" t="s">
        <v>2062</v>
      </c>
      <c r="F1067" s="340" t="s">
        <v>1078</v>
      </c>
      <c r="G1067" s="340" t="s">
        <v>1079</v>
      </c>
      <c r="I1067" s="340" t="s">
        <v>931</v>
      </c>
      <c r="K1067" s="343">
        <v>2999.8</v>
      </c>
      <c r="L1067" s="343">
        <v>0</v>
      </c>
      <c r="M1067" s="343">
        <v>-1318958.3899999999</v>
      </c>
      <c r="O1067" s="343">
        <v>0</v>
      </c>
    </row>
    <row r="1068" spans="1:15" x14ac:dyDescent="0.3">
      <c r="A1068" s="340" t="s">
        <v>891</v>
      </c>
      <c r="B1068" s="350">
        <v>46093</v>
      </c>
      <c r="C1068" s="350">
        <v>46093</v>
      </c>
      <c r="D1068" s="351">
        <v>46082</v>
      </c>
      <c r="E1068" s="340" t="s">
        <v>2062</v>
      </c>
      <c r="F1068" s="340" t="s">
        <v>1078</v>
      </c>
      <c r="G1068" s="340" t="s">
        <v>1079</v>
      </c>
      <c r="I1068" s="340" t="s">
        <v>931</v>
      </c>
      <c r="K1068" s="343">
        <v>280</v>
      </c>
      <c r="L1068" s="343">
        <v>0</v>
      </c>
      <c r="M1068" s="343">
        <v>-1318678.3899999999</v>
      </c>
      <c r="O1068" s="343">
        <v>0</v>
      </c>
    </row>
    <row r="1069" spans="1:15" x14ac:dyDescent="0.3">
      <c r="A1069" s="340" t="s">
        <v>891</v>
      </c>
      <c r="B1069" s="350">
        <v>46093</v>
      </c>
      <c r="C1069" s="350">
        <v>46093</v>
      </c>
      <c r="D1069" s="351">
        <v>46082</v>
      </c>
      <c r="E1069" s="340" t="s">
        <v>2062</v>
      </c>
      <c r="F1069" s="340" t="s">
        <v>1078</v>
      </c>
      <c r="G1069" s="340" t="s">
        <v>1079</v>
      </c>
      <c r="I1069" s="340" t="s">
        <v>931</v>
      </c>
      <c r="K1069" s="343">
        <v>2295</v>
      </c>
      <c r="L1069" s="343">
        <v>0</v>
      </c>
      <c r="M1069" s="343">
        <v>-1316383.3899999999</v>
      </c>
      <c r="O1069" s="343">
        <v>0</v>
      </c>
    </row>
    <row r="1070" spans="1:15" x14ac:dyDescent="0.3">
      <c r="A1070" s="340" t="s">
        <v>891</v>
      </c>
      <c r="B1070" s="350">
        <v>46093</v>
      </c>
      <c r="C1070" s="350">
        <v>46093</v>
      </c>
      <c r="D1070" s="351">
        <v>46082</v>
      </c>
      <c r="E1070" s="340" t="s">
        <v>2062</v>
      </c>
      <c r="F1070" s="340" t="s">
        <v>1078</v>
      </c>
      <c r="G1070" s="340" t="s">
        <v>1079</v>
      </c>
      <c r="I1070" s="340" t="s">
        <v>931</v>
      </c>
      <c r="K1070" s="343">
        <v>660</v>
      </c>
      <c r="L1070" s="343">
        <v>0</v>
      </c>
      <c r="M1070" s="343">
        <v>-1315723.3899999999</v>
      </c>
      <c r="O1070" s="343">
        <v>0</v>
      </c>
    </row>
    <row r="1071" spans="1:15" x14ac:dyDescent="0.3">
      <c r="A1071" s="340" t="s">
        <v>891</v>
      </c>
      <c r="B1071" s="350">
        <v>46093</v>
      </c>
      <c r="C1071" s="350">
        <v>46093</v>
      </c>
      <c r="D1071" s="351">
        <v>46082</v>
      </c>
      <c r="E1071" s="340" t="s">
        <v>2062</v>
      </c>
      <c r="F1071" s="340" t="s">
        <v>1078</v>
      </c>
      <c r="G1071" s="340" t="s">
        <v>1079</v>
      </c>
      <c r="I1071" s="340" t="s">
        <v>931</v>
      </c>
      <c r="K1071" s="343">
        <v>1372.43</v>
      </c>
      <c r="L1071" s="343">
        <v>0</v>
      </c>
      <c r="M1071" s="343">
        <v>-1314350.96</v>
      </c>
      <c r="O1071" s="343">
        <v>0</v>
      </c>
    </row>
    <row r="1072" spans="1:15" x14ac:dyDescent="0.3">
      <c r="A1072" s="340" t="s">
        <v>891</v>
      </c>
      <c r="B1072" s="350">
        <v>46093</v>
      </c>
      <c r="C1072" s="350">
        <v>46093</v>
      </c>
      <c r="D1072" s="351">
        <v>46082</v>
      </c>
      <c r="E1072" s="340" t="s">
        <v>2062</v>
      </c>
      <c r="F1072" s="340" t="s">
        <v>1078</v>
      </c>
      <c r="G1072" s="340" t="s">
        <v>1079</v>
      </c>
      <c r="I1072" s="340" t="s">
        <v>931</v>
      </c>
      <c r="K1072" s="343">
        <v>984</v>
      </c>
      <c r="L1072" s="343">
        <v>0</v>
      </c>
      <c r="M1072" s="343">
        <v>-1313366.96</v>
      </c>
      <c r="O1072" s="343">
        <v>0</v>
      </c>
    </row>
    <row r="1073" spans="1:15" x14ac:dyDescent="0.3">
      <c r="A1073" s="340" t="s">
        <v>891</v>
      </c>
      <c r="B1073" s="350">
        <v>46093</v>
      </c>
      <c r="C1073" s="350">
        <v>46093</v>
      </c>
      <c r="D1073" s="351">
        <v>46082</v>
      </c>
      <c r="E1073" s="340" t="s">
        <v>2062</v>
      </c>
      <c r="F1073" s="340" t="s">
        <v>1078</v>
      </c>
      <c r="G1073" s="340" t="s">
        <v>1079</v>
      </c>
      <c r="I1073" s="340" t="s">
        <v>931</v>
      </c>
      <c r="K1073" s="343">
        <v>1085</v>
      </c>
      <c r="L1073" s="343">
        <v>0</v>
      </c>
      <c r="M1073" s="343">
        <v>-1312281.96</v>
      </c>
      <c r="O1073" s="343">
        <v>0</v>
      </c>
    </row>
    <row r="1074" spans="1:15" x14ac:dyDescent="0.3">
      <c r="A1074" s="340" t="s">
        <v>891</v>
      </c>
      <c r="B1074" s="350">
        <v>46093</v>
      </c>
      <c r="C1074" s="350">
        <v>46093</v>
      </c>
      <c r="D1074" s="351">
        <v>46082</v>
      </c>
      <c r="E1074" s="340" t="s">
        <v>2062</v>
      </c>
      <c r="F1074" s="340" t="s">
        <v>1078</v>
      </c>
      <c r="G1074" s="340" t="s">
        <v>1079</v>
      </c>
      <c r="I1074" s="340" t="s">
        <v>931</v>
      </c>
      <c r="K1074" s="343">
        <v>1981.85</v>
      </c>
      <c r="L1074" s="343">
        <v>0</v>
      </c>
      <c r="M1074" s="343">
        <v>-1310300.1100000001</v>
      </c>
      <c r="O1074" s="343">
        <v>0</v>
      </c>
    </row>
    <row r="1075" spans="1:15" x14ac:dyDescent="0.3">
      <c r="A1075" s="340" t="s">
        <v>891</v>
      </c>
      <c r="B1075" s="350">
        <v>46093</v>
      </c>
      <c r="C1075" s="350">
        <v>46093</v>
      </c>
      <c r="D1075" s="351">
        <v>46082</v>
      </c>
      <c r="E1075" s="340" t="s">
        <v>2062</v>
      </c>
      <c r="F1075" s="340" t="s">
        <v>1078</v>
      </c>
      <c r="G1075" s="340" t="s">
        <v>1079</v>
      </c>
      <c r="I1075" s="340" t="s">
        <v>931</v>
      </c>
      <c r="K1075" s="343">
        <v>733.75</v>
      </c>
      <c r="L1075" s="343">
        <v>0</v>
      </c>
      <c r="M1075" s="343">
        <v>-1309566.3600000001</v>
      </c>
      <c r="O1075" s="343">
        <v>0</v>
      </c>
    </row>
    <row r="1076" spans="1:15" x14ac:dyDescent="0.3">
      <c r="A1076" s="340" t="s">
        <v>891</v>
      </c>
      <c r="B1076" s="350">
        <v>46093</v>
      </c>
      <c r="C1076" s="350">
        <v>46093</v>
      </c>
      <c r="D1076" s="351">
        <v>46082</v>
      </c>
      <c r="E1076" s="340" t="s">
        <v>2062</v>
      </c>
      <c r="F1076" s="340" t="s">
        <v>1078</v>
      </c>
      <c r="G1076" s="340" t="s">
        <v>1079</v>
      </c>
      <c r="I1076" s="340" t="s">
        <v>931</v>
      </c>
      <c r="K1076" s="343">
        <v>394.5</v>
      </c>
      <c r="L1076" s="343">
        <v>0</v>
      </c>
      <c r="M1076" s="343">
        <v>-1309171.8600000001</v>
      </c>
      <c r="O1076" s="343">
        <v>0</v>
      </c>
    </row>
    <row r="1077" spans="1:15" x14ac:dyDescent="0.3">
      <c r="A1077" s="340" t="s">
        <v>891</v>
      </c>
      <c r="B1077" s="350">
        <v>46093</v>
      </c>
      <c r="C1077" s="350">
        <v>46093</v>
      </c>
      <c r="D1077" s="351">
        <v>46082</v>
      </c>
      <c r="E1077" s="340" t="s">
        <v>2062</v>
      </c>
      <c r="F1077" s="340" t="s">
        <v>1078</v>
      </c>
      <c r="G1077" s="340" t="s">
        <v>1079</v>
      </c>
      <c r="I1077" s="340" t="s">
        <v>931</v>
      </c>
      <c r="K1077" s="343">
        <v>2615</v>
      </c>
      <c r="L1077" s="343">
        <v>0</v>
      </c>
      <c r="M1077" s="343">
        <v>-1306556.8600000001</v>
      </c>
      <c r="O1077" s="343">
        <v>0</v>
      </c>
    </row>
    <row r="1078" spans="1:15" x14ac:dyDescent="0.3">
      <c r="A1078" s="340" t="s">
        <v>891</v>
      </c>
      <c r="B1078" s="350">
        <v>46093</v>
      </c>
      <c r="C1078" s="350">
        <v>46093</v>
      </c>
      <c r="D1078" s="351">
        <v>46082</v>
      </c>
      <c r="E1078" s="340" t="s">
        <v>2062</v>
      </c>
      <c r="F1078" s="340" t="s">
        <v>1078</v>
      </c>
      <c r="G1078" s="340" t="s">
        <v>1079</v>
      </c>
      <c r="I1078" s="340" t="s">
        <v>931</v>
      </c>
      <c r="K1078" s="343">
        <v>742.5</v>
      </c>
      <c r="L1078" s="343">
        <v>0</v>
      </c>
      <c r="M1078" s="343">
        <v>-1305814.3600000001</v>
      </c>
      <c r="O1078" s="343">
        <v>0</v>
      </c>
    </row>
    <row r="1079" spans="1:15" x14ac:dyDescent="0.3">
      <c r="A1079" s="340" t="s">
        <v>891</v>
      </c>
      <c r="B1079" s="350">
        <v>46093</v>
      </c>
      <c r="C1079" s="350">
        <v>46093</v>
      </c>
      <c r="D1079" s="351">
        <v>46082</v>
      </c>
      <c r="E1079" s="340" t="s">
        <v>2062</v>
      </c>
      <c r="F1079" s="340" t="s">
        <v>1078</v>
      </c>
      <c r="G1079" s="340" t="s">
        <v>1079</v>
      </c>
      <c r="I1079" s="340" t="s">
        <v>931</v>
      </c>
      <c r="K1079" s="343">
        <v>2031</v>
      </c>
      <c r="L1079" s="343">
        <v>0</v>
      </c>
      <c r="M1079" s="343">
        <v>-1303783.3600000001</v>
      </c>
      <c r="O1079" s="343">
        <v>0</v>
      </c>
    </row>
    <row r="1080" spans="1:15" x14ac:dyDescent="0.3">
      <c r="A1080" s="340" t="s">
        <v>891</v>
      </c>
      <c r="B1080" s="350">
        <v>46093</v>
      </c>
      <c r="C1080" s="350">
        <v>46093</v>
      </c>
      <c r="D1080" s="351">
        <v>46082</v>
      </c>
      <c r="E1080" s="340" t="s">
        <v>2062</v>
      </c>
      <c r="F1080" s="340" t="s">
        <v>1078</v>
      </c>
      <c r="G1080" s="340" t="s">
        <v>1079</v>
      </c>
      <c r="I1080" s="340" t="s">
        <v>931</v>
      </c>
      <c r="K1080" s="343">
        <v>2750</v>
      </c>
      <c r="L1080" s="343">
        <v>0</v>
      </c>
      <c r="M1080" s="343">
        <v>-1301033.3600000001</v>
      </c>
      <c r="O1080" s="343">
        <v>0</v>
      </c>
    </row>
    <row r="1081" spans="1:15" x14ac:dyDescent="0.3">
      <c r="A1081" s="340" t="s">
        <v>891</v>
      </c>
      <c r="B1081" s="350">
        <v>46093</v>
      </c>
      <c r="C1081" s="350">
        <v>46093</v>
      </c>
      <c r="D1081" s="351">
        <v>46082</v>
      </c>
      <c r="E1081" s="340" t="s">
        <v>2062</v>
      </c>
      <c r="F1081" s="340" t="s">
        <v>1078</v>
      </c>
      <c r="G1081" s="340" t="s">
        <v>1079</v>
      </c>
      <c r="I1081" s="340" t="s">
        <v>931</v>
      </c>
      <c r="K1081" s="343">
        <v>920</v>
      </c>
      <c r="L1081" s="343">
        <v>0</v>
      </c>
      <c r="M1081" s="343">
        <v>-1300113.3600000001</v>
      </c>
      <c r="O1081" s="343">
        <v>0</v>
      </c>
    </row>
    <row r="1082" spans="1:15" x14ac:dyDescent="0.3">
      <c r="A1082" s="340" t="s">
        <v>891</v>
      </c>
      <c r="B1082" s="350">
        <v>46093</v>
      </c>
      <c r="C1082" s="350">
        <v>46093</v>
      </c>
      <c r="D1082" s="351">
        <v>46082</v>
      </c>
      <c r="E1082" s="340" t="s">
        <v>2062</v>
      </c>
      <c r="F1082" s="340" t="s">
        <v>1078</v>
      </c>
      <c r="G1082" s="340" t="s">
        <v>1079</v>
      </c>
      <c r="I1082" s="340" t="s">
        <v>931</v>
      </c>
      <c r="K1082" s="343">
        <v>330</v>
      </c>
      <c r="L1082" s="343">
        <v>0</v>
      </c>
      <c r="M1082" s="343">
        <v>-1299783.3600000001</v>
      </c>
      <c r="O1082" s="343">
        <v>0</v>
      </c>
    </row>
    <row r="1083" spans="1:15" x14ac:dyDescent="0.3">
      <c r="A1083" s="340" t="s">
        <v>891</v>
      </c>
      <c r="B1083" s="350">
        <v>46093</v>
      </c>
      <c r="C1083" s="350">
        <v>46093</v>
      </c>
      <c r="D1083" s="351">
        <v>46082</v>
      </c>
      <c r="E1083" s="340" t="s">
        <v>2062</v>
      </c>
      <c r="F1083" s="340" t="s">
        <v>1078</v>
      </c>
      <c r="G1083" s="340" t="s">
        <v>1079</v>
      </c>
      <c r="I1083" s="340" t="s">
        <v>931</v>
      </c>
      <c r="K1083" s="343">
        <v>415</v>
      </c>
      <c r="L1083" s="343">
        <v>0</v>
      </c>
      <c r="M1083" s="343">
        <v>-1299368.3600000001</v>
      </c>
      <c r="O1083" s="343">
        <v>0</v>
      </c>
    </row>
    <row r="1084" spans="1:15" x14ac:dyDescent="0.3">
      <c r="A1084" s="340" t="s">
        <v>891</v>
      </c>
      <c r="B1084" s="350">
        <v>46093</v>
      </c>
      <c r="C1084" s="350">
        <v>46093</v>
      </c>
      <c r="D1084" s="351">
        <v>46082</v>
      </c>
      <c r="E1084" s="340" t="s">
        <v>2062</v>
      </c>
      <c r="F1084" s="340" t="s">
        <v>1078</v>
      </c>
      <c r="G1084" s="340" t="s">
        <v>1079</v>
      </c>
      <c r="I1084" s="340" t="s">
        <v>931</v>
      </c>
      <c r="K1084" s="343">
        <v>324</v>
      </c>
      <c r="L1084" s="343">
        <v>0</v>
      </c>
      <c r="M1084" s="343">
        <v>-1299044.3600000001</v>
      </c>
      <c r="O1084" s="343">
        <v>0</v>
      </c>
    </row>
    <row r="1085" spans="1:15" x14ac:dyDescent="0.3">
      <c r="A1085" s="340" t="s">
        <v>891</v>
      </c>
      <c r="B1085" s="350">
        <v>46093</v>
      </c>
      <c r="C1085" s="350">
        <v>46093</v>
      </c>
      <c r="D1085" s="351">
        <v>46082</v>
      </c>
      <c r="E1085" s="340" t="s">
        <v>2062</v>
      </c>
      <c r="F1085" s="340" t="s">
        <v>1078</v>
      </c>
      <c r="G1085" s="340" t="s">
        <v>1079</v>
      </c>
      <c r="I1085" s="340" t="s">
        <v>931</v>
      </c>
      <c r="K1085" s="343">
        <v>2782.36</v>
      </c>
      <c r="L1085" s="343">
        <v>0</v>
      </c>
      <c r="M1085" s="343">
        <v>-1296262</v>
      </c>
      <c r="O1085" s="343">
        <v>0</v>
      </c>
    </row>
    <row r="1086" spans="1:15" x14ac:dyDescent="0.3">
      <c r="A1086" s="340" t="s">
        <v>891</v>
      </c>
      <c r="B1086" s="350">
        <v>46093</v>
      </c>
      <c r="C1086" s="350">
        <v>46093</v>
      </c>
      <c r="D1086" s="351">
        <v>46082</v>
      </c>
      <c r="E1086" s="340" t="s">
        <v>2062</v>
      </c>
      <c r="F1086" s="340" t="s">
        <v>1078</v>
      </c>
      <c r="G1086" s="340" t="s">
        <v>1079</v>
      </c>
      <c r="I1086" s="340" t="s">
        <v>931</v>
      </c>
      <c r="K1086" s="343">
        <v>585.64</v>
      </c>
      <c r="L1086" s="343">
        <v>0</v>
      </c>
      <c r="M1086" s="343">
        <v>-1295676.3600000001</v>
      </c>
      <c r="O1086" s="343">
        <v>0</v>
      </c>
    </row>
    <row r="1087" spans="1:15" x14ac:dyDescent="0.3">
      <c r="A1087" s="340" t="s">
        <v>891</v>
      </c>
      <c r="B1087" s="350">
        <v>46093</v>
      </c>
      <c r="C1087" s="350">
        <v>46093</v>
      </c>
      <c r="D1087" s="351">
        <v>46082</v>
      </c>
      <c r="E1087" s="340" t="s">
        <v>2062</v>
      </c>
      <c r="F1087" s="340" t="s">
        <v>1078</v>
      </c>
      <c r="G1087" s="340" t="s">
        <v>1079</v>
      </c>
      <c r="I1087" s="340" t="s">
        <v>931</v>
      </c>
      <c r="K1087" s="343">
        <v>1590.51</v>
      </c>
      <c r="L1087" s="343">
        <v>0</v>
      </c>
      <c r="M1087" s="343">
        <v>-1294085.8500000001</v>
      </c>
      <c r="O1087" s="343">
        <v>0</v>
      </c>
    </row>
    <row r="1088" spans="1:15" x14ac:dyDescent="0.3">
      <c r="A1088" s="340" t="s">
        <v>891</v>
      </c>
      <c r="B1088" s="350">
        <v>46093</v>
      </c>
      <c r="C1088" s="350">
        <v>46093</v>
      </c>
      <c r="D1088" s="351">
        <v>46082</v>
      </c>
      <c r="E1088" s="340" t="s">
        <v>2062</v>
      </c>
      <c r="F1088" s="340" t="s">
        <v>1078</v>
      </c>
      <c r="G1088" s="340" t="s">
        <v>1079</v>
      </c>
      <c r="I1088" s="340" t="s">
        <v>931</v>
      </c>
      <c r="K1088" s="343">
        <v>325.64</v>
      </c>
      <c r="L1088" s="343">
        <v>0</v>
      </c>
      <c r="M1088" s="343">
        <v>-1293760.21</v>
      </c>
      <c r="O1088" s="343">
        <v>0</v>
      </c>
    </row>
    <row r="1089" spans="1:15" x14ac:dyDescent="0.3">
      <c r="A1089" s="340" t="s">
        <v>891</v>
      </c>
      <c r="B1089" s="350">
        <v>46093</v>
      </c>
      <c r="C1089" s="350">
        <v>46093</v>
      </c>
      <c r="D1089" s="351">
        <v>46082</v>
      </c>
      <c r="E1089" s="340" t="s">
        <v>2062</v>
      </c>
      <c r="F1089" s="340" t="s">
        <v>1078</v>
      </c>
      <c r="G1089" s="340" t="s">
        <v>1079</v>
      </c>
      <c r="I1089" s="340" t="s">
        <v>931</v>
      </c>
      <c r="K1089" s="343">
        <v>1321.25</v>
      </c>
      <c r="L1089" s="343">
        <v>0</v>
      </c>
      <c r="M1089" s="343">
        <v>-1292438.96</v>
      </c>
      <c r="O1089" s="343">
        <v>0</v>
      </c>
    </row>
    <row r="1090" spans="1:15" x14ac:dyDescent="0.3">
      <c r="A1090" s="340" t="s">
        <v>891</v>
      </c>
      <c r="B1090" s="350">
        <v>46093</v>
      </c>
      <c r="C1090" s="350">
        <v>46093</v>
      </c>
      <c r="D1090" s="351">
        <v>46082</v>
      </c>
      <c r="E1090" s="340" t="s">
        <v>2062</v>
      </c>
      <c r="F1090" s="340" t="s">
        <v>1078</v>
      </c>
      <c r="G1090" s="340" t="s">
        <v>1079</v>
      </c>
      <c r="I1090" s="340" t="s">
        <v>931</v>
      </c>
      <c r="K1090" s="343">
        <v>1745.86</v>
      </c>
      <c r="L1090" s="343">
        <v>0</v>
      </c>
      <c r="M1090" s="343">
        <v>-1290693.1000000001</v>
      </c>
      <c r="O1090" s="343">
        <v>0</v>
      </c>
    </row>
    <row r="1091" spans="1:15" x14ac:dyDescent="0.3">
      <c r="A1091" s="340" t="s">
        <v>891</v>
      </c>
      <c r="B1091" s="350">
        <v>46093</v>
      </c>
      <c r="C1091" s="350">
        <v>46093</v>
      </c>
      <c r="D1091" s="351">
        <v>46082</v>
      </c>
      <c r="E1091" s="340" t="s">
        <v>2062</v>
      </c>
      <c r="F1091" s="340" t="s">
        <v>1078</v>
      </c>
      <c r="G1091" s="340" t="s">
        <v>1079</v>
      </c>
      <c r="I1091" s="340" t="s">
        <v>931</v>
      </c>
      <c r="K1091" s="343">
        <v>1001.96</v>
      </c>
      <c r="L1091" s="343">
        <v>0</v>
      </c>
      <c r="M1091" s="343">
        <v>-1289691.1399999999</v>
      </c>
      <c r="O1091" s="343">
        <v>0</v>
      </c>
    </row>
    <row r="1092" spans="1:15" x14ac:dyDescent="0.3">
      <c r="A1092" s="340" t="s">
        <v>891</v>
      </c>
      <c r="B1092" s="350">
        <v>46093</v>
      </c>
      <c r="C1092" s="350">
        <v>46093</v>
      </c>
      <c r="D1092" s="351">
        <v>46082</v>
      </c>
      <c r="E1092" s="340" t="s">
        <v>2062</v>
      </c>
      <c r="F1092" s="340" t="s">
        <v>1078</v>
      </c>
      <c r="G1092" s="340" t="s">
        <v>1079</v>
      </c>
      <c r="I1092" s="340" t="s">
        <v>931</v>
      </c>
      <c r="K1092" s="343">
        <v>1017.89</v>
      </c>
      <c r="L1092" s="343">
        <v>0</v>
      </c>
      <c r="M1092" s="343">
        <v>-1288673.25</v>
      </c>
      <c r="O1092" s="343">
        <v>0</v>
      </c>
    </row>
    <row r="1093" spans="1:15" x14ac:dyDescent="0.3">
      <c r="A1093" s="340" t="s">
        <v>891</v>
      </c>
      <c r="B1093" s="350">
        <v>46093</v>
      </c>
      <c r="C1093" s="350">
        <v>46093</v>
      </c>
      <c r="D1093" s="351">
        <v>46082</v>
      </c>
      <c r="E1093" s="340" t="s">
        <v>2062</v>
      </c>
      <c r="F1093" s="340" t="s">
        <v>1078</v>
      </c>
      <c r="G1093" s="340" t="s">
        <v>1079</v>
      </c>
      <c r="I1093" s="340" t="s">
        <v>931</v>
      </c>
      <c r="K1093" s="343">
        <v>1000</v>
      </c>
      <c r="L1093" s="343">
        <v>0</v>
      </c>
      <c r="M1093" s="343">
        <v>-1287673.25</v>
      </c>
      <c r="O1093" s="343">
        <v>0</v>
      </c>
    </row>
    <row r="1094" spans="1:15" x14ac:dyDescent="0.3">
      <c r="A1094" s="340" t="s">
        <v>891</v>
      </c>
      <c r="B1094" s="350">
        <v>46093</v>
      </c>
      <c r="C1094" s="350">
        <v>46093</v>
      </c>
      <c r="D1094" s="351">
        <v>46082</v>
      </c>
      <c r="E1094" s="340" t="s">
        <v>2062</v>
      </c>
      <c r="F1094" s="340" t="s">
        <v>1078</v>
      </c>
      <c r="G1094" s="340" t="s">
        <v>1079</v>
      </c>
      <c r="I1094" s="340" t="s">
        <v>931</v>
      </c>
      <c r="K1094" s="343">
        <v>360</v>
      </c>
      <c r="L1094" s="343">
        <v>0</v>
      </c>
      <c r="M1094" s="343">
        <v>-1287313.25</v>
      </c>
      <c r="O1094" s="343">
        <v>0</v>
      </c>
    </row>
    <row r="1095" spans="1:15" x14ac:dyDescent="0.3">
      <c r="A1095" s="340" t="s">
        <v>891</v>
      </c>
      <c r="B1095" s="350">
        <v>46093</v>
      </c>
      <c r="C1095" s="350">
        <v>46093</v>
      </c>
      <c r="D1095" s="351">
        <v>46082</v>
      </c>
      <c r="E1095" s="340" t="s">
        <v>2062</v>
      </c>
      <c r="F1095" s="340" t="s">
        <v>1078</v>
      </c>
      <c r="G1095" s="340" t="s">
        <v>1079</v>
      </c>
      <c r="I1095" s="340" t="s">
        <v>931</v>
      </c>
      <c r="K1095" s="343">
        <v>2654.35</v>
      </c>
      <c r="L1095" s="343">
        <v>0</v>
      </c>
      <c r="M1095" s="343">
        <v>-1284658.8999999999</v>
      </c>
      <c r="O1095" s="343">
        <v>0</v>
      </c>
    </row>
    <row r="1096" spans="1:15" x14ac:dyDescent="0.3">
      <c r="A1096" s="340" t="s">
        <v>891</v>
      </c>
      <c r="B1096" s="350">
        <v>46093</v>
      </c>
      <c r="C1096" s="350">
        <v>46093</v>
      </c>
      <c r="D1096" s="351">
        <v>46082</v>
      </c>
      <c r="E1096" s="340" t="s">
        <v>2062</v>
      </c>
      <c r="F1096" s="340" t="s">
        <v>1078</v>
      </c>
      <c r="G1096" s="340" t="s">
        <v>1079</v>
      </c>
      <c r="I1096" s="340" t="s">
        <v>931</v>
      </c>
      <c r="K1096" s="343">
        <v>2614.35</v>
      </c>
      <c r="L1096" s="343">
        <v>0</v>
      </c>
      <c r="M1096" s="343">
        <v>-1282044.55</v>
      </c>
      <c r="O1096" s="343">
        <v>0</v>
      </c>
    </row>
    <row r="1097" spans="1:15" x14ac:dyDescent="0.3">
      <c r="A1097" s="340" t="s">
        <v>891</v>
      </c>
      <c r="B1097" s="350">
        <v>46093</v>
      </c>
      <c r="C1097" s="350">
        <v>46093</v>
      </c>
      <c r="D1097" s="351">
        <v>46082</v>
      </c>
      <c r="E1097" s="340" t="s">
        <v>2062</v>
      </c>
      <c r="F1097" s="340" t="s">
        <v>1078</v>
      </c>
      <c r="G1097" s="340" t="s">
        <v>1079</v>
      </c>
      <c r="I1097" s="340" t="s">
        <v>931</v>
      </c>
      <c r="K1097" s="343">
        <v>400</v>
      </c>
      <c r="L1097" s="343">
        <v>0</v>
      </c>
      <c r="M1097" s="343">
        <v>-1281644.55</v>
      </c>
      <c r="O1097" s="343">
        <v>0</v>
      </c>
    </row>
    <row r="1098" spans="1:15" x14ac:dyDescent="0.3">
      <c r="A1098" s="340" t="s">
        <v>891</v>
      </c>
      <c r="B1098" s="350">
        <v>46093</v>
      </c>
      <c r="C1098" s="350">
        <v>46093</v>
      </c>
      <c r="D1098" s="351">
        <v>46082</v>
      </c>
      <c r="E1098" s="340" t="s">
        <v>2062</v>
      </c>
      <c r="F1098" s="340" t="s">
        <v>1078</v>
      </c>
      <c r="G1098" s="340" t="s">
        <v>1079</v>
      </c>
      <c r="I1098" s="340" t="s">
        <v>931</v>
      </c>
      <c r="K1098" s="343">
        <v>1743.24</v>
      </c>
      <c r="L1098" s="343">
        <v>0</v>
      </c>
      <c r="M1098" s="343">
        <v>-1279901.31</v>
      </c>
      <c r="O1098" s="343">
        <v>0</v>
      </c>
    </row>
    <row r="1099" spans="1:15" x14ac:dyDescent="0.3">
      <c r="A1099" s="340" t="s">
        <v>891</v>
      </c>
      <c r="B1099" s="350">
        <v>46093</v>
      </c>
      <c r="C1099" s="350">
        <v>46093</v>
      </c>
      <c r="D1099" s="351">
        <v>46082</v>
      </c>
      <c r="E1099" s="340" t="s">
        <v>2062</v>
      </c>
      <c r="F1099" s="340" t="s">
        <v>1078</v>
      </c>
      <c r="G1099" s="340" t="s">
        <v>1079</v>
      </c>
      <c r="I1099" s="340" t="s">
        <v>931</v>
      </c>
      <c r="K1099" s="343">
        <v>1275.5</v>
      </c>
      <c r="L1099" s="343">
        <v>0</v>
      </c>
      <c r="M1099" s="343">
        <v>-1278625.81</v>
      </c>
      <c r="O1099" s="343">
        <v>0</v>
      </c>
    </row>
    <row r="1100" spans="1:15" x14ac:dyDescent="0.3">
      <c r="A1100" s="340" t="s">
        <v>891</v>
      </c>
      <c r="B1100" s="350">
        <v>46093</v>
      </c>
      <c r="C1100" s="350">
        <v>46093</v>
      </c>
      <c r="D1100" s="351">
        <v>46082</v>
      </c>
      <c r="E1100" s="340" t="s">
        <v>2062</v>
      </c>
      <c r="F1100" s="340" t="s">
        <v>1078</v>
      </c>
      <c r="G1100" s="340" t="s">
        <v>1079</v>
      </c>
      <c r="I1100" s="340" t="s">
        <v>931</v>
      </c>
      <c r="K1100" s="343">
        <v>1288.5</v>
      </c>
      <c r="L1100" s="343">
        <v>0</v>
      </c>
      <c r="M1100" s="343">
        <v>-1277337.31</v>
      </c>
      <c r="O1100" s="343">
        <v>0</v>
      </c>
    </row>
    <row r="1101" spans="1:15" x14ac:dyDescent="0.3">
      <c r="A1101" s="340" t="s">
        <v>891</v>
      </c>
      <c r="B1101" s="350">
        <v>46093</v>
      </c>
      <c r="C1101" s="350">
        <v>46093</v>
      </c>
      <c r="D1101" s="351">
        <v>46082</v>
      </c>
      <c r="E1101" s="340" t="s">
        <v>2062</v>
      </c>
      <c r="F1101" s="340" t="s">
        <v>1078</v>
      </c>
      <c r="G1101" s="340" t="s">
        <v>1079</v>
      </c>
      <c r="I1101" s="340" t="s">
        <v>931</v>
      </c>
      <c r="K1101" s="343">
        <v>1185.6300000000001</v>
      </c>
      <c r="L1101" s="343">
        <v>0</v>
      </c>
      <c r="M1101" s="343">
        <v>-1276151.68</v>
      </c>
      <c r="O1101" s="343">
        <v>0</v>
      </c>
    </row>
    <row r="1102" spans="1:15" x14ac:dyDescent="0.3">
      <c r="A1102" s="340" t="s">
        <v>891</v>
      </c>
      <c r="B1102" s="350">
        <v>46093</v>
      </c>
      <c r="C1102" s="350">
        <v>46093</v>
      </c>
      <c r="D1102" s="351">
        <v>46082</v>
      </c>
      <c r="E1102" s="340" t="s">
        <v>2062</v>
      </c>
      <c r="F1102" s="340" t="s">
        <v>1078</v>
      </c>
      <c r="G1102" s="340" t="s">
        <v>1079</v>
      </c>
      <c r="I1102" s="340" t="s">
        <v>931</v>
      </c>
      <c r="K1102" s="343">
        <v>1802.69</v>
      </c>
      <c r="L1102" s="343">
        <v>0</v>
      </c>
      <c r="M1102" s="343">
        <v>-1274348.99</v>
      </c>
      <c r="O1102" s="343">
        <v>0</v>
      </c>
    </row>
    <row r="1103" spans="1:15" x14ac:dyDescent="0.3">
      <c r="A1103" s="340" t="s">
        <v>891</v>
      </c>
      <c r="B1103" s="350">
        <v>46093</v>
      </c>
      <c r="C1103" s="350">
        <v>46093</v>
      </c>
      <c r="D1103" s="351">
        <v>46082</v>
      </c>
      <c r="E1103" s="340" t="s">
        <v>2062</v>
      </c>
      <c r="F1103" s="340" t="s">
        <v>1078</v>
      </c>
      <c r="G1103" s="340" t="s">
        <v>1079</v>
      </c>
      <c r="I1103" s="340" t="s">
        <v>931</v>
      </c>
      <c r="K1103" s="343">
        <v>1683.79</v>
      </c>
      <c r="L1103" s="343">
        <v>0</v>
      </c>
      <c r="M1103" s="343">
        <v>-1272665.2</v>
      </c>
      <c r="O1103" s="343">
        <v>0</v>
      </c>
    </row>
    <row r="1104" spans="1:15" x14ac:dyDescent="0.3">
      <c r="A1104" s="340" t="s">
        <v>891</v>
      </c>
      <c r="B1104" s="350">
        <v>46093</v>
      </c>
      <c r="C1104" s="350">
        <v>46093</v>
      </c>
      <c r="D1104" s="351">
        <v>46082</v>
      </c>
      <c r="E1104" s="340" t="s">
        <v>2062</v>
      </c>
      <c r="F1104" s="340" t="s">
        <v>1078</v>
      </c>
      <c r="G1104" s="340" t="s">
        <v>1079</v>
      </c>
      <c r="I1104" s="340" t="s">
        <v>931</v>
      </c>
      <c r="K1104" s="343">
        <v>2056.87</v>
      </c>
      <c r="L1104" s="343">
        <v>0</v>
      </c>
      <c r="M1104" s="343">
        <v>-1270608.33</v>
      </c>
      <c r="O1104" s="343">
        <v>0</v>
      </c>
    </row>
    <row r="1105" spans="1:15" x14ac:dyDescent="0.3">
      <c r="A1105" s="340" t="s">
        <v>891</v>
      </c>
      <c r="B1105" s="350">
        <v>46093</v>
      </c>
      <c r="C1105" s="350">
        <v>46093</v>
      </c>
      <c r="D1105" s="351">
        <v>46082</v>
      </c>
      <c r="E1105" s="340" t="s">
        <v>2062</v>
      </c>
      <c r="F1105" s="340" t="s">
        <v>1078</v>
      </c>
      <c r="G1105" s="340" t="s">
        <v>1079</v>
      </c>
      <c r="I1105" s="340" t="s">
        <v>931</v>
      </c>
      <c r="K1105" s="343">
        <v>1865.39</v>
      </c>
      <c r="L1105" s="343">
        <v>0</v>
      </c>
      <c r="M1105" s="343">
        <v>-1268742.94</v>
      </c>
      <c r="O1105" s="343">
        <v>0</v>
      </c>
    </row>
    <row r="1106" spans="1:15" x14ac:dyDescent="0.3">
      <c r="A1106" s="340" t="s">
        <v>891</v>
      </c>
      <c r="B1106" s="350">
        <v>46093</v>
      </c>
      <c r="C1106" s="350">
        <v>46093</v>
      </c>
      <c r="D1106" s="351">
        <v>46082</v>
      </c>
      <c r="E1106" s="340" t="s">
        <v>2062</v>
      </c>
      <c r="F1106" s="340" t="s">
        <v>1078</v>
      </c>
      <c r="G1106" s="340" t="s">
        <v>1079</v>
      </c>
      <c r="I1106" s="340" t="s">
        <v>931</v>
      </c>
      <c r="K1106" s="343">
        <v>1307.46</v>
      </c>
      <c r="L1106" s="343">
        <v>0</v>
      </c>
      <c r="M1106" s="343">
        <v>-1267435.48</v>
      </c>
      <c r="O1106" s="343">
        <v>0</v>
      </c>
    </row>
    <row r="1107" spans="1:15" x14ac:dyDescent="0.3">
      <c r="A1107" s="340" t="s">
        <v>891</v>
      </c>
      <c r="B1107" s="350">
        <v>46093</v>
      </c>
      <c r="C1107" s="350">
        <v>46093</v>
      </c>
      <c r="D1107" s="351">
        <v>46082</v>
      </c>
      <c r="E1107" s="340" t="s">
        <v>2062</v>
      </c>
      <c r="F1107" s="340" t="s">
        <v>1078</v>
      </c>
      <c r="G1107" s="340" t="s">
        <v>1079</v>
      </c>
      <c r="I1107" s="340" t="s">
        <v>931</v>
      </c>
      <c r="K1107" s="343">
        <v>1765.25</v>
      </c>
      <c r="L1107" s="343">
        <v>0</v>
      </c>
      <c r="M1107" s="343">
        <v>-1265670.23</v>
      </c>
      <c r="O1107" s="343">
        <v>0</v>
      </c>
    </row>
    <row r="1108" spans="1:15" x14ac:dyDescent="0.3">
      <c r="A1108" s="340" t="s">
        <v>891</v>
      </c>
      <c r="B1108" s="350">
        <v>46093</v>
      </c>
      <c r="C1108" s="350">
        <v>46093</v>
      </c>
      <c r="D1108" s="351">
        <v>46082</v>
      </c>
      <c r="E1108" s="340" t="s">
        <v>2062</v>
      </c>
      <c r="F1108" s="340" t="s">
        <v>1078</v>
      </c>
      <c r="G1108" s="340" t="s">
        <v>1079</v>
      </c>
      <c r="I1108" s="340" t="s">
        <v>931</v>
      </c>
      <c r="K1108" s="343">
        <v>750</v>
      </c>
      <c r="L1108" s="343">
        <v>0</v>
      </c>
      <c r="M1108" s="343">
        <v>-1264920.23</v>
      </c>
      <c r="O1108" s="343">
        <v>0</v>
      </c>
    </row>
    <row r="1109" spans="1:15" x14ac:dyDescent="0.3">
      <c r="A1109" s="340" t="s">
        <v>891</v>
      </c>
      <c r="B1109" s="350">
        <v>46093</v>
      </c>
      <c r="C1109" s="350">
        <v>46093</v>
      </c>
      <c r="D1109" s="351">
        <v>46082</v>
      </c>
      <c r="E1109" s="340" t="s">
        <v>2062</v>
      </c>
      <c r="F1109" s="340" t="s">
        <v>1078</v>
      </c>
      <c r="G1109" s="340" t="s">
        <v>1079</v>
      </c>
      <c r="I1109" s="340" t="s">
        <v>931</v>
      </c>
      <c r="K1109" s="343">
        <v>1708.55</v>
      </c>
      <c r="L1109" s="343">
        <v>0</v>
      </c>
      <c r="M1109" s="343">
        <v>-1263211.68</v>
      </c>
      <c r="O1109" s="343">
        <v>0</v>
      </c>
    </row>
    <row r="1110" spans="1:15" x14ac:dyDescent="0.3">
      <c r="A1110" s="340" t="s">
        <v>891</v>
      </c>
      <c r="B1110" s="350">
        <v>46093</v>
      </c>
      <c r="C1110" s="350">
        <v>46093</v>
      </c>
      <c r="D1110" s="351">
        <v>46082</v>
      </c>
      <c r="E1110" s="340" t="s">
        <v>2062</v>
      </c>
      <c r="F1110" s="340" t="s">
        <v>1078</v>
      </c>
      <c r="G1110" s="340" t="s">
        <v>1079</v>
      </c>
      <c r="I1110" s="340" t="s">
        <v>931</v>
      </c>
      <c r="K1110" s="343">
        <v>735.62</v>
      </c>
      <c r="L1110" s="343">
        <v>0</v>
      </c>
      <c r="M1110" s="343">
        <v>-1262476.06</v>
      </c>
      <c r="O1110" s="343">
        <v>0</v>
      </c>
    </row>
    <row r="1111" spans="1:15" x14ac:dyDescent="0.3">
      <c r="A1111" s="340" t="s">
        <v>891</v>
      </c>
      <c r="B1111" s="350">
        <v>46093</v>
      </c>
      <c r="C1111" s="350">
        <v>46093</v>
      </c>
      <c r="D1111" s="351">
        <v>46082</v>
      </c>
      <c r="E1111" s="340" t="s">
        <v>2062</v>
      </c>
      <c r="F1111" s="340" t="s">
        <v>1078</v>
      </c>
      <c r="G1111" s="340" t="s">
        <v>1079</v>
      </c>
      <c r="I1111" s="340" t="s">
        <v>931</v>
      </c>
      <c r="K1111" s="343">
        <v>1257</v>
      </c>
      <c r="L1111" s="343">
        <v>0</v>
      </c>
      <c r="M1111" s="343">
        <v>-1261219.06</v>
      </c>
      <c r="O1111" s="343">
        <v>0</v>
      </c>
    </row>
    <row r="1112" spans="1:15" x14ac:dyDescent="0.3">
      <c r="A1112" s="340" t="s">
        <v>891</v>
      </c>
      <c r="B1112" s="350">
        <v>46093</v>
      </c>
      <c r="C1112" s="350">
        <v>46093</v>
      </c>
      <c r="D1112" s="351">
        <v>46082</v>
      </c>
      <c r="E1112" s="340" t="s">
        <v>2062</v>
      </c>
      <c r="F1112" s="340" t="s">
        <v>1078</v>
      </c>
      <c r="G1112" s="340" t="s">
        <v>1079</v>
      </c>
      <c r="I1112" s="340" t="s">
        <v>931</v>
      </c>
      <c r="K1112" s="343">
        <v>2071.5</v>
      </c>
      <c r="L1112" s="343">
        <v>0</v>
      </c>
      <c r="M1112" s="343">
        <v>-1259147.56</v>
      </c>
      <c r="O1112" s="343">
        <v>0</v>
      </c>
    </row>
    <row r="1113" spans="1:15" x14ac:dyDescent="0.3">
      <c r="A1113" s="340" t="s">
        <v>891</v>
      </c>
      <c r="B1113" s="350">
        <v>46093</v>
      </c>
      <c r="C1113" s="350">
        <v>46093</v>
      </c>
      <c r="D1113" s="351">
        <v>46082</v>
      </c>
      <c r="E1113" s="340" t="s">
        <v>2062</v>
      </c>
      <c r="F1113" s="340" t="s">
        <v>1078</v>
      </c>
      <c r="G1113" s="340" t="s">
        <v>1079</v>
      </c>
      <c r="I1113" s="340" t="s">
        <v>931</v>
      </c>
      <c r="K1113" s="343">
        <v>1725</v>
      </c>
      <c r="L1113" s="343">
        <v>0</v>
      </c>
      <c r="M1113" s="343">
        <v>-1257422.56</v>
      </c>
      <c r="O1113" s="343">
        <v>0</v>
      </c>
    </row>
    <row r="1114" spans="1:15" x14ac:dyDescent="0.3">
      <c r="A1114" s="340" t="s">
        <v>891</v>
      </c>
      <c r="B1114" s="350">
        <v>46093</v>
      </c>
      <c r="C1114" s="350">
        <v>46093</v>
      </c>
      <c r="D1114" s="351">
        <v>46082</v>
      </c>
      <c r="E1114" s="340" t="s">
        <v>2062</v>
      </c>
      <c r="F1114" s="340" t="s">
        <v>1078</v>
      </c>
      <c r="G1114" s="340" t="s">
        <v>1079</v>
      </c>
      <c r="I1114" s="340" t="s">
        <v>931</v>
      </c>
      <c r="K1114" s="343">
        <v>285.64</v>
      </c>
      <c r="L1114" s="343">
        <v>0</v>
      </c>
      <c r="M1114" s="343">
        <v>-1257136.92</v>
      </c>
      <c r="O1114" s="343">
        <v>0</v>
      </c>
    </row>
    <row r="1115" spans="1:15" x14ac:dyDescent="0.3">
      <c r="A1115" s="340" t="s">
        <v>891</v>
      </c>
      <c r="B1115" s="350">
        <v>46093</v>
      </c>
      <c r="C1115" s="350">
        <v>46093</v>
      </c>
      <c r="D1115" s="351">
        <v>46082</v>
      </c>
      <c r="E1115" s="340" t="s">
        <v>2062</v>
      </c>
      <c r="F1115" s="340" t="s">
        <v>1078</v>
      </c>
      <c r="G1115" s="340" t="s">
        <v>1079</v>
      </c>
      <c r="I1115" s="340" t="s">
        <v>931</v>
      </c>
      <c r="K1115" s="343">
        <v>1054.6300000000001</v>
      </c>
      <c r="L1115" s="343">
        <v>0</v>
      </c>
      <c r="M1115" s="343">
        <v>-1256082.29</v>
      </c>
      <c r="O1115" s="343">
        <v>0</v>
      </c>
    </row>
    <row r="1116" spans="1:15" x14ac:dyDescent="0.3">
      <c r="A1116" s="340" t="s">
        <v>891</v>
      </c>
      <c r="B1116" s="350">
        <v>46093</v>
      </c>
      <c r="C1116" s="350">
        <v>46093</v>
      </c>
      <c r="D1116" s="351">
        <v>46082</v>
      </c>
      <c r="E1116" s="340" t="s">
        <v>2062</v>
      </c>
      <c r="F1116" s="340" t="s">
        <v>1078</v>
      </c>
      <c r="G1116" s="340" t="s">
        <v>1079</v>
      </c>
      <c r="I1116" s="340" t="s">
        <v>931</v>
      </c>
      <c r="K1116" s="343">
        <v>1065.48</v>
      </c>
      <c r="L1116" s="343">
        <v>0</v>
      </c>
      <c r="M1116" s="343">
        <v>-1255016.81</v>
      </c>
      <c r="O1116" s="343">
        <v>0</v>
      </c>
    </row>
    <row r="1117" spans="1:15" x14ac:dyDescent="0.3">
      <c r="A1117" s="340" t="s">
        <v>891</v>
      </c>
      <c r="B1117" s="350">
        <v>46093</v>
      </c>
      <c r="C1117" s="350">
        <v>46093</v>
      </c>
      <c r="D1117" s="351">
        <v>46082</v>
      </c>
      <c r="E1117" s="340" t="s">
        <v>2062</v>
      </c>
      <c r="F1117" s="340" t="s">
        <v>1078</v>
      </c>
      <c r="G1117" s="340" t="s">
        <v>1079</v>
      </c>
      <c r="I1117" s="340" t="s">
        <v>931</v>
      </c>
      <c r="K1117" s="343">
        <v>1265.8599999999999</v>
      </c>
      <c r="L1117" s="343">
        <v>0</v>
      </c>
      <c r="M1117" s="343">
        <v>-1253750.95</v>
      </c>
      <c r="O1117" s="343">
        <v>0</v>
      </c>
    </row>
    <row r="1118" spans="1:15" x14ac:dyDescent="0.3">
      <c r="A1118" s="340" t="s">
        <v>891</v>
      </c>
      <c r="B1118" s="350">
        <v>46093</v>
      </c>
      <c r="C1118" s="350">
        <v>46093</v>
      </c>
      <c r="D1118" s="351">
        <v>46082</v>
      </c>
      <c r="E1118" s="340" t="s">
        <v>2062</v>
      </c>
      <c r="F1118" s="340" t="s">
        <v>1078</v>
      </c>
      <c r="G1118" s="340" t="s">
        <v>1079</v>
      </c>
      <c r="I1118" s="340" t="s">
        <v>931</v>
      </c>
      <c r="K1118" s="343">
        <v>1003.61</v>
      </c>
      <c r="L1118" s="343">
        <v>0</v>
      </c>
      <c r="M1118" s="343">
        <v>-1252747.3400000001</v>
      </c>
      <c r="O1118" s="343">
        <v>0</v>
      </c>
    </row>
    <row r="1119" spans="1:15" x14ac:dyDescent="0.3">
      <c r="A1119" s="340" t="s">
        <v>891</v>
      </c>
      <c r="B1119" s="350">
        <v>46093</v>
      </c>
      <c r="C1119" s="350">
        <v>46093</v>
      </c>
      <c r="D1119" s="351">
        <v>46082</v>
      </c>
      <c r="E1119" s="340" t="s">
        <v>2062</v>
      </c>
      <c r="F1119" s="340" t="s">
        <v>1078</v>
      </c>
      <c r="G1119" s="340" t="s">
        <v>1079</v>
      </c>
      <c r="I1119" s="340" t="s">
        <v>931</v>
      </c>
      <c r="K1119" s="343">
        <v>1006.98</v>
      </c>
      <c r="L1119" s="343">
        <v>0</v>
      </c>
      <c r="M1119" s="343">
        <v>-1251740.3600000001</v>
      </c>
      <c r="O1119" s="343">
        <v>0</v>
      </c>
    </row>
    <row r="1120" spans="1:15" x14ac:dyDescent="0.3">
      <c r="A1120" s="340" t="s">
        <v>891</v>
      </c>
      <c r="B1120" s="350">
        <v>46093</v>
      </c>
      <c r="C1120" s="350">
        <v>46093</v>
      </c>
      <c r="D1120" s="351">
        <v>46082</v>
      </c>
      <c r="E1120" s="340" t="s">
        <v>2062</v>
      </c>
      <c r="F1120" s="340" t="s">
        <v>1078</v>
      </c>
      <c r="G1120" s="340" t="s">
        <v>1079</v>
      </c>
      <c r="I1120" s="340" t="s">
        <v>931</v>
      </c>
      <c r="K1120" s="343">
        <v>1491.55</v>
      </c>
      <c r="L1120" s="343">
        <v>0</v>
      </c>
      <c r="M1120" s="343">
        <v>-1250248.81</v>
      </c>
      <c r="O1120" s="343">
        <v>0</v>
      </c>
    </row>
    <row r="1121" spans="1:15" x14ac:dyDescent="0.3">
      <c r="A1121" s="340" t="s">
        <v>891</v>
      </c>
      <c r="B1121" s="350">
        <v>46093</v>
      </c>
      <c r="C1121" s="350">
        <v>46093</v>
      </c>
      <c r="D1121" s="351">
        <v>46082</v>
      </c>
      <c r="E1121" s="340" t="s">
        <v>2062</v>
      </c>
      <c r="F1121" s="340" t="s">
        <v>1078</v>
      </c>
      <c r="G1121" s="340" t="s">
        <v>1079</v>
      </c>
      <c r="I1121" s="340" t="s">
        <v>931</v>
      </c>
      <c r="K1121" s="343">
        <v>565.91999999999996</v>
      </c>
      <c r="L1121" s="343">
        <v>0</v>
      </c>
      <c r="M1121" s="343">
        <v>-1249682.8899999999</v>
      </c>
      <c r="O1121" s="343">
        <v>0</v>
      </c>
    </row>
    <row r="1122" spans="1:15" x14ac:dyDescent="0.3">
      <c r="A1122" s="340" t="s">
        <v>891</v>
      </c>
      <c r="B1122" s="350">
        <v>46093</v>
      </c>
      <c r="C1122" s="350">
        <v>46093</v>
      </c>
      <c r="D1122" s="351">
        <v>46082</v>
      </c>
      <c r="E1122" s="340" t="s">
        <v>2062</v>
      </c>
      <c r="F1122" s="340" t="s">
        <v>1078</v>
      </c>
      <c r="G1122" s="340" t="s">
        <v>1079</v>
      </c>
      <c r="I1122" s="340" t="s">
        <v>931</v>
      </c>
      <c r="K1122" s="343">
        <v>648.52</v>
      </c>
      <c r="L1122" s="343">
        <v>0</v>
      </c>
      <c r="M1122" s="343">
        <v>-1249034.3700000001</v>
      </c>
      <c r="O1122" s="343">
        <v>0</v>
      </c>
    </row>
    <row r="1123" spans="1:15" x14ac:dyDescent="0.3">
      <c r="A1123" s="340" t="s">
        <v>891</v>
      </c>
      <c r="B1123" s="350">
        <v>46093</v>
      </c>
      <c r="C1123" s="350">
        <v>46093</v>
      </c>
      <c r="D1123" s="351">
        <v>46082</v>
      </c>
      <c r="E1123" s="340" t="s">
        <v>2062</v>
      </c>
      <c r="F1123" s="340" t="s">
        <v>1078</v>
      </c>
      <c r="G1123" s="340" t="s">
        <v>1079</v>
      </c>
      <c r="I1123" s="340" t="s">
        <v>931</v>
      </c>
      <c r="K1123" s="343">
        <v>971.49</v>
      </c>
      <c r="L1123" s="343">
        <v>0</v>
      </c>
      <c r="M1123" s="343">
        <v>-1248062.8799999999</v>
      </c>
      <c r="O1123" s="343">
        <v>0</v>
      </c>
    </row>
    <row r="1124" spans="1:15" x14ac:dyDescent="0.3">
      <c r="A1124" s="340" t="s">
        <v>891</v>
      </c>
      <c r="B1124" s="350">
        <v>46093</v>
      </c>
      <c r="C1124" s="350">
        <v>46093</v>
      </c>
      <c r="D1124" s="351">
        <v>46082</v>
      </c>
      <c r="E1124" s="340" t="s">
        <v>2062</v>
      </c>
      <c r="F1124" s="340" t="s">
        <v>1078</v>
      </c>
      <c r="G1124" s="340" t="s">
        <v>1079</v>
      </c>
      <c r="I1124" s="340" t="s">
        <v>931</v>
      </c>
      <c r="K1124" s="343">
        <v>785.72</v>
      </c>
      <c r="L1124" s="343">
        <v>0</v>
      </c>
      <c r="M1124" s="343">
        <v>-1247277.1599999999</v>
      </c>
      <c r="O1124" s="343">
        <v>0</v>
      </c>
    </row>
    <row r="1125" spans="1:15" x14ac:dyDescent="0.3">
      <c r="A1125" s="340" t="s">
        <v>891</v>
      </c>
      <c r="B1125" s="350">
        <v>46093</v>
      </c>
      <c r="C1125" s="350">
        <v>46093</v>
      </c>
      <c r="D1125" s="351">
        <v>46082</v>
      </c>
      <c r="E1125" s="340" t="s">
        <v>2062</v>
      </c>
      <c r="F1125" s="340" t="s">
        <v>1078</v>
      </c>
      <c r="G1125" s="340" t="s">
        <v>1079</v>
      </c>
      <c r="I1125" s="340" t="s">
        <v>931</v>
      </c>
      <c r="K1125" s="343">
        <v>1245.8599999999999</v>
      </c>
      <c r="L1125" s="343">
        <v>0</v>
      </c>
      <c r="M1125" s="343">
        <v>-1246031.3</v>
      </c>
      <c r="O1125" s="343">
        <v>0</v>
      </c>
    </row>
    <row r="1126" spans="1:15" x14ac:dyDescent="0.3">
      <c r="A1126" s="340" t="s">
        <v>891</v>
      </c>
      <c r="B1126" s="350">
        <v>46093</v>
      </c>
      <c r="C1126" s="350">
        <v>46093</v>
      </c>
      <c r="D1126" s="351">
        <v>46082</v>
      </c>
      <c r="E1126" s="340" t="s">
        <v>2062</v>
      </c>
      <c r="F1126" s="340" t="s">
        <v>1078</v>
      </c>
      <c r="G1126" s="340" t="s">
        <v>1079</v>
      </c>
      <c r="I1126" s="340" t="s">
        <v>931</v>
      </c>
      <c r="K1126" s="343">
        <v>3685.48</v>
      </c>
      <c r="L1126" s="343">
        <v>0</v>
      </c>
      <c r="M1126" s="343">
        <v>-1242345.82</v>
      </c>
      <c r="O1126" s="343">
        <v>0</v>
      </c>
    </row>
    <row r="1127" spans="1:15" x14ac:dyDescent="0.3">
      <c r="A1127" s="340" t="s">
        <v>891</v>
      </c>
      <c r="B1127" s="350">
        <v>46093</v>
      </c>
      <c r="C1127" s="350">
        <v>46093</v>
      </c>
      <c r="D1127" s="351">
        <v>46082</v>
      </c>
      <c r="E1127" s="340" t="s">
        <v>2062</v>
      </c>
      <c r="F1127" s="340" t="s">
        <v>1078</v>
      </c>
      <c r="G1127" s="340" t="s">
        <v>1079</v>
      </c>
      <c r="I1127" s="340" t="s">
        <v>931</v>
      </c>
      <c r="K1127" s="343">
        <v>1950</v>
      </c>
      <c r="L1127" s="343">
        <v>0</v>
      </c>
      <c r="M1127" s="343">
        <v>-1240395.82</v>
      </c>
      <c r="O1127" s="343">
        <v>0</v>
      </c>
    </row>
    <row r="1128" spans="1:15" x14ac:dyDescent="0.3">
      <c r="A1128" s="340" t="s">
        <v>891</v>
      </c>
      <c r="B1128" s="350">
        <v>46093</v>
      </c>
      <c r="C1128" s="350">
        <v>46093</v>
      </c>
      <c r="D1128" s="351">
        <v>46082</v>
      </c>
      <c r="E1128" s="340" t="s">
        <v>2062</v>
      </c>
      <c r="F1128" s="340" t="s">
        <v>1078</v>
      </c>
      <c r="G1128" s="340" t="s">
        <v>1079</v>
      </c>
      <c r="I1128" s="340" t="s">
        <v>931</v>
      </c>
      <c r="K1128" s="343">
        <v>1725.84</v>
      </c>
      <c r="L1128" s="343">
        <v>0</v>
      </c>
      <c r="M1128" s="343">
        <v>-1238669.98</v>
      </c>
      <c r="O1128" s="343">
        <v>0</v>
      </c>
    </row>
    <row r="1129" spans="1:15" x14ac:dyDescent="0.3">
      <c r="A1129" s="340" t="s">
        <v>891</v>
      </c>
      <c r="B1129" s="350">
        <v>46093</v>
      </c>
      <c r="C1129" s="350">
        <v>46093</v>
      </c>
      <c r="D1129" s="351">
        <v>46082</v>
      </c>
      <c r="E1129" s="340" t="s">
        <v>2062</v>
      </c>
      <c r="F1129" s="340" t="s">
        <v>1078</v>
      </c>
      <c r="G1129" s="340" t="s">
        <v>1079</v>
      </c>
      <c r="I1129" s="340" t="s">
        <v>931</v>
      </c>
      <c r="K1129" s="343">
        <v>1156.25</v>
      </c>
      <c r="L1129" s="343">
        <v>0</v>
      </c>
      <c r="M1129" s="343">
        <v>-1237513.73</v>
      </c>
      <c r="O1129" s="343">
        <v>0</v>
      </c>
    </row>
    <row r="1130" spans="1:15" x14ac:dyDescent="0.3">
      <c r="A1130" s="340" t="s">
        <v>891</v>
      </c>
      <c r="B1130" s="350">
        <v>46093</v>
      </c>
      <c r="C1130" s="350">
        <v>46093</v>
      </c>
      <c r="D1130" s="351">
        <v>46082</v>
      </c>
      <c r="E1130" s="340" t="s">
        <v>2062</v>
      </c>
      <c r="F1130" s="340" t="s">
        <v>1078</v>
      </c>
      <c r="G1130" s="340" t="s">
        <v>1079</v>
      </c>
      <c r="I1130" s="340" t="s">
        <v>931</v>
      </c>
      <c r="K1130" s="343">
        <v>956.45</v>
      </c>
      <c r="L1130" s="343">
        <v>0</v>
      </c>
      <c r="M1130" s="343">
        <v>-1236557.28</v>
      </c>
      <c r="O1130" s="343">
        <v>0</v>
      </c>
    </row>
    <row r="1131" spans="1:15" x14ac:dyDescent="0.3">
      <c r="A1131" s="340" t="s">
        <v>891</v>
      </c>
      <c r="B1131" s="350">
        <v>46093</v>
      </c>
      <c r="C1131" s="350">
        <v>46093</v>
      </c>
      <c r="D1131" s="351">
        <v>46082</v>
      </c>
      <c r="E1131" s="340" t="s">
        <v>2062</v>
      </c>
      <c r="F1131" s="340" t="s">
        <v>1078</v>
      </c>
      <c r="G1131" s="340" t="s">
        <v>1079</v>
      </c>
      <c r="I1131" s="340" t="s">
        <v>931</v>
      </c>
      <c r="K1131" s="343">
        <v>1822.79</v>
      </c>
      <c r="L1131" s="343">
        <v>0</v>
      </c>
      <c r="M1131" s="343">
        <v>-1234734.49</v>
      </c>
      <c r="O1131" s="343">
        <v>0</v>
      </c>
    </row>
    <row r="1132" spans="1:15" x14ac:dyDescent="0.3">
      <c r="A1132" s="340" t="s">
        <v>891</v>
      </c>
      <c r="B1132" s="350">
        <v>46093</v>
      </c>
      <c r="C1132" s="350">
        <v>46093</v>
      </c>
      <c r="D1132" s="351">
        <v>46082</v>
      </c>
      <c r="E1132" s="340" t="s">
        <v>2062</v>
      </c>
      <c r="F1132" s="340" t="s">
        <v>1078</v>
      </c>
      <c r="G1132" s="340" t="s">
        <v>1079</v>
      </c>
      <c r="I1132" s="340" t="s">
        <v>931</v>
      </c>
      <c r="K1132" s="343">
        <v>435</v>
      </c>
      <c r="L1132" s="343">
        <v>0</v>
      </c>
      <c r="M1132" s="343">
        <v>-1234299.49</v>
      </c>
      <c r="O1132" s="343">
        <v>0</v>
      </c>
    </row>
    <row r="1133" spans="1:15" x14ac:dyDescent="0.3">
      <c r="A1133" s="340" t="s">
        <v>891</v>
      </c>
      <c r="B1133" s="350">
        <v>46093</v>
      </c>
      <c r="C1133" s="350">
        <v>46093</v>
      </c>
      <c r="D1133" s="351">
        <v>46082</v>
      </c>
      <c r="E1133" s="340" t="s">
        <v>2062</v>
      </c>
      <c r="F1133" s="340" t="s">
        <v>1078</v>
      </c>
      <c r="G1133" s="340" t="s">
        <v>1079</v>
      </c>
      <c r="I1133" s="340" t="s">
        <v>931</v>
      </c>
      <c r="K1133" s="343">
        <v>460</v>
      </c>
      <c r="L1133" s="343">
        <v>0</v>
      </c>
      <c r="M1133" s="343">
        <v>-1233839.49</v>
      </c>
      <c r="O1133" s="343">
        <v>0</v>
      </c>
    </row>
    <row r="1134" spans="1:15" x14ac:dyDescent="0.3">
      <c r="A1134" s="340" t="s">
        <v>891</v>
      </c>
      <c r="B1134" s="350">
        <v>46093</v>
      </c>
      <c r="C1134" s="350">
        <v>46093</v>
      </c>
      <c r="D1134" s="351">
        <v>46082</v>
      </c>
      <c r="E1134" s="340" t="s">
        <v>2062</v>
      </c>
      <c r="F1134" s="340" t="s">
        <v>1078</v>
      </c>
      <c r="G1134" s="340" t="s">
        <v>1079</v>
      </c>
      <c r="I1134" s="340" t="s">
        <v>931</v>
      </c>
      <c r="K1134" s="343">
        <v>420</v>
      </c>
      <c r="L1134" s="343">
        <v>0</v>
      </c>
      <c r="M1134" s="343">
        <v>-1233419.49</v>
      </c>
      <c r="O1134" s="343">
        <v>0</v>
      </c>
    </row>
    <row r="1135" spans="1:15" x14ac:dyDescent="0.3">
      <c r="A1135" s="340" t="s">
        <v>891</v>
      </c>
      <c r="B1135" s="350">
        <v>46093</v>
      </c>
      <c r="C1135" s="350">
        <v>46093</v>
      </c>
      <c r="D1135" s="351">
        <v>46082</v>
      </c>
      <c r="E1135" s="340" t="s">
        <v>2062</v>
      </c>
      <c r="F1135" s="340" t="s">
        <v>1078</v>
      </c>
      <c r="G1135" s="340" t="s">
        <v>1079</v>
      </c>
      <c r="I1135" s="340" t="s">
        <v>931</v>
      </c>
      <c r="K1135" s="343">
        <v>420</v>
      </c>
      <c r="L1135" s="343">
        <v>0</v>
      </c>
      <c r="M1135" s="343">
        <v>-1232999.49</v>
      </c>
      <c r="O1135" s="343">
        <v>0</v>
      </c>
    </row>
    <row r="1136" spans="1:15" x14ac:dyDescent="0.3">
      <c r="A1136" s="340" t="s">
        <v>891</v>
      </c>
      <c r="B1136" s="350">
        <v>46093</v>
      </c>
      <c r="C1136" s="350">
        <v>46093</v>
      </c>
      <c r="D1136" s="351">
        <v>46082</v>
      </c>
      <c r="E1136" s="340" t="s">
        <v>2062</v>
      </c>
      <c r="F1136" s="340" t="s">
        <v>1078</v>
      </c>
      <c r="G1136" s="340" t="s">
        <v>1079</v>
      </c>
      <c r="I1136" s="340" t="s">
        <v>931</v>
      </c>
      <c r="K1136" s="343">
        <v>745</v>
      </c>
      <c r="L1136" s="343">
        <v>0</v>
      </c>
      <c r="M1136" s="343">
        <v>-1232254.49</v>
      </c>
      <c r="O1136" s="343">
        <v>0</v>
      </c>
    </row>
    <row r="1137" spans="1:15" x14ac:dyDescent="0.3">
      <c r="A1137" s="340" t="s">
        <v>891</v>
      </c>
      <c r="B1137" s="350">
        <v>46093</v>
      </c>
      <c r="C1137" s="350">
        <v>46093</v>
      </c>
      <c r="D1137" s="351">
        <v>46082</v>
      </c>
      <c r="E1137" s="340" t="s">
        <v>2062</v>
      </c>
      <c r="F1137" s="340" t="s">
        <v>1078</v>
      </c>
      <c r="G1137" s="340" t="s">
        <v>1079</v>
      </c>
      <c r="I1137" s="340" t="s">
        <v>931</v>
      </c>
      <c r="K1137" s="343">
        <v>420</v>
      </c>
      <c r="L1137" s="343">
        <v>0</v>
      </c>
      <c r="M1137" s="343">
        <v>-1231834.49</v>
      </c>
      <c r="O1137" s="343">
        <v>0</v>
      </c>
    </row>
    <row r="1138" spans="1:15" x14ac:dyDescent="0.3">
      <c r="A1138" s="340" t="s">
        <v>891</v>
      </c>
      <c r="B1138" s="350">
        <v>46093</v>
      </c>
      <c r="C1138" s="350">
        <v>46093</v>
      </c>
      <c r="D1138" s="351">
        <v>46082</v>
      </c>
      <c r="E1138" s="340" t="s">
        <v>2062</v>
      </c>
      <c r="F1138" s="340" t="s">
        <v>1078</v>
      </c>
      <c r="G1138" s="340" t="s">
        <v>1079</v>
      </c>
      <c r="I1138" s="340" t="s">
        <v>931</v>
      </c>
      <c r="K1138" s="343">
        <v>976</v>
      </c>
      <c r="L1138" s="343">
        <v>0</v>
      </c>
      <c r="M1138" s="343">
        <v>-1230858.49</v>
      </c>
      <c r="O1138" s="343">
        <v>0</v>
      </c>
    </row>
    <row r="1139" spans="1:15" x14ac:dyDescent="0.3">
      <c r="A1139" s="340" t="s">
        <v>891</v>
      </c>
      <c r="B1139" s="350">
        <v>46093</v>
      </c>
      <c r="C1139" s="350">
        <v>46093</v>
      </c>
      <c r="D1139" s="351">
        <v>46082</v>
      </c>
      <c r="E1139" s="340" t="s">
        <v>2062</v>
      </c>
      <c r="F1139" s="340" t="s">
        <v>1078</v>
      </c>
      <c r="G1139" s="340" t="s">
        <v>1079</v>
      </c>
      <c r="I1139" s="340" t="s">
        <v>931</v>
      </c>
      <c r="K1139" s="343">
        <v>965</v>
      </c>
      <c r="L1139" s="343">
        <v>0</v>
      </c>
      <c r="M1139" s="343">
        <v>-1229893.49</v>
      </c>
      <c r="O1139" s="343">
        <v>0</v>
      </c>
    </row>
    <row r="1140" spans="1:15" x14ac:dyDescent="0.3">
      <c r="A1140" s="340" t="s">
        <v>891</v>
      </c>
      <c r="B1140" s="350">
        <v>46093</v>
      </c>
      <c r="C1140" s="350">
        <v>46093</v>
      </c>
      <c r="D1140" s="351">
        <v>46082</v>
      </c>
      <c r="E1140" s="340" t="s">
        <v>2062</v>
      </c>
      <c r="F1140" s="340" t="s">
        <v>1078</v>
      </c>
      <c r="G1140" s="340" t="s">
        <v>1079</v>
      </c>
      <c r="I1140" s="340" t="s">
        <v>931</v>
      </c>
      <c r="K1140" s="343">
        <v>316</v>
      </c>
      <c r="L1140" s="343">
        <v>0</v>
      </c>
      <c r="M1140" s="343">
        <v>-1229577.49</v>
      </c>
      <c r="O1140" s="343">
        <v>0</v>
      </c>
    </row>
    <row r="1141" spans="1:15" x14ac:dyDescent="0.3">
      <c r="A1141" s="340" t="s">
        <v>891</v>
      </c>
      <c r="B1141" s="350">
        <v>46093</v>
      </c>
      <c r="C1141" s="350">
        <v>46093</v>
      </c>
      <c r="D1141" s="351">
        <v>46082</v>
      </c>
      <c r="E1141" s="340" t="s">
        <v>2062</v>
      </c>
      <c r="F1141" s="340" t="s">
        <v>1078</v>
      </c>
      <c r="G1141" s="340" t="s">
        <v>1079</v>
      </c>
      <c r="I1141" s="340" t="s">
        <v>931</v>
      </c>
      <c r="K1141" s="343">
        <v>1065.32</v>
      </c>
      <c r="L1141" s="343">
        <v>0</v>
      </c>
      <c r="M1141" s="343">
        <v>-1228512.17</v>
      </c>
      <c r="O1141" s="343">
        <v>0</v>
      </c>
    </row>
    <row r="1142" spans="1:15" x14ac:dyDescent="0.3">
      <c r="A1142" s="340" t="s">
        <v>891</v>
      </c>
      <c r="B1142" s="350">
        <v>46093</v>
      </c>
      <c r="C1142" s="350">
        <v>46093</v>
      </c>
      <c r="D1142" s="351">
        <v>46082</v>
      </c>
      <c r="E1142" s="340" t="s">
        <v>2062</v>
      </c>
      <c r="F1142" s="340" t="s">
        <v>1078</v>
      </c>
      <c r="G1142" s="340" t="s">
        <v>1079</v>
      </c>
      <c r="I1142" s="340" t="s">
        <v>931</v>
      </c>
      <c r="K1142" s="343">
        <v>1465.87</v>
      </c>
      <c r="L1142" s="343">
        <v>0</v>
      </c>
      <c r="M1142" s="343">
        <v>-1227046.3</v>
      </c>
      <c r="O1142" s="343">
        <v>0</v>
      </c>
    </row>
    <row r="1143" spans="1:15" x14ac:dyDescent="0.3">
      <c r="A1143" s="340" t="s">
        <v>891</v>
      </c>
      <c r="B1143" s="350">
        <v>46093</v>
      </c>
      <c r="C1143" s="350">
        <v>46093</v>
      </c>
      <c r="D1143" s="351">
        <v>46082</v>
      </c>
      <c r="E1143" s="340" t="s">
        <v>2062</v>
      </c>
      <c r="F1143" s="340" t="s">
        <v>1078</v>
      </c>
      <c r="G1143" s="340" t="s">
        <v>1079</v>
      </c>
      <c r="I1143" s="340" t="s">
        <v>931</v>
      </c>
      <c r="K1143" s="343">
        <v>654.83000000000004</v>
      </c>
      <c r="L1143" s="343">
        <v>0</v>
      </c>
      <c r="M1143" s="343">
        <v>-1226391.47</v>
      </c>
      <c r="O1143" s="343">
        <v>0</v>
      </c>
    </row>
    <row r="1144" spans="1:15" x14ac:dyDescent="0.3">
      <c r="A1144" s="340" t="s">
        <v>891</v>
      </c>
      <c r="B1144" s="350">
        <v>46093</v>
      </c>
      <c r="C1144" s="350">
        <v>46093</v>
      </c>
      <c r="D1144" s="351">
        <v>46082</v>
      </c>
      <c r="E1144" s="340" t="s">
        <v>2062</v>
      </c>
      <c r="F1144" s="340" t="s">
        <v>1078</v>
      </c>
      <c r="G1144" s="340" t="s">
        <v>1079</v>
      </c>
      <c r="I1144" s="340" t="s">
        <v>931</v>
      </c>
      <c r="K1144" s="343">
        <v>968.72</v>
      </c>
      <c r="L1144" s="343">
        <v>0</v>
      </c>
      <c r="M1144" s="343">
        <v>-1225422.75</v>
      </c>
      <c r="O1144" s="343">
        <v>0</v>
      </c>
    </row>
    <row r="1145" spans="1:15" x14ac:dyDescent="0.3">
      <c r="A1145" s="340" t="s">
        <v>891</v>
      </c>
      <c r="B1145" s="350">
        <v>46093</v>
      </c>
      <c r="C1145" s="350">
        <v>46093</v>
      </c>
      <c r="D1145" s="351">
        <v>46082</v>
      </c>
      <c r="E1145" s="340" t="s">
        <v>2062</v>
      </c>
      <c r="F1145" s="340" t="s">
        <v>1078</v>
      </c>
      <c r="G1145" s="340" t="s">
        <v>1079</v>
      </c>
      <c r="I1145" s="340" t="s">
        <v>931</v>
      </c>
      <c r="K1145" s="343">
        <v>821.36</v>
      </c>
      <c r="L1145" s="343">
        <v>0</v>
      </c>
      <c r="M1145" s="343">
        <v>-1224601.3899999999</v>
      </c>
      <c r="O1145" s="343">
        <v>0</v>
      </c>
    </row>
    <row r="1146" spans="1:15" x14ac:dyDescent="0.3">
      <c r="A1146" s="340" t="s">
        <v>891</v>
      </c>
      <c r="B1146" s="350">
        <v>46093</v>
      </c>
      <c r="C1146" s="350">
        <v>46093</v>
      </c>
      <c r="D1146" s="351">
        <v>46082</v>
      </c>
      <c r="E1146" s="340" t="s">
        <v>2062</v>
      </c>
      <c r="F1146" s="340" t="s">
        <v>1078</v>
      </c>
      <c r="G1146" s="340" t="s">
        <v>1079</v>
      </c>
      <c r="I1146" s="340" t="s">
        <v>931</v>
      </c>
      <c r="K1146" s="343">
        <v>386.54</v>
      </c>
      <c r="L1146" s="343">
        <v>0</v>
      </c>
      <c r="M1146" s="343">
        <v>-1224214.8500000001</v>
      </c>
      <c r="O1146" s="343">
        <v>0</v>
      </c>
    </row>
    <row r="1147" spans="1:15" x14ac:dyDescent="0.3">
      <c r="A1147" s="340" t="s">
        <v>891</v>
      </c>
      <c r="B1147" s="350">
        <v>46093</v>
      </c>
      <c r="C1147" s="350">
        <v>46093</v>
      </c>
      <c r="D1147" s="351">
        <v>46082</v>
      </c>
      <c r="E1147" s="340" t="s">
        <v>2062</v>
      </c>
      <c r="F1147" s="340" t="s">
        <v>1078</v>
      </c>
      <c r="G1147" s="340" t="s">
        <v>1079</v>
      </c>
      <c r="I1147" s="340" t="s">
        <v>931</v>
      </c>
      <c r="K1147" s="343">
        <v>465</v>
      </c>
      <c r="L1147" s="343">
        <v>0</v>
      </c>
      <c r="M1147" s="343">
        <v>-1223749.8500000001</v>
      </c>
      <c r="O1147" s="343">
        <v>0</v>
      </c>
    </row>
    <row r="1148" spans="1:15" x14ac:dyDescent="0.3">
      <c r="A1148" s="340" t="s">
        <v>891</v>
      </c>
      <c r="B1148" s="350">
        <v>46093</v>
      </c>
      <c r="C1148" s="350">
        <v>46093</v>
      </c>
      <c r="D1148" s="351">
        <v>46082</v>
      </c>
      <c r="E1148" s="340" t="s">
        <v>2062</v>
      </c>
      <c r="F1148" s="340" t="s">
        <v>1078</v>
      </c>
      <c r="G1148" s="340" t="s">
        <v>930</v>
      </c>
      <c r="I1148" s="340" t="s">
        <v>931</v>
      </c>
      <c r="K1148" s="343">
        <v>862</v>
      </c>
      <c r="L1148" s="343">
        <v>0</v>
      </c>
      <c r="M1148" s="343">
        <v>-1222887.8500000001</v>
      </c>
      <c r="O1148" s="343">
        <v>0</v>
      </c>
    </row>
    <row r="1149" spans="1:15" x14ac:dyDescent="0.3">
      <c r="A1149" s="340" t="s">
        <v>891</v>
      </c>
      <c r="B1149" s="350">
        <v>46093</v>
      </c>
      <c r="C1149" s="350">
        <v>46093</v>
      </c>
      <c r="D1149" s="351">
        <v>46082</v>
      </c>
      <c r="E1149" s="340" t="s">
        <v>2062</v>
      </c>
      <c r="F1149" s="340" t="s">
        <v>1078</v>
      </c>
      <c r="G1149" s="340" t="s">
        <v>933</v>
      </c>
      <c r="I1149" s="340" t="s">
        <v>931</v>
      </c>
      <c r="K1149" s="343">
        <v>1350</v>
      </c>
      <c r="L1149" s="343">
        <v>0</v>
      </c>
      <c r="M1149" s="343">
        <v>-1221537.8500000001</v>
      </c>
      <c r="O1149" s="343">
        <v>0</v>
      </c>
    </row>
    <row r="1150" spans="1:15" x14ac:dyDescent="0.3">
      <c r="A1150" s="340" t="s">
        <v>891</v>
      </c>
      <c r="B1150" s="350">
        <v>46093</v>
      </c>
      <c r="C1150" s="350">
        <v>46093</v>
      </c>
      <c r="D1150" s="351">
        <v>46082</v>
      </c>
      <c r="E1150" s="340" t="s">
        <v>2062</v>
      </c>
      <c r="F1150" s="340" t="s">
        <v>1078</v>
      </c>
      <c r="G1150" s="340" t="s">
        <v>935</v>
      </c>
      <c r="I1150" s="340" t="s">
        <v>931</v>
      </c>
      <c r="K1150" s="343">
        <v>1596</v>
      </c>
      <c r="L1150" s="343">
        <v>0</v>
      </c>
      <c r="M1150" s="343">
        <v>-1219941.8500000001</v>
      </c>
      <c r="O1150" s="343">
        <v>0</v>
      </c>
    </row>
    <row r="1151" spans="1:15" x14ac:dyDescent="0.3">
      <c r="A1151" s="340" t="s">
        <v>891</v>
      </c>
      <c r="B1151" s="350">
        <v>46093</v>
      </c>
      <c r="C1151" s="350">
        <v>46093</v>
      </c>
      <c r="D1151" s="351">
        <v>46082</v>
      </c>
      <c r="E1151" s="340" t="s">
        <v>2063</v>
      </c>
      <c r="F1151" s="340" t="s">
        <v>1078</v>
      </c>
      <c r="G1151" s="340" t="s">
        <v>2061</v>
      </c>
      <c r="I1151" s="340" t="s">
        <v>931</v>
      </c>
      <c r="K1151" s="343">
        <v>13199.12</v>
      </c>
      <c r="L1151" s="343">
        <v>0</v>
      </c>
      <c r="M1151" s="343">
        <v>-1206742.73</v>
      </c>
      <c r="O1151" s="343">
        <v>0</v>
      </c>
    </row>
    <row r="1152" spans="1:15" x14ac:dyDescent="0.3">
      <c r="A1152" s="340" t="s">
        <v>891</v>
      </c>
      <c r="B1152" s="350">
        <v>46093</v>
      </c>
      <c r="C1152" s="350">
        <v>46093</v>
      </c>
      <c r="D1152" s="351">
        <v>46082</v>
      </c>
      <c r="E1152" s="340" t="s">
        <v>2064</v>
      </c>
      <c r="F1152" s="340" t="s">
        <v>1078</v>
      </c>
      <c r="G1152" s="340" t="s">
        <v>1017</v>
      </c>
      <c r="I1152" s="340" t="s">
        <v>759</v>
      </c>
      <c r="K1152" s="343">
        <v>1571.79</v>
      </c>
      <c r="L1152" s="343">
        <v>0</v>
      </c>
      <c r="M1152" s="343">
        <v>-1205170.94</v>
      </c>
      <c r="O1152" s="343">
        <v>0</v>
      </c>
    </row>
    <row r="1153" spans="1:15" x14ac:dyDescent="0.3">
      <c r="A1153" s="340" t="s">
        <v>891</v>
      </c>
      <c r="B1153" s="350">
        <v>46093</v>
      </c>
      <c r="C1153" s="350">
        <v>46093</v>
      </c>
      <c r="D1153" s="351">
        <v>46082</v>
      </c>
      <c r="E1153" s="340" t="s">
        <v>2065</v>
      </c>
      <c r="F1153" s="340" t="s">
        <v>1078</v>
      </c>
      <c r="G1153" s="340" t="s">
        <v>1079</v>
      </c>
      <c r="I1153" s="340" t="s">
        <v>759</v>
      </c>
      <c r="K1153" s="343">
        <v>378.88</v>
      </c>
      <c r="L1153" s="343">
        <v>0</v>
      </c>
      <c r="M1153" s="343">
        <v>-1204792.06</v>
      </c>
      <c r="O1153" s="343">
        <v>0</v>
      </c>
    </row>
    <row r="1154" spans="1:15" x14ac:dyDescent="0.3">
      <c r="A1154" s="340" t="s">
        <v>891</v>
      </c>
      <c r="B1154" s="350">
        <v>46093</v>
      </c>
      <c r="C1154" s="350">
        <v>46093</v>
      </c>
      <c r="D1154" s="351">
        <v>46082</v>
      </c>
      <c r="E1154" s="340" t="s">
        <v>2065</v>
      </c>
      <c r="F1154" s="340" t="s">
        <v>1078</v>
      </c>
      <c r="G1154" s="340" t="s">
        <v>1079</v>
      </c>
      <c r="I1154" s="340" t="s">
        <v>759</v>
      </c>
      <c r="K1154" s="343">
        <v>378.88</v>
      </c>
      <c r="L1154" s="343">
        <v>0</v>
      </c>
      <c r="M1154" s="343">
        <v>-1204413.18</v>
      </c>
      <c r="O1154" s="343">
        <v>0</v>
      </c>
    </row>
    <row r="1155" spans="1:15" x14ac:dyDescent="0.3">
      <c r="A1155" s="340" t="s">
        <v>891</v>
      </c>
      <c r="B1155" s="350">
        <v>46093</v>
      </c>
      <c r="C1155" s="350">
        <v>46093</v>
      </c>
      <c r="D1155" s="351">
        <v>46082</v>
      </c>
      <c r="E1155" s="340" t="s">
        <v>2065</v>
      </c>
      <c r="F1155" s="340" t="s">
        <v>1078</v>
      </c>
      <c r="G1155" s="340" t="s">
        <v>1079</v>
      </c>
      <c r="I1155" s="340" t="s">
        <v>759</v>
      </c>
      <c r="K1155" s="343">
        <v>378.88</v>
      </c>
      <c r="L1155" s="343">
        <v>0</v>
      </c>
      <c r="M1155" s="343">
        <v>-1204034.3</v>
      </c>
      <c r="O1155" s="343">
        <v>0</v>
      </c>
    </row>
    <row r="1156" spans="1:15" x14ac:dyDescent="0.3">
      <c r="A1156" s="340" t="s">
        <v>891</v>
      </c>
      <c r="B1156" s="350">
        <v>46093</v>
      </c>
      <c r="C1156" s="350">
        <v>46093</v>
      </c>
      <c r="D1156" s="351">
        <v>46082</v>
      </c>
      <c r="E1156" s="340" t="s">
        <v>2065</v>
      </c>
      <c r="F1156" s="340" t="s">
        <v>1078</v>
      </c>
      <c r="G1156" s="340" t="s">
        <v>1079</v>
      </c>
      <c r="I1156" s="340" t="s">
        <v>759</v>
      </c>
      <c r="K1156" s="343">
        <v>1571.79</v>
      </c>
      <c r="L1156" s="343">
        <v>0</v>
      </c>
      <c r="M1156" s="343">
        <v>-1202462.51</v>
      </c>
      <c r="O1156" s="343">
        <v>0</v>
      </c>
    </row>
    <row r="1157" spans="1:15" x14ac:dyDescent="0.3">
      <c r="A1157" s="340" t="s">
        <v>891</v>
      </c>
      <c r="B1157" s="350">
        <v>46093</v>
      </c>
      <c r="C1157" s="350">
        <v>46093</v>
      </c>
      <c r="D1157" s="351">
        <v>46082</v>
      </c>
      <c r="E1157" s="340" t="s">
        <v>2065</v>
      </c>
      <c r="F1157" s="340" t="s">
        <v>1078</v>
      </c>
      <c r="G1157" s="340" t="s">
        <v>1079</v>
      </c>
      <c r="I1157" s="340" t="s">
        <v>759</v>
      </c>
      <c r="K1157" s="343">
        <v>1571.79</v>
      </c>
      <c r="L1157" s="343">
        <v>0</v>
      </c>
      <c r="M1157" s="343">
        <v>-1200890.72</v>
      </c>
      <c r="O1157" s="343">
        <v>0</v>
      </c>
    </row>
    <row r="1158" spans="1:15" x14ac:dyDescent="0.3">
      <c r="A1158" s="340" t="s">
        <v>891</v>
      </c>
      <c r="B1158" s="350">
        <v>46094</v>
      </c>
      <c r="C1158" s="350">
        <v>46094</v>
      </c>
      <c r="D1158" s="351">
        <v>46082</v>
      </c>
      <c r="E1158" s="340" t="s">
        <v>2066</v>
      </c>
      <c r="F1158" s="340" t="s">
        <v>894</v>
      </c>
      <c r="G1158" s="340" t="s">
        <v>2067</v>
      </c>
      <c r="I1158" s="340" t="s">
        <v>739</v>
      </c>
      <c r="K1158" s="343">
        <v>0</v>
      </c>
      <c r="L1158" s="343">
        <v>-499.94</v>
      </c>
      <c r="M1158" s="343">
        <v>-1201390.6599999999</v>
      </c>
      <c r="O1158" s="343">
        <v>0</v>
      </c>
    </row>
    <row r="1159" spans="1:15" x14ac:dyDescent="0.3">
      <c r="A1159" s="340" t="s">
        <v>891</v>
      </c>
      <c r="B1159" s="350">
        <v>46096</v>
      </c>
      <c r="C1159" s="350">
        <v>46101</v>
      </c>
      <c r="D1159" s="351">
        <v>46082</v>
      </c>
      <c r="E1159" s="340" t="s">
        <v>2068</v>
      </c>
      <c r="F1159" s="340" t="s">
        <v>894</v>
      </c>
      <c r="G1159" s="340" t="s">
        <v>1587</v>
      </c>
      <c r="I1159" s="340" t="s">
        <v>755</v>
      </c>
      <c r="K1159" s="343">
        <v>0</v>
      </c>
      <c r="L1159" s="343">
        <v>-11172.92</v>
      </c>
      <c r="M1159" s="343">
        <v>-1212563.58</v>
      </c>
      <c r="O1159" s="343">
        <v>0</v>
      </c>
    </row>
    <row r="1160" spans="1:15" x14ac:dyDescent="0.3">
      <c r="A1160" s="340" t="s">
        <v>891</v>
      </c>
      <c r="B1160" s="350">
        <v>46097</v>
      </c>
      <c r="C1160" s="350">
        <v>46097</v>
      </c>
      <c r="D1160" s="351">
        <v>46082</v>
      </c>
      <c r="E1160" s="340" t="s">
        <v>2069</v>
      </c>
      <c r="F1160" s="340" t="s">
        <v>1078</v>
      </c>
      <c r="G1160" s="340" t="s">
        <v>1004</v>
      </c>
      <c r="I1160" s="340" t="s">
        <v>1005</v>
      </c>
      <c r="K1160" s="343">
        <v>5197</v>
      </c>
      <c r="L1160" s="343">
        <v>0</v>
      </c>
      <c r="M1160" s="343">
        <v>-1207366.58</v>
      </c>
      <c r="O1160" s="343">
        <v>0</v>
      </c>
    </row>
    <row r="1161" spans="1:15" x14ac:dyDescent="0.3">
      <c r="A1161" s="340" t="s">
        <v>891</v>
      </c>
      <c r="B1161" s="350">
        <v>46097</v>
      </c>
      <c r="C1161" s="350">
        <v>46097</v>
      </c>
      <c r="D1161" s="351">
        <v>46082</v>
      </c>
      <c r="E1161" s="340" t="s">
        <v>2069</v>
      </c>
      <c r="F1161" s="340" t="s">
        <v>1078</v>
      </c>
      <c r="G1161" s="340" t="s">
        <v>1007</v>
      </c>
      <c r="I1161" s="340" t="s">
        <v>1005</v>
      </c>
      <c r="K1161" s="343">
        <v>1710.08</v>
      </c>
      <c r="L1161" s="343">
        <v>0</v>
      </c>
      <c r="M1161" s="343">
        <v>-1205656.5</v>
      </c>
      <c r="O1161" s="343">
        <v>0</v>
      </c>
    </row>
    <row r="1162" spans="1:15" x14ac:dyDescent="0.3">
      <c r="A1162" s="340" t="s">
        <v>891</v>
      </c>
      <c r="B1162" s="350">
        <v>46097</v>
      </c>
      <c r="C1162" s="350">
        <v>46097</v>
      </c>
      <c r="D1162" s="351">
        <v>46082</v>
      </c>
      <c r="E1162" s="340" t="s">
        <v>2070</v>
      </c>
      <c r="F1162" s="340" t="s">
        <v>1078</v>
      </c>
      <c r="G1162" s="340" t="s">
        <v>1281</v>
      </c>
      <c r="I1162" s="340" t="s">
        <v>771</v>
      </c>
      <c r="K1162" s="343">
        <v>5590.1</v>
      </c>
      <c r="L1162" s="343">
        <v>0</v>
      </c>
      <c r="M1162" s="343">
        <v>-1200066.3999999999</v>
      </c>
      <c r="O1162" s="343">
        <v>0</v>
      </c>
    </row>
    <row r="1163" spans="1:15" x14ac:dyDescent="0.3">
      <c r="A1163" s="340" t="s">
        <v>891</v>
      </c>
      <c r="B1163" s="350">
        <v>46097</v>
      </c>
      <c r="C1163" s="350">
        <v>46097</v>
      </c>
      <c r="D1163" s="351">
        <v>46082</v>
      </c>
      <c r="E1163" s="340" t="s">
        <v>2070</v>
      </c>
      <c r="F1163" s="340" t="s">
        <v>1078</v>
      </c>
      <c r="G1163" s="340" t="s">
        <v>1281</v>
      </c>
      <c r="I1163" s="340" t="s">
        <v>771</v>
      </c>
      <c r="K1163" s="343">
        <v>3844.21</v>
      </c>
      <c r="L1163" s="343">
        <v>0</v>
      </c>
      <c r="M1163" s="343">
        <v>-1196222.19</v>
      </c>
      <c r="O1163" s="343">
        <v>0</v>
      </c>
    </row>
    <row r="1164" spans="1:15" x14ac:dyDescent="0.3">
      <c r="A1164" s="340" t="s">
        <v>891</v>
      </c>
      <c r="B1164" s="350">
        <v>46097</v>
      </c>
      <c r="C1164" s="350">
        <v>46097</v>
      </c>
      <c r="D1164" s="351">
        <v>46082</v>
      </c>
      <c r="E1164" s="340" t="s">
        <v>2071</v>
      </c>
      <c r="F1164" s="340" t="s">
        <v>894</v>
      </c>
      <c r="G1164" s="340" t="s">
        <v>1188</v>
      </c>
      <c r="I1164" s="340" t="s">
        <v>745</v>
      </c>
      <c r="K1164" s="343">
        <v>0</v>
      </c>
      <c r="L1164" s="343">
        <v>-292.25</v>
      </c>
      <c r="M1164" s="343">
        <v>-1196514.44</v>
      </c>
      <c r="O1164" s="343">
        <v>0</v>
      </c>
    </row>
    <row r="1165" spans="1:15" x14ac:dyDescent="0.3">
      <c r="A1165" s="340" t="s">
        <v>891</v>
      </c>
      <c r="B1165" s="350">
        <v>46097</v>
      </c>
      <c r="C1165" s="350">
        <v>46097</v>
      </c>
      <c r="D1165" s="351">
        <v>46082</v>
      </c>
      <c r="E1165" s="340" t="s">
        <v>2071</v>
      </c>
      <c r="F1165" s="340" t="s">
        <v>894</v>
      </c>
      <c r="G1165" s="340" t="s">
        <v>2072</v>
      </c>
      <c r="I1165" s="340" t="s">
        <v>745</v>
      </c>
      <c r="K1165" s="343">
        <v>0</v>
      </c>
      <c r="L1165" s="343">
        <v>-831.25</v>
      </c>
      <c r="M1165" s="343">
        <v>-1197345.69</v>
      </c>
      <c r="O1165" s="343">
        <v>0</v>
      </c>
    </row>
    <row r="1166" spans="1:15" x14ac:dyDescent="0.3">
      <c r="A1166" s="340" t="s">
        <v>891</v>
      </c>
      <c r="B1166" s="350">
        <v>46097</v>
      </c>
      <c r="C1166" s="350">
        <v>46097</v>
      </c>
      <c r="D1166" s="351">
        <v>46082</v>
      </c>
      <c r="E1166" s="340" t="s">
        <v>2071</v>
      </c>
      <c r="F1166" s="340" t="s">
        <v>894</v>
      </c>
      <c r="G1166" s="340" t="s">
        <v>1187</v>
      </c>
      <c r="I1166" s="340" t="s">
        <v>745</v>
      </c>
      <c r="K1166" s="343">
        <v>0</v>
      </c>
      <c r="L1166" s="343">
        <v>-237.92</v>
      </c>
      <c r="M1166" s="343">
        <v>-1197583.6100000001</v>
      </c>
      <c r="O1166" s="343">
        <v>0</v>
      </c>
    </row>
    <row r="1167" spans="1:15" x14ac:dyDescent="0.3">
      <c r="A1167" s="340" t="s">
        <v>891</v>
      </c>
      <c r="B1167" s="350">
        <v>46097</v>
      </c>
      <c r="C1167" s="350">
        <v>46097</v>
      </c>
      <c r="D1167" s="351">
        <v>46082</v>
      </c>
      <c r="E1167" s="340" t="s">
        <v>2071</v>
      </c>
      <c r="F1167" s="340" t="s">
        <v>894</v>
      </c>
      <c r="G1167" s="340" t="s">
        <v>1901</v>
      </c>
      <c r="I1167" s="340" t="s">
        <v>745</v>
      </c>
      <c r="K1167" s="343">
        <v>0</v>
      </c>
      <c r="L1167" s="343">
        <v>-194.15</v>
      </c>
      <c r="M1167" s="343">
        <v>-1197777.76</v>
      </c>
      <c r="O1167" s="343">
        <v>0</v>
      </c>
    </row>
    <row r="1168" spans="1:15" x14ac:dyDescent="0.3">
      <c r="A1168" s="340" t="s">
        <v>891</v>
      </c>
      <c r="B1168" s="350">
        <v>46097</v>
      </c>
      <c r="C1168" s="350">
        <v>46097</v>
      </c>
      <c r="D1168" s="351">
        <v>46082</v>
      </c>
      <c r="E1168" s="340" t="s">
        <v>2071</v>
      </c>
      <c r="F1168" s="340" t="s">
        <v>894</v>
      </c>
      <c r="G1168" s="340" t="s">
        <v>2073</v>
      </c>
      <c r="I1168" s="340" t="s">
        <v>745</v>
      </c>
      <c r="K1168" s="343">
        <v>0</v>
      </c>
      <c r="L1168" s="343">
        <v>-420.08</v>
      </c>
      <c r="M1168" s="343">
        <v>-1198197.8400000001</v>
      </c>
      <c r="O1168" s="343">
        <v>0</v>
      </c>
    </row>
    <row r="1169" spans="1:15" x14ac:dyDescent="0.3">
      <c r="A1169" s="340" t="s">
        <v>891</v>
      </c>
      <c r="B1169" s="350">
        <v>46097</v>
      </c>
      <c r="C1169" s="350">
        <v>46097</v>
      </c>
      <c r="D1169" s="351">
        <v>46082</v>
      </c>
      <c r="E1169" s="340" t="s">
        <v>2071</v>
      </c>
      <c r="F1169" s="340" t="s">
        <v>894</v>
      </c>
      <c r="G1169" s="340" t="s">
        <v>1893</v>
      </c>
      <c r="I1169" s="340" t="s">
        <v>745</v>
      </c>
      <c r="K1169" s="343">
        <v>0</v>
      </c>
      <c r="L1169" s="343">
        <v>-145.63999999999999</v>
      </c>
      <c r="M1169" s="343">
        <v>-1198343.48</v>
      </c>
      <c r="O1169" s="343">
        <v>0</v>
      </c>
    </row>
    <row r="1170" spans="1:15" x14ac:dyDescent="0.3">
      <c r="A1170" s="340" t="s">
        <v>891</v>
      </c>
      <c r="B1170" s="350">
        <v>46097</v>
      </c>
      <c r="C1170" s="350">
        <v>46097</v>
      </c>
      <c r="D1170" s="351">
        <v>46082</v>
      </c>
      <c r="E1170" s="340" t="s">
        <v>2071</v>
      </c>
      <c r="F1170" s="340" t="s">
        <v>894</v>
      </c>
      <c r="G1170" s="340" t="s">
        <v>2074</v>
      </c>
      <c r="I1170" s="340" t="s">
        <v>745</v>
      </c>
      <c r="K1170" s="343">
        <v>0</v>
      </c>
      <c r="L1170" s="343">
        <v>-197.16</v>
      </c>
      <c r="M1170" s="343">
        <v>-1198540.6399999999</v>
      </c>
      <c r="O1170" s="343">
        <v>0</v>
      </c>
    </row>
    <row r="1171" spans="1:15" x14ac:dyDescent="0.3">
      <c r="A1171" s="340" t="s">
        <v>891</v>
      </c>
      <c r="B1171" s="350">
        <v>46097</v>
      </c>
      <c r="C1171" s="350">
        <v>46097</v>
      </c>
      <c r="D1171" s="351">
        <v>46082</v>
      </c>
      <c r="E1171" s="340" t="s">
        <v>2071</v>
      </c>
      <c r="F1171" s="340" t="s">
        <v>894</v>
      </c>
      <c r="G1171" s="340" t="s">
        <v>2075</v>
      </c>
      <c r="I1171" s="340" t="s">
        <v>745</v>
      </c>
      <c r="K1171" s="343">
        <v>0</v>
      </c>
      <c r="L1171" s="343">
        <v>-144.69999999999999</v>
      </c>
      <c r="M1171" s="343">
        <v>-1198685.3400000001</v>
      </c>
      <c r="O1171" s="343">
        <v>0</v>
      </c>
    </row>
    <row r="1172" spans="1:15" x14ac:dyDescent="0.3">
      <c r="A1172" s="340" t="s">
        <v>891</v>
      </c>
      <c r="B1172" s="350">
        <v>46097</v>
      </c>
      <c r="C1172" s="350">
        <v>46097</v>
      </c>
      <c r="D1172" s="351">
        <v>46082</v>
      </c>
      <c r="E1172" s="340" t="s">
        <v>2071</v>
      </c>
      <c r="F1172" s="340" t="s">
        <v>894</v>
      </c>
      <c r="G1172" s="340" t="s">
        <v>2076</v>
      </c>
      <c r="I1172" s="340" t="s">
        <v>745</v>
      </c>
      <c r="K1172" s="343">
        <v>0</v>
      </c>
      <c r="L1172" s="343">
        <v>-580.49</v>
      </c>
      <c r="M1172" s="343">
        <v>-1199265.83</v>
      </c>
      <c r="O1172" s="343">
        <v>0</v>
      </c>
    </row>
    <row r="1173" spans="1:15" x14ac:dyDescent="0.3">
      <c r="A1173" s="340" t="s">
        <v>891</v>
      </c>
      <c r="B1173" s="350">
        <v>46097</v>
      </c>
      <c r="C1173" s="350">
        <v>46097</v>
      </c>
      <c r="D1173" s="351">
        <v>46082</v>
      </c>
      <c r="E1173" s="340" t="s">
        <v>2071</v>
      </c>
      <c r="F1173" s="340" t="s">
        <v>894</v>
      </c>
      <c r="G1173" s="340" t="s">
        <v>1625</v>
      </c>
      <c r="I1173" s="340" t="s">
        <v>745</v>
      </c>
      <c r="K1173" s="343">
        <v>0</v>
      </c>
      <c r="L1173" s="343">
        <v>-146.52000000000001</v>
      </c>
      <c r="M1173" s="343">
        <v>-1199412.3500000001</v>
      </c>
      <c r="O1173" s="343">
        <v>0</v>
      </c>
    </row>
    <row r="1174" spans="1:15" x14ac:dyDescent="0.3">
      <c r="A1174" s="340" t="s">
        <v>891</v>
      </c>
      <c r="B1174" s="350">
        <v>46097</v>
      </c>
      <c r="C1174" s="350">
        <v>46097</v>
      </c>
      <c r="D1174" s="351">
        <v>46082</v>
      </c>
      <c r="E1174" s="340" t="s">
        <v>2071</v>
      </c>
      <c r="F1174" s="340" t="s">
        <v>894</v>
      </c>
      <c r="G1174" s="340" t="s">
        <v>2077</v>
      </c>
      <c r="I1174" s="340" t="s">
        <v>745</v>
      </c>
      <c r="K1174" s="343">
        <v>0</v>
      </c>
      <c r="L1174" s="343">
        <v>-151.94</v>
      </c>
      <c r="M1174" s="343">
        <v>-1199564.29</v>
      </c>
      <c r="O1174" s="343">
        <v>0</v>
      </c>
    </row>
    <row r="1175" spans="1:15" x14ac:dyDescent="0.3">
      <c r="A1175" s="340" t="s">
        <v>891</v>
      </c>
      <c r="B1175" s="350">
        <v>46097</v>
      </c>
      <c r="C1175" s="350">
        <v>46097</v>
      </c>
      <c r="D1175" s="351">
        <v>46082</v>
      </c>
      <c r="E1175" s="340" t="s">
        <v>2071</v>
      </c>
      <c r="F1175" s="340" t="s">
        <v>894</v>
      </c>
      <c r="G1175" s="340" t="s">
        <v>2078</v>
      </c>
      <c r="I1175" s="340" t="s">
        <v>745</v>
      </c>
      <c r="K1175" s="343">
        <v>0</v>
      </c>
      <c r="L1175" s="343">
        <v>-995.87</v>
      </c>
      <c r="M1175" s="343">
        <v>-1200560.1599999999</v>
      </c>
      <c r="O1175" s="343">
        <v>0</v>
      </c>
    </row>
    <row r="1176" spans="1:15" x14ac:dyDescent="0.3">
      <c r="A1176" s="340" t="s">
        <v>891</v>
      </c>
      <c r="B1176" s="350">
        <v>46097</v>
      </c>
      <c r="C1176" s="350">
        <v>46097</v>
      </c>
      <c r="D1176" s="351">
        <v>46082</v>
      </c>
      <c r="E1176" s="340" t="s">
        <v>2071</v>
      </c>
      <c r="F1176" s="340" t="s">
        <v>894</v>
      </c>
      <c r="G1176" s="340" t="s">
        <v>2079</v>
      </c>
      <c r="I1176" s="340" t="s">
        <v>745</v>
      </c>
      <c r="K1176" s="343">
        <v>0</v>
      </c>
      <c r="L1176" s="343">
        <v>-198.02</v>
      </c>
      <c r="M1176" s="343">
        <v>-1200758.18</v>
      </c>
      <c r="O1176" s="343">
        <v>0</v>
      </c>
    </row>
    <row r="1177" spans="1:15" x14ac:dyDescent="0.3">
      <c r="A1177" s="340" t="s">
        <v>891</v>
      </c>
      <c r="B1177" s="350">
        <v>46097</v>
      </c>
      <c r="C1177" s="350">
        <v>46097</v>
      </c>
      <c r="D1177" s="351">
        <v>46082</v>
      </c>
      <c r="E1177" s="340" t="s">
        <v>2071</v>
      </c>
      <c r="F1177" s="340" t="s">
        <v>894</v>
      </c>
      <c r="G1177" s="340" t="s">
        <v>1547</v>
      </c>
      <c r="I1177" s="340" t="s">
        <v>745</v>
      </c>
      <c r="K1177" s="343">
        <v>0</v>
      </c>
      <c r="L1177" s="343">
        <v>-63.76</v>
      </c>
      <c r="M1177" s="343">
        <v>-1200821.94</v>
      </c>
      <c r="O1177" s="343">
        <v>0</v>
      </c>
    </row>
    <row r="1178" spans="1:15" x14ac:dyDescent="0.3">
      <c r="A1178" s="340" t="s">
        <v>891</v>
      </c>
      <c r="B1178" s="350">
        <v>46097</v>
      </c>
      <c r="C1178" s="350">
        <v>46097</v>
      </c>
      <c r="D1178" s="351">
        <v>46082</v>
      </c>
      <c r="E1178" s="340" t="s">
        <v>2071</v>
      </c>
      <c r="F1178" s="340" t="s">
        <v>894</v>
      </c>
      <c r="G1178" s="340" t="s">
        <v>1548</v>
      </c>
      <c r="I1178" s="340" t="s">
        <v>745</v>
      </c>
      <c r="K1178" s="343">
        <v>0</v>
      </c>
      <c r="L1178" s="343">
        <v>-74.63</v>
      </c>
      <c r="M1178" s="343">
        <v>-1200896.57</v>
      </c>
      <c r="O1178" s="343">
        <v>0</v>
      </c>
    </row>
    <row r="1179" spans="1:15" x14ac:dyDescent="0.3">
      <c r="A1179" s="340" t="s">
        <v>891</v>
      </c>
      <c r="B1179" s="350">
        <v>46097</v>
      </c>
      <c r="C1179" s="350">
        <v>46097</v>
      </c>
      <c r="D1179" s="351">
        <v>46082</v>
      </c>
      <c r="E1179" s="340" t="s">
        <v>2071</v>
      </c>
      <c r="F1179" s="340" t="s">
        <v>894</v>
      </c>
      <c r="G1179" s="340" t="s">
        <v>2080</v>
      </c>
      <c r="I1179" s="340" t="s">
        <v>745</v>
      </c>
      <c r="K1179" s="343">
        <v>0</v>
      </c>
      <c r="L1179" s="343">
        <v>-357.18</v>
      </c>
      <c r="M1179" s="343">
        <v>-1201253.75</v>
      </c>
      <c r="O1179" s="343">
        <v>0</v>
      </c>
    </row>
    <row r="1180" spans="1:15" x14ac:dyDescent="0.3">
      <c r="A1180" s="340" t="s">
        <v>891</v>
      </c>
      <c r="B1180" s="350">
        <v>46097</v>
      </c>
      <c r="C1180" s="350">
        <v>46097</v>
      </c>
      <c r="D1180" s="351">
        <v>46082</v>
      </c>
      <c r="E1180" s="340" t="s">
        <v>2071</v>
      </c>
      <c r="F1180" s="340" t="s">
        <v>894</v>
      </c>
      <c r="G1180" s="340" t="s">
        <v>2081</v>
      </c>
      <c r="I1180" s="340" t="s">
        <v>745</v>
      </c>
      <c r="K1180" s="343">
        <v>0</v>
      </c>
      <c r="L1180" s="343">
        <v>-33.94</v>
      </c>
      <c r="M1180" s="343">
        <v>-1201287.69</v>
      </c>
      <c r="O1180" s="343">
        <v>0</v>
      </c>
    </row>
    <row r="1181" spans="1:15" x14ac:dyDescent="0.3">
      <c r="A1181" s="340" t="s">
        <v>891</v>
      </c>
      <c r="B1181" s="350">
        <v>46097</v>
      </c>
      <c r="C1181" s="350">
        <v>46097</v>
      </c>
      <c r="D1181" s="351">
        <v>46082</v>
      </c>
      <c r="E1181" s="340" t="s">
        <v>2071</v>
      </c>
      <c r="F1181" s="340" t="s">
        <v>894</v>
      </c>
      <c r="G1181" s="340" t="s">
        <v>2082</v>
      </c>
      <c r="I1181" s="340" t="s">
        <v>745</v>
      </c>
      <c r="K1181" s="343">
        <v>0</v>
      </c>
      <c r="L1181" s="343">
        <v>-33.94</v>
      </c>
      <c r="M1181" s="343">
        <v>-1201321.6299999999</v>
      </c>
      <c r="O1181" s="343">
        <v>0</v>
      </c>
    </row>
    <row r="1182" spans="1:15" x14ac:dyDescent="0.3">
      <c r="A1182" s="340" t="s">
        <v>891</v>
      </c>
      <c r="B1182" s="350">
        <v>46097</v>
      </c>
      <c r="C1182" s="350">
        <v>46097</v>
      </c>
      <c r="D1182" s="351">
        <v>46082</v>
      </c>
      <c r="E1182" s="340" t="s">
        <v>2071</v>
      </c>
      <c r="F1182" s="340" t="s">
        <v>894</v>
      </c>
      <c r="G1182" s="340" t="s">
        <v>1554</v>
      </c>
      <c r="I1182" s="340" t="s">
        <v>745</v>
      </c>
      <c r="K1182" s="343">
        <v>0</v>
      </c>
      <c r="L1182" s="343">
        <v>-161.05000000000001</v>
      </c>
      <c r="M1182" s="343">
        <v>-1201482.68</v>
      </c>
      <c r="O1182" s="343">
        <v>0</v>
      </c>
    </row>
    <row r="1183" spans="1:15" x14ac:dyDescent="0.3">
      <c r="A1183" s="340" t="s">
        <v>891</v>
      </c>
      <c r="B1183" s="350">
        <v>46097</v>
      </c>
      <c r="C1183" s="350">
        <v>46097</v>
      </c>
      <c r="D1183" s="351">
        <v>46082</v>
      </c>
      <c r="E1183" s="340" t="s">
        <v>2071</v>
      </c>
      <c r="F1183" s="340" t="s">
        <v>894</v>
      </c>
      <c r="G1183" s="340" t="s">
        <v>1553</v>
      </c>
      <c r="I1183" s="340" t="s">
        <v>745</v>
      </c>
      <c r="K1183" s="343">
        <v>0</v>
      </c>
      <c r="L1183" s="343">
        <v>-428.5</v>
      </c>
      <c r="M1183" s="343">
        <v>-1201911.18</v>
      </c>
      <c r="O1183" s="343">
        <v>0</v>
      </c>
    </row>
    <row r="1184" spans="1:15" x14ac:dyDescent="0.3">
      <c r="A1184" s="340" t="s">
        <v>891</v>
      </c>
      <c r="B1184" s="350">
        <v>46097</v>
      </c>
      <c r="C1184" s="350">
        <v>46097</v>
      </c>
      <c r="D1184" s="351">
        <v>46082</v>
      </c>
      <c r="E1184" s="340" t="s">
        <v>2071</v>
      </c>
      <c r="F1184" s="340" t="s">
        <v>894</v>
      </c>
      <c r="G1184" s="340" t="s">
        <v>1618</v>
      </c>
      <c r="I1184" s="340" t="s">
        <v>745</v>
      </c>
      <c r="K1184" s="343">
        <v>0</v>
      </c>
      <c r="L1184" s="343">
        <v>-471.37</v>
      </c>
      <c r="M1184" s="343">
        <v>-1202382.55</v>
      </c>
      <c r="O1184" s="343">
        <v>0</v>
      </c>
    </row>
    <row r="1185" spans="1:15" x14ac:dyDescent="0.3">
      <c r="A1185" s="340" t="s">
        <v>891</v>
      </c>
      <c r="B1185" s="350">
        <v>46097</v>
      </c>
      <c r="C1185" s="350">
        <v>46097</v>
      </c>
      <c r="D1185" s="351">
        <v>46082</v>
      </c>
      <c r="E1185" s="340" t="s">
        <v>2071</v>
      </c>
      <c r="F1185" s="340" t="s">
        <v>894</v>
      </c>
      <c r="G1185" s="340" t="s">
        <v>2083</v>
      </c>
      <c r="I1185" s="340" t="s">
        <v>745</v>
      </c>
      <c r="K1185" s="343">
        <v>0</v>
      </c>
      <c r="L1185" s="343">
        <v>-93.92</v>
      </c>
      <c r="M1185" s="343">
        <v>-1202476.47</v>
      </c>
      <c r="O1185" s="343">
        <v>0</v>
      </c>
    </row>
    <row r="1186" spans="1:15" x14ac:dyDescent="0.3">
      <c r="A1186" s="340" t="s">
        <v>891</v>
      </c>
      <c r="B1186" s="350">
        <v>46097</v>
      </c>
      <c r="C1186" s="350">
        <v>46097</v>
      </c>
      <c r="D1186" s="351">
        <v>46082</v>
      </c>
      <c r="E1186" s="340" t="s">
        <v>2071</v>
      </c>
      <c r="F1186" s="340" t="s">
        <v>894</v>
      </c>
      <c r="G1186" s="340" t="s">
        <v>2084</v>
      </c>
      <c r="I1186" s="340" t="s">
        <v>745</v>
      </c>
      <c r="K1186" s="343">
        <v>0</v>
      </c>
      <c r="L1186" s="343">
        <v>-471.42</v>
      </c>
      <c r="M1186" s="343">
        <v>-1202947.8899999999</v>
      </c>
      <c r="O1186" s="343">
        <v>0</v>
      </c>
    </row>
    <row r="1187" spans="1:15" x14ac:dyDescent="0.3">
      <c r="A1187" s="340" t="s">
        <v>891</v>
      </c>
      <c r="B1187" s="350">
        <v>46097</v>
      </c>
      <c r="C1187" s="350">
        <v>46097</v>
      </c>
      <c r="D1187" s="351">
        <v>46082</v>
      </c>
      <c r="E1187" s="340" t="s">
        <v>2071</v>
      </c>
      <c r="F1187" s="340" t="s">
        <v>894</v>
      </c>
      <c r="G1187" s="340" t="s">
        <v>1509</v>
      </c>
      <c r="I1187" s="340" t="s">
        <v>745</v>
      </c>
      <c r="K1187" s="343">
        <v>0</v>
      </c>
      <c r="L1187" s="343">
        <v>-466.76</v>
      </c>
      <c r="M1187" s="343">
        <v>-1203414.6499999999</v>
      </c>
      <c r="O1187" s="343">
        <v>0</v>
      </c>
    </row>
    <row r="1188" spans="1:15" x14ac:dyDescent="0.3">
      <c r="A1188" s="340" t="s">
        <v>891</v>
      </c>
      <c r="B1188" s="350">
        <v>46097</v>
      </c>
      <c r="C1188" s="350">
        <v>46097</v>
      </c>
      <c r="D1188" s="351">
        <v>46082</v>
      </c>
      <c r="E1188" s="340" t="s">
        <v>2071</v>
      </c>
      <c r="F1188" s="340" t="s">
        <v>894</v>
      </c>
      <c r="G1188" s="340" t="s">
        <v>1532</v>
      </c>
      <c r="I1188" s="340" t="s">
        <v>745</v>
      </c>
      <c r="K1188" s="343">
        <v>0</v>
      </c>
      <c r="L1188" s="343">
        <v>-45.55</v>
      </c>
      <c r="M1188" s="343">
        <v>-1203460.2</v>
      </c>
      <c r="O1188" s="343">
        <v>0</v>
      </c>
    </row>
    <row r="1189" spans="1:15" x14ac:dyDescent="0.3">
      <c r="A1189" s="340" t="s">
        <v>891</v>
      </c>
      <c r="B1189" s="350">
        <v>46097</v>
      </c>
      <c r="C1189" s="350">
        <v>46097</v>
      </c>
      <c r="D1189" s="351">
        <v>46082</v>
      </c>
      <c r="E1189" s="340" t="s">
        <v>2071</v>
      </c>
      <c r="F1189" s="340" t="s">
        <v>894</v>
      </c>
      <c r="G1189" s="340" t="s">
        <v>1531</v>
      </c>
      <c r="I1189" s="340" t="s">
        <v>745</v>
      </c>
      <c r="K1189" s="343">
        <v>0</v>
      </c>
      <c r="L1189" s="343">
        <v>-43.95</v>
      </c>
      <c r="M1189" s="343">
        <v>-1203504.1499999999</v>
      </c>
      <c r="O1189" s="343">
        <v>0</v>
      </c>
    </row>
    <row r="1190" spans="1:15" x14ac:dyDescent="0.3">
      <c r="A1190" s="340" t="s">
        <v>891</v>
      </c>
      <c r="B1190" s="350">
        <v>46097</v>
      </c>
      <c r="C1190" s="350">
        <v>46097</v>
      </c>
      <c r="D1190" s="351">
        <v>46082</v>
      </c>
      <c r="E1190" s="340" t="s">
        <v>2071</v>
      </c>
      <c r="F1190" s="340" t="s">
        <v>894</v>
      </c>
      <c r="G1190" s="340" t="s">
        <v>2085</v>
      </c>
      <c r="I1190" s="340" t="s">
        <v>745</v>
      </c>
      <c r="K1190" s="343">
        <v>0</v>
      </c>
      <c r="L1190" s="343">
        <v>-20.52</v>
      </c>
      <c r="M1190" s="343">
        <v>-1203524.67</v>
      </c>
      <c r="O1190" s="343">
        <v>0</v>
      </c>
    </row>
    <row r="1191" spans="1:15" x14ac:dyDescent="0.3">
      <c r="A1191" s="340" t="s">
        <v>891</v>
      </c>
      <c r="B1191" s="350">
        <v>46097</v>
      </c>
      <c r="C1191" s="350">
        <v>46097</v>
      </c>
      <c r="D1191" s="351">
        <v>46082</v>
      </c>
      <c r="E1191" s="340" t="s">
        <v>2071</v>
      </c>
      <c r="F1191" s="340" t="s">
        <v>894</v>
      </c>
      <c r="G1191" s="340" t="s">
        <v>2086</v>
      </c>
      <c r="I1191" s="340" t="s">
        <v>745</v>
      </c>
      <c r="K1191" s="343">
        <v>0</v>
      </c>
      <c r="L1191" s="343">
        <v>-29.43</v>
      </c>
      <c r="M1191" s="343">
        <v>-1203554.1000000001</v>
      </c>
      <c r="O1191" s="343">
        <v>0</v>
      </c>
    </row>
    <row r="1192" spans="1:15" x14ac:dyDescent="0.3">
      <c r="A1192" s="340" t="s">
        <v>891</v>
      </c>
      <c r="B1192" s="350">
        <v>46097</v>
      </c>
      <c r="C1192" s="350">
        <v>46097</v>
      </c>
      <c r="D1192" s="351">
        <v>46082</v>
      </c>
      <c r="E1192" s="340" t="s">
        <v>2071</v>
      </c>
      <c r="F1192" s="340" t="s">
        <v>894</v>
      </c>
      <c r="G1192" s="340" t="s">
        <v>2087</v>
      </c>
      <c r="I1192" s="340" t="s">
        <v>745</v>
      </c>
      <c r="K1192" s="343">
        <v>0</v>
      </c>
      <c r="L1192" s="343">
        <v>-32.799999999999997</v>
      </c>
      <c r="M1192" s="343">
        <v>-1203586.8999999999</v>
      </c>
      <c r="O1192" s="343">
        <v>0</v>
      </c>
    </row>
    <row r="1193" spans="1:15" x14ac:dyDescent="0.3">
      <c r="A1193" s="340" t="s">
        <v>891</v>
      </c>
      <c r="B1193" s="350">
        <v>46097</v>
      </c>
      <c r="C1193" s="350">
        <v>46097</v>
      </c>
      <c r="D1193" s="351">
        <v>46082</v>
      </c>
      <c r="E1193" s="340" t="s">
        <v>2071</v>
      </c>
      <c r="F1193" s="340" t="s">
        <v>894</v>
      </c>
      <c r="G1193" s="340" t="s">
        <v>2088</v>
      </c>
      <c r="I1193" s="340" t="s">
        <v>745</v>
      </c>
      <c r="K1193" s="343">
        <v>0</v>
      </c>
      <c r="L1193" s="343">
        <v>-35.630000000000003</v>
      </c>
      <c r="M1193" s="343">
        <v>-1203622.53</v>
      </c>
      <c r="O1193" s="343">
        <v>0</v>
      </c>
    </row>
    <row r="1194" spans="1:15" x14ac:dyDescent="0.3">
      <c r="A1194" s="340" t="s">
        <v>891</v>
      </c>
      <c r="B1194" s="350">
        <v>46097</v>
      </c>
      <c r="C1194" s="350">
        <v>46097</v>
      </c>
      <c r="D1194" s="351">
        <v>46082</v>
      </c>
      <c r="E1194" s="340" t="s">
        <v>2071</v>
      </c>
      <c r="F1194" s="340" t="s">
        <v>894</v>
      </c>
      <c r="G1194" s="340" t="s">
        <v>2089</v>
      </c>
      <c r="I1194" s="340" t="s">
        <v>745</v>
      </c>
      <c r="K1194" s="343">
        <v>0</v>
      </c>
      <c r="L1194" s="343">
        <v>-452.64</v>
      </c>
      <c r="M1194" s="343">
        <v>-1204075.17</v>
      </c>
      <c r="O1194" s="343">
        <v>0</v>
      </c>
    </row>
    <row r="1195" spans="1:15" x14ac:dyDescent="0.3">
      <c r="A1195" s="340" t="s">
        <v>891</v>
      </c>
      <c r="B1195" s="350">
        <v>46097</v>
      </c>
      <c r="C1195" s="350">
        <v>46097</v>
      </c>
      <c r="D1195" s="351">
        <v>46082</v>
      </c>
      <c r="E1195" s="340" t="s">
        <v>2071</v>
      </c>
      <c r="F1195" s="340" t="s">
        <v>894</v>
      </c>
      <c r="G1195" s="340" t="s">
        <v>2090</v>
      </c>
      <c r="I1195" s="340" t="s">
        <v>745</v>
      </c>
      <c r="K1195" s="343">
        <v>0</v>
      </c>
      <c r="L1195" s="343">
        <v>-160.72999999999999</v>
      </c>
      <c r="M1195" s="343">
        <v>-1204235.8999999999</v>
      </c>
      <c r="O1195" s="343">
        <v>0</v>
      </c>
    </row>
    <row r="1196" spans="1:15" x14ac:dyDescent="0.3">
      <c r="A1196" s="340" t="s">
        <v>891</v>
      </c>
      <c r="B1196" s="350">
        <v>46097</v>
      </c>
      <c r="C1196" s="350">
        <v>46097</v>
      </c>
      <c r="D1196" s="351">
        <v>46082</v>
      </c>
      <c r="E1196" s="340" t="s">
        <v>2071</v>
      </c>
      <c r="F1196" s="340" t="s">
        <v>894</v>
      </c>
      <c r="G1196" s="340" t="s">
        <v>1181</v>
      </c>
      <c r="I1196" s="340" t="s">
        <v>745</v>
      </c>
      <c r="K1196" s="343">
        <v>0</v>
      </c>
      <c r="L1196" s="343">
        <v>-135.31</v>
      </c>
      <c r="M1196" s="343">
        <v>-1204371.21</v>
      </c>
      <c r="O1196" s="343">
        <v>0</v>
      </c>
    </row>
    <row r="1197" spans="1:15" x14ac:dyDescent="0.3">
      <c r="A1197" s="340" t="s">
        <v>891</v>
      </c>
      <c r="B1197" s="350">
        <v>46097</v>
      </c>
      <c r="C1197" s="350">
        <v>46097</v>
      </c>
      <c r="D1197" s="351">
        <v>46082</v>
      </c>
      <c r="E1197" s="340" t="s">
        <v>2071</v>
      </c>
      <c r="F1197" s="340" t="s">
        <v>894</v>
      </c>
      <c r="G1197" s="340" t="s">
        <v>1887</v>
      </c>
      <c r="I1197" s="340" t="s">
        <v>745</v>
      </c>
      <c r="K1197" s="343">
        <v>0</v>
      </c>
      <c r="L1197" s="343">
        <v>-50.99</v>
      </c>
      <c r="M1197" s="343">
        <v>-1204422.2</v>
      </c>
      <c r="O1197" s="343">
        <v>0</v>
      </c>
    </row>
    <row r="1198" spans="1:15" x14ac:dyDescent="0.3">
      <c r="A1198" s="340" t="s">
        <v>891</v>
      </c>
      <c r="B1198" s="350">
        <v>46097</v>
      </c>
      <c r="C1198" s="350">
        <v>46097</v>
      </c>
      <c r="D1198" s="351">
        <v>46082</v>
      </c>
      <c r="E1198" s="340" t="s">
        <v>2091</v>
      </c>
      <c r="F1198" s="340" t="s">
        <v>894</v>
      </c>
      <c r="G1198" s="340" t="s">
        <v>1540</v>
      </c>
      <c r="I1198" s="340" t="s">
        <v>745</v>
      </c>
      <c r="K1198" s="343">
        <v>0</v>
      </c>
      <c r="L1198" s="343">
        <v>-1038.79</v>
      </c>
      <c r="M1198" s="343">
        <v>-1205460.99</v>
      </c>
      <c r="O1198" s="343">
        <v>0</v>
      </c>
    </row>
    <row r="1199" spans="1:15" x14ac:dyDescent="0.3">
      <c r="A1199" s="340" t="s">
        <v>891</v>
      </c>
      <c r="B1199" s="350">
        <v>46097</v>
      </c>
      <c r="C1199" s="350">
        <v>46097</v>
      </c>
      <c r="D1199" s="351">
        <v>46082</v>
      </c>
      <c r="E1199" s="340" t="s">
        <v>2091</v>
      </c>
      <c r="F1199" s="340" t="s">
        <v>894</v>
      </c>
      <c r="G1199" s="340" t="s">
        <v>2092</v>
      </c>
      <c r="I1199" s="340" t="s">
        <v>745</v>
      </c>
      <c r="K1199" s="343">
        <v>0</v>
      </c>
      <c r="L1199" s="343">
        <v>-1369.38</v>
      </c>
      <c r="M1199" s="343">
        <v>-1206830.3700000001</v>
      </c>
      <c r="O1199" s="343">
        <v>0</v>
      </c>
    </row>
    <row r="1200" spans="1:15" x14ac:dyDescent="0.3">
      <c r="A1200" s="340" t="s">
        <v>891</v>
      </c>
      <c r="B1200" s="350">
        <v>46097</v>
      </c>
      <c r="C1200" s="350">
        <v>46097</v>
      </c>
      <c r="D1200" s="351">
        <v>46082</v>
      </c>
      <c r="E1200" s="340" t="s">
        <v>2093</v>
      </c>
      <c r="F1200" s="340" t="s">
        <v>894</v>
      </c>
      <c r="G1200" s="340" t="s">
        <v>2094</v>
      </c>
      <c r="I1200" s="340" t="s">
        <v>232</v>
      </c>
      <c r="K1200" s="343">
        <v>0</v>
      </c>
      <c r="L1200" s="343">
        <v>-12065.44</v>
      </c>
      <c r="M1200" s="343">
        <v>-1218895.81</v>
      </c>
      <c r="O1200" s="343">
        <v>0</v>
      </c>
    </row>
    <row r="1201" spans="1:15" x14ac:dyDescent="0.3">
      <c r="A1201" s="340" t="s">
        <v>891</v>
      </c>
      <c r="B1201" s="350">
        <v>46097</v>
      </c>
      <c r="C1201" s="350">
        <v>46097</v>
      </c>
      <c r="D1201" s="351">
        <v>46082</v>
      </c>
      <c r="E1201" s="340" t="s">
        <v>2095</v>
      </c>
      <c r="F1201" s="340" t="s">
        <v>894</v>
      </c>
      <c r="G1201" s="340" t="s">
        <v>2096</v>
      </c>
      <c r="I1201" s="340" t="s">
        <v>774</v>
      </c>
      <c r="K1201" s="343">
        <v>0</v>
      </c>
      <c r="L1201" s="343">
        <v>-250</v>
      </c>
      <c r="M1201" s="343">
        <v>-1219145.81</v>
      </c>
      <c r="O1201" s="343">
        <v>0</v>
      </c>
    </row>
    <row r="1202" spans="1:15" x14ac:dyDescent="0.3">
      <c r="A1202" s="340" t="s">
        <v>891</v>
      </c>
      <c r="B1202" s="350">
        <v>46097</v>
      </c>
      <c r="C1202" s="350">
        <v>46099</v>
      </c>
      <c r="D1202" s="351">
        <v>46082</v>
      </c>
      <c r="E1202" s="340" t="s">
        <v>2097</v>
      </c>
      <c r="F1202" s="340" t="s">
        <v>894</v>
      </c>
      <c r="G1202" s="340" t="s">
        <v>2098</v>
      </c>
      <c r="I1202" s="340" t="s">
        <v>740</v>
      </c>
      <c r="K1202" s="343">
        <v>0</v>
      </c>
      <c r="L1202" s="343">
        <v>-254.39</v>
      </c>
      <c r="M1202" s="343">
        <v>-1219400.2</v>
      </c>
      <c r="O1202" s="343">
        <v>0</v>
      </c>
    </row>
    <row r="1203" spans="1:15" x14ac:dyDescent="0.3">
      <c r="A1203" s="340" t="s">
        <v>891</v>
      </c>
      <c r="B1203" s="350">
        <v>46097</v>
      </c>
      <c r="C1203" s="350">
        <v>46099</v>
      </c>
      <c r="D1203" s="351">
        <v>46082</v>
      </c>
      <c r="E1203" s="340" t="s">
        <v>2099</v>
      </c>
      <c r="F1203" s="340" t="s">
        <v>894</v>
      </c>
      <c r="G1203" s="340" t="s">
        <v>2100</v>
      </c>
      <c r="I1203" s="340" t="s">
        <v>740</v>
      </c>
      <c r="K1203" s="343">
        <v>0</v>
      </c>
      <c r="L1203" s="343">
        <v>-520</v>
      </c>
      <c r="M1203" s="343">
        <v>-1219920.2</v>
      </c>
      <c r="O1203" s="343">
        <v>0</v>
      </c>
    </row>
    <row r="1204" spans="1:15" x14ac:dyDescent="0.3">
      <c r="A1204" s="340" t="s">
        <v>891</v>
      </c>
      <c r="B1204" s="350">
        <v>46097</v>
      </c>
      <c r="C1204" s="350">
        <v>46099</v>
      </c>
      <c r="D1204" s="351">
        <v>46082</v>
      </c>
      <c r="E1204" s="340" t="s">
        <v>2099</v>
      </c>
      <c r="F1204" s="340" t="s">
        <v>894</v>
      </c>
      <c r="G1204" s="340" t="s">
        <v>2101</v>
      </c>
      <c r="I1204" s="340" t="s">
        <v>740</v>
      </c>
      <c r="K1204" s="343">
        <v>0</v>
      </c>
      <c r="L1204" s="343">
        <v>-260</v>
      </c>
      <c r="M1204" s="343">
        <v>-1220180.2</v>
      </c>
      <c r="O1204" s="343">
        <v>0</v>
      </c>
    </row>
    <row r="1205" spans="1:15" x14ac:dyDescent="0.3">
      <c r="A1205" s="340" t="s">
        <v>891</v>
      </c>
      <c r="B1205" s="350">
        <v>46098</v>
      </c>
      <c r="C1205" s="350">
        <v>46097</v>
      </c>
      <c r="D1205" s="351">
        <v>46082</v>
      </c>
      <c r="E1205" s="340" t="s">
        <v>2102</v>
      </c>
      <c r="F1205" s="340" t="s">
        <v>1078</v>
      </c>
      <c r="G1205" s="340" t="s">
        <v>2094</v>
      </c>
      <c r="I1205" s="340" t="s">
        <v>232</v>
      </c>
      <c r="K1205" s="343">
        <v>12065.44</v>
      </c>
      <c r="L1205" s="343">
        <v>0</v>
      </c>
      <c r="M1205" s="343">
        <v>-1208114.76</v>
      </c>
      <c r="O1205" s="343">
        <v>0</v>
      </c>
    </row>
    <row r="1206" spans="1:15" x14ac:dyDescent="0.3">
      <c r="A1206" s="340" t="s">
        <v>891</v>
      </c>
      <c r="B1206" s="350">
        <v>46098</v>
      </c>
      <c r="C1206" s="350">
        <v>46098</v>
      </c>
      <c r="D1206" s="351">
        <v>46082</v>
      </c>
      <c r="E1206" s="340" t="s">
        <v>2103</v>
      </c>
      <c r="F1206" s="340" t="s">
        <v>894</v>
      </c>
      <c r="G1206" s="340" t="s">
        <v>2104</v>
      </c>
      <c r="I1206" s="340" t="s">
        <v>764</v>
      </c>
      <c r="K1206" s="343">
        <v>0</v>
      </c>
      <c r="L1206" s="343">
        <v>-119.08</v>
      </c>
      <c r="M1206" s="343">
        <v>-1208233.8400000001</v>
      </c>
      <c r="O1206" s="343">
        <v>0</v>
      </c>
    </row>
    <row r="1207" spans="1:15" x14ac:dyDescent="0.3">
      <c r="A1207" s="340" t="s">
        <v>891</v>
      </c>
      <c r="B1207" s="350">
        <v>46098</v>
      </c>
      <c r="C1207" s="350">
        <v>46098</v>
      </c>
      <c r="D1207" s="351">
        <v>46082</v>
      </c>
      <c r="E1207" s="340" t="s">
        <v>2103</v>
      </c>
      <c r="F1207" s="340" t="s">
        <v>894</v>
      </c>
      <c r="G1207" s="340" t="s">
        <v>2105</v>
      </c>
      <c r="I1207" s="340" t="s">
        <v>764</v>
      </c>
      <c r="K1207" s="343">
        <v>0</v>
      </c>
      <c r="L1207" s="343">
        <v>-97.42</v>
      </c>
      <c r="M1207" s="343">
        <v>-1208331.26</v>
      </c>
      <c r="O1207" s="343">
        <v>0</v>
      </c>
    </row>
    <row r="1208" spans="1:15" x14ac:dyDescent="0.3">
      <c r="A1208" s="340" t="s">
        <v>891</v>
      </c>
      <c r="B1208" s="350">
        <v>46098</v>
      </c>
      <c r="C1208" s="350">
        <v>46098</v>
      </c>
      <c r="D1208" s="351">
        <v>46082</v>
      </c>
      <c r="E1208" s="340" t="s">
        <v>2106</v>
      </c>
      <c r="F1208" s="340" t="s">
        <v>894</v>
      </c>
      <c r="G1208" s="340" t="s">
        <v>2107</v>
      </c>
      <c r="I1208" s="340" t="s">
        <v>764</v>
      </c>
      <c r="K1208" s="343">
        <v>0</v>
      </c>
      <c r="L1208" s="343">
        <v>-140.72999999999999</v>
      </c>
      <c r="M1208" s="343">
        <v>-1208471.99</v>
      </c>
      <c r="O1208" s="343">
        <v>0</v>
      </c>
    </row>
    <row r="1209" spans="1:15" x14ac:dyDescent="0.3">
      <c r="A1209" s="340" t="s">
        <v>891</v>
      </c>
      <c r="B1209" s="350">
        <v>46098</v>
      </c>
      <c r="C1209" s="350">
        <v>46098</v>
      </c>
      <c r="D1209" s="351">
        <v>46082</v>
      </c>
      <c r="E1209" s="340" t="s">
        <v>2106</v>
      </c>
      <c r="F1209" s="340" t="s">
        <v>894</v>
      </c>
      <c r="G1209" s="340" t="s">
        <v>2108</v>
      </c>
      <c r="I1209" s="340" t="s">
        <v>764</v>
      </c>
      <c r="K1209" s="343">
        <v>0</v>
      </c>
      <c r="L1209" s="343">
        <v>-129.9</v>
      </c>
      <c r="M1209" s="343">
        <v>-1208601.8899999999</v>
      </c>
      <c r="O1209" s="343">
        <v>0</v>
      </c>
    </row>
    <row r="1210" spans="1:15" x14ac:dyDescent="0.3">
      <c r="A1210" s="340" t="s">
        <v>891</v>
      </c>
      <c r="B1210" s="350">
        <v>46098</v>
      </c>
      <c r="C1210" s="350">
        <v>46098</v>
      </c>
      <c r="D1210" s="351">
        <v>46082</v>
      </c>
      <c r="E1210" s="340" t="s">
        <v>2106</v>
      </c>
      <c r="F1210" s="340" t="s">
        <v>894</v>
      </c>
      <c r="G1210" s="340" t="s">
        <v>2109</v>
      </c>
      <c r="I1210" s="340" t="s">
        <v>764</v>
      </c>
      <c r="K1210" s="343">
        <v>0</v>
      </c>
      <c r="L1210" s="343">
        <v>-108.25</v>
      </c>
      <c r="M1210" s="343">
        <v>-1208710.1399999999</v>
      </c>
      <c r="O1210" s="343">
        <v>0</v>
      </c>
    </row>
    <row r="1211" spans="1:15" x14ac:dyDescent="0.3">
      <c r="A1211" s="340" t="s">
        <v>891</v>
      </c>
      <c r="B1211" s="350">
        <v>46098</v>
      </c>
      <c r="C1211" s="350">
        <v>46098</v>
      </c>
      <c r="D1211" s="351">
        <v>46082</v>
      </c>
      <c r="E1211" s="340" t="s">
        <v>2106</v>
      </c>
      <c r="F1211" s="340" t="s">
        <v>894</v>
      </c>
      <c r="G1211" s="340" t="s">
        <v>2110</v>
      </c>
      <c r="I1211" s="340" t="s">
        <v>764</v>
      </c>
      <c r="K1211" s="343">
        <v>0</v>
      </c>
      <c r="L1211" s="343">
        <v>-108.25</v>
      </c>
      <c r="M1211" s="343">
        <v>-1208818.3899999999</v>
      </c>
      <c r="O1211" s="343">
        <v>0</v>
      </c>
    </row>
    <row r="1212" spans="1:15" x14ac:dyDescent="0.3">
      <c r="A1212" s="340" t="s">
        <v>891</v>
      </c>
      <c r="B1212" s="350">
        <v>46098</v>
      </c>
      <c r="C1212" s="350">
        <v>46098</v>
      </c>
      <c r="D1212" s="351">
        <v>46082</v>
      </c>
      <c r="E1212" s="340" t="s">
        <v>2106</v>
      </c>
      <c r="F1212" s="340" t="s">
        <v>894</v>
      </c>
      <c r="G1212" s="340" t="s">
        <v>2111</v>
      </c>
      <c r="I1212" s="340" t="s">
        <v>764</v>
      </c>
      <c r="K1212" s="343">
        <v>0</v>
      </c>
      <c r="L1212" s="343">
        <v>-129.9</v>
      </c>
      <c r="M1212" s="343">
        <v>-1208948.29</v>
      </c>
      <c r="O1212" s="343">
        <v>0</v>
      </c>
    </row>
    <row r="1213" spans="1:15" x14ac:dyDescent="0.3">
      <c r="A1213" s="340" t="s">
        <v>891</v>
      </c>
      <c r="B1213" s="350">
        <v>46098</v>
      </c>
      <c r="C1213" s="350">
        <v>46098</v>
      </c>
      <c r="D1213" s="351">
        <v>46082</v>
      </c>
      <c r="E1213" s="340" t="s">
        <v>2112</v>
      </c>
      <c r="F1213" s="340" t="s">
        <v>894</v>
      </c>
      <c r="G1213" s="340" t="s">
        <v>2113</v>
      </c>
      <c r="I1213" s="340" t="s">
        <v>745</v>
      </c>
      <c r="K1213" s="343">
        <v>0</v>
      </c>
      <c r="L1213" s="343">
        <v>-1168.01</v>
      </c>
      <c r="M1213" s="343">
        <v>-1210116.3</v>
      </c>
      <c r="O1213" s="343">
        <v>0</v>
      </c>
    </row>
    <row r="1214" spans="1:15" x14ac:dyDescent="0.3">
      <c r="A1214" s="340" t="s">
        <v>891</v>
      </c>
      <c r="B1214" s="350">
        <v>46098</v>
      </c>
      <c r="C1214" s="350">
        <v>46098</v>
      </c>
      <c r="D1214" s="351">
        <v>46082</v>
      </c>
      <c r="E1214" s="340" t="s">
        <v>2112</v>
      </c>
      <c r="F1214" s="340" t="s">
        <v>894</v>
      </c>
      <c r="G1214" s="340" t="s">
        <v>2114</v>
      </c>
      <c r="I1214" s="340" t="s">
        <v>745</v>
      </c>
      <c r="K1214" s="343">
        <v>0</v>
      </c>
      <c r="L1214" s="343">
        <v>-834.34</v>
      </c>
      <c r="M1214" s="343">
        <v>-1210950.6399999999</v>
      </c>
      <c r="O1214" s="343">
        <v>0</v>
      </c>
    </row>
    <row r="1215" spans="1:15" x14ac:dyDescent="0.3">
      <c r="A1215" s="340" t="s">
        <v>891</v>
      </c>
      <c r="B1215" s="350">
        <v>46098</v>
      </c>
      <c r="C1215" s="350">
        <v>46098</v>
      </c>
      <c r="D1215" s="351">
        <v>46082</v>
      </c>
      <c r="E1215" s="340" t="s">
        <v>1232</v>
      </c>
      <c r="F1215" s="340" t="s">
        <v>894</v>
      </c>
      <c r="G1215" s="340" t="s">
        <v>1362</v>
      </c>
      <c r="I1215" s="340" t="s">
        <v>2115</v>
      </c>
      <c r="K1215" s="343">
        <v>0</v>
      </c>
      <c r="L1215" s="343">
        <v>-290.79000000000002</v>
      </c>
      <c r="M1215" s="343">
        <v>-1211241.43</v>
      </c>
      <c r="O1215" s="343">
        <v>0</v>
      </c>
    </row>
    <row r="1216" spans="1:15" x14ac:dyDescent="0.3">
      <c r="A1216" s="340" t="s">
        <v>891</v>
      </c>
      <c r="B1216" s="350">
        <v>46098</v>
      </c>
      <c r="C1216" s="350">
        <v>46099</v>
      </c>
      <c r="D1216" s="351">
        <v>46082</v>
      </c>
      <c r="E1216" s="340" t="s">
        <v>2116</v>
      </c>
      <c r="F1216" s="340" t="s">
        <v>894</v>
      </c>
      <c r="G1216" s="340" t="s">
        <v>2117</v>
      </c>
      <c r="I1216" s="340" t="s">
        <v>740</v>
      </c>
      <c r="K1216" s="343">
        <v>0</v>
      </c>
      <c r="L1216" s="343">
        <v>-129.9</v>
      </c>
      <c r="M1216" s="343">
        <v>-1211371.33</v>
      </c>
      <c r="O1216" s="343">
        <v>0</v>
      </c>
    </row>
    <row r="1217" spans="1:15" x14ac:dyDescent="0.3">
      <c r="A1217" s="340" t="s">
        <v>891</v>
      </c>
      <c r="B1217" s="350">
        <v>46098</v>
      </c>
      <c r="C1217" s="350">
        <v>46099</v>
      </c>
      <c r="D1217" s="351">
        <v>46082</v>
      </c>
      <c r="E1217" s="340" t="s">
        <v>2118</v>
      </c>
      <c r="F1217" s="340" t="s">
        <v>894</v>
      </c>
      <c r="G1217" s="340" t="s">
        <v>2119</v>
      </c>
      <c r="I1217" s="340" t="s">
        <v>740</v>
      </c>
      <c r="K1217" s="343">
        <v>0</v>
      </c>
      <c r="L1217" s="343">
        <v>-129.9</v>
      </c>
      <c r="M1217" s="343">
        <v>-1211501.23</v>
      </c>
      <c r="O1217" s="343">
        <v>0</v>
      </c>
    </row>
    <row r="1218" spans="1:15" x14ac:dyDescent="0.3">
      <c r="A1218" s="340" t="s">
        <v>891</v>
      </c>
      <c r="B1218" s="350">
        <v>46098</v>
      </c>
      <c r="C1218" s="350">
        <v>46099</v>
      </c>
      <c r="D1218" s="351">
        <v>46082</v>
      </c>
      <c r="E1218" s="340" t="s">
        <v>2120</v>
      </c>
      <c r="F1218" s="340" t="s">
        <v>894</v>
      </c>
      <c r="G1218" s="340" t="s">
        <v>2121</v>
      </c>
      <c r="I1218" s="340" t="s">
        <v>740</v>
      </c>
      <c r="K1218" s="343">
        <v>0</v>
      </c>
      <c r="L1218" s="343">
        <v>-152.43</v>
      </c>
      <c r="M1218" s="343">
        <v>-1211653.6599999999</v>
      </c>
      <c r="O1218" s="343">
        <v>0</v>
      </c>
    </row>
    <row r="1219" spans="1:15" x14ac:dyDescent="0.3">
      <c r="A1219" s="340" t="s">
        <v>891</v>
      </c>
      <c r="B1219" s="350">
        <v>46098</v>
      </c>
      <c r="C1219" s="350">
        <v>46099</v>
      </c>
      <c r="D1219" s="351">
        <v>46082</v>
      </c>
      <c r="E1219" s="340" t="s">
        <v>2120</v>
      </c>
      <c r="F1219" s="340" t="s">
        <v>894</v>
      </c>
      <c r="G1219" s="340" t="s">
        <v>2122</v>
      </c>
      <c r="I1219" s="340" t="s">
        <v>740</v>
      </c>
      <c r="K1219" s="343">
        <v>0</v>
      </c>
      <c r="L1219" s="343">
        <v>-90</v>
      </c>
      <c r="M1219" s="343">
        <v>-1211743.6599999999</v>
      </c>
      <c r="O1219" s="343">
        <v>0</v>
      </c>
    </row>
    <row r="1220" spans="1:15" x14ac:dyDescent="0.3">
      <c r="A1220" s="340" t="s">
        <v>891</v>
      </c>
      <c r="B1220" s="350">
        <v>46098</v>
      </c>
      <c r="C1220" s="350">
        <v>46099</v>
      </c>
      <c r="D1220" s="351">
        <v>46082</v>
      </c>
      <c r="E1220" s="340" t="s">
        <v>2123</v>
      </c>
      <c r="F1220" s="340" t="s">
        <v>894</v>
      </c>
      <c r="G1220" s="340" t="s">
        <v>2124</v>
      </c>
      <c r="I1220" s="340" t="s">
        <v>740</v>
      </c>
      <c r="K1220" s="343">
        <v>0</v>
      </c>
      <c r="L1220" s="343">
        <v>-156.96</v>
      </c>
      <c r="M1220" s="343">
        <v>-1211900.6200000001</v>
      </c>
      <c r="O1220" s="343">
        <v>0</v>
      </c>
    </row>
    <row r="1221" spans="1:15" x14ac:dyDescent="0.3">
      <c r="A1221" s="340" t="s">
        <v>891</v>
      </c>
      <c r="B1221" s="350">
        <v>46098</v>
      </c>
      <c r="C1221" s="350">
        <v>46099</v>
      </c>
      <c r="D1221" s="351">
        <v>46082</v>
      </c>
      <c r="E1221" s="340" t="s">
        <v>2125</v>
      </c>
      <c r="F1221" s="340" t="s">
        <v>894</v>
      </c>
      <c r="G1221" s="340" t="s">
        <v>2126</v>
      </c>
      <c r="I1221" s="340" t="s">
        <v>740</v>
      </c>
      <c r="K1221" s="343">
        <v>0</v>
      </c>
      <c r="L1221" s="343">
        <v>-520</v>
      </c>
      <c r="M1221" s="343">
        <v>-1212420.6200000001</v>
      </c>
      <c r="O1221" s="343">
        <v>0</v>
      </c>
    </row>
    <row r="1222" spans="1:15" x14ac:dyDescent="0.3">
      <c r="A1222" s="340" t="s">
        <v>891</v>
      </c>
      <c r="B1222" s="350">
        <v>46098</v>
      </c>
      <c r="C1222" s="350">
        <v>46099</v>
      </c>
      <c r="D1222" s="351">
        <v>46082</v>
      </c>
      <c r="E1222" s="340" t="s">
        <v>2125</v>
      </c>
      <c r="F1222" s="340" t="s">
        <v>894</v>
      </c>
      <c r="G1222" s="340" t="s">
        <v>2127</v>
      </c>
      <c r="I1222" s="340" t="s">
        <v>740</v>
      </c>
      <c r="K1222" s="343">
        <v>0</v>
      </c>
      <c r="L1222" s="343">
        <v>-260</v>
      </c>
      <c r="M1222" s="343">
        <v>-1212680.6200000001</v>
      </c>
      <c r="O1222" s="343">
        <v>0</v>
      </c>
    </row>
    <row r="1223" spans="1:15" x14ac:dyDescent="0.3">
      <c r="A1223" s="340" t="s">
        <v>891</v>
      </c>
      <c r="B1223" s="350">
        <v>46098</v>
      </c>
      <c r="C1223" s="350">
        <v>46099</v>
      </c>
      <c r="D1223" s="351">
        <v>46082</v>
      </c>
      <c r="E1223" s="340" t="s">
        <v>2128</v>
      </c>
      <c r="F1223" s="340" t="s">
        <v>894</v>
      </c>
      <c r="G1223" s="340" t="s">
        <v>2129</v>
      </c>
      <c r="I1223" s="340" t="s">
        <v>740</v>
      </c>
      <c r="K1223" s="343">
        <v>0</v>
      </c>
      <c r="L1223" s="343">
        <v>-520</v>
      </c>
      <c r="M1223" s="343">
        <v>-1213200.6200000001</v>
      </c>
      <c r="O1223" s="343">
        <v>0</v>
      </c>
    </row>
    <row r="1224" spans="1:15" x14ac:dyDescent="0.3">
      <c r="A1224" s="340" t="s">
        <v>891</v>
      </c>
      <c r="B1224" s="350">
        <v>46098</v>
      </c>
      <c r="C1224" s="350">
        <v>46099</v>
      </c>
      <c r="D1224" s="351">
        <v>46082</v>
      </c>
      <c r="E1224" s="340" t="s">
        <v>2128</v>
      </c>
      <c r="F1224" s="340" t="s">
        <v>894</v>
      </c>
      <c r="G1224" s="340" t="s">
        <v>2130</v>
      </c>
      <c r="I1224" s="340" t="s">
        <v>740</v>
      </c>
      <c r="K1224" s="343">
        <v>0</v>
      </c>
      <c r="L1224" s="343">
        <v>-260</v>
      </c>
      <c r="M1224" s="343">
        <v>-1213460.6200000001</v>
      </c>
      <c r="O1224" s="343">
        <v>0</v>
      </c>
    </row>
    <row r="1225" spans="1:15" x14ac:dyDescent="0.3">
      <c r="A1225" s="340" t="s">
        <v>891</v>
      </c>
      <c r="B1225" s="350">
        <v>46098</v>
      </c>
      <c r="C1225" s="350">
        <v>46099</v>
      </c>
      <c r="D1225" s="351">
        <v>46082</v>
      </c>
      <c r="E1225" s="340" t="s">
        <v>2131</v>
      </c>
      <c r="F1225" s="340" t="s">
        <v>894</v>
      </c>
      <c r="G1225" s="340" t="s">
        <v>2132</v>
      </c>
      <c r="I1225" s="340" t="s">
        <v>740</v>
      </c>
      <c r="K1225" s="343">
        <v>0</v>
      </c>
      <c r="L1225" s="343">
        <v>-765</v>
      </c>
      <c r="M1225" s="343">
        <v>-1214225.6200000001</v>
      </c>
      <c r="O1225" s="343">
        <v>0</v>
      </c>
    </row>
    <row r="1226" spans="1:15" x14ac:dyDescent="0.3">
      <c r="A1226" s="340" t="s">
        <v>891</v>
      </c>
      <c r="B1226" s="350">
        <v>46098</v>
      </c>
      <c r="C1226" s="350">
        <v>46099</v>
      </c>
      <c r="D1226" s="351">
        <v>46082</v>
      </c>
      <c r="E1226" s="340" t="s">
        <v>2133</v>
      </c>
      <c r="F1226" s="340" t="s">
        <v>894</v>
      </c>
      <c r="G1226" s="340" t="s">
        <v>2134</v>
      </c>
      <c r="I1226" s="340" t="s">
        <v>740</v>
      </c>
      <c r="K1226" s="343">
        <v>0</v>
      </c>
      <c r="L1226" s="343">
        <v>-445</v>
      </c>
      <c r="M1226" s="343">
        <v>-1214670.6200000001</v>
      </c>
      <c r="O1226" s="343">
        <v>0</v>
      </c>
    </row>
    <row r="1227" spans="1:15" x14ac:dyDescent="0.3">
      <c r="A1227" s="340" t="s">
        <v>891</v>
      </c>
      <c r="B1227" s="350">
        <v>46098</v>
      </c>
      <c r="C1227" s="350">
        <v>46099</v>
      </c>
      <c r="D1227" s="351">
        <v>46082</v>
      </c>
      <c r="E1227" s="340" t="s">
        <v>2135</v>
      </c>
      <c r="F1227" s="340" t="s">
        <v>894</v>
      </c>
      <c r="G1227" s="340" t="s">
        <v>2136</v>
      </c>
      <c r="I1227" s="340" t="s">
        <v>740</v>
      </c>
      <c r="K1227" s="343">
        <v>0</v>
      </c>
      <c r="L1227" s="343">
        <v>-445</v>
      </c>
      <c r="M1227" s="343">
        <v>-1215115.6200000001</v>
      </c>
      <c r="O1227" s="343">
        <v>0</v>
      </c>
    </row>
    <row r="1228" spans="1:15" x14ac:dyDescent="0.3">
      <c r="A1228" s="340" t="s">
        <v>891</v>
      </c>
      <c r="B1228" s="350">
        <v>46098</v>
      </c>
      <c r="C1228" s="350">
        <v>46099</v>
      </c>
      <c r="D1228" s="351">
        <v>46082</v>
      </c>
      <c r="E1228" s="340" t="s">
        <v>2137</v>
      </c>
      <c r="F1228" s="340" t="s">
        <v>894</v>
      </c>
      <c r="G1228" s="340" t="s">
        <v>2138</v>
      </c>
      <c r="I1228" s="340" t="s">
        <v>740</v>
      </c>
      <c r="K1228" s="343">
        <v>0</v>
      </c>
      <c r="L1228" s="343">
        <v>-765</v>
      </c>
      <c r="M1228" s="343">
        <v>-1215880.6200000001</v>
      </c>
      <c r="O1228" s="343">
        <v>0</v>
      </c>
    </row>
    <row r="1229" spans="1:15" x14ac:dyDescent="0.3">
      <c r="A1229" s="340" t="s">
        <v>891</v>
      </c>
      <c r="B1229" s="350">
        <v>46098</v>
      </c>
      <c r="C1229" s="350">
        <v>46101</v>
      </c>
      <c r="D1229" s="351">
        <v>46082</v>
      </c>
      <c r="E1229" s="340" t="s">
        <v>2139</v>
      </c>
      <c r="F1229" s="340" t="s">
        <v>894</v>
      </c>
      <c r="G1229" s="340" t="s">
        <v>2140</v>
      </c>
      <c r="I1229" s="340" t="s">
        <v>756</v>
      </c>
      <c r="K1229" s="343">
        <v>0</v>
      </c>
      <c r="L1229" s="343">
        <v>-4399.28</v>
      </c>
      <c r="M1229" s="343">
        <v>-1220279.8999999999</v>
      </c>
      <c r="O1229" s="343">
        <v>0</v>
      </c>
    </row>
    <row r="1230" spans="1:15" x14ac:dyDescent="0.3">
      <c r="A1230" s="340" t="s">
        <v>891</v>
      </c>
      <c r="B1230" s="350">
        <v>46098</v>
      </c>
      <c r="C1230" s="350">
        <v>46101</v>
      </c>
      <c r="D1230" s="351">
        <v>46082</v>
      </c>
      <c r="E1230" s="340" t="s">
        <v>2141</v>
      </c>
      <c r="F1230" s="340" t="s">
        <v>894</v>
      </c>
      <c r="G1230" s="340" t="s">
        <v>2142</v>
      </c>
      <c r="I1230" s="340" t="s">
        <v>756</v>
      </c>
      <c r="K1230" s="343">
        <v>0</v>
      </c>
      <c r="L1230" s="343">
        <v>-1099.82</v>
      </c>
      <c r="M1230" s="343">
        <v>-1221379.72</v>
      </c>
      <c r="O1230" s="343">
        <v>0</v>
      </c>
    </row>
    <row r="1231" spans="1:15" x14ac:dyDescent="0.3">
      <c r="A1231" s="340" t="s">
        <v>891</v>
      </c>
      <c r="B1231" s="350">
        <v>46098</v>
      </c>
      <c r="C1231" s="350">
        <v>46105</v>
      </c>
      <c r="D1231" s="351">
        <v>46082</v>
      </c>
      <c r="E1231" s="340" t="s">
        <v>2143</v>
      </c>
      <c r="F1231" s="340" t="s">
        <v>894</v>
      </c>
      <c r="G1231" s="340" t="s">
        <v>2144</v>
      </c>
      <c r="I1231" s="340" t="s">
        <v>740</v>
      </c>
      <c r="K1231" s="343">
        <v>0</v>
      </c>
      <c r="L1231" s="343">
        <v>-445</v>
      </c>
      <c r="M1231" s="343">
        <v>-1221824.72</v>
      </c>
      <c r="O1231" s="343">
        <v>0</v>
      </c>
    </row>
    <row r="1232" spans="1:15" x14ac:dyDescent="0.3">
      <c r="A1232" s="340" t="s">
        <v>891</v>
      </c>
      <c r="B1232" s="350">
        <v>46098</v>
      </c>
      <c r="C1232" s="350">
        <v>46105</v>
      </c>
      <c r="D1232" s="351">
        <v>46082</v>
      </c>
      <c r="E1232" s="340" t="s">
        <v>2143</v>
      </c>
      <c r="F1232" s="340" t="s">
        <v>894</v>
      </c>
      <c r="G1232" s="340" t="s">
        <v>2145</v>
      </c>
      <c r="I1232" s="340" t="s">
        <v>740</v>
      </c>
      <c r="K1232" s="343">
        <v>0</v>
      </c>
      <c r="L1232" s="343">
        <v>-520</v>
      </c>
      <c r="M1232" s="343">
        <v>-1222344.72</v>
      </c>
      <c r="O1232" s="343">
        <v>0</v>
      </c>
    </row>
    <row r="1233" spans="1:15" x14ac:dyDescent="0.3">
      <c r="A1233" s="340" t="s">
        <v>891</v>
      </c>
      <c r="B1233" s="350">
        <v>46098</v>
      </c>
      <c r="C1233" s="350">
        <v>46105</v>
      </c>
      <c r="D1233" s="351">
        <v>46082</v>
      </c>
      <c r="E1233" s="340" t="s">
        <v>2146</v>
      </c>
      <c r="F1233" s="340" t="s">
        <v>894</v>
      </c>
      <c r="G1233" s="340" t="s">
        <v>2147</v>
      </c>
      <c r="I1233" s="340" t="s">
        <v>740</v>
      </c>
      <c r="K1233" s="343">
        <v>0</v>
      </c>
      <c r="L1233" s="343">
        <v>-150</v>
      </c>
      <c r="M1233" s="343">
        <v>-1222494.72</v>
      </c>
      <c r="O1233" s="343">
        <v>0</v>
      </c>
    </row>
    <row r="1234" spans="1:15" x14ac:dyDescent="0.3">
      <c r="A1234" s="340" t="s">
        <v>891</v>
      </c>
      <c r="B1234" s="350">
        <v>46098</v>
      </c>
      <c r="C1234" s="350">
        <v>46105</v>
      </c>
      <c r="D1234" s="351">
        <v>46082</v>
      </c>
      <c r="E1234" s="340" t="s">
        <v>2146</v>
      </c>
      <c r="F1234" s="340" t="s">
        <v>894</v>
      </c>
      <c r="G1234" s="340" t="s">
        <v>2148</v>
      </c>
      <c r="I1234" s="340" t="s">
        <v>740</v>
      </c>
      <c r="K1234" s="343">
        <v>0</v>
      </c>
      <c r="L1234" s="343">
        <v>-260</v>
      </c>
      <c r="M1234" s="343">
        <v>-1222754.72</v>
      </c>
      <c r="O1234" s="343">
        <v>0</v>
      </c>
    </row>
    <row r="1235" spans="1:15" x14ac:dyDescent="0.3">
      <c r="A1235" s="340" t="s">
        <v>891</v>
      </c>
      <c r="B1235" s="350">
        <v>46098</v>
      </c>
      <c r="C1235" s="350">
        <v>46107</v>
      </c>
      <c r="D1235" s="351">
        <v>46082</v>
      </c>
      <c r="E1235" s="340" t="s">
        <v>2149</v>
      </c>
      <c r="F1235" s="340" t="s">
        <v>894</v>
      </c>
      <c r="G1235" s="340" t="s">
        <v>2150</v>
      </c>
      <c r="I1235" s="340" t="s">
        <v>754</v>
      </c>
      <c r="K1235" s="343">
        <v>0</v>
      </c>
      <c r="L1235" s="343">
        <v>-12660</v>
      </c>
      <c r="M1235" s="343">
        <v>-1235414.72</v>
      </c>
      <c r="O1235" s="343">
        <v>0</v>
      </c>
    </row>
    <row r="1236" spans="1:15" x14ac:dyDescent="0.3">
      <c r="A1236" s="340" t="s">
        <v>891</v>
      </c>
      <c r="B1236" s="350">
        <v>46099</v>
      </c>
      <c r="C1236" s="350">
        <v>46101</v>
      </c>
      <c r="D1236" s="351">
        <v>46082</v>
      </c>
      <c r="E1236" s="340" t="s">
        <v>2151</v>
      </c>
      <c r="F1236" s="340" t="s">
        <v>894</v>
      </c>
      <c r="G1236" s="340" t="s">
        <v>2152</v>
      </c>
      <c r="I1236" s="340" t="s">
        <v>753</v>
      </c>
      <c r="K1236" s="343">
        <v>0</v>
      </c>
      <c r="L1236" s="343">
        <v>-487.13</v>
      </c>
      <c r="M1236" s="343">
        <v>-1235901.8500000001</v>
      </c>
      <c r="O1236" s="343">
        <v>0</v>
      </c>
    </row>
    <row r="1237" spans="1:15" x14ac:dyDescent="0.3">
      <c r="A1237" s="340" t="s">
        <v>891</v>
      </c>
      <c r="B1237" s="350">
        <v>46099</v>
      </c>
      <c r="C1237" s="350">
        <v>46101</v>
      </c>
      <c r="D1237" s="351">
        <v>46082</v>
      </c>
      <c r="E1237" s="340" t="s">
        <v>2153</v>
      </c>
      <c r="F1237" s="340" t="s">
        <v>894</v>
      </c>
      <c r="G1237" s="340" t="s">
        <v>2154</v>
      </c>
      <c r="I1237" s="340" t="s">
        <v>753</v>
      </c>
      <c r="K1237" s="343">
        <v>0</v>
      </c>
      <c r="L1237" s="343">
        <v>-541.25</v>
      </c>
      <c r="M1237" s="343">
        <v>-1236443.1000000001</v>
      </c>
      <c r="O1237" s="343">
        <v>0</v>
      </c>
    </row>
    <row r="1238" spans="1:15" x14ac:dyDescent="0.3">
      <c r="A1238" s="340" t="s">
        <v>891</v>
      </c>
      <c r="B1238" s="350">
        <v>46099</v>
      </c>
      <c r="C1238" s="350">
        <v>46140</v>
      </c>
      <c r="D1238" s="351">
        <v>46113</v>
      </c>
      <c r="E1238" s="340" t="s">
        <v>2155</v>
      </c>
      <c r="F1238" s="340" t="s">
        <v>894</v>
      </c>
      <c r="G1238" s="340" t="s">
        <v>2156</v>
      </c>
      <c r="I1238" s="340" t="s">
        <v>759</v>
      </c>
      <c r="K1238" s="343">
        <v>0</v>
      </c>
      <c r="L1238" s="343">
        <v>-785.9</v>
      </c>
      <c r="M1238" s="343">
        <v>-1237229</v>
      </c>
      <c r="O1238" s="343">
        <v>0</v>
      </c>
    </row>
    <row r="1239" spans="1:15" x14ac:dyDescent="0.3">
      <c r="A1239" s="340" t="s">
        <v>891</v>
      </c>
      <c r="B1239" s="350">
        <v>46100</v>
      </c>
      <c r="C1239" s="350">
        <v>46099</v>
      </c>
      <c r="D1239" s="351">
        <v>46082</v>
      </c>
      <c r="E1239" s="340" t="s">
        <v>2157</v>
      </c>
      <c r="F1239" s="340" t="s">
        <v>894</v>
      </c>
      <c r="G1239" s="340" t="s">
        <v>2158</v>
      </c>
      <c r="I1239" s="340" t="s">
        <v>740</v>
      </c>
      <c r="K1239" s="343">
        <v>0</v>
      </c>
      <c r="L1239" s="343">
        <v>-740</v>
      </c>
      <c r="M1239" s="343">
        <v>-1237969</v>
      </c>
      <c r="O1239" s="343">
        <v>0</v>
      </c>
    </row>
    <row r="1240" spans="1:15" x14ac:dyDescent="0.3">
      <c r="A1240" s="340" t="s">
        <v>891</v>
      </c>
      <c r="B1240" s="350">
        <v>46100</v>
      </c>
      <c r="C1240" s="350">
        <v>46099</v>
      </c>
      <c r="D1240" s="351">
        <v>46082</v>
      </c>
      <c r="E1240" s="340" t="s">
        <v>2159</v>
      </c>
      <c r="F1240" s="340" t="s">
        <v>894</v>
      </c>
      <c r="G1240" s="340" t="s">
        <v>2160</v>
      </c>
      <c r="I1240" s="340" t="s">
        <v>740</v>
      </c>
      <c r="K1240" s="343">
        <v>0</v>
      </c>
      <c r="L1240" s="343">
        <v>-129.9</v>
      </c>
      <c r="M1240" s="343">
        <v>-1238098.8999999999</v>
      </c>
      <c r="O1240" s="343">
        <v>0</v>
      </c>
    </row>
    <row r="1241" spans="1:15" x14ac:dyDescent="0.3">
      <c r="A1241" s="340" t="s">
        <v>891</v>
      </c>
      <c r="B1241" s="350">
        <v>46100</v>
      </c>
      <c r="C1241" s="350">
        <v>46100</v>
      </c>
      <c r="D1241" s="351">
        <v>46082</v>
      </c>
      <c r="E1241" s="340" t="s">
        <v>2161</v>
      </c>
      <c r="F1241" s="340" t="s">
        <v>894</v>
      </c>
      <c r="G1241" s="340" t="s">
        <v>2162</v>
      </c>
      <c r="I1241" s="340" t="s">
        <v>740</v>
      </c>
      <c r="K1241" s="343">
        <v>0</v>
      </c>
      <c r="L1241" s="343">
        <v>-55</v>
      </c>
      <c r="M1241" s="343">
        <v>-1238153.8999999999</v>
      </c>
      <c r="O1241" s="343">
        <v>0</v>
      </c>
    </row>
    <row r="1242" spans="1:15" x14ac:dyDescent="0.3">
      <c r="A1242" s="340" t="s">
        <v>891</v>
      </c>
      <c r="B1242" s="350">
        <v>46100</v>
      </c>
      <c r="C1242" s="350">
        <v>46100</v>
      </c>
      <c r="D1242" s="351">
        <v>46082</v>
      </c>
      <c r="E1242" s="340" t="s">
        <v>2161</v>
      </c>
      <c r="F1242" s="340" t="s">
        <v>894</v>
      </c>
      <c r="G1242" s="340" t="s">
        <v>2163</v>
      </c>
      <c r="I1242" s="340" t="s">
        <v>740</v>
      </c>
      <c r="K1242" s="343">
        <v>0</v>
      </c>
      <c r="L1242" s="343">
        <v>-200.26</v>
      </c>
      <c r="M1242" s="343">
        <v>-1238354.1599999999</v>
      </c>
      <c r="O1242" s="343">
        <v>0</v>
      </c>
    </row>
    <row r="1243" spans="1:15" x14ac:dyDescent="0.3">
      <c r="A1243" s="340" t="s">
        <v>891</v>
      </c>
      <c r="B1243" s="350">
        <v>46100</v>
      </c>
      <c r="C1243" s="350">
        <v>46105</v>
      </c>
      <c r="D1243" s="351">
        <v>46082</v>
      </c>
      <c r="E1243" s="340" t="s">
        <v>2164</v>
      </c>
      <c r="F1243" s="340" t="s">
        <v>894</v>
      </c>
      <c r="G1243" s="340" t="s">
        <v>2165</v>
      </c>
      <c r="I1243" s="340" t="s">
        <v>740</v>
      </c>
      <c r="K1243" s="343">
        <v>0</v>
      </c>
      <c r="L1243" s="343">
        <v>-570</v>
      </c>
      <c r="M1243" s="343">
        <v>-1238924.1599999999</v>
      </c>
      <c r="O1243" s="343">
        <v>0</v>
      </c>
    </row>
    <row r="1244" spans="1:15" x14ac:dyDescent="0.3">
      <c r="A1244" s="340" t="s">
        <v>891</v>
      </c>
      <c r="B1244" s="350">
        <v>46100</v>
      </c>
      <c r="C1244" s="350">
        <v>46105</v>
      </c>
      <c r="D1244" s="351">
        <v>46082</v>
      </c>
      <c r="E1244" s="340" t="s">
        <v>2164</v>
      </c>
      <c r="F1244" s="340" t="s">
        <v>894</v>
      </c>
      <c r="G1244" s="340" t="s">
        <v>2166</v>
      </c>
      <c r="I1244" s="340" t="s">
        <v>740</v>
      </c>
      <c r="K1244" s="343">
        <v>0</v>
      </c>
      <c r="L1244" s="343">
        <v>-350</v>
      </c>
      <c r="M1244" s="343">
        <v>-1239274.1599999999</v>
      </c>
      <c r="O1244" s="343">
        <v>0</v>
      </c>
    </row>
    <row r="1245" spans="1:15" x14ac:dyDescent="0.3">
      <c r="A1245" s="340" t="s">
        <v>891</v>
      </c>
      <c r="B1245" s="350">
        <v>46101</v>
      </c>
      <c r="C1245" s="350">
        <v>46101</v>
      </c>
      <c r="D1245" s="351">
        <v>46082</v>
      </c>
      <c r="E1245" s="340" t="s">
        <v>2167</v>
      </c>
      <c r="F1245" s="340" t="s">
        <v>894</v>
      </c>
      <c r="G1245" s="340" t="s">
        <v>1608</v>
      </c>
      <c r="I1245" s="340" t="s">
        <v>745</v>
      </c>
      <c r="K1245" s="343">
        <v>0</v>
      </c>
      <c r="L1245" s="343">
        <v>-48.54</v>
      </c>
      <c r="M1245" s="343">
        <v>-1239322.7</v>
      </c>
      <c r="O1245" s="343">
        <v>0</v>
      </c>
    </row>
    <row r="1246" spans="1:15" x14ac:dyDescent="0.3">
      <c r="A1246" s="340" t="s">
        <v>891</v>
      </c>
      <c r="B1246" s="350">
        <v>46101</v>
      </c>
      <c r="C1246" s="350">
        <v>46101</v>
      </c>
      <c r="D1246" s="351">
        <v>46082</v>
      </c>
      <c r="E1246" s="340" t="s">
        <v>2167</v>
      </c>
      <c r="F1246" s="340" t="s">
        <v>894</v>
      </c>
      <c r="G1246" s="340" t="s">
        <v>1599</v>
      </c>
      <c r="I1246" s="340" t="s">
        <v>745</v>
      </c>
      <c r="K1246" s="343">
        <v>0</v>
      </c>
      <c r="L1246" s="343">
        <v>-78.52</v>
      </c>
      <c r="M1246" s="343">
        <v>-1239401.22</v>
      </c>
      <c r="O1246" s="343">
        <v>0</v>
      </c>
    </row>
    <row r="1247" spans="1:15" x14ac:dyDescent="0.3">
      <c r="A1247" s="340" t="s">
        <v>891</v>
      </c>
      <c r="B1247" s="350">
        <v>46101</v>
      </c>
      <c r="C1247" s="350">
        <v>46101</v>
      </c>
      <c r="D1247" s="351">
        <v>46082</v>
      </c>
      <c r="E1247" s="340" t="s">
        <v>2167</v>
      </c>
      <c r="F1247" s="340" t="s">
        <v>894</v>
      </c>
      <c r="G1247" s="340" t="s">
        <v>1602</v>
      </c>
      <c r="I1247" s="340" t="s">
        <v>745</v>
      </c>
      <c r="K1247" s="343">
        <v>0</v>
      </c>
      <c r="L1247" s="343">
        <v>-116.93</v>
      </c>
      <c r="M1247" s="343">
        <v>-1239518.1499999999</v>
      </c>
      <c r="O1247" s="343">
        <v>0</v>
      </c>
    </row>
    <row r="1248" spans="1:15" x14ac:dyDescent="0.3">
      <c r="A1248" s="340" t="s">
        <v>891</v>
      </c>
      <c r="B1248" s="350">
        <v>46101</v>
      </c>
      <c r="C1248" s="350">
        <v>46101</v>
      </c>
      <c r="D1248" s="351">
        <v>46082</v>
      </c>
      <c r="E1248" s="340" t="s">
        <v>2167</v>
      </c>
      <c r="F1248" s="340" t="s">
        <v>894</v>
      </c>
      <c r="G1248" s="340" t="s">
        <v>2168</v>
      </c>
      <c r="I1248" s="340" t="s">
        <v>745</v>
      </c>
      <c r="K1248" s="343">
        <v>0</v>
      </c>
      <c r="L1248" s="343">
        <v>-77.260000000000005</v>
      </c>
      <c r="M1248" s="343">
        <v>-1239595.4099999999</v>
      </c>
      <c r="O1248" s="343">
        <v>0</v>
      </c>
    </row>
    <row r="1249" spans="1:15" x14ac:dyDescent="0.3">
      <c r="A1249" s="340" t="s">
        <v>891</v>
      </c>
      <c r="B1249" s="350">
        <v>46101</v>
      </c>
      <c r="C1249" s="350">
        <v>46101</v>
      </c>
      <c r="D1249" s="351">
        <v>46082</v>
      </c>
      <c r="E1249" s="340" t="s">
        <v>2167</v>
      </c>
      <c r="F1249" s="340" t="s">
        <v>894</v>
      </c>
      <c r="G1249" s="340" t="s">
        <v>1613</v>
      </c>
      <c r="I1249" s="340" t="s">
        <v>745</v>
      </c>
      <c r="K1249" s="343">
        <v>0</v>
      </c>
      <c r="L1249" s="343">
        <v>-63.89</v>
      </c>
      <c r="M1249" s="343">
        <v>-1239659.3</v>
      </c>
      <c r="O1249" s="343">
        <v>0</v>
      </c>
    </row>
    <row r="1250" spans="1:15" x14ac:dyDescent="0.3">
      <c r="A1250" s="340" t="s">
        <v>891</v>
      </c>
      <c r="B1250" s="350">
        <v>46101</v>
      </c>
      <c r="C1250" s="350">
        <v>46101</v>
      </c>
      <c r="D1250" s="351">
        <v>46082</v>
      </c>
      <c r="E1250" s="340" t="s">
        <v>2167</v>
      </c>
      <c r="F1250" s="340" t="s">
        <v>894</v>
      </c>
      <c r="G1250" s="340" t="s">
        <v>2169</v>
      </c>
      <c r="I1250" s="340" t="s">
        <v>745</v>
      </c>
      <c r="K1250" s="343">
        <v>0</v>
      </c>
      <c r="L1250" s="343">
        <v>-76.489999999999995</v>
      </c>
      <c r="M1250" s="343">
        <v>-1239735.79</v>
      </c>
      <c r="O1250" s="343">
        <v>0</v>
      </c>
    </row>
    <row r="1251" spans="1:15" x14ac:dyDescent="0.3">
      <c r="A1251" s="340" t="s">
        <v>891</v>
      </c>
      <c r="B1251" s="350">
        <v>46101</v>
      </c>
      <c r="C1251" s="350">
        <v>46101</v>
      </c>
      <c r="D1251" s="351">
        <v>46082</v>
      </c>
      <c r="E1251" s="340" t="s">
        <v>2167</v>
      </c>
      <c r="F1251" s="340" t="s">
        <v>894</v>
      </c>
      <c r="G1251" s="340" t="s">
        <v>2170</v>
      </c>
      <c r="I1251" s="340" t="s">
        <v>745</v>
      </c>
      <c r="K1251" s="343">
        <v>0</v>
      </c>
      <c r="L1251" s="343">
        <v>-140.68</v>
      </c>
      <c r="M1251" s="343">
        <v>-1239876.47</v>
      </c>
      <c r="O1251" s="343">
        <v>0</v>
      </c>
    </row>
    <row r="1252" spans="1:15" x14ac:dyDescent="0.3">
      <c r="A1252" s="340" t="s">
        <v>891</v>
      </c>
      <c r="B1252" s="350">
        <v>46101</v>
      </c>
      <c r="C1252" s="350">
        <v>46101</v>
      </c>
      <c r="D1252" s="351">
        <v>46082</v>
      </c>
      <c r="E1252" s="340" t="s">
        <v>2167</v>
      </c>
      <c r="F1252" s="340" t="s">
        <v>894</v>
      </c>
      <c r="G1252" s="340" t="s">
        <v>2171</v>
      </c>
      <c r="I1252" s="340" t="s">
        <v>745</v>
      </c>
      <c r="K1252" s="343">
        <v>0</v>
      </c>
      <c r="L1252" s="343">
        <v>-264.58999999999997</v>
      </c>
      <c r="M1252" s="343">
        <v>-1240141.06</v>
      </c>
      <c r="O1252" s="343">
        <v>0</v>
      </c>
    </row>
    <row r="1253" spans="1:15" x14ac:dyDescent="0.3">
      <c r="A1253" s="340" t="s">
        <v>891</v>
      </c>
      <c r="B1253" s="350">
        <v>46101</v>
      </c>
      <c r="C1253" s="350">
        <v>46101</v>
      </c>
      <c r="D1253" s="351">
        <v>46082</v>
      </c>
      <c r="E1253" s="340" t="s">
        <v>2167</v>
      </c>
      <c r="F1253" s="340" t="s">
        <v>894</v>
      </c>
      <c r="G1253" s="340" t="s">
        <v>2031</v>
      </c>
      <c r="I1253" s="340" t="s">
        <v>745</v>
      </c>
      <c r="K1253" s="343">
        <v>0</v>
      </c>
      <c r="L1253" s="343">
        <v>-141.21</v>
      </c>
      <c r="M1253" s="343">
        <v>-1240282.27</v>
      </c>
      <c r="O1253" s="343">
        <v>0</v>
      </c>
    </row>
    <row r="1254" spans="1:15" x14ac:dyDescent="0.3">
      <c r="A1254" s="340" t="s">
        <v>891</v>
      </c>
      <c r="B1254" s="350">
        <v>46101</v>
      </c>
      <c r="C1254" s="350">
        <v>46101</v>
      </c>
      <c r="D1254" s="351">
        <v>46082</v>
      </c>
      <c r="E1254" s="340" t="s">
        <v>2167</v>
      </c>
      <c r="F1254" s="340" t="s">
        <v>894</v>
      </c>
      <c r="G1254" s="340" t="s">
        <v>2172</v>
      </c>
      <c r="I1254" s="340" t="s">
        <v>745</v>
      </c>
      <c r="K1254" s="343">
        <v>0</v>
      </c>
      <c r="L1254" s="343">
        <v>-333.38</v>
      </c>
      <c r="M1254" s="343">
        <v>-1240615.6499999999</v>
      </c>
      <c r="O1254" s="343">
        <v>0</v>
      </c>
    </row>
    <row r="1255" spans="1:15" x14ac:dyDescent="0.3">
      <c r="A1255" s="340" t="s">
        <v>891</v>
      </c>
      <c r="B1255" s="350">
        <v>46101</v>
      </c>
      <c r="C1255" s="350">
        <v>46101</v>
      </c>
      <c r="D1255" s="351">
        <v>46082</v>
      </c>
      <c r="E1255" s="340" t="s">
        <v>2167</v>
      </c>
      <c r="F1255" s="340" t="s">
        <v>894</v>
      </c>
      <c r="G1255" s="340" t="s">
        <v>2173</v>
      </c>
      <c r="I1255" s="340" t="s">
        <v>745</v>
      </c>
      <c r="K1255" s="343">
        <v>0</v>
      </c>
      <c r="L1255" s="343">
        <v>-276.02</v>
      </c>
      <c r="M1255" s="343">
        <v>-1240891.67</v>
      </c>
      <c r="O1255" s="343">
        <v>0</v>
      </c>
    </row>
    <row r="1256" spans="1:15" x14ac:dyDescent="0.3">
      <c r="A1256" s="340" t="s">
        <v>891</v>
      </c>
      <c r="B1256" s="350">
        <v>46101</v>
      </c>
      <c r="C1256" s="350">
        <v>46101</v>
      </c>
      <c r="D1256" s="351">
        <v>46082</v>
      </c>
      <c r="E1256" s="340" t="s">
        <v>2167</v>
      </c>
      <c r="F1256" s="340" t="s">
        <v>894</v>
      </c>
      <c r="G1256" s="340" t="s">
        <v>2174</v>
      </c>
      <c r="I1256" s="340" t="s">
        <v>745</v>
      </c>
      <c r="K1256" s="343">
        <v>0</v>
      </c>
      <c r="L1256" s="343">
        <v>-158.02000000000001</v>
      </c>
      <c r="M1256" s="343">
        <v>-1241049.69</v>
      </c>
      <c r="O1256" s="343">
        <v>0</v>
      </c>
    </row>
    <row r="1257" spans="1:15" x14ac:dyDescent="0.3">
      <c r="A1257" s="340" t="s">
        <v>891</v>
      </c>
      <c r="B1257" s="350">
        <v>46101</v>
      </c>
      <c r="C1257" s="350">
        <v>46101</v>
      </c>
      <c r="D1257" s="351">
        <v>46082</v>
      </c>
      <c r="E1257" s="340" t="s">
        <v>2167</v>
      </c>
      <c r="F1257" s="340" t="s">
        <v>894</v>
      </c>
      <c r="G1257" s="340" t="s">
        <v>1890</v>
      </c>
      <c r="I1257" s="340" t="s">
        <v>745</v>
      </c>
      <c r="K1257" s="343">
        <v>0</v>
      </c>
      <c r="L1257" s="343">
        <v>-123.07</v>
      </c>
      <c r="M1257" s="343">
        <v>-1241172.76</v>
      </c>
      <c r="O1257" s="343">
        <v>0</v>
      </c>
    </row>
    <row r="1258" spans="1:15" x14ac:dyDescent="0.3">
      <c r="A1258" s="340" t="s">
        <v>891</v>
      </c>
      <c r="B1258" s="350">
        <v>46101</v>
      </c>
      <c r="C1258" s="350">
        <v>46101</v>
      </c>
      <c r="D1258" s="351">
        <v>46082</v>
      </c>
      <c r="E1258" s="340" t="s">
        <v>2167</v>
      </c>
      <c r="F1258" s="340" t="s">
        <v>894</v>
      </c>
      <c r="G1258" s="340" t="s">
        <v>2175</v>
      </c>
      <c r="I1258" s="340" t="s">
        <v>745</v>
      </c>
      <c r="K1258" s="343">
        <v>0</v>
      </c>
      <c r="L1258" s="343">
        <v>-66.81</v>
      </c>
      <c r="M1258" s="343">
        <v>-1241239.57</v>
      </c>
      <c r="O1258" s="343">
        <v>0</v>
      </c>
    </row>
    <row r="1259" spans="1:15" x14ac:dyDescent="0.3">
      <c r="A1259" s="340" t="s">
        <v>891</v>
      </c>
      <c r="B1259" s="350">
        <v>46101</v>
      </c>
      <c r="C1259" s="350">
        <v>46101</v>
      </c>
      <c r="D1259" s="351">
        <v>46082</v>
      </c>
      <c r="E1259" s="340" t="s">
        <v>2167</v>
      </c>
      <c r="F1259" s="340" t="s">
        <v>894</v>
      </c>
      <c r="G1259" s="340" t="s">
        <v>1594</v>
      </c>
      <c r="I1259" s="340" t="s">
        <v>745</v>
      </c>
      <c r="K1259" s="343">
        <v>0</v>
      </c>
      <c r="L1259" s="343">
        <v>-21.09</v>
      </c>
      <c r="M1259" s="343">
        <v>-1241260.6599999999</v>
      </c>
      <c r="O1259" s="343">
        <v>0</v>
      </c>
    </row>
    <row r="1260" spans="1:15" x14ac:dyDescent="0.3">
      <c r="A1260" s="340" t="s">
        <v>891</v>
      </c>
      <c r="B1260" s="350">
        <v>46101</v>
      </c>
      <c r="C1260" s="350">
        <v>46101</v>
      </c>
      <c r="D1260" s="351">
        <v>46082</v>
      </c>
      <c r="E1260" s="340" t="s">
        <v>2167</v>
      </c>
      <c r="F1260" s="340" t="s">
        <v>894</v>
      </c>
      <c r="G1260" s="340" t="s">
        <v>2176</v>
      </c>
      <c r="I1260" s="340" t="s">
        <v>745</v>
      </c>
      <c r="K1260" s="343">
        <v>0</v>
      </c>
      <c r="L1260" s="343">
        <v>-66.81</v>
      </c>
      <c r="M1260" s="343">
        <v>-1241327.47</v>
      </c>
      <c r="O1260" s="343">
        <v>0</v>
      </c>
    </row>
    <row r="1261" spans="1:15" x14ac:dyDescent="0.3">
      <c r="A1261" s="340" t="s">
        <v>891</v>
      </c>
      <c r="B1261" s="350">
        <v>46101</v>
      </c>
      <c r="C1261" s="350">
        <v>46101</v>
      </c>
      <c r="D1261" s="351">
        <v>46082</v>
      </c>
      <c r="E1261" s="340" t="s">
        <v>2167</v>
      </c>
      <c r="F1261" s="340" t="s">
        <v>894</v>
      </c>
      <c r="G1261" s="340" t="s">
        <v>2177</v>
      </c>
      <c r="I1261" s="340" t="s">
        <v>745</v>
      </c>
      <c r="K1261" s="343">
        <v>0</v>
      </c>
      <c r="L1261" s="343">
        <v>-199.08</v>
      </c>
      <c r="M1261" s="343">
        <v>-1241526.55</v>
      </c>
      <c r="O1261" s="343">
        <v>0</v>
      </c>
    </row>
    <row r="1262" spans="1:15" x14ac:dyDescent="0.3">
      <c r="A1262" s="340" t="s">
        <v>891</v>
      </c>
      <c r="B1262" s="350">
        <v>46101</v>
      </c>
      <c r="C1262" s="350">
        <v>46101</v>
      </c>
      <c r="D1262" s="351">
        <v>46082</v>
      </c>
      <c r="E1262" s="340" t="s">
        <v>2167</v>
      </c>
      <c r="F1262" s="340" t="s">
        <v>894</v>
      </c>
      <c r="G1262" s="340" t="s">
        <v>2178</v>
      </c>
      <c r="I1262" s="340" t="s">
        <v>745</v>
      </c>
      <c r="K1262" s="343">
        <v>0</v>
      </c>
      <c r="L1262" s="343">
        <v>-34.36</v>
      </c>
      <c r="M1262" s="343">
        <v>-1241560.9099999999</v>
      </c>
      <c r="O1262" s="343">
        <v>0</v>
      </c>
    </row>
    <row r="1263" spans="1:15" x14ac:dyDescent="0.3">
      <c r="A1263" s="340" t="s">
        <v>891</v>
      </c>
      <c r="B1263" s="350">
        <v>46101</v>
      </c>
      <c r="C1263" s="350">
        <v>46101</v>
      </c>
      <c r="D1263" s="351">
        <v>46082</v>
      </c>
      <c r="E1263" s="340" t="s">
        <v>2167</v>
      </c>
      <c r="F1263" s="340" t="s">
        <v>894</v>
      </c>
      <c r="G1263" s="340" t="s">
        <v>2179</v>
      </c>
      <c r="I1263" s="340" t="s">
        <v>745</v>
      </c>
      <c r="K1263" s="343">
        <v>0</v>
      </c>
      <c r="L1263" s="343">
        <v>-139.58000000000001</v>
      </c>
      <c r="M1263" s="343">
        <v>-1241700.49</v>
      </c>
      <c r="O1263" s="343">
        <v>0</v>
      </c>
    </row>
    <row r="1264" spans="1:15" x14ac:dyDescent="0.3">
      <c r="A1264" s="340" t="s">
        <v>891</v>
      </c>
      <c r="B1264" s="350">
        <v>46101</v>
      </c>
      <c r="C1264" s="350">
        <v>46101</v>
      </c>
      <c r="D1264" s="351">
        <v>46082</v>
      </c>
      <c r="E1264" s="340" t="s">
        <v>2167</v>
      </c>
      <c r="F1264" s="340" t="s">
        <v>894</v>
      </c>
      <c r="G1264" s="340" t="s">
        <v>2180</v>
      </c>
      <c r="I1264" s="340" t="s">
        <v>745</v>
      </c>
      <c r="K1264" s="343">
        <v>0</v>
      </c>
      <c r="L1264" s="343">
        <v>-161.72</v>
      </c>
      <c r="M1264" s="343">
        <v>-1241862.21</v>
      </c>
      <c r="O1264" s="343">
        <v>0</v>
      </c>
    </row>
    <row r="1265" spans="1:15" x14ac:dyDescent="0.3">
      <c r="A1265" s="340" t="s">
        <v>891</v>
      </c>
      <c r="B1265" s="350">
        <v>46101</v>
      </c>
      <c r="C1265" s="350">
        <v>46101</v>
      </c>
      <c r="D1265" s="351">
        <v>46082</v>
      </c>
      <c r="E1265" s="340" t="s">
        <v>2167</v>
      </c>
      <c r="F1265" s="340" t="s">
        <v>894</v>
      </c>
      <c r="G1265" s="340" t="s">
        <v>1589</v>
      </c>
      <c r="I1265" s="340" t="s">
        <v>745</v>
      </c>
      <c r="K1265" s="343">
        <v>0</v>
      </c>
      <c r="L1265" s="343">
        <v>-135.07</v>
      </c>
      <c r="M1265" s="343">
        <v>-1241997.28</v>
      </c>
      <c r="O1265" s="343">
        <v>0</v>
      </c>
    </row>
    <row r="1266" spans="1:15" x14ac:dyDescent="0.3">
      <c r="A1266" s="340" t="s">
        <v>891</v>
      </c>
      <c r="B1266" s="350">
        <v>46101</v>
      </c>
      <c r="C1266" s="350">
        <v>46101</v>
      </c>
      <c r="D1266" s="351">
        <v>46082</v>
      </c>
      <c r="E1266" s="340" t="s">
        <v>2167</v>
      </c>
      <c r="F1266" s="340" t="s">
        <v>894</v>
      </c>
      <c r="G1266" s="340" t="s">
        <v>2181</v>
      </c>
      <c r="I1266" s="340" t="s">
        <v>745</v>
      </c>
      <c r="K1266" s="343">
        <v>0</v>
      </c>
      <c r="L1266" s="343">
        <v>-130.49</v>
      </c>
      <c r="M1266" s="343">
        <v>-1242127.77</v>
      </c>
      <c r="O1266" s="343">
        <v>0</v>
      </c>
    </row>
    <row r="1267" spans="1:15" x14ac:dyDescent="0.3">
      <c r="A1267" s="340" t="s">
        <v>891</v>
      </c>
      <c r="B1267" s="350">
        <v>46101</v>
      </c>
      <c r="C1267" s="350">
        <v>46101</v>
      </c>
      <c r="D1267" s="351">
        <v>46082</v>
      </c>
      <c r="E1267" s="340" t="s">
        <v>2167</v>
      </c>
      <c r="F1267" s="340" t="s">
        <v>894</v>
      </c>
      <c r="G1267" s="340" t="s">
        <v>2182</v>
      </c>
      <c r="I1267" s="340" t="s">
        <v>745</v>
      </c>
      <c r="K1267" s="343">
        <v>0</v>
      </c>
      <c r="L1267" s="343">
        <v>-194.27</v>
      </c>
      <c r="M1267" s="343">
        <v>-1242322.04</v>
      </c>
      <c r="O1267" s="343">
        <v>0</v>
      </c>
    </row>
    <row r="1268" spans="1:15" x14ac:dyDescent="0.3">
      <c r="A1268" s="340" t="s">
        <v>891</v>
      </c>
      <c r="B1268" s="350">
        <v>46101</v>
      </c>
      <c r="C1268" s="350">
        <v>46101</v>
      </c>
      <c r="D1268" s="351">
        <v>46082</v>
      </c>
      <c r="E1268" s="340" t="s">
        <v>2167</v>
      </c>
      <c r="F1268" s="340" t="s">
        <v>894</v>
      </c>
      <c r="G1268" s="340" t="s">
        <v>2183</v>
      </c>
      <c r="I1268" s="340" t="s">
        <v>745</v>
      </c>
      <c r="K1268" s="343">
        <v>0</v>
      </c>
      <c r="L1268" s="343">
        <v>-164.51</v>
      </c>
      <c r="M1268" s="343">
        <v>-1242486.55</v>
      </c>
      <c r="O1268" s="343">
        <v>0</v>
      </c>
    </row>
    <row r="1269" spans="1:15" x14ac:dyDescent="0.3">
      <c r="A1269" s="340" t="s">
        <v>891</v>
      </c>
      <c r="B1269" s="350">
        <v>46101</v>
      </c>
      <c r="C1269" s="350">
        <v>46101</v>
      </c>
      <c r="D1269" s="351">
        <v>46082</v>
      </c>
      <c r="E1269" s="340" t="s">
        <v>2167</v>
      </c>
      <c r="F1269" s="340" t="s">
        <v>894</v>
      </c>
      <c r="G1269" s="340" t="s">
        <v>1614</v>
      </c>
      <c r="I1269" s="340" t="s">
        <v>745</v>
      </c>
      <c r="K1269" s="343">
        <v>0</v>
      </c>
      <c r="L1269" s="343">
        <v>-119.62</v>
      </c>
      <c r="M1269" s="343">
        <v>-1242606.17</v>
      </c>
      <c r="O1269" s="343">
        <v>0</v>
      </c>
    </row>
    <row r="1270" spans="1:15" x14ac:dyDescent="0.3">
      <c r="A1270" s="340" t="s">
        <v>891</v>
      </c>
      <c r="B1270" s="350">
        <v>46101</v>
      </c>
      <c r="C1270" s="350">
        <v>46101</v>
      </c>
      <c r="D1270" s="351">
        <v>46082</v>
      </c>
      <c r="E1270" s="340" t="s">
        <v>2167</v>
      </c>
      <c r="F1270" s="340" t="s">
        <v>894</v>
      </c>
      <c r="G1270" s="340" t="s">
        <v>2184</v>
      </c>
      <c r="I1270" s="340" t="s">
        <v>745</v>
      </c>
      <c r="K1270" s="343">
        <v>0</v>
      </c>
      <c r="L1270" s="343">
        <v>-41.02</v>
      </c>
      <c r="M1270" s="343">
        <v>-1242647.19</v>
      </c>
      <c r="O1270" s="343">
        <v>0</v>
      </c>
    </row>
    <row r="1271" spans="1:15" x14ac:dyDescent="0.3">
      <c r="A1271" s="340" t="s">
        <v>891</v>
      </c>
      <c r="B1271" s="350">
        <v>46101</v>
      </c>
      <c r="C1271" s="350">
        <v>46101</v>
      </c>
      <c r="D1271" s="351">
        <v>46082</v>
      </c>
      <c r="E1271" s="340" t="s">
        <v>2167</v>
      </c>
      <c r="F1271" s="340" t="s">
        <v>894</v>
      </c>
      <c r="G1271" s="340" t="s">
        <v>2185</v>
      </c>
      <c r="I1271" s="340" t="s">
        <v>745</v>
      </c>
      <c r="K1271" s="343">
        <v>0</v>
      </c>
      <c r="L1271" s="343">
        <v>-69.81</v>
      </c>
      <c r="M1271" s="343">
        <v>-1242717</v>
      </c>
      <c r="O1271" s="343">
        <v>0</v>
      </c>
    </row>
    <row r="1272" spans="1:15" x14ac:dyDescent="0.3">
      <c r="A1272" s="340" t="s">
        <v>891</v>
      </c>
      <c r="B1272" s="350">
        <v>46101</v>
      </c>
      <c r="C1272" s="350">
        <v>46101</v>
      </c>
      <c r="D1272" s="351">
        <v>46082</v>
      </c>
      <c r="E1272" s="340" t="s">
        <v>2167</v>
      </c>
      <c r="F1272" s="340" t="s">
        <v>894</v>
      </c>
      <c r="G1272" s="340" t="s">
        <v>2186</v>
      </c>
      <c r="I1272" s="340" t="s">
        <v>745</v>
      </c>
      <c r="K1272" s="343">
        <v>0</v>
      </c>
      <c r="L1272" s="343">
        <v>-41.43</v>
      </c>
      <c r="M1272" s="343">
        <v>-1242758.43</v>
      </c>
      <c r="O1272" s="343">
        <v>0</v>
      </c>
    </row>
    <row r="1273" spans="1:15" x14ac:dyDescent="0.3">
      <c r="A1273" s="340" t="s">
        <v>891</v>
      </c>
      <c r="B1273" s="350">
        <v>46101</v>
      </c>
      <c r="C1273" s="350">
        <v>46105</v>
      </c>
      <c r="D1273" s="351">
        <v>46082</v>
      </c>
      <c r="E1273" s="340" t="s">
        <v>2187</v>
      </c>
      <c r="F1273" s="340" t="s">
        <v>894</v>
      </c>
      <c r="G1273" s="340" t="s">
        <v>2188</v>
      </c>
      <c r="I1273" s="340" t="s">
        <v>740</v>
      </c>
      <c r="K1273" s="343">
        <v>0</v>
      </c>
      <c r="L1273" s="343">
        <v>-75</v>
      </c>
      <c r="M1273" s="343">
        <v>-1242833.43</v>
      </c>
      <c r="O1273" s="343">
        <v>0</v>
      </c>
    </row>
    <row r="1274" spans="1:15" x14ac:dyDescent="0.3">
      <c r="A1274" s="340" t="s">
        <v>891</v>
      </c>
      <c r="B1274" s="350">
        <v>46101</v>
      </c>
      <c r="C1274" s="350">
        <v>46105</v>
      </c>
      <c r="D1274" s="351">
        <v>46082</v>
      </c>
      <c r="E1274" s="340" t="s">
        <v>2189</v>
      </c>
      <c r="F1274" s="340" t="s">
        <v>894</v>
      </c>
      <c r="G1274" s="340" t="s">
        <v>2190</v>
      </c>
      <c r="I1274" s="340" t="s">
        <v>740</v>
      </c>
      <c r="K1274" s="343">
        <v>0</v>
      </c>
      <c r="L1274" s="343">
        <v>-470</v>
      </c>
      <c r="M1274" s="343">
        <v>-1243303.43</v>
      </c>
      <c r="O1274" s="343">
        <v>0</v>
      </c>
    </row>
    <row r="1275" spans="1:15" x14ac:dyDescent="0.3">
      <c r="A1275" s="340" t="s">
        <v>891</v>
      </c>
      <c r="B1275" s="350">
        <v>46101</v>
      </c>
      <c r="C1275" s="350">
        <v>46105</v>
      </c>
      <c r="D1275" s="351">
        <v>46082</v>
      </c>
      <c r="E1275" s="340" t="s">
        <v>2191</v>
      </c>
      <c r="F1275" s="340" t="s">
        <v>894</v>
      </c>
      <c r="G1275" s="340" t="s">
        <v>2192</v>
      </c>
      <c r="I1275" s="340" t="s">
        <v>740</v>
      </c>
      <c r="K1275" s="343">
        <v>0</v>
      </c>
      <c r="L1275" s="343">
        <v>-129.9</v>
      </c>
      <c r="M1275" s="343">
        <v>-1243433.33</v>
      </c>
      <c r="O1275" s="343">
        <v>0</v>
      </c>
    </row>
    <row r="1276" spans="1:15" x14ac:dyDescent="0.3">
      <c r="A1276" s="340" t="s">
        <v>891</v>
      </c>
      <c r="B1276" s="350">
        <v>46101</v>
      </c>
      <c r="C1276" s="350">
        <v>46105</v>
      </c>
      <c r="D1276" s="351">
        <v>46082</v>
      </c>
      <c r="E1276" s="340" t="s">
        <v>2193</v>
      </c>
      <c r="F1276" s="340" t="s">
        <v>894</v>
      </c>
      <c r="G1276" s="340" t="s">
        <v>2194</v>
      </c>
      <c r="I1276" s="340" t="s">
        <v>740</v>
      </c>
      <c r="K1276" s="343">
        <v>0</v>
      </c>
      <c r="L1276" s="343">
        <v>-145</v>
      </c>
      <c r="M1276" s="343">
        <v>-1243578.33</v>
      </c>
      <c r="O1276" s="343">
        <v>0</v>
      </c>
    </row>
    <row r="1277" spans="1:15" x14ac:dyDescent="0.3">
      <c r="A1277" s="340" t="s">
        <v>891</v>
      </c>
      <c r="B1277" s="350">
        <v>46101</v>
      </c>
      <c r="C1277" s="350">
        <v>46105</v>
      </c>
      <c r="D1277" s="351">
        <v>46082</v>
      </c>
      <c r="E1277" s="340" t="s">
        <v>2195</v>
      </c>
      <c r="F1277" s="340" t="s">
        <v>894</v>
      </c>
      <c r="G1277" s="340" t="s">
        <v>2196</v>
      </c>
      <c r="I1277" s="340" t="s">
        <v>740</v>
      </c>
      <c r="K1277" s="343">
        <v>0</v>
      </c>
      <c r="L1277" s="343">
        <v>-129.9</v>
      </c>
      <c r="M1277" s="343">
        <v>-1243708.23</v>
      </c>
      <c r="O1277" s="343">
        <v>0</v>
      </c>
    </row>
    <row r="1278" spans="1:15" x14ac:dyDescent="0.3">
      <c r="A1278" s="340" t="s">
        <v>891</v>
      </c>
      <c r="B1278" s="350">
        <v>46101</v>
      </c>
      <c r="C1278" s="350">
        <v>46105</v>
      </c>
      <c r="D1278" s="351">
        <v>46082</v>
      </c>
      <c r="E1278" s="340" t="s">
        <v>2197</v>
      </c>
      <c r="F1278" s="340" t="s">
        <v>894</v>
      </c>
      <c r="G1278" s="340" t="s">
        <v>2198</v>
      </c>
      <c r="I1278" s="340" t="s">
        <v>740</v>
      </c>
      <c r="K1278" s="343">
        <v>0</v>
      </c>
      <c r="L1278" s="343">
        <v>-225</v>
      </c>
      <c r="M1278" s="343">
        <v>-1243933.23</v>
      </c>
      <c r="O1278" s="343">
        <v>0</v>
      </c>
    </row>
    <row r="1279" spans="1:15" x14ac:dyDescent="0.3">
      <c r="A1279" s="340" t="s">
        <v>891</v>
      </c>
      <c r="B1279" s="350">
        <v>46101</v>
      </c>
      <c r="C1279" s="350">
        <v>46105</v>
      </c>
      <c r="D1279" s="351">
        <v>46082</v>
      </c>
      <c r="E1279" s="340" t="s">
        <v>2199</v>
      </c>
      <c r="F1279" s="340" t="s">
        <v>894</v>
      </c>
      <c r="G1279" s="340" t="s">
        <v>2200</v>
      </c>
      <c r="I1279" s="340" t="s">
        <v>740</v>
      </c>
      <c r="K1279" s="343">
        <v>0</v>
      </c>
      <c r="L1279" s="343">
        <v>-129.9</v>
      </c>
      <c r="M1279" s="343">
        <v>-1244063.1299999999</v>
      </c>
      <c r="O1279" s="343">
        <v>0</v>
      </c>
    </row>
    <row r="1280" spans="1:15" x14ac:dyDescent="0.3">
      <c r="A1280" s="340" t="s">
        <v>891</v>
      </c>
      <c r="B1280" s="350">
        <v>46101</v>
      </c>
      <c r="C1280" s="350">
        <v>46105</v>
      </c>
      <c r="D1280" s="351">
        <v>46082</v>
      </c>
      <c r="E1280" s="340" t="s">
        <v>2199</v>
      </c>
      <c r="F1280" s="340" t="s">
        <v>894</v>
      </c>
      <c r="G1280" s="340" t="s">
        <v>2201</v>
      </c>
      <c r="I1280" s="340" t="s">
        <v>740</v>
      </c>
      <c r="K1280" s="343">
        <v>0</v>
      </c>
      <c r="L1280" s="343">
        <v>-119.08</v>
      </c>
      <c r="M1280" s="343">
        <v>-1244182.21</v>
      </c>
      <c r="O1280" s="343">
        <v>0</v>
      </c>
    </row>
    <row r="1281" spans="1:15" x14ac:dyDescent="0.3">
      <c r="A1281" s="340" t="s">
        <v>891</v>
      </c>
      <c r="B1281" s="350">
        <v>46101</v>
      </c>
      <c r="C1281" s="350">
        <v>46105</v>
      </c>
      <c r="D1281" s="351">
        <v>46082</v>
      </c>
      <c r="E1281" s="340" t="s">
        <v>2202</v>
      </c>
      <c r="F1281" s="340" t="s">
        <v>894</v>
      </c>
      <c r="G1281" s="340" t="s">
        <v>2203</v>
      </c>
      <c r="I1281" s="340" t="s">
        <v>740</v>
      </c>
      <c r="K1281" s="343">
        <v>0</v>
      </c>
      <c r="L1281" s="343">
        <v>-144</v>
      </c>
      <c r="M1281" s="343">
        <v>-1244326.21</v>
      </c>
      <c r="O1281" s="343">
        <v>0</v>
      </c>
    </row>
    <row r="1282" spans="1:15" x14ac:dyDescent="0.3">
      <c r="A1282" s="340" t="s">
        <v>891</v>
      </c>
      <c r="B1282" s="350">
        <v>46101</v>
      </c>
      <c r="C1282" s="350">
        <v>46105</v>
      </c>
      <c r="D1282" s="351">
        <v>46082</v>
      </c>
      <c r="E1282" s="340" t="s">
        <v>2202</v>
      </c>
      <c r="F1282" s="340" t="s">
        <v>894</v>
      </c>
      <c r="G1282" s="340" t="s">
        <v>2204</v>
      </c>
      <c r="I1282" s="340" t="s">
        <v>740</v>
      </c>
      <c r="K1282" s="343">
        <v>0</v>
      </c>
      <c r="L1282" s="343">
        <v>-550</v>
      </c>
      <c r="M1282" s="343">
        <v>-1244876.21</v>
      </c>
      <c r="O1282" s="343">
        <v>0</v>
      </c>
    </row>
    <row r="1283" spans="1:15" x14ac:dyDescent="0.3">
      <c r="A1283" s="340" t="s">
        <v>891</v>
      </c>
      <c r="B1283" s="350">
        <v>46101</v>
      </c>
      <c r="C1283" s="350">
        <v>46105</v>
      </c>
      <c r="D1283" s="351">
        <v>46082</v>
      </c>
      <c r="E1283" s="340" t="s">
        <v>2205</v>
      </c>
      <c r="F1283" s="340" t="s">
        <v>894</v>
      </c>
      <c r="G1283" s="340" t="s">
        <v>2206</v>
      </c>
      <c r="I1283" s="340" t="s">
        <v>740</v>
      </c>
      <c r="K1283" s="343">
        <v>0</v>
      </c>
      <c r="L1283" s="343">
        <v>-119.08</v>
      </c>
      <c r="M1283" s="343">
        <v>-1244995.29</v>
      </c>
      <c r="O1283" s="343">
        <v>0</v>
      </c>
    </row>
    <row r="1284" spans="1:15" x14ac:dyDescent="0.3">
      <c r="A1284" s="340" t="s">
        <v>891</v>
      </c>
      <c r="B1284" s="350">
        <v>46101</v>
      </c>
      <c r="C1284" s="350">
        <v>46105</v>
      </c>
      <c r="D1284" s="351">
        <v>46082</v>
      </c>
      <c r="E1284" s="340" t="s">
        <v>2207</v>
      </c>
      <c r="F1284" s="340" t="s">
        <v>894</v>
      </c>
      <c r="G1284" s="340" t="s">
        <v>2208</v>
      </c>
      <c r="I1284" s="340" t="s">
        <v>740</v>
      </c>
      <c r="K1284" s="343">
        <v>0</v>
      </c>
      <c r="L1284" s="343">
        <v>-670</v>
      </c>
      <c r="M1284" s="343">
        <v>-1245665.29</v>
      </c>
      <c r="O1284" s="343">
        <v>0</v>
      </c>
    </row>
    <row r="1285" spans="1:15" x14ac:dyDescent="0.3">
      <c r="A1285" s="340" t="s">
        <v>891</v>
      </c>
      <c r="B1285" s="350">
        <v>46101</v>
      </c>
      <c r="C1285" s="350">
        <v>46115</v>
      </c>
      <c r="D1285" s="351">
        <v>46113</v>
      </c>
      <c r="E1285" s="340" t="s">
        <v>2209</v>
      </c>
      <c r="F1285" s="340" t="s">
        <v>894</v>
      </c>
      <c r="G1285" s="340" t="s">
        <v>2210</v>
      </c>
      <c r="I1285" s="340" t="s">
        <v>740</v>
      </c>
      <c r="K1285" s="343">
        <v>0</v>
      </c>
      <c r="L1285" s="343">
        <v>-860</v>
      </c>
      <c r="M1285" s="343">
        <v>-1246525.29</v>
      </c>
      <c r="O1285" s="343">
        <v>0</v>
      </c>
    </row>
    <row r="1286" spans="1:15" x14ac:dyDescent="0.3">
      <c r="A1286" s="340" t="s">
        <v>891</v>
      </c>
      <c r="B1286" s="350">
        <v>46101</v>
      </c>
      <c r="C1286" s="350">
        <v>46120</v>
      </c>
      <c r="D1286" s="351">
        <v>46113</v>
      </c>
      <c r="E1286" s="340" t="s">
        <v>2211</v>
      </c>
      <c r="F1286" s="340" t="s">
        <v>894</v>
      </c>
      <c r="G1286" s="340" t="s">
        <v>2212</v>
      </c>
      <c r="I1286" s="340" t="s">
        <v>740</v>
      </c>
      <c r="K1286" s="343">
        <v>0</v>
      </c>
      <c r="L1286" s="343">
        <v>-55</v>
      </c>
      <c r="M1286" s="343">
        <v>-1246580.29</v>
      </c>
      <c r="O1286" s="343">
        <v>0</v>
      </c>
    </row>
    <row r="1287" spans="1:15" x14ac:dyDescent="0.3">
      <c r="A1287" s="340" t="s">
        <v>891</v>
      </c>
      <c r="B1287" s="350">
        <v>46101</v>
      </c>
      <c r="C1287" s="350">
        <v>46120</v>
      </c>
      <c r="D1287" s="351">
        <v>46113</v>
      </c>
      <c r="E1287" s="340" t="s">
        <v>2211</v>
      </c>
      <c r="F1287" s="340" t="s">
        <v>894</v>
      </c>
      <c r="G1287" s="340" t="s">
        <v>2213</v>
      </c>
      <c r="I1287" s="340" t="s">
        <v>740</v>
      </c>
      <c r="K1287" s="343">
        <v>0</v>
      </c>
      <c r="L1287" s="343">
        <v>-48.71</v>
      </c>
      <c r="M1287" s="343">
        <v>-1246629</v>
      </c>
      <c r="O1287" s="343">
        <v>0</v>
      </c>
    </row>
    <row r="1288" spans="1:15" x14ac:dyDescent="0.3">
      <c r="A1288" s="340" t="s">
        <v>891</v>
      </c>
      <c r="B1288" s="350">
        <v>46101</v>
      </c>
      <c r="C1288" s="350">
        <v>46120</v>
      </c>
      <c r="D1288" s="351">
        <v>46113</v>
      </c>
      <c r="E1288" s="340" t="s">
        <v>2214</v>
      </c>
      <c r="F1288" s="340" t="s">
        <v>894</v>
      </c>
      <c r="G1288" s="340" t="s">
        <v>2215</v>
      </c>
      <c r="I1288" s="340" t="s">
        <v>740</v>
      </c>
      <c r="K1288" s="343">
        <v>0</v>
      </c>
      <c r="L1288" s="343">
        <v>-129.9</v>
      </c>
      <c r="M1288" s="343">
        <v>-1246758.8999999999</v>
      </c>
      <c r="O1288" s="343">
        <v>0</v>
      </c>
    </row>
    <row r="1289" spans="1:15" x14ac:dyDescent="0.3">
      <c r="A1289" s="340" t="s">
        <v>891</v>
      </c>
      <c r="B1289" s="350">
        <v>46101</v>
      </c>
      <c r="C1289" s="350">
        <v>46120</v>
      </c>
      <c r="D1289" s="351">
        <v>46113</v>
      </c>
      <c r="E1289" s="340" t="s">
        <v>2214</v>
      </c>
      <c r="F1289" s="340" t="s">
        <v>894</v>
      </c>
      <c r="G1289" s="340" t="s">
        <v>1801</v>
      </c>
      <c r="I1289" s="340" t="s">
        <v>740</v>
      </c>
      <c r="K1289" s="343">
        <v>0</v>
      </c>
      <c r="L1289" s="343">
        <v>-20</v>
      </c>
      <c r="M1289" s="343">
        <v>-1246778.8999999999</v>
      </c>
      <c r="O1289" s="343">
        <v>0</v>
      </c>
    </row>
    <row r="1290" spans="1:15" x14ac:dyDescent="0.3">
      <c r="A1290" s="340" t="s">
        <v>891</v>
      </c>
      <c r="B1290" s="350">
        <v>46101</v>
      </c>
      <c r="C1290" s="350">
        <v>46131</v>
      </c>
      <c r="D1290" s="351">
        <v>46113</v>
      </c>
      <c r="E1290" s="340" t="s">
        <v>2216</v>
      </c>
      <c r="F1290" s="340" t="s">
        <v>894</v>
      </c>
      <c r="G1290" s="340" t="s">
        <v>1227</v>
      </c>
      <c r="I1290" s="340" t="s">
        <v>750</v>
      </c>
      <c r="K1290" s="343">
        <v>0</v>
      </c>
      <c r="L1290" s="343">
        <v>-10175.5</v>
      </c>
      <c r="M1290" s="343">
        <v>-1256954.3999999999</v>
      </c>
      <c r="O1290" s="343">
        <v>0</v>
      </c>
    </row>
    <row r="1291" spans="1:15" x14ac:dyDescent="0.3">
      <c r="A1291" s="340" t="s">
        <v>891</v>
      </c>
      <c r="B1291" s="350">
        <v>46104</v>
      </c>
      <c r="C1291" s="350">
        <v>46104</v>
      </c>
      <c r="D1291" s="351">
        <v>46082</v>
      </c>
      <c r="E1291" s="340" t="s">
        <v>2217</v>
      </c>
      <c r="F1291" s="340" t="s">
        <v>1078</v>
      </c>
      <c r="G1291" s="340" t="s">
        <v>1865</v>
      </c>
      <c r="I1291" s="340" t="s">
        <v>1861</v>
      </c>
      <c r="K1291" s="343">
        <v>877.54</v>
      </c>
      <c r="L1291" s="343">
        <v>0</v>
      </c>
      <c r="M1291" s="343">
        <v>-1256076.8600000001</v>
      </c>
      <c r="O1291" s="343">
        <v>0</v>
      </c>
    </row>
    <row r="1292" spans="1:15" x14ac:dyDescent="0.3">
      <c r="A1292" s="340" t="s">
        <v>891</v>
      </c>
      <c r="B1292" s="350">
        <v>46104</v>
      </c>
      <c r="C1292" s="350">
        <v>46104</v>
      </c>
      <c r="D1292" s="351">
        <v>46082</v>
      </c>
      <c r="E1292" s="340" t="s">
        <v>2217</v>
      </c>
      <c r="F1292" s="340" t="s">
        <v>1078</v>
      </c>
      <c r="G1292" s="340" t="s">
        <v>1865</v>
      </c>
      <c r="I1292" s="340" t="s">
        <v>1861</v>
      </c>
      <c r="K1292" s="343">
        <v>1168.92</v>
      </c>
      <c r="L1292" s="343">
        <v>0</v>
      </c>
      <c r="M1292" s="343">
        <v>-1254907.94</v>
      </c>
      <c r="O1292" s="343">
        <v>0</v>
      </c>
    </row>
    <row r="1293" spans="1:15" x14ac:dyDescent="0.3">
      <c r="A1293" s="340" t="s">
        <v>891</v>
      </c>
      <c r="B1293" s="350">
        <v>46104</v>
      </c>
      <c r="C1293" s="350">
        <v>46104</v>
      </c>
      <c r="D1293" s="351">
        <v>46082</v>
      </c>
      <c r="E1293" s="340" t="s">
        <v>2217</v>
      </c>
      <c r="F1293" s="340" t="s">
        <v>1078</v>
      </c>
      <c r="G1293" s="340" t="s">
        <v>1865</v>
      </c>
      <c r="I1293" s="340" t="s">
        <v>1861</v>
      </c>
      <c r="K1293" s="343">
        <v>5399.32</v>
      </c>
      <c r="L1293" s="343">
        <v>0</v>
      </c>
      <c r="M1293" s="343">
        <v>-1249508.6200000001</v>
      </c>
      <c r="O1293" s="343">
        <v>0</v>
      </c>
    </row>
    <row r="1294" spans="1:15" x14ac:dyDescent="0.3">
      <c r="A1294" s="340" t="s">
        <v>891</v>
      </c>
      <c r="B1294" s="350">
        <v>46104</v>
      </c>
      <c r="C1294" s="350">
        <v>46104</v>
      </c>
      <c r="D1294" s="351">
        <v>46082</v>
      </c>
      <c r="E1294" s="340" t="s">
        <v>2217</v>
      </c>
      <c r="F1294" s="340" t="s">
        <v>1078</v>
      </c>
      <c r="G1294" s="340" t="s">
        <v>1865</v>
      </c>
      <c r="I1294" s="340" t="s">
        <v>1861</v>
      </c>
      <c r="K1294" s="343">
        <v>2878.08</v>
      </c>
      <c r="L1294" s="343">
        <v>0</v>
      </c>
      <c r="M1294" s="343">
        <v>-1246630.54</v>
      </c>
      <c r="O1294" s="343">
        <v>0</v>
      </c>
    </row>
    <row r="1295" spans="1:15" x14ac:dyDescent="0.3">
      <c r="A1295" s="340" t="s">
        <v>891</v>
      </c>
      <c r="B1295" s="350">
        <v>46104</v>
      </c>
      <c r="C1295" s="350">
        <v>46104</v>
      </c>
      <c r="D1295" s="351">
        <v>46082</v>
      </c>
      <c r="E1295" s="340" t="s">
        <v>2217</v>
      </c>
      <c r="F1295" s="340" t="s">
        <v>1078</v>
      </c>
      <c r="G1295" s="340" t="s">
        <v>1863</v>
      </c>
      <c r="I1295" s="340" t="s">
        <v>1861</v>
      </c>
      <c r="K1295" s="343">
        <v>5232.63</v>
      </c>
      <c r="L1295" s="343">
        <v>0</v>
      </c>
      <c r="M1295" s="343">
        <v>-1241397.9099999999</v>
      </c>
      <c r="O1295" s="343">
        <v>0</v>
      </c>
    </row>
    <row r="1296" spans="1:15" x14ac:dyDescent="0.3">
      <c r="A1296" s="340" t="s">
        <v>891</v>
      </c>
      <c r="B1296" s="350">
        <v>46104</v>
      </c>
      <c r="C1296" s="350">
        <v>46104</v>
      </c>
      <c r="D1296" s="351">
        <v>46082</v>
      </c>
      <c r="E1296" s="340" t="s">
        <v>2217</v>
      </c>
      <c r="F1296" s="340" t="s">
        <v>1078</v>
      </c>
      <c r="G1296" s="340" t="s">
        <v>1860</v>
      </c>
      <c r="I1296" s="340" t="s">
        <v>1861</v>
      </c>
      <c r="K1296" s="343">
        <v>1868.55</v>
      </c>
      <c r="L1296" s="343">
        <v>0</v>
      </c>
      <c r="M1296" s="343">
        <v>-1239529.3600000001</v>
      </c>
      <c r="O1296" s="343">
        <v>0</v>
      </c>
    </row>
    <row r="1297" spans="1:15" x14ac:dyDescent="0.3">
      <c r="A1297" s="340" t="s">
        <v>891</v>
      </c>
      <c r="B1297" s="350">
        <v>46104</v>
      </c>
      <c r="C1297" s="350">
        <v>46104</v>
      </c>
      <c r="D1297" s="351">
        <v>46082</v>
      </c>
      <c r="E1297" s="340" t="s">
        <v>2218</v>
      </c>
      <c r="F1297" s="340" t="s">
        <v>1078</v>
      </c>
      <c r="G1297" s="340" t="s">
        <v>1007</v>
      </c>
      <c r="I1297" s="340" t="s">
        <v>1005</v>
      </c>
      <c r="K1297" s="343">
        <v>655.53</v>
      </c>
      <c r="L1297" s="343">
        <v>0</v>
      </c>
      <c r="M1297" s="343">
        <v>-1238873.83</v>
      </c>
      <c r="O1297" s="343">
        <v>0</v>
      </c>
    </row>
    <row r="1298" spans="1:15" x14ac:dyDescent="0.3">
      <c r="A1298" s="340" t="s">
        <v>891</v>
      </c>
      <c r="B1298" s="350">
        <v>46105</v>
      </c>
      <c r="C1298" s="350">
        <v>46105</v>
      </c>
      <c r="D1298" s="351">
        <v>46082</v>
      </c>
      <c r="E1298" s="340" t="s">
        <v>2219</v>
      </c>
      <c r="F1298" s="340" t="s">
        <v>1078</v>
      </c>
      <c r="G1298" s="340" t="s">
        <v>1039</v>
      </c>
      <c r="I1298" s="340" t="s">
        <v>746</v>
      </c>
      <c r="K1298" s="343">
        <v>5869.3</v>
      </c>
      <c r="L1298" s="343">
        <v>0</v>
      </c>
      <c r="M1298" s="343">
        <v>-1233004.53</v>
      </c>
      <c r="O1298" s="343">
        <v>0</v>
      </c>
    </row>
    <row r="1299" spans="1:15" x14ac:dyDescent="0.3">
      <c r="A1299" s="340" t="s">
        <v>891</v>
      </c>
      <c r="B1299" s="350">
        <v>46105</v>
      </c>
      <c r="C1299" s="350">
        <v>46105</v>
      </c>
      <c r="D1299" s="351">
        <v>46082</v>
      </c>
      <c r="E1299" s="340" t="s">
        <v>2220</v>
      </c>
      <c r="F1299" s="340" t="s">
        <v>1078</v>
      </c>
      <c r="G1299" s="340" t="s">
        <v>1039</v>
      </c>
      <c r="I1299" s="340" t="s">
        <v>746</v>
      </c>
      <c r="K1299" s="343">
        <v>16237.72</v>
      </c>
      <c r="L1299" s="343">
        <v>0</v>
      </c>
      <c r="M1299" s="343">
        <v>-1216766.81</v>
      </c>
      <c r="O1299" s="343">
        <v>0</v>
      </c>
    </row>
    <row r="1300" spans="1:15" x14ac:dyDescent="0.3">
      <c r="A1300" s="340" t="s">
        <v>891</v>
      </c>
      <c r="B1300" s="350">
        <v>46105</v>
      </c>
      <c r="C1300" s="350">
        <v>46105</v>
      </c>
      <c r="D1300" s="351">
        <v>46082</v>
      </c>
      <c r="E1300" s="340" t="s">
        <v>2220</v>
      </c>
      <c r="F1300" s="340" t="s">
        <v>1078</v>
      </c>
      <c r="G1300" s="340" t="s">
        <v>1039</v>
      </c>
      <c r="I1300" s="340" t="s">
        <v>746</v>
      </c>
      <c r="K1300" s="343">
        <v>11258.93</v>
      </c>
      <c r="L1300" s="343">
        <v>0</v>
      </c>
      <c r="M1300" s="343">
        <v>-1205507.8799999999</v>
      </c>
      <c r="O1300" s="343">
        <v>0</v>
      </c>
    </row>
    <row r="1301" spans="1:15" x14ac:dyDescent="0.3">
      <c r="A1301" s="340" t="s">
        <v>891</v>
      </c>
      <c r="B1301" s="350">
        <v>46105</v>
      </c>
      <c r="C1301" s="350">
        <v>46105</v>
      </c>
      <c r="D1301" s="351">
        <v>46082</v>
      </c>
      <c r="E1301" s="340" t="s">
        <v>2221</v>
      </c>
      <c r="F1301" s="340" t="s">
        <v>1078</v>
      </c>
      <c r="G1301" s="340" t="s">
        <v>1079</v>
      </c>
      <c r="I1301" s="340" t="s">
        <v>757</v>
      </c>
      <c r="K1301" s="343">
        <v>1485.76</v>
      </c>
      <c r="L1301" s="343">
        <v>0</v>
      </c>
      <c r="M1301" s="343">
        <v>-1204022.1200000001</v>
      </c>
      <c r="O1301" s="343">
        <v>0</v>
      </c>
    </row>
    <row r="1302" spans="1:15" x14ac:dyDescent="0.3">
      <c r="A1302" s="340" t="s">
        <v>891</v>
      </c>
      <c r="B1302" s="350">
        <v>46105</v>
      </c>
      <c r="C1302" s="350">
        <v>46105</v>
      </c>
      <c r="D1302" s="351">
        <v>46082</v>
      </c>
      <c r="E1302" s="340" t="s">
        <v>2221</v>
      </c>
      <c r="F1302" s="340" t="s">
        <v>1078</v>
      </c>
      <c r="G1302" s="340" t="s">
        <v>1079</v>
      </c>
      <c r="I1302" s="340" t="s">
        <v>757</v>
      </c>
      <c r="K1302" s="343">
        <v>85.52</v>
      </c>
      <c r="L1302" s="343">
        <v>0</v>
      </c>
      <c r="M1302" s="343">
        <v>-1203936.6000000001</v>
      </c>
      <c r="O1302" s="343">
        <v>0</v>
      </c>
    </row>
    <row r="1303" spans="1:15" x14ac:dyDescent="0.3">
      <c r="A1303" s="340" t="s">
        <v>891</v>
      </c>
      <c r="B1303" s="350">
        <v>46105</v>
      </c>
      <c r="C1303" s="350">
        <v>46105</v>
      </c>
      <c r="D1303" s="351">
        <v>46082</v>
      </c>
      <c r="E1303" s="340" t="s">
        <v>2221</v>
      </c>
      <c r="F1303" s="340" t="s">
        <v>1078</v>
      </c>
      <c r="G1303" s="340" t="s">
        <v>1079</v>
      </c>
      <c r="I1303" s="340" t="s">
        <v>757</v>
      </c>
      <c r="K1303" s="343">
        <v>281.33999999999997</v>
      </c>
      <c r="L1303" s="343">
        <v>0</v>
      </c>
      <c r="M1303" s="343">
        <v>-1203655.26</v>
      </c>
      <c r="O1303" s="343">
        <v>0</v>
      </c>
    </row>
    <row r="1304" spans="1:15" x14ac:dyDescent="0.3">
      <c r="A1304" s="340" t="s">
        <v>891</v>
      </c>
      <c r="B1304" s="350">
        <v>46105</v>
      </c>
      <c r="C1304" s="350">
        <v>46105</v>
      </c>
      <c r="D1304" s="351">
        <v>46082</v>
      </c>
      <c r="E1304" s="340" t="s">
        <v>2221</v>
      </c>
      <c r="F1304" s="340" t="s">
        <v>1078</v>
      </c>
      <c r="G1304" s="340" t="s">
        <v>1079</v>
      </c>
      <c r="I1304" s="340" t="s">
        <v>757</v>
      </c>
      <c r="K1304" s="343">
        <v>129.88</v>
      </c>
      <c r="L1304" s="343">
        <v>0</v>
      </c>
      <c r="M1304" s="343">
        <v>-1203525.3799999999</v>
      </c>
      <c r="O1304" s="343">
        <v>0</v>
      </c>
    </row>
    <row r="1305" spans="1:15" x14ac:dyDescent="0.3">
      <c r="A1305" s="340" t="s">
        <v>891</v>
      </c>
      <c r="B1305" s="350">
        <v>46105</v>
      </c>
      <c r="C1305" s="350">
        <v>46105</v>
      </c>
      <c r="D1305" s="351">
        <v>46082</v>
      </c>
      <c r="E1305" s="340" t="s">
        <v>2221</v>
      </c>
      <c r="F1305" s="340" t="s">
        <v>1078</v>
      </c>
      <c r="G1305" s="340" t="s">
        <v>1079</v>
      </c>
      <c r="I1305" s="340" t="s">
        <v>757</v>
      </c>
      <c r="K1305" s="343">
        <v>26.69</v>
      </c>
      <c r="L1305" s="343">
        <v>0</v>
      </c>
      <c r="M1305" s="343">
        <v>-1203498.69</v>
      </c>
      <c r="O1305" s="343">
        <v>0</v>
      </c>
    </row>
    <row r="1306" spans="1:15" x14ac:dyDescent="0.3">
      <c r="A1306" s="340" t="s">
        <v>891</v>
      </c>
      <c r="B1306" s="350">
        <v>46105</v>
      </c>
      <c r="C1306" s="350">
        <v>46105</v>
      </c>
      <c r="D1306" s="351">
        <v>46082</v>
      </c>
      <c r="E1306" s="340" t="s">
        <v>2221</v>
      </c>
      <c r="F1306" s="340" t="s">
        <v>1078</v>
      </c>
      <c r="G1306" s="340" t="s">
        <v>1079</v>
      </c>
      <c r="I1306" s="340" t="s">
        <v>757</v>
      </c>
      <c r="K1306" s="343">
        <v>933.03</v>
      </c>
      <c r="L1306" s="343">
        <v>0</v>
      </c>
      <c r="M1306" s="343">
        <v>-1202565.6599999999</v>
      </c>
      <c r="O1306" s="343">
        <v>0</v>
      </c>
    </row>
    <row r="1307" spans="1:15" x14ac:dyDescent="0.3">
      <c r="A1307" s="340" t="s">
        <v>891</v>
      </c>
      <c r="B1307" s="350">
        <v>46105</v>
      </c>
      <c r="C1307" s="350">
        <v>46105</v>
      </c>
      <c r="D1307" s="351">
        <v>46082</v>
      </c>
      <c r="E1307" s="340" t="s">
        <v>2221</v>
      </c>
      <c r="F1307" s="340" t="s">
        <v>1078</v>
      </c>
      <c r="G1307" s="340" t="s">
        <v>1079</v>
      </c>
      <c r="I1307" s="340" t="s">
        <v>757</v>
      </c>
      <c r="K1307" s="343">
        <v>2391.41</v>
      </c>
      <c r="L1307" s="343">
        <v>0</v>
      </c>
      <c r="M1307" s="343">
        <v>-1200174.25</v>
      </c>
      <c r="O1307" s="343">
        <v>0</v>
      </c>
    </row>
    <row r="1308" spans="1:15" x14ac:dyDescent="0.3">
      <c r="A1308" s="340" t="s">
        <v>891</v>
      </c>
      <c r="B1308" s="350">
        <v>46105</v>
      </c>
      <c r="C1308" s="350">
        <v>46105</v>
      </c>
      <c r="D1308" s="351">
        <v>46082</v>
      </c>
      <c r="E1308" s="340" t="s">
        <v>2221</v>
      </c>
      <c r="F1308" s="340" t="s">
        <v>1078</v>
      </c>
      <c r="G1308" s="340" t="s">
        <v>1079</v>
      </c>
      <c r="I1308" s="340" t="s">
        <v>757</v>
      </c>
      <c r="K1308" s="343">
        <v>324.70999999999998</v>
      </c>
      <c r="L1308" s="343">
        <v>0</v>
      </c>
      <c r="M1308" s="343">
        <v>-1199849.54</v>
      </c>
      <c r="O1308" s="343">
        <v>0</v>
      </c>
    </row>
    <row r="1309" spans="1:15" x14ac:dyDescent="0.3">
      <c r="A1309" s="340" t="s">
        <v>891</v>
      </c>
      <c r="B1309" s="350">
        <v>46105</v>
      </c>
      <c r="C1309" s="350">
        <v>46105</v>
      </c>
      <c r="D1309" s="351">
        <v>46082</v>
      </c>
      <c r="E1309" s="340" t="s">
        <v>2221</v>
      </c>
      <c r="F1309" s="340" t="s">
        <v>1078</v>
      </c>
      <c r="G1309" s="340" t="s">
        <v>1079</v>
      </c>
      <c r="I1309" s="340" t="s">
        <v>757</v>
      </c>
      <c r="K1309" s="343">
        <v>915.31</v>
      </c>
      <c r="L1309" s="343">
        <v>0</v>
      </c>
      <c r="M1309" s="343">
        <v>-1198934.23</v>
      </c>
      <c r="O1309" s="343">
        <v>0</v>
      </c>
    </row>
    <row r="1310" spans="1:15" x14ac:dyDescent="0.3">
      <c r="A1310" s="340" t="s">
        <v>891</v>
      </c>
      <c r="B1310" s="350">
        <v>46105</v>
      </c>
      <c r="C1310" s="350">
        <v>46105</v>
      </c>
      <c r="D1310" s="351">
        <v>46082</v>
      </c>
      <c r="E1310" s="340" t="s">
        <v>2221</v>
      </c>
      <c r="F1310" s="340" t="s">
        <v>1078</v>
      </c>
      <c r="G1310" s="340" t="s">
        <v>1079</v>
      </c>
      <c r="I1310" s="340" t="s">
        <v>757</v>
      </c>
      <c r="K1310" s="343">
        <v>259.63</v>
      </c>
      <c r="L1310" s="343">
        <v>0</v>
      </c>
      <c r="M1310" s="343">
        <v>-1198674.6000000001</v>
      </c>
      <c r="O1310" s="343">
        <v>0</v>
      </c>
    </row>
    <row r="1311" spans="1:15" x14ac:dyDescent="0.3">
      <c r="A1311" s="340" t="s">
        <v>891</v>
      </c>
      <c r="B1311" s="350">
        <v>46105</v>
      </c>
      <c r="C1311" s="350">
        <v>46105</v>
      </c>
      <c r="D1311" s="351">
        <v>46082</v>
      </c>
      <c r="E1311" s="340" t="s">
        <v>2221</v>
      </c>
      <c r="F1311" s="340" t="s">
        <v>1078</v>
      </c>
      <c r="G1311" s="340" t="s">
        <v>1079</v>
      </c>
      <c r="I1311" s="340" t="s">
        <v>757</v>
      </c>
      <c r="K1311" s="343">
        <v>849.75</v>
      </c>
      <c r="L1311" s="343">
        <v>0</v>
      </c>
      <c r="M1311" s="343">
        <v>-1197824.8500000001</v>
      </c>
      <c r="O1311" s="343">
        <v>0</v>
      </c>
    </row>
    <row r="1312" spans="1:15" x14ac:dyDescent="0.3">
      <c r="A1312" s="340" t="s">
        <v>891</v>
      </c>
      <c r="B1312" s="350">
        <v>46105</v>
      </c>
      <c r="C1312" s="350">
        <v>46105</v>
      </c>
      <c r="D1312" s="351">
        <v>46082</v>
      </c>
      <c r="E1312" s="340" t="s">
        <v>2221</v>
      </c>
      <c r="F1312" s="340" t="s">
        <v>1078</v>
      </c>
      <c r="G1312" s="340" t="s">
        <v>1079</v>
      </c>
      <c r="I1312" s="340" t="s">
        <v>757</v>
      </c>
      <c r="K1312" s="343">
        <v>849.75</v>
      </c>
      <c r="L1312" s="343">
        <v>0</v>
      </c>
      <c r="M1312" s="343">
        <v>-1196975.1000000001</v>
      </c>
      <c r="O1312" s="343">
        <v>0</v>
      </c>
    </row>
    <row r="1313" spans="1:15" x14ac:dyDescent="0.3">
      <c r="A1313" s="340" t="s">
        <v>891</v>
      </c>
      <c r="B1313" s="350">
        <v>46105</v>
      </c>
      <c r="C1313" s="350">
        <v>46105</v>
      </c>
      <c r="D1313" s="351">
        <v>46082</v>
      </c>
      <c r="E1313" s="340" t="s">
        <v>2221</v>
      </c>
      <c r="F1313" s="340" t="s">
        <v>1078</v>
      </c>
      <c r="G1313" s="340" t="s">
        <v>1079</v>
      </c>
      <c r="I1313" s="340" t="s">
        <v>757</v>
      </c>
      <c r="K1313" s="343">
        <v>595.36</v>
      </c>
      <c r="L1313" s="343">
        <v>0</v>
      </c>
      <c r="M1313" s="343">
        <v>-1196379.74</v>
      </c>
      <c r="O1313" s="343">
        <v>0</v>
      </c>
    </row>
    <row r="1314" spans="1:15" x14ac:dyDescent="0.3">
      <c r="A1314" s="340" t="s">
        <v>891</v>
      </c>
      <c r="B1314" s="350">
        <v>46105</v>
      </c>
      <c r="C1314" s="350">
        <v>46105</v>
      </c>
      <c r="D1314" s="351">
        <v>46082</v>
      </c>
      <c r="E1314" s="340" t="s">
        <v>2221</v>
      </c>
      <c r="F1314" s="340" t="s">
        <v>1078</v>
      </c>
      <c r="G1314" s="340" t="s">
        <v>1079</v>
      </c>
      <c r="I1314" s="340" t="s">
        <v>757</v>
      </c>
      <c r="K1314" s="343">
        <v>1039.1400000000001</v>
      </c>
      <c r="L1314" s="343">
        <v>0</v>
      </c>
      <c r="M1314" s="343">
        <v>-1195340.6000000001</v>
      </c>
      <c r="O1314" s="343">
        <v>0</v>
      </c>
    </row>
    <row r="1315" spans="1:15" x14ac:dyDescent="0.3">
      <c r="A1315" s="340" t="s">
        <v>891</v>
      </c>
      <c r="B1315" s="350">
        <v>46105</v>
      </c>
      <c r="C1315" s="350">
        <v>46105</v>
      </c>
      <c r="D1315" s="351">
        <v>46082</v>
      </c>
      <c r="E1315" s="340" t="s">
        <v>2221</v>
      </c>
      <c r="F1315" s="340" t="s">
        <v>1078</v>
      </c>
      <c r="G1315" s="340" t="s">
        <v>1079</v>
      </c>
      <c r="I1315" s="340" t="s">
        <v>757</v>
      </c>
      <c r="K1315" s="343">
        <v>324.52999999999997</v>
      </c>
      <c r="L1315" s="343">
        <v>0</v>
      </c>
      <c r="M1315" s="343">
        <v>-1195016.07</v>
      </c>
      <c r="O1315" s="343">
        <v>0</v>
      </c>
    </row>
    <row r="1316" spans="1:15" x14ac:dyDescent="0.3">
      <c r="A1316" s="340" t="s">
        <v>891</v>
      </c>
      <c r="B1316" s="350">
        <v>46105</v>
      </c>
      <c r="C1316" s="350">
        <v>46105</v>
      </c>
      <c r="D1316" s="351">
        <v>46082</v>
      </c>
      <c r="E1316" s="340" t="s">
        <v>2221</v>
      </c>
      <c r="F1316" s="340" t="s">
        <v>1078</v>
      </c>
      <c r="G1316" s="340" t="s">
        <v>1079</v>
      </c>
      <c r="I1316" s="340" t="s">
        <v>757</v>
      </c>
      <c r="K1316" s="343">
        <v>913.24</v>
      </c>
      <c r="L1316" s="343">
        <v>0</v>
      </c>
      <c r="M1316" s="343">
        <v>-1194102.83</v>
      </c>
      <c r="O1316" s="343">
        <v>0</v>
      </c>
    </row>
    <row r="1317" spans="1:15" x14ac:dyDescent="0.3">
      <c r="A1317" s="340" t="s">
        <v>891</v>
      </c>
      <c r="B1317" s="350">
        <v>46105</v>
      </c>
      <c r="C1317" s="350">
        <v>46105</v>
      </c>
      <c r="D1317" s="351">
        <v>46082</v>
      </c>
      <c r="E1317" s="340" t="s">
        <v>2221</v>
      </c>
      <c r="F1317" s="340" t="s">
        <v>1078</v>
      </c>
      <c r="G1317" s="340" t="s">
        <v>1079</v>
      </c>
      <c r="I1317" s="340" t="s">
        <v>757</v>
      </c>
      <c r="K1317" s="343">
        <v>658.99</v>
      </c>
      <c r="L1317" s="343">
        <v>0</v>
      </c>
      <c r="M1317" s="343">
        <v>-1193443.8400000001</v>
      </c>
      <c r="O1317" s="343">
        <v>0</v>
      </c>
    </row>
    <row r="1318" spans="1:15" x14ac:dyDescent="0.3">
      <c r="A1318" s="340" t="s">
        <v>891</v>
      </c>
      <c r="B1318" s="350">
        <v>46105</v>
      </c>
      <c r="C1318" s="350">
        <v>46105</v>
      </c>
      <c r="D1318" s="351">
        <v>46082</v>
      </c>
      <c r="E1318" s="340" t="s">
        <v>2221</v>
      </c>
      <c r="F1318" s="340" t="s">
        <v>1078</v>
      </c>
      <c r="G1318" s="340" t="s">
        <v>961</v>
      </c>
      <c r="I1318" s="340" t="s">
        <v>757</v>
      </c>
      <c r="K1318" s="343">
        <v>441.06</v>
      </c>
      <c r="L1318" s="343">
        <v>0</v>
      </c>
      <c r="M1318" s="343">
        <v>-1193002.78</v>
      </c>
      <c r="O1318" s="343">
        <v>0</v>
      </c>
    </row>
    <row r="1319" spans="1:15" x14ac:dyDescent="0.3">
      <c r="A1319" s="340" t="s">
        <v>891</v>
      </c>
      <c r="B1319" s="350">
        <v>46105</v>
      </c>
      <c r="C1319" s="350">
        <v>46105</v>
      </c>
      <c r="D1319" s="351">
        <v>46082</v>
      </c>
      <c r="E1319" s="340" t="s">
        <v>2221</v>
      </c>
      <c r="F1319" s="340" t="s">
        <v>1078</v>
      </c>
      <c r="G1319" s="340" t="s">
        <v>1000</v>
      </c>
      <c r="I1319" s="340" t="s">
        <v>757</v>
      </c>
      <c r="K1319" s="343">
        <v>65.44</v>
      </c>
      <c r="L1319" s="343">
        <v>0</v>
      </c>
      <c r="M1319" s="343">
        <v>-1192937.3400000001</v>
      </c>
      <c r="O1319" s="343">
        <v>0</v>
      </c>
    </row>
    <row r="1320" spans="1:15" x14ac:dyDescent="0.3">
      <c r="A1320" s="340" t="s">
        <v>891</v>
      </c>
      <c r="B1320" s="350">
        <v>46105</v>
      </c>
      <c r="C1320" s="350">
        <v>46105</v>
      </c>
      <c r="D1320" s="351">
        <v>46082</v>
      </c>
      <c r="E1320" s="340" t="s">
        <v>2221</v>
      </c>
      <c r="F1320" s="340" t="s">
        <v>1078</v>
      </c>
      <c r="G1320" s="340" t="s">
        <v>999</v>
      </c>
      <c r="I1320" s="340" t="s">
        <v>757</v>
      </c>
      <c r="K1320" s="343">
        <v>35.19</v>
      </c>
      <c r="L1320" s="343">
        <v>0</v>
      </c>
      <c r="M1320" s="343">
        <v>-1192902.1499999999</v>
      </c>
      <c r="O1320" s="343">
        <v>0</v>
      </c>
    </row>
    <row r="1321" spans="1:15" x14ac:dyDescent="0.3">
      <c r="A1321" s="340" t="s">
        <v>891</v>
      </c>
      <c r="B1321" s="350">
        <v>46105</v>
      </c>
      <c r="C1321" s="350">
        <v>46105</v>
      </c>
      <c r="D1321" s="351">
        <v>46082</v>
      </c>
      <c r="E1321" s="340" t="s">
        <v>2221</v>
      </c>
      <c r="F1321" s="340" t="s">
        <v>1078</v>
      </c>
      <c r="G1321" s="340" t="s">
        <v>998</v>
      </c>
      <c r="I1321" s="340" t="s">
        <v>757</v>
      </c>
      <c r="K1321" s="343">
        <v>132.93</v>
      </c>
      <c r="L1321" s="343">
        <v>0</v>
      </c>
      <c r="M1321" s="343">
        <v>-1192769.22</v>
      </c>
      <c r="O1321" s="343">
        <v>0</v>
      </c>
    </row>
    <row r="1322" spans="1:15" x14ac:dyDescent="0.3">
      <c r="A1322" s="340" t="s">
        <v>891</v>
      </c>
      <c r="B1322" s="350">
        <v>46105</v>
      </c>
      <c r="C1322" s="350">
        <v>46105</v>
      </c>
      <c r="D1322" s="351">
        <v>46082</v>
      </c>
      <c r="E1322" s="340" t="s">
        <v>2221</v>
      </c>
      <c r="F1322" s="340" t="s">
        <v>1078</v>
      </c>
      <c r="G1322" s="340" t="s">
        <v>1054</v>
      </c>
      <c r="I1322" s="340" t="s">
        <v>757</v>
      </c>
      <c r="K1322" s="343">
        <v>228.84</v>
      </c>
      <c r="L1322" s="343">
        <v>0</v>
      </c>
      <c r="M1322" s="343">
        <v>-1192540.3799999999</v>
      </c>
      <c r="O1322" s="343">
        <v>0</v>
      </c>
    </row>
    <row r="1323" spans="1:15" x14ac:dyDescent="0.3">
      <c r="A1323" s="340" t="s">
        <v>891</v>
      </c>
      <c r="B1323" s="350">
        <v>46105</v>
      </c>
      <c r="C1323" s="350">
        <v>46105</v>
      </c>
      <c r="D1323" s="351">
        <v>46082</v>
      </c>
      <c r="E1323" s="340" t="s">
        <v>2221</v>
      </c>
      <c r="F1323" s="340" t="s">
        <v>1078</v>
      </c>
      <c r="G1323" s="340" t="s">
        <v>1056</v>
      </c>
      <c r="I1323" s="340" t="s">
        <v>757</v>
      </c>
      <c r="K1323" s="343">
        <v>415.53</v>
      </c>
      <c r="L1323" s="343">
        <v>0</v>
      </c>
      <c r="M1323" s="343">
        <v>-1192124.8500000001</v>
      </c>
      <c r="O1323" s="343">
        <v>0</v>
      </c>
    </row>
    <row r="1324" spans="1:15" x14ac:dyDescent="0.3">
      <c r="A1324" s="340" t="s">
        <v>891</v>
      </c>
      <c r="B1324" s="350">
        <v>46105</v>
      </c>
      <c r="C1324" s="350">
        <v>46105</v>
      </c>
      <c r="D1324" s="351">
        <v>46082</v>
      </c>
      <c r="E1324" s="340" t="s">
        <v>2221</v>
      </c>
      <c r="F1324" s="340" t="s">
        <v>1078</v>
      </c>
      <c r="G1324" s="340" t="s">
        <v>1055</v>
      </c>
      <c r="I1324" s="340" t="s">
        <v>757</v>
      </c>
      <c r="K1324" s="343">
        <v>270.07</v>
      </c>
      <c r="L1324" s="343">
        <v>0</v>
      </c>
      <c r="M1324" s="343">
        <v>-1191854.78</v>
      </c>
      <c r="O1324" s="343">
        <v>0</v>
      </c>
    </row>
    <row r="1325" spans="1:15" x14ac:dyDescent="0.3">
      <c r="A1325" s="340" t="s">
        <v>891</v>
      </c>
      <c r="B1325" s="350">
        <v>46105</v>
      </c>
      <c r="C1325" s="350">
        <v>46105</v>
      </c>
      <c r="D1325" s="351">
        <v>46082</v>
      </c>
      <c r="E1325" s="340" t="s">
        <v>2221</v>
      </c>
      <c r="F1325" s="340" t="s">
        <v>1078</v>
      </c>
      <c r="G1325" s="340" t="s">
        <v>1053</v>
      </c>
      <c r="I1325" s="340" t="s">
        <v>757</v>
      </c>
      <c r="K1325" s="343">
        <v>103.79</v>
      </c>
      <c r="L1325" s="343">
        <v>0</v>
      </c>
      <c r="M1325" s="343">
        <v>-1191750.99</v>
      </c>
      <c r="O1325" s="343">
        <v>0</v>
      </c>
    </row>
    <row r="1326" spans="1:15" x14ac:dyDescent="0.3">
      <c r="A1326" s="340" t="s">
        <v>891</v>
      </c>
      <c r="B1326" s="350">
        <v>46105</v>
      </c>
      <c r="C1326" s="350">
        <v>46105</v>
      </c>
      <c r="D1326" s="351">
        <v>46082</v>
      </c>
      <c r="E1326" s="340" t="s">
        <v>2221</v>
      </c>
      <c r="F1326" s="340" t="s">
        <v>1078</v>
      </c>
      <c r="G1326" s="340" t="s">
        <v>1052</v>
      </c>
      <c r="I1326" s="340" t="s">
        <v>757</v>
      </c>
      <c r="K1326" s="343">
        <v>748.13</v>
      </c>
      <c r="L1326" s="343">
        <v>0</v>
      </c>
      <c r="M1326" s="343">
        <v>-1191002.8600000001</v>
      </c>
      <c r="O1326" s="343">
        <v>0</v>
      </c>
    </row>
    <row r="1327" spans="1:15" x14ac:dyDescent="0.3">
      <c r="A1327" s="340" t="s">
        <v>891</v>
      </c>
      <c r="B1327" s="350">
        <v>46105</v>
      </c>
      <c r="C1327" s="350">
        <v>46105</v>
      </c>
      <c r="D1327" s="351">
        <v>46082</v>
      </c>
      <c r="E1327" s="340" t="s">
        <v>2221</v>
      </c>
      <c r="F1327" s="340" t="s">
        <v>1078</v>
      </c>
      <c r="G1327" s="340" t="s">
        <v>1051</v>
      </c>
      <c r="I1327" s="340" t="s">
        <v>757</v>
      </c>
      <c r="K1327" s="343">
        <v>831.31</v>
      </c>
      <c r="L1327" s="343">
        <v>0</v>
      </c>
      <c r="M1327" s="343">
        <v>-1190171.55</v>
      </c>
      <c r="O1327" s="343">
        <v>0</v>
      </c>
    </row>
    <row r="1328" spans="1:15" x14ac:dyDescent="0.3">
      <c r="A1328" s="340" t="s">
        <v>891</v>
      </c>
      <c r="B1328" s="350">
        <v>46105</v>
      </c>
      <c r="C1328" s="350">
        <v>46105</v>
      </c>
      <c r="D1328" s="351">
        <v>46082</v>
      </c>
      <c r="E1328" s="340" t="s">
        <v>2221</v>
      </c>
      <c r="F1328" s="340" t="s">
        <v>1078</v>
      </c>
      <c r="G1328" s="340" t="s">
        <v>1050</v>
      </c>
      <c r="I1328" s="340" t="s">
        <v>757</v>
      </c>
      <c r="K1328" s="343">
        <v>540.30999999999995</v>
      </c>
      <c r="L1328" s="343">
        <v>0</v>
      </c>
      <c r="M1328" s="343">
        <v>-1189631.24</v>
      </c>
      <c r="O1328" s="343">
        <v>0</v>
      </c>
    </row>
    <row r="1329" spans="1:15" x14ac:dyDescent="0.3">
      <c r="A1329" s="340" t="s">
        <v>891</v>
      </c>
      <c r="B1329" s="350">
        <v>46105</v>
      </c>
      <c r="C1329" s="350">
        <v>46105</v>
      </c>
      <c r="D1329" s="351">
        <v>46082</v>
      </c>
      <c r="E1329" s="340" t="s">
        <v>2221</v>
      </c>
      <c r="F1329" s="340" t="s">
        <v>1078</v>
      </c>
      <c r="G1329" s="340" t="s">
        <v>1049</v>
      </c>
      <c r="I1329" s="340" t="s">
        <v>757</v>
      </c>
      <c r="K1329" s="343">
        <v>831.31</v>
      </c>
      <c r="L1329" s="343">
        <v>0</v>
      </c>
      <c r="M1329" s="343">
        <v>-1188799.93</v>
      </c>
      <c r="O1329" s="343">
        <v>0</v>
      </c>
    </row>
    <row r="1330" spans="1:15" x14ac:dyDescent="0.3">
      <c r="A1330" s="340" t="s">
        <v>891</v>
      </c>
      <c r="B1330" s="350">
        <v>46105</v>
      </c>
      <c r="C1330" s="350">
        <v>46105</v>
      </c>
      <c r="D1330" s="351">
        <v>46082</v>
      </c>
      <c r="E1330" s="340" t="s">
        <v>2221</v>
      </c>
      <c r="F1330" s="340" t="s">
        <v>1078</v>
      </c>
      <c r="G1330" s="340" t="s">
        <v>1048</v>
      </c>
      <c r="I1330" s="340" t="s">
        <v>757</v>
      </c>
      <c r="K1330" s="343">
        <v>83.2</v>
      </c>
      <c r="L1330" s="343">
        <v>0</v>
      </c>
      <c r="M1330" s="343">
        <v>-1188716.73</v>
      </c>
      <c r="O1330" s="343">
        <v>0</v>
      </c>
    </row>
    <row r="1331" spans="1:15" x14ac:dyDescent="0.3">
      <c r="A1331" s="340" t="s">
        <v>891</v>
      </c>
      <c r="B1331" s="350">
        <v>46105</v>
      </c>
      <c r="C1331" s="350">
        <v>46105</v>
      </c>
      <c r="D1331" s="351">
        <v>46082</v>
      </c>
      <c r="E1331" s="340" t="s">
        <v>2221</v>
      </c>
      <c r="F1331" s="340" t="s">
        <v>1078</v>
      </c>
      <c r="G1331" s="340" t="s">
        <v>1047</v>
      </c>
      <c r="I1331" s="340" t="s">
        <v>757</v>
      </c>
      <c r="K1331" s="343">
        <v>249.2</v>
      </c>
      <c r="L1331" s="343">
        <v>0</v>
      </c>
      <c r="M1331" s="343">
        <v>-1188467.53</v>
      </c>
      <c r="O1331" s="343">
        <v>0</v>
      </c>
    </row>
    <row r="1332" spans="1:15" x14ac:dyDescent="0.3">
      <c r="A1332" s="340" t="s">
        <v>891</v>
      </c>
      <c r="B1332" s="350">
        <v>46105</v>
      </c>
      <c r="C1332" s="350">
        <v>46105</v>
      </c>
      <c r="D1332" s="351">
        <v>46082</v>
      </c>
      <c r="E1332" s="340" t="s">
        <v>2221</v>
      </c>
      <c r="F1332" s="340" t="s">
        <v>1078</v>
      </c>
      <c r="G1332" s="340" t="s">
        <v>1046</v>
      </c>
      <c r="I1332" s="340" t="s">
        <v>757</v>
      </c>
      <c r="K1332" s="343">
        <v>264.81</v>
      </c>
      <c r="L1332" s="343">
        <v>0</v>
      </c>
      <c r="M1332" s="343">
        <v>-1188202.72</v>
      </c>
      <c r="O1332" s="343">
        <v>0</v>
      </c>
    </row>
    <row r="1333" spans="1:15" x14ac:dyDescent="0.3">
      <c r="A1333" s="340" t="s">
        <v>891</v>
      </c>
      <c r="B1333" s="350">
        <v>46105</v>
      </c>
      <c r="C1333" s="350">
        <v>46105</v>
      </c>
      <c r="D1333" s="351">
        <v>46082</v>
      </c>
      <c r="E1333" s="340" t="s">
        <v>2221</v>
      </c>
      <c r="F1333" s="340" t="s">
        <v>1078</v>
      </c>
      <c r="G1333" s="340" t="s">
        <v>1045</v>
      </c>
      <c r="I1333" s="340" t="s">
        <v>757</v>
      </c>
      <c r="K1333" s="343">
        <v>748.11</v>
      </c>
      <c r="L1333" s="343">
        <v>0</v>
      </c>
      <c r="M1333" s="343">
        <v>-1187454.6100000001</v>
      </c>
      <c r="O1333" s="343">
        <v>0</v>
      </c>
    </row>
    <row r="1334" spans="1:15" x14ac:dyDescent="0.3">
      <c r="A1334" s="340" t="s">
        <v>891</v>
      </c>
      <c r="B1334" s="350">
        <v>46105</v>
      </c>
      <c r="C1334" s="350">
        <v>46105</v>
      </c>
      <c r="D1334" s="351">
        <v>46082</v>
      </c>
      <c r="E1334" s="340" t="s">
        <v>2221</v>
      </c>
      <c r="F1334" s="340" t="s">
        <v>1078</v>
      </c>
      <c r="G1334" s="340" t="s">
        <v>1044</v>
      </c>
      <c r="I1334" s="340" t="s">
        <v>757</v>
      </c>
      <c r="K1334" s="343">
        <v>140.09</v>
      </c>
      <c r="L1334" s="343">
        <v>0</v>
      </c>
      <c r="M1334" s="343">
        <v>-1187314.52</v>
      </c>
      <c r="O1334" s="343">
        <v>0</v>
      </c>
    </row>
    <row r="1335" spans="1:15" x14ac:dyDescent="0.3">
      <c r="A1335" s="340" t="s">
        <v>891</v>
      </c>
      <c r="B1335" s="350">
        <v>46105</v>
      </c>
      <c r="C1335" s="350">
        <v>46105</v>
      </c>
      <c r="D1335" s="351">
        <v>46082</v>
      </c>
      <c r="E1335" s="340" t="s">
        <v>2221</v>
      </c>
      <c r="F1335" s="340" t="s">
        <v>1078</v>
      </c>
      <c r="G1335" s="340" t="s">
        <v>1068</v>
      </c>
      <c r="I1335" s="340" t="s">
        <v>757</v>
      </c>
      <c r="K1335" s="343">
        <v>194.84</v>
      </c>
      <c r="L1335" s="343">
        <v>0</v>
      </c>
      <c r="M1335" s="343">
        <v>-1187119.68</v>
      </c>
      <c r="O1335" s="343">
        <v>0</v>
      </c>
    </row>
    <row r="1336" spans="1:15" x14ac:dyDescent="0.3">
      <c r="A1336" s="340" t="s">
        <v>891</v>
      </c>
      <c r="B1336" s="350">
        <v>46105</v>
      </c>
      <c r="C1336" s="350">
        <v>46105</v>
      </c>
      <c r="D1336" s="351">
        <v>46082</v>
      </c>
      <c r="E1336" s="340" t="s">
        <v>2221</v>
      </c>
      <c r="F1336" s="340" t="s">
        <v>1078</v>
      </c>
      <c r="G1336" s="340" t="s">
        <v>1448</v>
      </c>
      <c r="I1336" s="340" t="s">
        <v>757</v>
      </c>
      <c r="K1336" s="343">
        <v>155.80000000000001</v>
      </c>
      <c r="L1336" s="343">
        <v>0</v>
      </c>
      <c r="M1336" s="343">
        <v>-1186963.8799999999</v>
      </c>
      <c r="O1336" s="343">
        <v>0</v>
      </c>
    </row>
    <row r="1337" spans="1:15" x14ac:dyDescent="0.3">
      <c r="A1337" s="340" t="s">
        <v>891</v>
      </c>
      <c r="B1337" s="350">
        <v>46105</v>
      </c>
      <c r="C1337" s="350">
        <v>46105</v>
      </c>
      <c r="D1337" s="351">
        <v>46082</v>
      </c>
      <c r="E1337" s="340" t="s">
        <v>2221</v>
      </c>
      <c r="F1337" s="340" t="s">
        <v>1078</v>
      </c>
      <c r="G1337" s="340" t="s">
        <v>1447</v>
      </c>
      <c r="I1337" s="340" t="s">
        <v>757</v>
      </c>
      <c r="K1337" s="343">
        <v>436.25</v>
      </c>
      <c r="L1337" s="343">
        <v>0</v>
      </c>
      <c r="M1337" s="343">
        <v>-1186527.6299999999</v>
      </c>
      <c r="O1337" s="343">
        <v>0</v>
      </c>
    </row>
    <row r="1338" spans="1:15" x14ac:dyDescent="0.3">
      <c r="A1338" s="340" t="s">
        <v>891</v>
      </c>
      <c r="B1338" s="350">
        <v>46105</v>
      </c>
      <c r="C1338" s="350">
        <v>46105</v>
      </c>
      <c r="D1338" s="351">
        <v>46082</v>
      </c>
      <c r="E1338" s="340" t="s">
        <v>2221</v>
      </c>
      <c r="F1338" s="340" t="s">
        <v>1078</v>
      </c>
      <c r="G1338" s="340" t="s">
        <v>1446</v>
      </c>
      <c r="I1338" s="340" t="s">
        <v>757</v>
      </c>
      <c r="K1338" s="343">
        <v>60.53</v>
      </c>
      <c r="L1338" s="343">
        <v>0</v>
      </c>
      <c r="M1338" s="343">
        <v>-1186467.1000000001</v>
      </c>
      <c r="O1338" s="343">
        <v>0</v>
      </c>
    </row>
    <row r="1339" spans="1:15" x14ac:dyDescent="0.3">
      <c r="A1339" s="340" t="s">
        <v>891</v>
      </c>
      <c r="B1339" s="350">
        <v>46105</v>
      </c>
      <c r="C1339" s="350">
        <v>46105</v>
      </c>
      <c r="D1339" s="351">
        <v>46082</v>
      </c>
      <c r="E1339" s="340" t="s">
        <v>2221</v>
      </c>
      <c r="F1339" s="340" t="s">
        <v>1078</v>
      </c>
      <c r="G1339" s="340" t="s">
        <v>1445</v>
      </c>
      <c r="I1339" s="340" t="s">
        <v>757</v>
      </c>
      <c r="K1339" s="343">
        <v>185.3</v>
      </c>
      <c r="L1339" s="343">
        <v>0</v>
      </c>
      <c r="M1339" s="343">
        <v>-1186281.8</v>
      </c>
      <c r="O1339" s="343">
        <v>0</v>
      </c>
    </row>
    <row r="1340" spans="1:15" x14ac:dyDescent="0.3">
      <c r="A1340" s="340" t="s">
        <v>891</v>
      </c>
      <c r="B1340" s="350">
        <v>46105</v>
      </c>
      <c r="C1340" s="350">
        <v>46105</v>
      </c>
      <c r="D1340" s="351">
        <v>46082</v>
      </c>
      <c r="E1340" s="340" t="s">
        <v>2221</v>
      </c>
      <c r="F1340" s="340" t="s">
        <v>1078</v>
      </c>
      <c r="G1340" s="340" t="s">
        <v>1444</v>
      </c>
      <c r="I1340" s="340" t="s">
        <v>757</v>
      </c>
      <c r="K1340" s="343">
        <v>68.52</v>
      </c>
      <c r="L1340" s="343">
        <v>0</v>
      </c>
      <c r="M1340" s="343">
        <v>-1186213.28</v>
      </c>
      <c r="O1340" s="343">
        <v>0</v>
      </c>
    </row>
    <row r="1341" spans="1:15" x14ac:dyDescent="0.3">
      <c r="A1341" s="340" t="s">
        <v>891</v>
      </c>
      <c r="B1341" s="350">
        <v>46105</v>
      </c>
      <c r="C1341" s="350">
        <v>46105</v>
      </c>
      <c r="D1341" s="351">
        <v>46082</v>
      </c>
      <c r="E1341" s="340" t="s">
        <v>2221</v>
      </c>
      <c r="F1341" s="340" t="s">
        <v>1078</v>
      </c>
      <c r="G1341" s="340" t="s">
        <v>1037</v>
      </c>
      <c r="I1341" s="340" t="s">
        <v>757</v>
      </c>
      <c r="K1341" s="343">
        <v>746.88</v>
      </c>
      <c r="L1341" s="343">
        <v>0</v>
      </c>
      <c r="M1341" s="343">
        <v>-1185466.3999999999</v>
      </c>
      <c r="O1341" s="343">
        <v>0</v>
      </c>
    </row>
    <row r="1342" spans="1:15" x14ac:dyDescent="0.3">
      <c r="A1342" s="340" t="s">
        <v>891</v>
      </c>
      <c r="B1342" s="350">
        <v>46105</v>
      </c>
      <c r="C1342" s="350">
        <v>46105</v>
      </c>
      <c r="D1342" s="351">
        <v>46082</v>
      </c>
      <c r="E1342" s="340" t="s">
        <v>2221</v>
      </c>
      <c r="F1342" s="340" t="s">
        <v>1078</v>
      </c>
      <c r="G1342" s="340" t="s">
        <v>1443</v>
      </c>
      <c r="I1342" s="340" t="s">
        <v>757</v>
      </c>
      <c r="K1342" s="343">
        <v>974.18</v>
      </c>
      <c r="L1342" s="343">
        <v>0</v>
      </c>
      <c r="M1342" s="343">
        <v>-1184492.22</v>
      </c>
      <c r="O1342" s="343">
        <v>0</v>
      </c>
    </row>
    <row r="1343" spans="1:15" x14ac:dyDescent="0.3">
      <c r="A1343" s="340" t="s">
        <v>891</v>
      </c>
      <c r="B1343" s="350">
        <v>46105</v>
      </c>
      <c r="C1343" s="350">
        <v>46105</v>
      </c>
      <c r="D1343" s="351">
        <v>46082</v>
      </c>
      <c r="E1343" s="340" t="s">
        <v>2221</v>
      </c>
      <c r="F1343" s="340" t="s">
        <v>1078</v>
      </c>
      <c r="G1343" s="340" t="s">
        <v>1449</v>
      </c>
      <c r="I1343" s="340" t="s">
        <v>757</v>
      </c>
      <c r="K1343" s="343">
        <v>59.2</v>
      </c>
      <c r="L1343" s="343">
        <v>0</v>
      </c>
      <c r="M1343" s="343">
        <v>-1184433.02</v>
      </c>
      <c r="O1343" s="343">
        <v>0</v>
      </c>
    </row>
    <row r="1344" spans="1:15" x14ac:dyDescent="0.3">
      <c r="A1344" s="340" t="s">
        <v>891</v>
      </c>
      <c r="B1344" s="350">
        <v>46105</v>
      </c>
      <c r="C1344" s="350">
        <v>46105</v>
      </c>
      <c r="D1344" s="351">
        <v>46082</v>
      </c>
      <c r="E1344" s="340" t="s">
        <v>2221</v>
      </c>
      <c r="F1344" s="340" t="s">
        <v>1078</v>
      </c>
      <c r="G1344" s="340" t="s">
        <v>1442</v>
      </c>
      <c r="I1344" s="340" t="s">
        <v>757</v>
      </c>
      <c r="K1344" s="343">
        <v>211.05</v>
      </c>
      <c r="L1344" s="343">
        <v>0</v>
      </c>
      <c r="M1344" s="343">
        <v>-1184221.97</v>
      </c>
      <c r="O1344" s="343">
        <v>0</v>
      </c>
    </row>
    <row r="1345" spans="1:15" x14ac:dyDescent="0.3">
      <c r="A1345" s="340" t="s">
        <v>891</v>
      </c>
      <c r="B1345" s="350">
        <v>46105</v>
      </c>
      <c r="C1345" s="350">
        <v>46105</v>
      </c>
      <c r="D1345" s="351">
        <v>46082</v>
      </c>
      <c r="E1345" s="340" t="s">
        <v>2221</v>
      </c>
      <c r="F1345" s="340" t="s">
        <v>1078</v>
      </c>
      <c r="G1345" s="340" t="s">
        <v>1441</v>
      </c>
      <c r="I1345" s="340" t="s">
        <v>757</v>
      </c>
      <c r="K1345" s="343">
        <v>140.69999999999999</v>
      </c>
      <c r="L1345" s="343">
        <v>0</v>
      </c>
      <c r="M1345" s="343">
        <v>-1184081.27</v>
      </c>
      <c r="O1345" s="343">
        <v>0</v>
      </c>
    </row>
    <row r="1346" spans="1:15" x14ac:dyDescent="0.3">
      <c r="A1346" s="340" t="s">
        <v>891</v>
      </c>
      <c r="B1346" s="350">
        <v>46105</v>
      </c>
      <c r="C1346" s="350">
        <v>46105</v>
      </c>
      <c r="D1346" s="351">
        <v>46082</v>
      </c>
      <c r="E1346" s="340" t="s">
        <v>2221</v>
      </c>
      <c r="F1346" s="340" t="s">
        <v>1078</v>
      </c>
      <c r="G1346" s="340" t="s">
        <v>1440</v>
      </c>
      <c r="I1346" s="340" t="s">
        <v>757</v>
      </c>
      <c r="K1346" s="343">
        <v>249.66</v>
      </c>
      <c r="L1346" s="343">
        <v>0</v>
      </c>
      <c r="M1346" s="343">
        <v>-1183831.6100000001</v>
      </c>
      <c r="O1346" s="343">
        <v>0</v>
      </c>
    </row>
    <row r="1347" spans="1:15" x14ac:dyDescent="0.3">
      <c r="A1347" s="340" t="s">
        <v>891</v>
      </c>
      <c r="B1347" s="350">
        <v>46105</v>
      </c>
      <c r="C1347" s="350">
        <v>46105</v>
      </c>
      <c r="D1347" s="351">
        <v>46082</v>
      </c>
      <c r="E1347" s="340" t="s">
        <v>2221</v>
      </c>
      <c r="F1347" s="340" t="s">
        <v>1078</v>
      </c>
      <c r="G1347" s="340" t="s">
        <v>1439</v>
      </c>
      <c r="I1347" s="340" t="s">
        <v>757</v>
      </c>
      <c r="K1347" s="343">
        <v>142.19999999999999</v>
      </c>
      <c r="L1347" s="343">
        <v>0</v>
      </c>
      <c r="M1347" s="343">
        <v>-1183689.4099999999</v>
      </c>
      <c r="O1347" s="343">
        <v>0</v>
      </c>
    </row>
    <row r="1348" spans="1:15" x14ac:dyDescent="0.3">
      <c r="A1348" s="340" t="s">
        <v>891</v>
      </c>
      <c r="B1348" s="350">
        <v>46105</v>
      </c>
      <c r="C1348" s="350">
        <v>46105</v>
      </c>
      <c r="D1348" s="351">
        <v>46082</v>
      </c>
      <c r="E1348" s="340" t="s">
        <v>2221</v>
      </c>
      <c r="F1348" s="340" t="s">
        <v>1078</v>
      </c>
      <c r="G1348" s="340" t="s">
        <v>1438</v>
      </c>
      <c r="I1348" s="340" t="s">
        <v>757</v>
      </c>
      <c r="K1348" s="343">
        <v>74.62</v>
      </c>
      <c r="L1348" s="343">
        <v>0</v>
      </c>
      <c r="M1348" s="343">
        <v>-1183614.79</v>
      </c>
      <c r="O1348" s="343">
        <v>0</v>
      </c>
    </row>
    <row r="1349" spans="1:15" x14ac:dyDescent="0.3">
      <c r="A1349" s="340" t="s">
        <v>891</v>
      </c>
      <c r="B1349" s="350">
        <v>46105</v>
      </c>
      <c r="C1349" s="350">
        <v>46105</v>
      </c>
      <c r="D1349" s="351">
        <v>46082</v>
      </c>
      <c r="E1349" s="340" t="s">
        <v>2221</v>
      </c>
      <c r="F1349" s="340" t="s">
        <v>1078</v>
      </c>
      <c r="G1349" s="340" t="s">
        <v>1437</v>
      </c>
      <c r="I1349" s="340" t="s">
        <v>757</v>
      </c>
      <c r="K1349" s="343">
        <v>311.72000000000003</v>
      </c>
      <c r="L1349" s="343">
        <v>0</v>
      </c>
      <c r="M1349" s="343">
        <v>-1183303.07</v>
      </c>
      <c r="O1349" s="343">
        <v>0</v>
      </c>
    </row>
    <row r="1350" spans="1:15" x14ac:dyDescent="0.3">
      <c r="A1350" s="340" t="s">
        <v>891</v>
      </c>
      <c r="B1350" s="350">
        <v>46105</v>
      </c>
      <c r="C1350" s="350">
        <v>46105</v>
      </c>
      <c r="D1350" s="351">
        <v>46082</v>
      </c>
      <c r="E1350" s="340" t="s">
        <v>2221</v>
      </c>
      <c r="F1350" s="340" t="s">
        <v>1078</v>
      </c>
      <c r="G1350" s="340" t="s">
        <v>1436</v>
      </c>
      <c r="I1350" s="340" t="s">
        <v>757</v>
      </c>
      <c r="K1350" s="343">
        <v>77.930000000000007</v>
      </c>
      <c r="L1350" s="343">
        <v>0</v>
      </c>
      <c r="M1350" s="343">
        <v>-1183225.1399999999</v>
      </c>
      <c r="O1350" s="343">
        <v>0</v>
      </c>
    </row>
    <row r="1351" spans="1:15" x14ac:dyDescent="0.3">
      <c r="A1351" s="340" t="s">
        <v>891</v>
      </c>
      <c r="B1351" s="350">
        <v>46105</v>
      </c>
      <c r="C1351" s="350">
        <v>46105</v>
      </c>
      <c r="D1351" s="351">
        <v>46082</v>
      </c>
      <c r="E1351" s="340" t="s">
        <v>2221</v>
      </c>
      <c r="F1351" s="340" t="s">
        <v>1078</v>
      </c>
      <c r="G1351" s="340" t="s">
        <v>1435</v>
      </c>
      <c r="I1351" s="340" t="s">
        <v>757</v>
      </c>
      <c r="K1351" s="343">
        <v>207.56</v>
      </c>
      <c r="L1351" s="343">
        <v>0</v>
      </c>
      <c r="M1351" s="343">
        <v>-1183017.58</v>
      </c>
      <c r="O1351" s="343">
        <v>0</v>
      </c>
    </row>
    <row r="1352" spans="1:15" x14ac:dyDescent="0.3">
      <c r="A1352" s="340" t="s">
        <v>891</v>
      </c>
      <c r="B1352" s="350">
        <v>46105</v>
      </c>
      <c r="C1352" s="350">
        <v>46105</v>
      </c>
      <c r="D1352" s="351">
        <v>46082</v>
      </c>
      <c r="E1352" s="340" t="s">
        <v>2221</v>
      </c>
      <c r="F1352" s="340" t="s">
        <v>1078</v>
      </c>
      <c r="G1352" s="340" t="s">
        <v>1434</v>
      </c>
      <c r="I1352" s="340" t="s">
        <v>757</v>
      </c>
      <c r="K1352" s="343">
        <v>62.33</v>
      </c>
      <c r="L1352" s="343">
        <v>0</v>
      </c>
      <c r="M1352" s="343">
        <v>-1182955.25</v>
      </c>
      <c r="O1352" s="343">
        <v>0</v>
      </c>
    </row>
    <row r="1353" spans="1:15" x14ac:dyDescent="0.3">
      <c r="A1353" s="340" t="s">
        <v>891</v>
      </c>
      <c r="B1353" s="350">
        <v>46105</v>
      </c>
      <c r="C1353" s="350">
        <v>46105</v>
      </c>
      <c r="D1353" s="351">
        <v>46082</v>
      </c>
      <c r="E1353" s="340" t="s">
        <v>2221</v>
      </c>
      <c r="F1353" s="340" t="s">
        <v>1078</v>
      </c>
      <c r="G1353" s="340" t="s">
        <v>1036</v>
      </c>
      <c r="I1353" s="340" t="s">
        <v>757</v>
      </c>
      <c r="K1353" s="343">
        <v>62.33</v>
      </c>
      <c r="L1353" s="343">
        <v>0</v>
      </c>
      <c r="M1353" s="343">
        <v>-1182892.92</v>
      </c>
      <c r="O1353" s="343">
        <v>0</v>
      </c>
    </row>
    <row r="1354" spans="1:15" x14ac:dyDescent="0.3">
      <c r="A1354" s="340" t="s">
        <v>891</v>
      </c>
      <c r="B1354" s="350">
        <v>46105</v>
      </c>
      <c r="C1354" s="350">
        <v>46105</v>
      </c>
      <c r="D1354" s="351">
        <v>46082</v>
      </c>
      <c r="E1354" s="340" t="s">
        <v>2221</v>
      </c>
      <c r="F1354" s="340" t="s">
        <v>1078</v>
      </c>
      <c r="G1354" s="340" t="s">
        <v>1433</v>
      </c>
      <c r="I1354" s="340" t="s">
        <v>757</v>
      </c>
      <c r="K1354" s="343">
        <v>83.11</v>
      </c>
      <c r="L1354" s="343">
        <v>0</v>
      </c>
      <c r="M1354" s="343">
        <v>-1182809.81</v>
      </c>
      <c r="O1354" s="343">
        <v>0</v>
      </c>
    </row>
    <row r="1355" spans="1:15" x14ac:dyDescent="0.3">
      <c r="A1355" s="340" t="s">
        <v>891</v>
      </c>
      <c r="B1355" s="350">
        <v>46105</v>
      </c>
      <c r="C1355" s="350">
        <v>46105</v>
      </c>
      <c r="D1355" s="351">
        <v>46082</v>
      </c>
      <c r="E1355" s="340" t="s">
        <v>2221</v>
      </c>
      <c r="F1355" s="340" t="s">
        <v>1078</v>
      </c>
      <c r="G1355" s="340" t="s">
        <v>1148</v>
      </c>
      <c r="I1355" s="340" t="s">
        <v>757</v>
      </c>
      <c r="K1355" s="343">
        <v>249.72</v>
      </c>
      <c r="L1355" s="343">
        <v>0</v>
      </c>
      <c r="M1355" s="343">
        <v>-1182560.0900000001</v>
      </c>
      <c r="O1355" s="343">
        <v>0</v>
      </c>
    </row>
    <row r="1356" spans="1:15" x14ac:dyDescent="0.3">
      <c r="A1356" s="340" t="s">
        <v>891</v>
      </c>
      <c r="B1356" s="350">
        <v>46105</v>
      </c>
      <c r="C1356" s="350">
        <v>46105</v>
      </c>
      <c r="D1356" s="351">
        <v>46082</v>
      </c>
      <c r="E1356" s="340" t="s">
        <v>2221</v>
      </c>
      <c r="F1356" s="340" t="s">
        <v>1078</v>
      </c>
      <c r="G1356" s="340" t="s">
        <v>1432</v>
      </c>
      <c r="I1356" s="340" t="s">
        <v>757</v>
      </c>
      <c r="K1356" s="343">
        <v>415.56</v>
      </c>
      <c r="L1356" s="343">
        <v>0</v>
      </c>
      <c r="M1356" s="343">
        <v>-1182144.53</v>
      </c>
      <c r="O1356" s="343">
        <v>0</v>
      </c>
    </row>
    <row r="1357" spans="1:15" x14ac:dyDescent="0.3">
      <c r="A1357" s="340" t="s">
        <v>891</v>
      </c>
      <c r="B1357" s="350">
        <v>46105</v>
      </c>
      <c r="C1357" s="350">
        <v>46105</v>
      </c>
      <c r="D1357" s="351">
        <v>46082</v>
      </c>
      <c r="E1357" s="340" t="s">
        <v>2221</v>
      </c>
      <c r="F1357" s="340" t="s">
        <v>1078</v>
      </c>
      <c r="G1357" s="340" t="s">
        <v>1431</v>
      </c>
      <c r="I1357" s="340" t="s">
        <v>757</v>
      </c>
      <c r="K1357" s="343">
        <v>49.81</v>
      </c>
      <c r="L1357" s="343">
        <v>0</v>
      </c>
      <c r="M1357" s="343">
        <v>-1182094.72</v>
      </c>
      <c r="O1357" s="343">
        <v>0</v>
      </c>
    </row>
    <row r="1358" spans="1:15" x14ac:dyDescent="0.3">
      <c r="A1358" s="340" t="s">
        <v>891</v>
      </c>
      <c r="B1358" s="350">
        <v>46105</v>
      </c>
      <c r="C1358" s="350">
        <v>46105</v>
      </c>
      <c r="D1358" s="351">
        <v>46082</v>
      </c>
      <c r="E1358" s="340" t="s">
        <v>2221</v>
      </c>
      <c r="F1358" s="340" t="s">
        <v>1078</v>
      </c>
      <c r="G1358" s="340" t="s">
        <v>1430</v>
      </c>
      <c r="I1358" s="340" t="s">
        <v>757</v>
      </c>
      <c r="K1358" s="343">
        <v>498.75</v>
      </c>
      <c r="L1358" s="343">
        <v>0</v>
      </c>
      <c r="M1358" s="343">
        <v>-1181595.97</v>
      </c>
      <c r="O1358" s="343">
        <v>0</v>
      </c>
    </row>
    <row r="1359" spans="1:15" x14ac:dyDescent="0.3">
      <c r="A1359" s="340" t="s">
        <v>891</v>
      </c>
      <c r="B1359" s="350">
        <v>46105</v>
      </c>
      <c r="C1359" s="350">
        <v>46105</v>
      </c>
      <c r="D1359" s="351">
        <v>46082</v>
      </c>
      <c r="E1359" s="340" t="s">
        <v>2221</v>
      </c>
      <c r="F1359" s="340" t="s">
        <v>1078</v>
      </c>
      <c r="G1359" s="340" t="s">
        <v>1429</v>
      </c>
      <c r="I1359" s="340" t="s">
        <v>757</v>
      </c>
      <c r="K1359" s="343">
        <v>141.24</v>
      </c>
      <c r="L1359" s="343">
        <v>0</v>
      </c>
      <c r="M1359" s="343">
        <v>-1181454.73</v>
      </c>
      <c r="O1359" s="343">
        <v>0</v>
      </c>
    </row>
    <row r="1360" spans="1:15" x14ac:dyDescent="0.3">
      <c r="A1360" s="340" t="s">
        <v>891</v>
      </c>
      <c r="B1360" s="350">
        <v>46105</v>
      </c>
      <c r="C1360" s="350">
        <v>46105</v>
      </c>
      <c r="D1360" s="351">
        <v>46082</v>
      </c>
      <c r="E1360" s="340" t="s">
        <v>2221</v>
      </c>
      <c r="F1360" s="340" t="s">
        <v>1078</v>
      </c>
      <c r="G1360" s="340" t="s">
        <v>1255</v>
      </c>
      <c r="I1360" s="340" t="s">
        <v>757</v>
      </c>
      <c r="K1360" s="343">
        <v>174.49</v>
      </c>
      <c r="L1360" s="343">
        <v>0</v>
      </c>
      <c r="M1360" s="343">
        <v>-1181280.24</v>
      </c>
      <c r="O1360" s="343">
        <v>0</v>
      </c>
    </row>
    <row r="1361" spans="1:15" x14ac:dyDescent="0.3">
      <c r="A1361" s="340" t="s">
        <v>891</v>
      </c>
      <c r="B1361" s="350">
        <v>46105</v>
      </c>
      <c r="C1361" s="350">
        <v>46105</v>
      </c>
      <c r="D1361" s="351">
        <v>46082</v>
      </c>
      <c r="E1361" s="340" t="s">
        <v>2221</v>
      </c>
      <c r="F1361" s="340" t="s">
        <v>1078</v>
      </c>
      <c r="G1361" s="340" t="s">
        <v>1256</v>
      </c>
      <c r="I1361" s="340" t="s">
        <v>757</v>
      </c>
      <c r="K1361" s="343">
        <v>95.17</v>
      </c>
      <c r="L1361" s="343">
        <v>0</v>
      </c>
      <c r="M1361" s="343">
        <v>-1181185.07</v>
      </c>
      <c r="O1361" s="343">
        <v>0</v>
      </c>
    </row>
    <row r="1362" spans="1:15" x14ac:dyDescent="0.3">
      <c r="A1362" s="340" t="s">
        <v>891</v>
      </c>
      <c r="B1362" s="350">
        <v>46105</v>
      </c>
      <c r="C1362" s="350">
        <v>46105</v>
      </c>
      <c r="D1362" s="351">
        <v>46082</v>
      </c>
      <c r="E1362" s="340" t="s">
        <v>2221</v>
      </c>
      <c r="F1362" s="340" t="s">
        <v>1078</v>
      </c>
      <c r="G1362" s="340" t="s">
        <v>1428</v>
      </c>
      <c r="I1362" s="340" t="s">
        <v>757</v>
      </c>
      <c r="K1362" s="343">
        <v>77.849999999999994</v>
      </c>
      <c r="L1362" s="343">
        <v>0</v>
      </c>
      <c r="M1362" s="343">
        <v>-1181107.22</v>
      </c>
      <c r="O1362" s="343">
        <v>0</v>
      </c>
    </row>
    <row r="1363" spans="1:15" x14ac:dyDescent="0.3">
      <c r="A1363" s="340" t="s">
        <v>891</v>
      </c>
      <c r="B1363" s="350">
        <v>46105</v>
      </c>
      <c r="C1363" s="350">
        <v>46105</v>
      </c>
      <c r="D1363" s="351">
        <v>46082</v>
      </c>
      <c r="E1363" s="340" t="s">
        <v>2221</v>
      </c>
      <c r="F1363" s="340" t="s">
        <v>1078</v>
      </c>
      <c r="G1363" s="340" t="s">
        <v>1427</v>
      </c>
      <c r="I1363" s="340" t="s">
        <v>757</v>
      </c>
      <c r="K1363" s="343">
        <v>103.92</v>
      </c>
      <c r="L1363" s="343">
        <v>0</v>
      </c>
      <c r="M1363" s="343">
        <v>-1181003.3</v>
      </c>
      <c r="O1363" s="343">
        <v>0</v>
      </c>
    </row>
    <row r="1364" spans="1:15" x14ac:dyDescent="0.3">
      <c r="A1364" s="340" t="s">
        <v>891</v>
      </c>
      <c r="B1364" s="350">
        <v>46105</v>
      </c>
      <c r="C1364" s="350">
        <v>46105</v>
      </c>
      <c r="D1364" s="351">
        <v>46082</v>
      </c>
      <c r="E1364" s="340" t="s">
        <v>2221</v>
      </c>
      <c r="F1364" s="340" t="s">
        <v>1078</v>
      </c>
      <c r="G1364" s="340" t="s">
        <v>1426</v>
      </c>
      <c r="I1364" s="340" t="s">
        <v>757</v>
      </c>
      <c r="K1364" s="343">
        <v>145.68</v>
      </c>
      <c r="L1364" s="343">
        <v>0</v>
      </c>
      <c r="M1364" s="343">
        <v>-1180857.6200000001</v>
      </c>
      <c r="O1364" s="343">
        <v>0</v>
      </c>
    </row>
    <row r="1365" spans="1:15" x14ac:dyDescent="0.3">
      <c r="A1365" s="340" t="s">
        <v>891</v>
      </c>
      <c r="B1365" s="350">
        <v>46105</v>
      </c>
      <c r="C1365" s="350">
        <v>46105</v>
      </c>
      <c r="D1365" s="351">
        <v>46082</v>
      </c>
      <c r="E1365" s="340" t="s">
        <v>2221</v>
      </c>
      <c r="F1365" s="340" t="s">
        <v>1078</v>
      </c>
      <c r="G1365" s="340" t="s">
        <v>1249</v>
      </c>
      <c r="I1365" s="340" t="s">
        <v>757</v>
      </c>
      <c r="K1365" s="343">
        <v>118.4</v>
      </c>
      <c r="L1365" s="343">
        <v>0</v>
      </c>
      <c r="M1365" s="343">
        <v>-1180739.22</v>
      </c>
      <c r="O1365" s="343">
        <v>0</v>
      </c>
    </row>
    <row r="1366" spans="1:15" x14ac:dyDescent="0.3">
      <c r="A1366" s="340" t="s">
        <v>891</v>
      </c>
      <c r="B1366" s="350">
        <v>46105</v>
      </c>
      <c r="C1366" s="350">
        <v>46105</v>
      </c>
      <c r="D1366" s="351">
        <v>46082</v>
      </c>
      <c r="E1366" s="340" t="s">
        <v>2221</v>
      </c>
      <c r="F1366" s="340" t="s">
        <v>1078</v>
      </c>
      <c r="G1366" s="340" t="s">
        <v>1052</v>
      </c>
      <c r="I1366" s="340" t="s">
        <v>757</v>
      </c>
      <c r="K1366" s="343">
        <v>498.75</v>
      </c>
      <c r="L1366" s="343">
        <v>0</v>
      </c>
      <c r="M1366" s="343">
        <v>-1180240.47</v>
      </c>
      <c r="O1366" s="343">
        <v>0</v>
      </c>
    </row>
    <row r="1367" spans="1:15" x14ac:dyDescent="0.3">
      <c r="A1367" s="340" t="s">
        <v>891</v>
      </c>
      <c r="B1367" s="350">
        <v>46105</v>
      </c>
      <c r="C1367" s="350">
        <v>46105</v>
      </c>
      <c r="D1367" s="351">
        <v>46082</v>
      </c>
      <c r="E1367" s="340" t="s">
        <v>2221</v>
      </c>
      <c r="F1367" s="340" t="s">
        <v>1078</v>
      </c>
      <c r="G1367" s="340" t="s">
        <v>1425</v>
      </c>
      <c r="I1367" s="340" t="s">
        <v>757</v>
      </c>
      <c r="K1367" s="343">
        <v>121.78</v>
      </c>
      <c r="L1367" s="343">
        <v>0</v>
      </c>
      <c r="M1367" s="343">
        <v>-1180118.69</v>
      </c>
      <c r="O1367" s="343">
        <v>0</v>
      </c>
    </row>
    <row r="1368" spans="1:15" x14ac:dyDescent="0.3">
      <c r="A1368" s="340" t="s">
        <v>891</v>
      </c>
      <c r="B1368" s="350">
        <v>46105</v>
      </c>
      <c r="C1368" s="350">
        <v>46105</v>
      </c>
      <c r="D1368" s="351">
        <v>46082</v>
      </c>
      <c r="E1368" s="340" t="s">
        <v>2221</v>
      </c>
      <c r="F1368" s="340" t="s">
        <v>1078</v>
      </c>
      <c r="G1368" s="340" t="s">
        <v>1037</v>
      </c>
      <c r="I1368" s="340" t="s">
        <v>757</v>
      </c>
      <c r="K1368" s="343">
        <v>248.98</v>
      </c>
      <c r="L1368" s="343">
        <v>0</v>
      </c>
      <c r="M1368" s="343">
        <v>-1179869.71</v>
      </c>
      <c r="O1368" s="343">
        <v>0</v>
      </c>
    </row>
    <row r="1369" spans="1:15" x14ac:dyDescent="0.3">
      <c r="A1369" s="340" t="s">
        <v>891</v>
      </c>
      <c r="B1369" s="350">
        <v>46105</v>
      </c>
      <c r="C1369" s="350">
        <v>46105</v>
      </c>
      <c r="D1369" s="351">
        <v>46082</v>
      </c>
      <c r="E1369" s="340" t="s">
        <v>2221</v>
      </c>
      <c r="F1369" s="340" t="s">
        <v>1078</v>
      </c>
      <c r="G1369" s="340" t="s">
        <v>1036</v>
      </c>
      <c r="I1369" s="340" t="s">
        <v>757</v>
      </c>
      <c r="K1369" s="343">
        <v>62.32</v>
      </c>
      <c r="L1369" s="343">
        <v>0</v>
      </c>
      <c r="M1369" s="343">
        <v>-1179807.3899999999</v>
      </c>
      <c r="O1369" s="343">
        <v>0</v>
      </c>
    </row>
    <row r="1370" spans="1:15" x14ac:dyDescent="0.3">
      <c r="A1370" s="340" t="s">
        <v>891</v>
      </c>
      <c r="B1370" s="350">
        <v>46105</v>
      </c>
      <c r="C1370" s="350">
        <v>46105</v>
      </c>
      <c r="D1370" s="351">
        <v>46082</v>
      </c>
      <c r="E1370" s="340" t="s">
        <v>2221</v>
      </c>
      <c r="F1370" s="340" t="s">
        <v>1078</v>
      </c>
      <c r="G1370" s="340" t="s">
        <v>1035</v>
      </c>
      <c r="I1370" s="340" t="s">
        <v>757</v>
      </c>
      <c r="K1370" s="343">
        <v>230.63</v>
      </c>
      <c r="L1370" s="343">
        <v>0</v>
      </c>
      <c r="M1370" s="343">
        <v>-1179576.76</v>
      </c>
      <c r="O1370" s="343">
        <v>0</v>
      </c>
    </row>
    <row r="1371" spans="1:15" x14ac:dyDescent="0.3">
      <c r="A1371" s="340" t="s">
        <v>891</v>
      </c>
      <c r="B1371" s="350">
        <v>46105</v>
      </c>
      <c r="C1371" s="350">
        <v>46105</v>
      </c>
      <c r="D1371" s="351">
        <v>46082</v>
      </c>
      <c r="E1371" s="340" t="s">
        <v>2221</v>
      </c>
      <c r="F1371" s="340" t="s">
        <v>1078</v>
      </c>
      <c r="G1371" s="340" t="s">
        <v>1079</v>
      </c>
      <c r="I1371" s="340" t="s">
        <v>757</v>
      </c>
      <c r="K1371" s="343">
        <v>194.83</v>
      </c>
      <c r="L1371" s="343">
        <v>0</v>
      </c>
      <c r="M1371" s="343">
        <v>-1179381.93</v>
      </c>
      <c r="O1371" s="343">
        <v>0</v>
      </c>
    </row>
    <row r="1372" spans="1:15" x14ac:dyDescent="0.3">
      <c r="A1372" s="340" t="s">
        <v>891</v>
      </c>
      <c r="B1372" s="350">
        <v>46105</v>
      </c>
      <c r="C1372" s="350">
        <v>46105</v>
      </c>
      <c r="D1372" s="351">
        <v>46082</v>
      </c>
      <c r="E1372" s="340" t="s">
        <v>2221</v>
      </c>
      <c r="F1372" s="340" t="s">
        <v>1078</v>
      </c>
      <c r="G1372" s="340" t="s">
        <v>1079</v>
      </c>
      <c r="I1372" s="340" t="s">
        <v>757</v>
      </c>
      <c r="K1372" s="343">
        <v>334.07</v>
      </c>
      <c r="L1372" s="343">
        <v>0</v>
      </c>
      <c r="M1372" s="343">
        <v>-1179047.8600000001</v>
      </c>
      <c r="O1372" s="343">
        <v>0</v>
      </c>
    </row>
    <row r="1373" spans="1:15" x14ac:dyDescent="0.3">
      <c r="A1373" s="340" t="s">
        <v>891</v>
      </c>
      <c r="B1373" s="350">
        <v>46105</v>
      </c>
      <c r="C1373" s="350">
        <v>46105</v>
      </c>
      <c r="D1373" s="351">
        <v>46082</v>
      </c>
      <c r="E1373" s="340" t="s">
        <v>2221</v>
      </c>
      <c r="F1373" s="340" t="s">
        <v>1078</v>
      </c>
      <c r="G1373" s="340" t="s">
        <v>1079</v>
      </c>
      <c r="I1373" s="340" t="s">
        <v>757</v>
      </c>
      <c r="K1373" s="343">
        <v>129.79</v>
      </c>
      <c r="L1373" s="343">
        <v>0</v>
      </c>
      <c r="M1373" s="343">
        <v>-1178918.07</v>
      </c>
      <c r="O1373" s="343">
        <v>0</v>
      </c>
    </row>
    <row r="1374" spans="1:15" x14ac:dyDescent="0.3">
      <c r="A1374" s="340" t="s">
        <v>891</v>
      </c>
      <c r="B1374" s="350">
        <v>46105</v>
      </c>
      <c r="C1374" s="350">
        <v>46105</v>
      </c>
      <c r="D1374" s="351">
        <v>46082</v>
      </c>
      <c r="E1374" s="340" t="s">
        <v>2221</v>
      </c>
      <c r="F1374" s="340" t="s">
        <v>1078</v>
      </c>
      <c r="G1374" s="340" t="s">
        <v>1079</v>
      </c>
      <c r="I1374" s="340" t="s">
        <v>757</v>
      </c>
      <c r="K1374" s="343">
        <v>264.02999999999997</v>
      </c>
      <c r="L1374" s="343">
        <v>0</v>
      </c>
      <c r="M1374" s="343">
        <v>-1178654.04</v>
      </c>
      <c r="O1374" s="343">
        <v>0</v>
      </c>
    </row>
    <row r="1375" spans="1:15" x14ac:dyDescent="0.3">
      <c r="A1375" s="340" t="s">
        <v>891</v>
      </c>
      <c r="B1375" s="350">
        <v>46105</v>
      </c>
      <c r="C1375" s="350">
        <v>46105</v>
      </c>
      <c r="D1375" s="351">
        <v>46082</v>
      </c>
      <c r="E1375" s="340" t="s">
        <v>2221</v>
      </c>
      <c r="F1375" s="340" t="s">
        <v>1078</v>
      </c>
      <c r="G1375" s="340" t="s">
        <v>1079</v>
      </c>
      <c r="I1375" s="340" t="s">
        <v>757</v>
      </c>
      <c r="K1375" s="343">
        <v>829.28</v>
      </c>
      <c r="L1375" s="343">
        <v>0</v>
      </c>
      <c r="M1375" s="343">
        <v>-1177824.76</v>
      </c>
      <c r="O1375" s="343">
        <v>0</v>
      </c>
    </row>
    <row r="1376" spans="1:15" x14ac:dyDescent="0.3">
      <c r="A1376" s="340" t="s">
        <v>891</v>
      </c>
      <c r="B1376" s="350">
        <v>46105</v>
      </c>
      <c r="C1376" s="350">
        <v>46105</v>
      </c>
      <c r="D1376" s="351">
        <v>46082</v>
      </c>
      <c r="E1376" s="340" t="s">
        <v>2221</v>
      </c>
      <c r="F1376" s="340" t="s">
        <v>1078</v>
      </c>
      <c r="G1376" s="340" t="s">
        <v>1079</v>
      </c>
      <c r="I1376" s="340" t="s">
        <v>757</v>
      </c>
      <c r="K1376" s="343">
        <v>136.37</v>
      </c>
      <c r="L1376" s="343">
        <v>0</v>
      </c>
      <c r="M1376" s="343">
        <v>-1177688.3899999999</v>
      </c>
      <c r="O1376" s="343">
        <v>0</v>
      </c>
    </row>
    <row r="1377" spans="1:15" x14ac:dyDescent="0.3">
      <c r="A1377" s="340" t="s">
        <v>891</v>
      </c>
      <c r="B1377" s="350">
        <v>46105</v>
      </c>
      <c r="C1377" s="350">
        <v>46105</v>
      </c>
      <c r="D1377" s="351">
        <v>46082</v>
      </c>
      <c r="E1377" s="340" t="s">
        <v>2221</v>
      </c>
      <c r="F1377" s="340" t="s">
        <v>1078</v>
      </c>
      <c r="G1377" s="340" t="s">
        <v>1079</v>
      </c>
      <c r="I1377" s="340" t="s">
        <v>757</v>
      </c>
      <c r="K1377" s="343">
        <v>801.02</v>
      </c>
      <c r="L1377" s="343">
        <v>0</v>
      </c>
      <c r="M1377" s="343">
        <v>-1176887.3700000001</v>
      </c>
      <c r="O1377" s="343">
        <v>0</v>
      </c>
    </row>
    <row r="1378" spans="1:15" x14ac:dyDescent="0.3">
      <c r="A1378" s="340" t="s">
        <v>891</v>
      </c>
      <c r="B1378" s="350">
        <v>46105</v>
      </c>
      <c r="C1378" s="350">
        <v>46105</v>
      </c>
      <c r="D1378" s="351">
        <v>46082</v>
      </c>
      <c r="E1378" s="340" t="s">
        <v>2221</v>
      </c>
      <c r="F1378" s="340" t="s">
        <v>1078</v>
      </c>
      <c r="G1378" s="340" t="s">
        <v>1079</v>
      </c>
      <c r="I1378" s="340" t="s">
        <v>757</v>
      </c>
      <c r="K1378" s="343">
        <v>265.20999999999998</v>
      </c>
      <c r="L1378" s="343">
        <v>0</v>
      </c>
      <c r="M1378" s="343">
        <v>-1176622.1599999999</v>
      </c>
      <c r="O1378" s="343">
        <v>0</v>
      </c>
    </row>
    <row r="1379" spans="1:15" x14ac:dyDescent="0.3">
      <c r="A1379" s="340" t="s">
        <v>891</v>
      </c>
      <c r="B1379" s="350">
        <v>46105</v>
      </c>
      <c r="C1379" s="350">
        <v>46105</v>
      </c>
      <c r="D1379" s="351">
        <v>46082</v>
      </c>
      <c r="E1379" s="340" t="s">
        <v>2222</v>
      </c>
      <c r="F1379" s="340" t="s">
        <v>1078</v>
      </c>
      <c r="G1379" s="340" t="s">
        <v>1362</v>
      </c>
      <c r="I1379" s="340" t="s">
        <v>2115</v>
      </c>
      <c r="K1379" s="343">
        <v>290.79000000000002</v>
      </c>
      <c r="L1379" s="343">
        <v>0</v>
      </c>
      <c r="M1379" s="343">
        <v>-1176331.3700000001</v>
      </c>
      <c r="O1379" s="343">
        <v>0</v>
      </c>
    </row>
    <row r="1380" spans="1:15" x14ac:dyDescent="0.3">
      <c r="A1380" s="340" t="s">
        <v>891</v>
      </c>
      <c r="B1380" s="350">
        <v>46106</v>
      </c>
      <c r="C1380" s="350">
        <v>46105</v>
      </c>
      <c r="D1380" s="351">
        <v>46082</v>
      </c>
      <c r="E1380" s="340" t="s">
        <v>2223</v>
      </c>
      <c r="F1380" s="340" t="s">
        <v>894</v>
      </c>
      <c r="G1380" s="340" t="s">
        <v>2224</v>
      </c>
      <c r="I1380" s="340" t="s">
        <v>740</v>
      </c>
      <c r="K1380" s="343">
        <v>0</v>
      </c>
      <c r="L1380" s="343">
        <v>-48.71</v>
      </c>
      <c r="M1380" s="343">
        <v>-1176380.08</v>
      </c>
      <c r="O1380" s="343">
        <v>0</v>
      </c>
    </row>
    <row r="1381" spans="1:15" x14ac:dyDescent="0.3">
      <c r="A1381" s="340" t="s">
        <v>891</v>
      </c>
      <c r="B1381" s="350">
        <v>46106</v>
      </c>
      <c r="C1381" s="350">
        <v>46105</v>
      </c>
      <c r="D1381" s="351">
        <v>46082</v>
      </c>
      <c r="E1381" s="340" t="s">
        <v>2225</v>
      </c>
      <c r="F1381" s="340" t="s">
        <v>894</v>
      </c>
      <c r="G1381" s="340" t="s">
        <v>2226</v>
      </c>
      <c r="I1381" s="340" t="s">
        <v>740</v>
      </c>
      <c r="K1381" s="343">
        <v>0</v>
      </c>
      <c r="L1381" s="343">
        <v>-50</v>
      </c>
      <c r="M1381" s="343">
        <v>-1176430.0800000001</v>
      </c>
      <c r="O1381" s="343">
        <v>0</v>
      </c>
    </row>
    <row r="1382" spans="1:15" x14ac:dyDescent="0.3">
      <c r="A1382" s="340" t="s">
        <v>891</v>
      </c>
      <c r="B1382" s="350">
        <v>46106</v>
      </c>
      <c r="C1382" s="350">
        <v>46105</v>
      </c>
      <c r="D1382" s="351">
        <v>46082</v>
      </c>
      <c r="E1382" s="340" t="s">
        <v>2225</v>
      </c>
      <c r="F1382" s="340" t="s">
        <v>894</v>
      </c>
      <c r="G1382" s="340" t="s">
        <v>2227</v>
      </c>
      <c r="I1382" s="340" t="s">
        <v>740</v>
      </c>
      <c r="K1382" s="343">
        <v>0</v>
      </c>
      <c r="L1382" s="343">
        <v>-920</v>
      </c>
      <c r="M1382" s="343">
        <v>-1177350.08</v>
      </c>
      <c r="O1382" s="343">
        <v>0</v>
      </c>
    </row>
    <row r="1383" spans="1:15" x14ac:dyDescent="0.3">
      <c r="A1383" s="340" t="s">
        <v>891</v>
      </c>
      <c r="B1383" s="350">
        <v>46106</v>
      </c>
      <c r="C1383" s="350">
        <v>46106</v>
      </c>
      <c r="D1383" s="351">
        <v>46082</v>
      </c>
      <c r="E1383" s="340" t="s">
        <v>2228</v>
      </c>
      <c r="F1383" s="340" t="s">
        <v>894</v>
      </c>
      <c r="G1383" s="340" t="s">
        <v>1079</v>
      </c>
      <c r="I1383" s="340" t="s">
        <v>2229</v>
      </c>
      <c r="K1383" s="343">
        <v>7500</v>
      </c>
      <c r="L1383" s="343">
        <v>0</v>
      </c>
      <c r="M1383" s="343">
        <v>-1169850.08</v>
      </c>
      <c r="O1383" s="343">
        <v>0</v>
      </c>
    </row>
    <row r="1384" spans="1:15" x14ac:dyDescent="0.3">
      <c r="A1384" s="340" t="s">
        <v>891</v>
      </c>
      <c r="B1384" s="350">
        <v>46106</v>
      </c>
      <c r="C1384" s="350">
        <v>46106</v>
      </c>
      <c r="D1384" s="351">
        <v>46082</v>
      </c>
      <c r="E1384" s="340" t="s">
        <v>2230</v>
      </c>
      <c r="F1384" s="340" t="s">
        <v>1078</v>
      </c>
      <c r="G1384" s="340" t="s">
        <v>1079</v>
      </c>
      <c r="I1384" s="340" t="s">
        <v>2229</v>
      </c>
      <c r="K1384" s="343">
        <v>7500</v>
      </c>
      <c r="L1384" s="343">
        <v>0</v>
      </c>
      <c r="M1384" s="343">
        <v>-1162350.0800000001</v>
      </c>
      <c r="O1384" s="343">
        <v>0</v>
      </c>
    </row>
    <row r="1385" spans="1:15" x14ac:dyDescent="0.3">
      <c r="A1385" s="340" t="s">
        <v>891</v>
      </c>
      <c r="B1385" s="350">
        <v>46106</v>
      </c>
      <c r="C1385" s="350">
        <v>46106</v>
      </c>
      <c r="D1385" s="351">
        <v>46082</v>
      </c>
      <c r="E1385" s="340" t="s">
        <v>2230</v>
      </c>
      <c r="F1385" s="340" t="s">
        <v>1078</v>
      </c>
      <c r="G1385" s="340" t="s">
        <v>1079</v>
      </c>
      <c r="I1385" s="340" t="s">
        <v>2229</v>
      </c>
      <c r="K1385" s="343">
        <v>0</v>
      </c>
      <c r="L1385" s="343">
        <v>-7500</v>
      </c>
      <c r="M1385" s="343">
        <v>-1169850.08</v>
      </c>
      <c r="O1385" s="343">
        <v>0</v>
      </c>
    </row>
    <row r="1386" spans="1:15" x14ac:dyDescent="0.3">
      <c r="A1386" s="340" t="s">
        <v>891</v>
      </c>
      <c r="B1386" s="350">
        <v>46106</v>
      </c>
      <c r="C1386" s="350">
        <v>46106</v>
      </c>
      <c r="D1386" s="351">
        <v>46082</v>
      </c>
      <c r="E1386" s="340" t="s">
        <v>2231</v>
      </c>
      <c r="F1386" s="340" t="s">
        <v>894</v>
      </c>
      <c r="G1386" s="340" t="s">
        <v>1079</v>
      </c>
      <c r="I1386" s="340" t="s">
        <v>2229</v>
      </c>
      <c r="K1386" s="343">
        <v>7500</v>
      </c>
      <c r="L1386" s="343">
        <v>0</v>
      </c>
      <c r="M1386" s="343">
        <v>-1162350.0800000001</v>
      </c>
      <c r="O1386" s="343">
        <v>0</v>
      </c>
    </row>
    <row r="1387" spans="1:15" x14ac:dyDescent="0.3">
      <c r="A1387" s="340" t="s">
        <v>891</v>
      </c>
      <c r="B1387" s="350">
        <v>46106</v>
      </c>
      <c r="C1387" s="350">
        <v>46106</v>
      </c>
      <c r="D1387" s="351">
        <v>46082</v>
      </c>
      <c r="E1387" s="340" t="s">
        <v>2232</v>
      </c>
      <c r="F1387" s="340" t="s">
        <v>1078</v>
      </c>
      <c r="G1387" s="340" t="s">
        <v>1079</v>
      </c>
      <c r="I1387" s="340" t="s">
        <v>2229</v>
      </c>
      <c r="K1387" s="343">
        <v>7500</v>
      </c>
      <c r="L1387" s="343">
        <v>0</v>
      </c>
      <c r="M1387" s="343">
        <v>-1154850.08</v>
      </c>
      <c r="O1387" s="343">
        <v>0</v>
      </c>
    </row>
    <row r="1388" spans="1:15" x14ac:dyDescent="0.3">
      <c r="A1388" s="340" t="s">
        <v>891</v>
      </c>
      <c r="B1388" s="350">
        <v>46106</v>
      </c>
      <c r="C1388" s="350">
        <v>46106</v>
      </c>
      <c r="D1388" s="351">
        <v>46082</v>
      </c>
      <c r="E1388" s="340" t="s">
        <v>2232</v>
      </c>
      <c r="F1388" s="340" t="s">
        <v>1078</v>
      </c>
      <c r="G1388" s="340" t="s">
        <v>1079</v>
      </c>
      <c r="I1388" s="340" t="s">
        <v>2229</v>
      </c>
      <c r="K1388" s="343">
        <v>0</v>
      </c>
      <c r="L1388" s="343">
        <v>-7500</v>
      </c>
      <c r="M1388" s="343">
        <v>-1162350.0800000001</v>
      </c>
      <c r="O1388" s="343">
        <v>0</v>
      </c>
    </row>
    <row r="1389" spans="1:15" x14ac:dyDescent="0.3">
      <c r="A1389" s="340" t="s">
        <v>891</v>
      </c>
      <c r="B1389" s="350">
        <v>46106</v>
      </c>
      <c r="C1389" s="350">
        <v>46106</v>
      </c>
      <c r="D1389" s="351">
        <v>46082</v>
      </c>
      <c r="E1389" s="340" t="s">
        <v>2233</v>
      </c>
      <c r="F1389" s="340" t="s">
        <v>894</v>
      </c>
      <c r="G1389" s="340" t="s">
        <v>1079</v>
      </c>
      <c r="I1389" s="340" t="s">
        <v>2229</v>
      </c>
      <c r="K1389" s="343">
        <v>7500</v>
      </c>
      <c r="L1389" s="343">
        <v>0</v>
      </c>
      <c r="M1389" s="343">
        <v>-1154850.08</v>
      </c>
      <c r="O1389" s="343">
        <v>0</v>
      </c>
    </row>
    <row r="1390" spans="1:15" x14ac:dyDescent="0.3">
      <c r="A1390" s="340" t="s">
        <v>891</v>
      </c>
      <c r="B1390" s="350">
        <v>46106</v>
      </c>
      <c r="C1390" s="350">
        <v>46106</v>
      </c>
      <c r="D1390" s="351">
        <v>46082</v>
      </c>
      <c r="E1390" s="340" t="s">
        <v>2234</v>
      </c>
      <c r="F1390" s="340" t="s">
        <v>1078</v>
      </c>
      <c r="G1390" s="340" t="s">
        <v>1079</v>
      </c>
      <c r="I1390" s="340" t="s">
        <v>2229</v>
      </c>
      <c r="K1390" s="343">
        <v>7500</v>
      </c>
      <c r="L1390" s="343">
        <v>0</v>
      </c>
      <c r="M1390" s="343">
        <v>-1147350.08</v>
      </c>
      <c r="O1390" s="343">
        <v>0</v>
      </c>
    </row>
    <row r="1391" spans="1:15" x14ac:dyDescent="0.3">
      <c r="A1391" s="340" t="s">
        <v>891</v>
      </c>
      <c r="B1391" s="350">
        <v>46106</v>
      </c>
      <c r="C1391" s="350">
        <v>46106</v>
      </c>
      <c r="D1391" s="351">
        <v>46082</v>
      </c>
      <c r="E1391" s="340" t="s">
        <v>2234</v>
      </c>
      <c r="F1391" s="340" t="s">
        <v>1078</v>
      </c>
      <c r="G1391" s="340" t="s">
        <v>1079</v>
      </c>
      <c r="I1391" s="340" t="s">
        <v>2229</v>
      </c>
      <c r="K1391" s="343">
        <v>0</v>
      </c>
      <c r="L1391" s="343">
        <v>-7500</v>
      </c>
      <c r="M1391" s="343">
        <v>-1154850.08</v>
      </c>
      <c r="O1391" s="343">
        <v>0</v>
      </c>
    </row>
    <row r="1392" spans="1:15" x14ac:dyDescent="0.3">
      <c r="A1392" s="340" t="s">
        <v>891</v>
      </c>
      <c r="B1392" s="350">
        <v>46106</v>
      </c>
      <c r="C1392" s="350">
        <v>46106</v>
      </c>
      <c r="D1392" s="351">
        <v>46082</v>
      </c>
      <c r="E1392" s="340" t="s">
        <v>2235</v>
      </c>
      <c r="F1392" s="340" t="s">
        <v>1078</v>
      </c>
      <c r="G1392" s="340" t="s">
        <v>905</v>
      </c>
      <c r="I1392" s="340" t="s">
        <v>896</v>
      </c>
      <c r="K1392" s="343">
        <v>676</v>
      </c>
      <c r="L1392" s="343">
        <v>0</v>
      </c>
      <c r="M1392" s="343">
        <v>-1154174.08</v>
      </c>
      <c r="O1392" s="343">
        <v>0</v>
      </c>
    </row>
    <row r="1393" spans="1:15" x14ac:dyDescent="0.3">
      <c r="A1393" s="340" t="s">
        <v>891</v>
      </c>
      <c r="B1393" s="350">
        <v>46106</v>
      </c>
      <c r="C1393" s="350">
        <v>46106</v>
      </c>
      <c r="D1393" s="351">
        <v>46082</v>
      </c>
      <c r="E1393" s="340" t="s">
        <v>2235</v>
      </c>
      <c r="F1393" s="340" t="s">
        <v>1078</v>
      </c>
      <c r="G1393" s="340" t="s">
        <v>905</v>
      </c>
      <c r="I1393" s="340" t="s">
        <v>896</v>
      </c>
      <c r="K1393" s="343">
        <v>676</v>
      </c>
      <c r="L1393" s="343">
        <v>0</v>
      </c>
      <c r="M1393" s="343">
        <v>-1153498.08</v>
      </c>
      <c r="O1393" s="343">
        <v>0</v>
      </c>
    </row>
    <row r="1394" spans="1:15" x14ac:dyDescent="0.3">
      <c r="A1394" s="340" t="s">
        <v>891</v>
      </c>
      <c r="B1394" s="350">
        <v>46106</v>
      </c>
      <c r="C1394" s="350">
        <v>46106</v>
      </c>
      <c r="D1394" s="351">
        <v>46082</v>
      </c>
      <c r="E1394" s="340" t="s">
        <v>2235</v>
      </c>
      <c r="F1394" s="340" t="s">
        <v>1078</v>
      </c>
      <c r="G1394" s="340" t="s">
        <v>905</v>
      </c>
      <c r="I1394" s="340" t="s">
        <v>896</v>
      </c>
      <c r="K1394" s="343">
        <v>676</v>
      </c>
      <c r="L1394" s="343">
        <v>0</v>
      </c>
      <c r="M1394" s="343">
        <v>-1152822.08</v>
      </c>
      <c r="O1394" s="343">
        <v>0</v>
      </c>
    </row>
    <row r="1395" spans="1:15" x14ac:dyDescent="0.3">
      <c r="A1395" s="340" t="s">
        <v>891</v>
      </c>
      <c r="B1395" s="350">
        <v>46106</v>
      </c>
      <c r="C1395" s="350">
        <v>46106</v>
      </c>
      <c r="D1395" s="351">
        <v>46082</v>
      </c>
      <c r="E1395" s="340" t="s">
        <v>2235</v>
      </c>
      <c r="F1395" s="340" t="s">
        <v>1078</v>
      </c>
      <c r="G1395" s="340" t="s">
        <v>895</v>
      </c>
      <c r="I1395" s="340" t="s">
        <v>896</v>
      </c>
      <c r="K1395" s="343">
        <v>5255.12</v>
      </c>
      <c r="L1395" s="343">
        <v>0</v>
      </c>
      <c r="M1395" s="343">
        <v>-1147566.96</v>
      </c>
      <c r="O1395" s="343">
        <v>0</v>
      </c>
    </row>
    <row r="1396" spans="1:15" x14ac:dyDescent="0.3">
      <c r="A1396" s="340" t="s">
        <v>891</v>
      </c>
      <c r="B1396" s="350">
        <v>46106</v>
      </c>
      <c r="C1396" s="350">
        <v>46106</v>
      </c>
      <c r="D1396" s="351">
        <v>46082</v>
      </c>
      <c r="E1396" s="340" t="s">
        <v>2235</v>
      </c>
      <c r="F1396" s="340" t="s">
        <v>1078</v>
      </c>
      <c r="G1396" s="340" t="s">
        <v>901</v>
      </c>
      <c r="I1396" s="340" t="s">
        <v>896</v>
      </c>
      <c r="K1396" s="343">
        <v>16692.72</v>
      </c>
      <c r="L1396" s="343">
        <v>0</v>
      </c>
      <c r="M1396" s="343">
        <v>-1130874.24</v>
      </c>
      <c r="O1396" s="343">
        <v>0</v>
      </c>
    </row>
    <row r="1397" spans="1:15" x14ac:dyDescent="0.3">
      <c r="A1397" s="340" t="s">
        <v>891</v>
      </c>
      <c r="B1397" s="350">
        <v>46106</v>
      </c>
      <c r="C1397" s="350">
        <v>46106</v>
      </c>
      <c r="D1397" s="351">
        <v>46082</v>
      </c>
      <c r="E1397" s="340" t="s">
        <v>2235</v>
      </c>
      <c r="F1397" s="340" t="s">
        <v>1078</v>
      </c>
      <c r="G1397" s="340"/>
      <c r="I1397" s="340" t="s">
        <v>896</v>
      </c>
      <c r="K1397" s="343">
        <v>7500</v>
      </c>
      <c r="L1397" s="343">
        <v>0</v>
      </c>
      <c r="M1397" s="343">
        <v>-1123374.24</v>
      </c>
      <c r="O1397" s="343">
        <v>0</v>
      </c>
    </row>
    <row r="1398" spans="1:15" x14ac:dyDescent="0.3">
      <c r="A1398" s="340" t="s">
        <v>891</v>
      </c>
      <c r="B1398" s="350">
        <v>46106</v>
      </c>
      <c r="C1398" s="350">
        <v>46106</v>
      </c>
      <c r="D1398" s="351">
        <v>46082</v>
      </c>
      <c r="E1398" s="340" t="s">
        <v>2235</v>
      </c>
      <c r="F1398" s="340" t="s">
        <v>1078</v>
      </c>
      <c r="G1398" s="340"/>
      <c r="I1398" s="340" t="s">
        <v>896</v>
      </c>
      <c r="K1398" s="343">
        <v>7500</v>
      </c>
      <c r="L1398" s="343">
        <v>0</v>
      </c>
      <c r="M1398" s="343">
        <v>-1115874.24</v>
      </c>
      <c r="O1398" s="343">
        <v>0</v>
      </c>
    </row>
    <row r="1399" spans="1:15" x14ac:dyDescent="0.3">
      <c r="A1399" s="340" t="s">
        <v>891</v>
      </c>
      <c r="B1399" s="350">
        <v>46106</v>
      </c>
      <c r="C1399" s="350">
        <v>46106</v>
      </c>
      <c r="D1399" s="351">
        <v>46082</v>
      </c>
      <c r="E1399" s="340" t="s">
        <v>2235</v>
      </c>
      <c r="F1399" s="340" t="s">
        <v>1078</v>
      </c>
      <c r="G1399" s="340"/>
      <c r="I1399" s="340" t="s">
        <v>896</v>
      </c>
      <c r="K1399" s="343">
        <v>7500</v>
      </c>
      <c r="L1399" s="343">
        <v>0</v>
      </c>
      <c r="M1399" s="343">
        <v>-1108374.24</v>
      </c>
      <c r="O1399" s="343">
        <v>0</v>
      </c>
    </row>
    <row r="1400" spans="1:15" x14ac:dyDescent="0.3">
      <c r="A1400" s="340" t="s">
        <v>891</v>
      </c>
      <c r="B1400" s="350">
        <v>46106</v>
      </c>
      <c r="C1400" s="350">
        <v>46106</v>
      </c>
      <c r="D1400" s="351">
        <v>46082</v>
      </c>
      <c r="E1400" s="340" t="s">
        <v>2235</v>
      </c>
      <c r="F1400" s="340" t="s">
        <v>1078</v>
      </c>
      <c r="G1400" s="340" t="s">
        <v>905</v>
      </c>
      <c r="I1400" s="340" t="s">
        <v>896</v>
      </c>
      <c r="K1400" s="343">
        <v>650</v>
      </c>
      <c r="L1400" s="343">
        <v>0</v>
      </c>
      <c r="M1400" s="343">
        <v>-1107724.24</v>
      </c>
      <c r="O1400" s="343">
        <v>0</v>
      </c>
    </row>
    <row r="1401" spans="1:15" x14ac:dyDescent="0.3">
      <c r="A1401" s="340" t="s">
        <v>891</v>
      </c>
      <c r="B1401" s="350">
        <v>46106</v>
      </c>
      <c r="C1401" s="350">
        <v>46106</v>
      </c>
      <c r="D1401" s="351">
        <v>46082</v>
      </c>
      <c r="E1401" s="340" t="s">
        <v>2236</v>
      </c>
      <c r="F1401" s="340" t="s">
        <v>894</v>
      </c>
      <c r="G1401" s="340" t="s">
        <v>2092</v>
      </c>
      <c r="I1401" s="340" t="s">
        <v>745</v>
      </c>
      <c r="K1401" s="343">
        <v>0</v>
      </c>
      <c r="L1401" s="343">
        <v>-1369.36</v>
      </c>
      <c r="M1401" s="343">
        <v>-1109093.6000000001</v>
      </c>
      <c r="O1401" s="343">
        <v>0</v>
      </c>
    </row>
    <row r="1402" spans="1:15" x14ac:dyDescent="0.3">
      <c r="A1402" s="340" t="s">
        <v>891</v>
      </c>
      <c r="B1402" s="350">
        <v>46106</v>
      </c>
      <c r="C1402" s="350">
        <v>46106</v>
      </c>
      <c r="D1402" s="351">
        <v>46082</v>
      </c>
      <c r="E1402" s="340" t="s">
        <v>2237</v>
      </c>
      <c r="F1402" s="340" t="s">
        <v>894</v>
      </c>
      <c r="G1402" s="340" t="s">
        <v>2238</v>
      </c>
      <c r="I1402" s="340" t="s">
        <v>753</v>
      </c>
      <c r="K1402" s="343">
        <v>0</v>
      </c>
      <c r="L1402" s="343">
        <v>-541.25</v>
      </c>
      <c r="M1402" s="343">
        <v>-1109634.8500000001</v>
      </c>
      <c r="O1402" s="343">
        <v>0</v>
      </c>
    </row>
    <row r="1403" spans="1:15" x14ac:dyDescent="0.3">
      <c r="A1403" s="340" t="s">
        <v>891</v>
      </c>
      <c r="B1403" s="350">
        <v>46106</v>
      </c>
      <c r="C1403" s="350">
        <v>46106</v>
      </c>
      <c r="D1403" s="351">
        <v>46082</v>
      </c>
      <c r="E1403" s="340" t="s">
        <v>2239</v>
      </c>
      <c r="F1403" s="340" t="s">
        <v>894</v>
      </c>
      <c r="G1403" s="340" t="s">
        <v>2240</v>
      </c>
      <c r="I1403" s="340" t="s">
        <v>753</v>
      </c>
      <c r="K1403" s="343">
        <v>0</v>
      </c>
      <c r="L1403" s="343">
        <v>-75.78</v>
      </c>
      <c r="M1403" s="343">
        <v>-1109710.6299999999</v>
      </c>
      <c r="O1403" s="343">
        <v>0</v>
      </c>
    </row>
    <row r="1404" spans="1:15" x14ac:dyDescent="0.3">
      <c r="A1404" s="340" t="s">
        <v>891</v>
      </c>
      <c r="B1404" s="350">
        <v>46106</v>
      </c>
      <c r="C1404" s="350">
        <v>46106</v>
      </c>
      <c r="D1404" s="351">
        <v>46082</v>
      </c>
      <c r="E1404" s="340" t="s">
        <v>2241</v>
      </c>
      <c r="F1404" s="340" t="s">
        <v>894</v>
      </c>
      <c r="G1404" s="340" t="s">
        <v>2242</v>
      </c>
      <c r="I1404" s="340" t="s">
        <v>753</v>
      </c>
      <c r="K1404" s="343">
        <v>0</v>
      </c>
      <c r="L1404" s="343">
        <v>-836.23</v>
      </c>
      <c r="M1404" s="343">
        <v>-1110546.8600000001</v>
      </c>
      <c r="O1404" s="343">
        <v>0</v>
      </c>
    </row>
    <row r="1405" spans="1:15" x14ac:dyDescent="0.3">
      <c r="A1405" s="340" t="s">
        <v>891</v>
      </c>
      <c r="B1405" s="350">
        <v>46106</v>
      </c>
      <c r="C1405" s="350">
        <v>46106</v>
      </c>
      <c r="D1405" s="351">
        <v>46082</v>
      </c>
      <c r="E1405" s="340" t="s">
        <v>2243</v>
      </c>
      <c r="F1405" s="340" t="s">
        <v>894</v>
      </c>
      <c r="G1405" s="340" t="s">
        <v>2244</v>
      </c>
      <c r="I1405" s="340" t="s">
        <v>753</v>
      </c>
      <c r="K1405" s="343">
        <v>0</v>
      </c>
      <c r="L1405" s="343">
        <v>-2040.51</v>
      </c>
      <c r="M1405" s="343">
        <v>-1112587.3700000001</v>
      </c>
      <c r="O1405" s="343">
        <v>0</v>
      </c>
    </row>
    <row r="1406" spans="1:15" x14ac:dyDescent="0.3">
      <c r="A1406" s="340" t="s">
        <v>891</v>
      </c>
      <c r="B1406" s="350">
        <v>46106</v>
      </c>
      <c r="C1406" s="350">
        <v>46108</v>
      </c>
      <c r="D1406" s="351">
        <v>46082</v>
      </c>
      <c r="E1406" s="340" t="s">
        <v>2245</v>
      </c>
      <c r="F1406" s="340" t="s">
        <v>894</v>
      </c>
      <c r="G1406" s="340" t="s">
        <v>2246</v>
      </c>
      <c r="I1406" s="340" t="s">
        <v>748</v>
      </c>
      <c r="K1406" s="343">
        <v>0</v>
      </c>
      <c r="L1406" s="343">
        <v>-1360.1</v>
      </c>
      <c r="M1406" s="343">
        <v>-1113947.47</v>
      </c>
      <c r="O1406" s="343">
        <v>0</v>
      </c>
    </row>
    <row r="1407" spans="1:15" x14ac:dyDescent="0.3">
      <c r="A1407" s="340" t="s">
        <v>891</v>
      </c>
      <c r="B1407" s="350">
        <v>46106</v>
      </c>
      <c r="C1407" s="350">
        <v>46108</v>
      </c>
      <c r="D1407" s="351">
        <v>46082</v>
      </c>
      <c r="E1407" s="340" t="s">
        <v>2245</v>
      </c>
      <c r="F1407" s="340" t="s">
        <v>894</v>
      </c>
      <c r="G1407" s="340" t="s">
        <v>2247</v>
      </c>
      <c r="I1407" s="340" t="s">
        <v>748</v>
      </c>
      <c r="K1407" s="343">
        <v>0</v>
      </c>
      <c r="L1407" s="343">
        <v>-743.13</v>
      </c>
      <c r="M1407" s="343">
        <v>-1114690.6000000001</v>
      </c>
      <c r="O1407" s="343">
        <v>0</v>
      </c>
    </row>
    <row r="1408" spans="1:15" x14ac:dyDescent="0.3">
      <c r="A1408" s="340" t="s">
        <v>891</v>
      </c>
      <c r="B1408" s="350">
        <v>46106</v>
      </c>
      <c r="C1408" s="350">
        <v>46108</v>
      </c>
      <c r="D1408" s="351">
        <v>46082</v>
      </c>
      <c r="E1408" s="340" t="s">
        <v>2245</v>
      </c>
      <c r="F1408" s="340" t="s">
        <v>894</v>
      </c>
      <c r="G1408" s="340" t="s">
        <v>2248</v>
      </c>
      <c r="I1408" s="340" t="s">
        <v>748</v>
      </c>
      <c r="K1408" s="343">
        <v>0</v>
      </c>
      <c r="L1408" s="343">
        <v>-40.590000000000003</v>
      </c>
      <c r="M1408" s="343">
        <v>-1114731.19</v>
      </c>
      <c r="O1408" s="343">
        <v>0</v>
      </c>
    </row>
    <row r="1409" spans="1:15" x14ac:dyDescent="0.3">
      <c r="A1409" s="340" t="s">
        <v>891</v>
      </c>
      <c r="B1409" s="350">
        <v>46106</v>
      </c>
      <c r="C1409" s="350">
        <v>46108</v>
      </c>
      <c r="D1409" s="351">
        <v>46082</v>
      </c>
      <c r="E1409" s="340" t="s">
        <v>2245</v>
      </c>
      <c r="F1409" s="340" t="s">
        <v>894</v>
      </c>
      <c r="G1409" s="340" t="s">
        <v>2249</v>
      </c>
      <c r="I1409" s="340" t="s">
        <v>748</v>
      </c>
      <c r="K1409" s="343">
        <v>0</v>
      </c>
      <c r="L1409" s="343">
        <v>-21.74</v>
      </c>
      <c r="M1409" s="343">
        <v>-1114752.93</v>
      </c>
      <c r="O1409" s="343">
        <v>0</v>
      </c>
    </row>
    <row r="1410" spans="1:15" x14ac:dyDescent="0.3">
      <c r="A1410" s="340" t="s">
        <v>891</v>
      </c>
      <c r="B1410" s="350">
        <v>46106</v>
      </c>
      <c r="C1410" s="350">
        <v>46108</v>
      </c>
      <c r="D1410" s="351">
        <v>46082</v>
      </c>
      <c r="E1410" s="340" t="s">
        <v>2250</v>
      </c>
      <c r="F1410" s="340" t="s">
        <v>894</v>
      </c>
      <c r="G1410" s="340" t="s">
        <v>2251</v>
      </c>
      <c r="I1410" s="340" t="s">
        <v>760</v>
      </c>
      <c r="K1410" s="343">
        <v>0</v>
      </c>
      <c r="L1410" s="343">
        <v>-6500</v>
      </c>
      <c r="M1410" s="343">
        <v>-1121252.93</v>
      </c>
      <c r="O1410" s="343">
        <v>0</v>
      </c>
    </row>
    <row r="1411" spans="1:15" x14ac:dyDescent="0.3">
      <c r="A1411" s="340" t="s">
        <v>891</v>
      </c>
      <c r="B1411" s="350">
        <v>46106</v>
      </c>
      <c r="C1411" s="350">
        <v>46125</v>
      </c>
      <c r="D1411" s="351">
        <v>46113</v>
      </c>
      <c r="E1411" s="340" t="s">
        <v>2252</v>
      </c>
      <c r="F1411" s="340" t="s">
        <v>894</v>
      </c>
      <c r="G1411" s="340" t="s">
        <v>2253</v>
      </c>
      <c r="I1411" s="340" t="s">
        <v>745</v>
      </c>
      <c r="K1411" s="343">
        <v>0</v>
      </c>
      <c r="L1411" s="343">
        <v>-534.9</v>
      </c>
      <c r="M1411" s="343">
        <v>-1121787.83</v>
      </c>
      <c r="O1411" s="343">
        <v>0</v>
      </c>
    </row>
    <row r="1412" spans="1:15" x14ac:dyDescent="0.3">
      <c r="A1412" s="340" t="s">
        <v>891</v>
      </c>
      <c r="B1412" s="350">
        <v>46106</v>
      </c>
      <c r="C1412" s="350">
        <v>46130</v>
      </c>
      <c r="D1412" s="351">
        <v>46113</v>
      </c>
      <c r="E1412" s="340" t="s">
        <v>2254</v>
      </c>
      <c r="F1412" s="340" t="s">
        <v>894</v>
      </c>
      <c r="G1412" s="340" t="s">
        <v>1281</v>
      </c>
      <c r="I1412" s="340" t="s">
        <v>771</v>
      </c>
      <c r="K1412" s="343">
        <v>0</v>
      </c>
      <c r="L1412" s="343">
        <v>-116071.39</v>
      </c>
      <c r="M1412" s="343">
        <v>-1237859.22</v>
      </c>
      <c r="O1412" s="343">
        <v>0</v>
      </c>
    </row>
    <row r="1413" spans="1:15" x14ac:dyDescent="0.3">
      <c r="A1413" s="340" t="s">
        <v>891</v>
      </c>
      <c r="B1413" s="350">
        <v>46106</v>
      </c>
      <c r="C1413" s="350">
        <v>46130</v>
      </c>
      <c r="D1413" s="351">
        <v>46113</v>
      </c>
      <c r="E1413" s="340" t="s">
        <v>2255</v>
      </c>
      <c r="F1413" s="340" t="s">
        <v>894</v>
      </c>
      <c r="G1413" s="340" t="s">
        <v>1281</v>
      </c>
      <c r="I1413" s="340" t="s">
        <v>771</v>
      </c>
      <c r="K1413" s="343">
        <v>0</v>
      </c>
      <c r="L1413" s="343">
        <v>-1570.25</v>
      </c>
      <c r="M1413" s="343">
        <v>-1239429.47</v>
      </c>
      <c r="O1413" s="343">
        <v>0</v>
      </c>
    </row>
    <row r="1414" spans="1:15" x14ac:dyDescent="0.3">
      <c r="A1414" s="340" t="s">
        <v>891</v>
      </c>
      <c r="B1414" s="350">
        <v>46107</v>
      </c>
      <c r="C1414" s="350">
        <v>46105</v>
      </c>
      <c r="D1414" s="351">
        <v>46082</v>
      </c>
      <c r="E1414" s="340" t="s">
        <v>2256</v>
      </c>
      <c r="F1414" s="340" t="s">
        <v>894</v>
      </c>
      <c r="G1414" s="340" t="s">
        <v>2257</v>
      </c>
      <c r="I1414" s="340" t="s">
        <v>740</v>
      </c>
      <c r="K1414" s="343">
        <v>0</v>
      </c>
      <c r="L1414" s="343">
        <v>-680</v>
      </c>
      <c r="M1414" s="343">
        <v>-1240109.47</v>
      </c>
      <c r="O1414" s="343">
        <v>0</v>
      </c>
    </row>
    <row r="1415" spans="1:15" x14ac:dyDescent="0.3">
      <c r="A1415" s="340" t="s">
        <v>891</v>
      </c>
      <c r="B1415" s="350">
        <v>46107</v>
      </c>
      <c r="C1415" s="350">
        <v>46107</v>
      </c>
      <c r="D1415" s="351">
        <v>46082</v>
      </c>
      <c r="E1415" s="340" t="s">
        <v>2258</v>
      </c>
      <c r="F1415" s="340" t="s">
        <v>1078</v>
      </c>
      <c r="G1415" s="340" t="s">
        <v>1585</v>
      </c>
      <c r="I1415" s="340" t="s">
        <v>232</v>
      </c>
      <c r="K1415" s="343">
        <v>1212.6600000000001</v>
      </c>
      <c r="L1415" s="343">
        <v>0</v>
      </c>
      <c r="M1415" s="343">
        <v>-1238896.81</v>
      </c>
      <c r="O1415" s="343">
        <v>0</v>
      </c>
    </row>
    <row r="1416" spans="1:15" x14ac:dyDescent="0.3">
      <c r="A1416" s="340" t="s">
        <v>891</v>
      </c>
      <c r="B1416" s="350">
        <v>46107</v>
      </c>
      <c r="C1416" s="350">
        <v>46107</v>
      </c>
      <c r="D1416" s="351">
        <v>46082</v>
      </c>
      <c r="E1416" s="340" t="s">
        <v>2259</v>
      </c>
      <c r="F1416" s="340" t="s">
        <v>1078</v>
      </c>
      <c r="G1416" s="340" t="s">
        <v>970</v>
      </c>
      <c r="I1416" s="340" t="s">
        <v>971</v>
      </c>
      <c r="K1416" s="343">
        <v>449.24</v>
      </c>
      <c r="L1416" s="343">
        <v>0</v>
      </c>
      <c r="M1416" s="343">
        <v>-1238447.57</v>
      </c>
      <c r="O1416" s="343">
        <v>0</v>
      </c>
    </row>
    <row r="1417" spans="1:15" x14ac:dyDescent="0.3">
      <c r="A1417" s="340" t="s">
        <v>891</v>
      </c>
      <c r="B1417" s="350">
        <v>46107</v>
      </c>
      <c r="C1417" s="350">
        <v>46107</v>
      </c>
      <c r="D1417" s="351">
        <v>46082</v>
      </c>
      <c r="E1417" s="340" t="s">
        <v>2260</v>
      </c>
      <c r="F1417" s="340" t="s">
        <v>894</v>
      </c>
      <c r="G1417" s="340" t="s">
        <v>2261</v>
      </c>
      <c r="I1417" s="340" t="s">
        <v>745</v>
      </c>
      <c r="K1417" s="343">
        <v>0</v>
      </c>
      <c r="L1417" s="343">
        <v>-67.08</v>
      </c>
      <c r="M1417" s="343">
        <v>-1238514.6499999999</v>
      </c>
      <c r="O1417" s="343">
        <v>0</v>
      </c>
    </row>
    <row r="1418" spans="1:15" x14ac:dyDescent="0.3">
      <c r="A1418" s="340" t="s">
        <v>891</v>
      </c>
      <c r="B1418" s="350">
        <v>46107</v>
      </c>
      <c r="C1418" s="350">
        <v>46107</v>
      </c>
      <c r="D1418" s="351">
        <v>46082</v>
      </c>
      <c r="E1418" s="340" t="s">
        <v>2260</v>
      </c>
      <c r="F1418" s="340" t="s">
        <v>894</v>
      </c>
      <c r="G1418" s="340" t="s">
        <v>1556</v>
      </c>
      <c r="I1418" s="340" t="s">
        <v>745</v>
      </c>
      <c r="K1418" s="343">
        <v>0</v>
      </c>
      <c r="L1418" s="343">
        <v>-38.17</v>
      </c>
      <c r="M1418" s="343">
        <v>-1238552.82</v>
      </c>
      <c r="O1418" s="343">
        <v>0</v>
      </c>
    </row>
    <row r="1419" spans="1:15" x14ac:dyDescent="0.3">
      <c r="A1419" s="340" t="s">
        <v>891</v>
      </c>
      <c r="B1419" s="350">
        <v>46107</v>
      </c>
      <c r="C1419" s="350">
        <v>46107</v>
      </c>
      <c r="D1419" s="351">
        <v>46082</v>
      </c>
      <c r="E1419" s="340" t="s">
        <v>2260</v>
      </c>
      <c r="F1419" s="340" t="s">
        <v>894</v>
      </c>
      <c r="G1419" s="340" t="s">
        <v>2262</v>
      </c>
      <c r="I1419" s="340" t="s">
        <v>745</v>
      </c>
      <c r="K1419" s="343">
        <v>0</v>
      </c>
      <c r="L1419" s="343">
        <v>-53.31</v>
      </c>
      <c r="M1419" s="343">
        <v>-1238606.1299999999</v>
      </c>
      <c r="O1419" s="343">
        <v>0</v>
      </c>
    </row>
    <row r="1420" spans="1:15" x14ac:dyDescent="0.3">
      <c r="A1420" s="340" t="s">
        <v>891</v>
      </c>
      <c r="B1420" s="350">
        <v>46107</v>
      </c>
      <c r="C1420" s="350">
        <v>46107</v>
      </c>
      <c r="D1420" s="351">
        <v>46082</v>
      </c>
      <c r="E1420" s="340" t="s">
        <v>2260</v>
      </c>
      <c r="F1420" s="340" t="s">
        <v>894</v>
      </c>
      <c r="G1420" s="340" t="s">
        <v>2263</v>
      </c>
      <c r="I1420" s="340" t="s">
        <v>745</v>
      </c>
      <c r="K1420" s="343">
        <v>0</v>
      </c>
      <c r="L1420" s="343">
        <v>-161.87</v>
      </c>
      <c r="M1420" s="343">
        <v>-1238768</v>
      </c>
      <c r="O1420" s="343">
        <v>0</v>
      </c>
    </row>
    <row r="1421" spans="1:15" x14ac:dyDescent="0.3">
      <c r="A1421" s="340" t="s">
        <v>891</v>
      </c>
      <c r="B1421" s="350">
        <v>46107</v>
      </c>
      <c r="C1421" s="350">
        <v>46107</v>
      </c>
      <c r="D1421" s="351">
        <v>46082</v>
      </c>
      <c r="E1421" s="340" t="s">
        <v>2260</v>
      </c>
      <c r="F1421" s="340" t="s">
        <v>894</v>
      </c>
      <c r="G1421" s="340" t="s">
        <v>2175</v>
      </c>
      <c r="I1421" s="340" t="s">
        <v>745</v>
      </c>
      <c r="K1421" s="343">
        <v>0</v>
      </c>
      <c r="L1421" s="343">
        <v>-44.52</v>
      </c>
      <c r="M1421" s="343">
        <v>-1238812.52</v>
      </c>
      <c r="O1421" s="343">
        <v>0</v>
      </c>
    </row>
    <row r="1422" spans="1:15" x14ac:dyDescent="0.3">
      <c r="A1422" s="340" t="s">
        <v>891</v>
      </c>
      <c r="B1422" s="350">
        <v>46107</v>
      </c>
      <c r="C1422" s="350">
        <v>46107</v>
      </c>
      <c r="D1422" s="351">
        <v>46082</v>
      </c>
      <c r="E1422" s="340" t="s">
        <v>2260</v>
      </c>
      <c r="F1422" s="340" t="s">
        <v>894</v>
      </c>
      <c r="G1422" s="340" t="s">
        <v>1589</v>
      </c>
      <c r="I1422" s="340" t="s">
        <v>745</v>
      </c>
      <c r="K1422" s="343">
        <v>0</v>
      </c>
      <c r="L1422" s="343">
        <v>-101.3</v>
      </c>
      <c r="M1422" s="343">
        <v>-1238913.82</v>
      </c>
      <c r="O1422" s="343">
        <v>0</v>
      </c>
    </row>
    <row r="1423" spans="1:15" x14ac:dyDescent="0.3">
      <c r="A1423" s="340" t="s">
        <v>891</v>
      </c>
      <c r="B1423" s="350">
        <v>46107</v>
      </c>
      <c r="C1423" s="350">
        <v>46107</v>
      </c>
      <c r="D1423" s="351">
        <v>46082</v>
      </c>
      <c r="E1423" s="340" t="s">
        <v>2260</v>
      </c>
      <c r="F1423" s="340" t="s">
        <v>894</v>
      </c>
      <c r="G1423" s="340" t="s">
        <v>1544</v>
      </c>
      <c r="I1423" s="340" t="s">
        <v>745</v>
      </c>
      <c r="K1423" s="343">
        <v>0</v>
      </c>
      <c r="L1423" s="343">
        <v>-211.92</v>
      </c>
      <c r="M1423" s="343">
        <v>-1239125.74</v>
      </c>
      <c r="O1423" s="343">
        <v>0</v>
      </c>
    </row>
    <row r="1424" spans="1:15" x14ac:dyDescent="0.3">
      <c r="A1424" s="340" t="s">
        <v>891</v>
      </c>
      <c r="B1424" s="350">
        <v>46107</v>
      </c>
      <c r="C1424" s="350">
        <v>46107</v>
      </c>
      <c r="D1424" s="351">
        <v>46082</v>
      </c>
      <c r="E1424" s="340" t="s">
        <v>2260</v>
      </c>
      <c r="F1424" s="340" t="s">
        <v>894</v>
      </c>
      <c r="G1424" s="340" t="s">
        <v>1545</v>
      </c>
      <c r="I1424" s="340" t="s">
        <v>745</v>
      </c>
      <c r="K1424" s="343">
        <v>0</v>
      </c>
      <c r="L1424" s="343">
        <v>-80.569999999999993</v>
      </c>
      <c r="M1424" s="343">
        <v>-1239206.31</v>
      </c>
      <c r="O1424" s="343">
        <v>0</v>
      </c>
    </row>
    <row r="1425" spans="1:15" x14ac:dyDescent="0.3">
      <c r="A1425" s="340" t="s">
        <v>891</v>
      </c>
      <c r="B1425" s="350">
        <v>46107</v>
      </c>
      <c r="C1425" s="350">
        <v>46107</v>
      </c>
      <c r="D1425" s="351">
        <v>46082</v>
      </c>
      <c r="E1425" s="340" t="s">
        <v>2260</v>
      </c>
      <c r="F1425" s="340" t="s">
        <v>894</v>
      </c>
      <c r="G1425" s="340" t="s">
        <v>2264</v>
      </c>
      <c r="I1425" s="340" t="s">
        <v>745</v>
      </c>
      <c r="K1425" s="343">
        <v>0</v>
      </c>
      <c r="L1425" s="343">
        <v>-180.75</v>
      </c>
      <c r="M1425" s="343">
        <v>-1239387.06</v>
      </c>
      <c r="O1425" s="343">
        <v>0</v>
      </c>
    </row>
    <row r="1426" spans="1:15" x14ac:dyDescent="0.3">
      <c r="A1426" s="340" t="s">
        <v>891</v>
      </c>
      <c r="B1426" s="350">
        <v>46107</v>
      </c>
      <c r="C1426" s="350">
        <v>46107</v>
      </c>
      <c r="D1426" s="351">
        <v>46082</v>
      </c>
      <c r="E1426" s="340" t="s">
        <v>2260</v>
      </c>
      <c r="F1426" s="340" t="s">
        <v>894</v>
      </c>
      <c r="G1426" s="340" t="s">
        <v>1890</v>
      </c>
      <c r="I1426" s="340" t="s">
        <v>745</v>
      </c>
      <c r="K1426" s="343">
        <v>0</v>
      </c>
      <c r="L1426" s="343">
        <v>-635.87</v>
      </c>
      <c r="M1426" s="343">
        <v>-1240022.93</v>
      </c>
      <c r="O1426" s="343">
        <v>0</v>
      </c>
    </row>
    <row r="1427" spans="1:15" x14ac:dyDescent="0.3">
      <c r="A1427" s="340" t="s">
        <v>891</v>
      </c>
      <c r="B1427" s="350">
        <v>46107</v>
      </c>
      <c r="C1427" s="350">
        <v>46107</v>
      </c>
      <c r="D1427" s="351">
        <v>46082</v>
      </c>
      <c r="E1427" s="340" t="s">
        <v>2260</v>
      </c>
      <c r="F1427" s="340" t="s">
        <v>894</v>
      </c>
      <c r="G1427" s="340" t="s">
        <v>1188</v>
      </c>
      <c r="I1427" s="340" t="s">
        <v>745</v>
      </c>
      <c r="K1427" s="343">
        <v>0</v>
      </c>
      <c r="L1427" s="343">
        <v>-365.33</v>
      </c>
      <c r="M1427" s="343">
        <v>-1240388.26</v>
      </c>
      <c r="O1427" s="343">
        <v>0</v>
      </c>
    </row>
    <row r="1428" spans="1:15" x14ac:dyDescent="0.3">
      <c r="A1428" s="340" t="s">
        <v>891</v>
      </c>
      <c r="B1428" s="350">
        <v>46107</v>
      </c>
      <c r="C1428" s="350">
        <v>46107</v>
      </c>
      <c r="D1428" s="351">
        <v>46082</v>
      </c>
      <c r="E1428" s="340" t="s">
        <v>2260</v>
      </c>
      <c r="F1428" s="340" t="s">
        <v>894</v>
      </c>
      <c r="G1428" s="340" t="s">
        <v>2265</v>
      </c>
      <c r="I1428" s="340" t="s">
        <v>745</v>
      </c>
      <c r="K1428" s="343">
        <v>0</v>
      </c>
      <c r="L1428" s="343">
        <v>-505.34</v>
      </c>
      <c r="M1428" s="343">
        <v>-1240893.6000000001</v>
      </c>
      <c r="O1428" s="343">
        <v>0</v>
      </c>
    </row>
    <row r="1429" spans="1:15" x14ac:dyDescent="0.3">
      <c r="A1429" s="340" t="s">
        <v>891</v>
      </c>
      <c r="B1429" s="350">
        <v>46107</v>
      </c>
      <c r="C1429" s="350">
        <v>46107</v>
      </c>
      <c r="D1429" s="351">
        <v>46082</v>
      </c>
      <c r="E1429" s="340" t="s">
        <v>2260</v>
      </c>
      <c r="F1429" s="340" t="s">
        <v>894</v>
      </c>
      <c r="G1429" s="340" t="s">
        <v>1548</v>
      </c>
      <c r="I1429" s="340" t="s">
        <v>745</v>
      </c>
      <c r="K1429" s="343">
        <v>0</v>
      </c>
      <c r="L1429" s="343">
        <v>-119.38</v>
      </c>
      <c r="M1429" s="343">
        <v>-1241012.98</v>
      </c>
      <c r="O1429" s="343">
        <v>0</v>
      </c>
    </row>
    <row r="1430" spans="1:15" x14ac:dyDescent="0.3">
      <c r="A1430" s="340" t="s">
        <v>891</v>
      </c>
      <c r="B1430" s="350">
        <v>46107</v>
      </c>
      <c r="C1430" s="350">
        <v>46107</v>
      </c>
      <c r="D1430" s="351">
        <v>46082</v>
      </c>
      <c r="E1430" s="340" t="s">
        <v>2260</v>
      </c>
      <c r="F1430" s="340" t="s">
        <v>894</v>
      </c>
      <c r="G1430" s="340" t="s">
        <v>1547</v>
      </c>
      <c r="I1430" s="340" t="s">
        <v>745</v>
      </c>
      <c r="K1430" s="343">
        <v>0</v>
      </c>
      <c r="L1430" s="343">
        <v>-102.06</v>
      </c>
      <c r="M1430" s="343">
        <v>-1241115.04</v>
      </c>
      <c r="O1430" s="343">
        <v>0</v>
      </c>
    </row>
    <row r="1431" spans="1:15" x14ac:dyDescent="0.3">
      <c r="A1431" s="340" t="s">
        <v>891</v>
      </c>
      <c r="B1431" s="350">
        <v>46107</v>
      </c>
      <c r="C1431" s="350">
        <v>46107</v>
      </c>
      <c r="D1431" s="351">
        <v>46082</v>
      </c>
      <c r="E1431" s="340" t="s">
        <v>2260</v>
      </c>
      <c r="F1431" s="340" t="s">
        <v>894</v>
      </c>
      <c r="G1431" s="340" t="s">
        <v>2266</v>
      </c>
      <c r="I1431" s="340" t="s">
        <v>745</v>
      </c>
      <c r="K1431" s="343">
        <v>0</v>
      </c>
      <c r="L1431" s="343">
        <v>-79.88</v>
      </c>
      <c r="M1431" s="343">
        <v>-1241194.92</v>
      </c>
      <c r="O1431" s="343">
        <v>0</v>
      </c>
    </row>
    <row r="1432" spans="1:15" x14ac:dyDescent="0.3">
      <c r="A1432" s="340" t="s">
        <v>891</v>
      </c>
      <c r="B1432" s="350">
        <v>46107</v>
      </c>
      <c r="C1432" s="350">
        <v>46107</v>
      </c>
      <c r="D1432" s="351">
        <v>46082</v>
      </c>
      <c r="E1432" s="340" t="s">
        <v>2260</v>
      </c>
      <c r="F1432" s="340" t="s">
        <v>894</v>
      </c>
      <c r="G1432" s="340" t="s">
        <v>1541</v>
      </c>
      <c r="I1432" s="340" t="s">
        <v>745</v>
      </c>
      <c r="K1432" s="343">
        <v>0</v>
      </c>
      <c r="L1432" s="343">
        <v>-166.27</v>
      </c>
      <c r="M1432" s="343">
        <v>-1241361.19</v>
      </c>
      <c r="O1432" s="343">
        <v>0</v>
      </c>
    </row>
    <row r="1433" spans="1:15" x14ac:dyDescent="0.3">
      <c r="A1433" s="340" t="s">
        <v>891</v>
      </c>
      <c r="B1433" s="350">
        <v>46107</v>
      </c>
      <c r="C1433" s="350">
        <v>46107</v>
      </c>
      <c r="D1433" s="351">
        <v>46082</v>
      </c>
      <c r="E1433" s="340" t="s">
        <v>2260</v>
      </c>
      <c r="F1433" s="340" t="s">
        <v>894</v>
      </c>
      <c r="G1433" s="340" t="s">
        <v>1194</v>
      </c>
      <c r="I1433" s="340" t="s">
        <v>745</v>
      </c>
      <c r="K1433" s="343">
        <v>0</v>
      </c>
      <c r="L1433" s="343">
        <v>-115.98</v>
      </c>
      <c r="M1433" s="343">
        <v>-1241477.17</v>
      </c>
      <c r="O1433" s="343">
        <v>0</v>
      </c>
    </row>
    <row r="1434" spans="1:15" x14ac:dyDescent="0.3">
      <c r="A1434" s="340" t="s">
        <v>891</v>
      </c>
      <c r="B1434" s="350">
        <v>46107</v>
      </c>
      <c r="C1434" s="350">
        <v>46107</v>
      </c>
      <c r="D1434" s="351">
        <v>46082</v>
      </c>
      <c r="E1434" s="340" t="s">
        <v>2260</v>
      </c>
      <c r="F1434" s="340" t="s">
        <v>894</v>
      </c>
      <c r="G1434" s="340" t="s">
        <v>2267</v>
      </c>
      <c r="I1434" s="340" t="s">
        <v>745</v>
      </c>
      <c r="K1434" s="343">
        <v>0</v>
      </c>
      <c r="L1434" s="343">
        <v>-16.61</v>
      </c>
      <c r="M1434" s="343">
        <v>-1241493.78</v>
      </c>
      <c r="O1434" s="343">
        <v>0</v>
      </c>
    </row>
    <row r="1435" spans="1:15" x14ac:dyDescent="0.3">
      <c r="A1435" s="340" t="s">
        <v>891</v>
      </c>
      <c r="B1435" s="350">
        <v>46107</v>
      </c>
      <c r="C1435" s="350">
        <v>46107</v>
      </c>
      <c r="D1435" s="351">
        <v>46082</v>
      </c>
      <c r="E1435" s="340" t="s">
        <v>2260</v>
      </c>
      <c r="F1435" s="340" t="s">
        <v>894</v>
      </c>
      <c r="G1435" s="340" t="s">
        <v>1554</v>
      </c>
      <c r="I1435" s="340" t="s">
        <v>745</v>
      </c>
      <c r="K1435" s="343">
        <v>0</v>
      </c>
      <c r="L1435" s="343">
        <v>-228.16</v>
      </c>
      <c r="M1435" s="343">
        <v>-1241721.94</v>
      </c>
      <c r="O1435" s="343">
        <v>0</v>
      </c>
    </row>
    <row r="1436" spans="1:15" x14ac:dyDescent="0.3">
      <c r="A1436" s="340" t="s">
        <v>891</v>
      </c>
      <c r="B1436" s="350">
        <v>46107</v>
      </c>
      <c r="C1436" s="350">
        <v>46107</v>
      </c>
      <c r="D1436" s="351">
        <v>46082</v>
      </c>
      <c r="E1436" s="340" t="s">
        <v>2260</v>
      </c>
      <c r="F1436" s="340" t="s">
        <v>894</v>
      </c>
      <c r="G1436" s="340" t="s">
        <v>1181</v>
      </c>
      <c r="I1436" s="340" t="s">
        <v>745</v>
      </c>
      <c r="K1436" s="343">
        <v>0</v>
      </c>
      <c r="L1436" s="343">
        <v>-135.29</v>
      </c>
      <c r="M1436" s="343">
        <v>-1241857.23</v>
      </c>
      <c r="O1436" s="343">
        <v>0</v>
      </c>
    </row>
    <row r="1437" spans="1:15" x14ac:dyDescent="0.3">
      <c r="A1437" s="340" t="s">
        <v>891</v>
      </c>
      <c r="B1437" s="350">
        <v>46107</v>
      </c>
      <c r="C1437" s="350">
        <v>46107</v>
      </c>
      <c r="D1437" s="351">
        <v>46082</v>
      </c>
      <c r="E1437" s="340" t="s">
        <v>2260</v>
      </c>
      <c r="F1437" s="340" t="s">
        <v>894</v>
      </c>
      <c r="G1437" s="340" t="s">
        <v>2268</v>
      </c>
      <c r="I1437" s="340" t="s">
        <v>745</v>
      </c>
      <c r="K1437" s="343">
        <v>0</v>
      </c>
      <c r="L1437" s="343">
        <v>-36.56</v>
      </c>
      <c r="M1437" s="343">
        <v>-1241893.79</v>
      </c>
      <c r="O1437" s="343">
        <v>0</v>
      </c>
    </row>
    <row r="1438" spans="1:15" x14ac:dyDescent="0.3">
      <c r="A1438" s="340" t="s">
        <v>891</v>
      </c>
      <c r="B1438" s="350">
        <v>46107</v>
      </c>
      <c r="C1438" s="350">
        <v>46107</v>
      </c>
      <c r="D1438" s="351">
        <v>46082</v>
      </c>
      <c r="E1438" s="340" t="s">
        <v>2260</v>
      </c>
      <c r="F1438" s="340" t="s">
        <v>894</v>
      </c>
      <c r="G1438" s="340" t="s">
        <v>2269</v>
      </c>
      <c r="I1438" s="340" t="s">
        <v>745</v>
      </c>
      <c r="K1438" s="343">
        <v>0</v>
      </c>
      <c r="L1438" s="343">
        <v>-53.24</v>
      </c>
      <c r="M1438" s="343">
        <v>-1241947.03</v>
      </c>
      <c r="O1438" s="343">
        <v>0</v>
      </c>
    </row>
    <row r="1439" spans="1:15" x14ac:dyDescent="0.3">
      <c r="A1439" s="340" t="s">
        <v>891</v>
      </c>
      <c r="B1439" s="350">
        <v>46107</v>
      </c>
      <c r="C1439" s="350">
        <v>46107</v>
      </c>
      <c r="D1439" s="351">
        <v>46082</v>
      </c>
      <c r="E1439" s="340" t="s">
        <v>2260</v>
      </c>
      <c r="F1439" s="340" t="s">
        <v>894</v>
      </c>
      <c r="G1439" s="340" t="s">
        <v>2270</v>
      </c>
      <c r="I1439" s="340" t="s">
        <v>745</v>
      </c>
      <c r="K1439" s="343">
        <v>0</v>
      </c>
      <c r="L1439" s="343">
        <v>-17.190000000000001</v>
      </c>
      <c r="M1439" s="343">
        <v>-1241964.22</v>
      </c>
      <c r="O1439" s="343">
        <v>0</v>
      </c>
    </row>
    <row r="1440" spans="1:15" x14ac:dyDescent="0.3">
      <c r="A1440" s="340" t="s">
        <v>891</v>
      </c>
      <c r="B1440" s="350">
        <v>46107</v>
      </c>
      <c r="C1440" s="350">
        <v>46107</v>
      </c>
      <c r="D1440" s="351">
        <v>46082</v>
      </c>
      <c r="E1440" s="340" t="s">
        <v>2260</v>
      </c>
      <c r="F1440" s="340" t="s">
        <v>894</v>
      </c>
      <c r="G1440" s="340" t="s">
        <v>1563</v>
      </c>
      <c r="I1440" s="340" t="s">
        <v>745</v>
      </c>
      <c r="K1440" s="343">
        <v>0</v>
      </c>
      <c r="L1440" s="343">
        <v>-328.78</v>
      </c>
      <c r="M1440" s="343">
        <v>-1242293</v>
      </c>
      <c r="O1440" s="343">
        <v>0</v>
      </c>
    </row>
    <row r="1441" spans="1:15" x14ac:dyDescent="0.3">
      <c r="A1441" s="340" t="s">
        <v>891</v>
      </c>
      <c r="B1441" s="350">
        <v>46107</v>
      </c>
      <c r="C1441" s="350">
        <v>46107</v>
      </c>
      <c r="D1441" s="351">
        <v>46082</v>
      </c>
      <c r="E1441" s="340" t="s">
        <v>2260</v>
      </c>
      <c r="F1441" s="340" t="s">
        <v>894</v>
      </c>
      <c r="G1441" s="340" t="s">
        <v>1562</v>
      </c>
      <c r="I1441" s="340" t="s">
        <v>745</v>
      </c>
      <c r="K1441" s="343">
        <v>0</v>
      </c>
      <c r="L1441" s="343">
        <v>-430.95</v>
      </c>
      <c r="M1441" s="343">
        <v>-1242723.95</v>
      </c>
      <c r="O1441" s="343">
        <v>0</v>
      </c>
    </row>
    <row r="1442" spans="1:15" x14ac:dyDescent="0.3">
      <c r="A1442" s="340" t="s">
        <v>891</v>
      </c>
      <c r="B1442" s="350">
        <v>46107</v>
      </c>
      <c r="C1442" s="350">
        <v>46107</v>
      </c>
      <c r="D1442" s="351">
        <v>46082</v>
      </c>
      <c r="E1442" s="340" t="s">
        <v>2260</v>
      </c>
      <c r="F1442" s="340" t="s">
        <v>894</v>
      </c>
      <c r="G1442" s="340" t="s">
        <v>2179</v>
      </c>
      <c r="I1442" s="340" t="s">
        <v>745</v>
      </c>
      <c r="K1442" s="343">
        <v>0</v>
      </c>
      <c r="L1442" s="343">
        <v>-209.39</v>
      </c>
      <c r="M1442" s="343">
        <v>-1242933.3400000001</v>
      </c>
      <c r="O1442" s="343">
        <v>0</v>
      </c>
    </row>
    <row r="1443" spans="1:15" x14ac:dyDescent="0.3">
      <c r="A1443" s="340" t="s">
        <v>891</v>
      </c>
      <c r="B1443" s="350">
        <v>46107</v>
      </c>
      <c r="C1443" s="350">
        <v>46107</v>
      </c>
      <c r="D1443" s="351">
        <v>46082</v>
      </c>
      <c r="E1443" s="340" t="s">
        <v>2260</v>
      </c>
      <c r="F1443" s="340" t="s">
        <v>894</v>
      </c>
      <c r="G1443" s="340" t="s">
        <v>2271</v>
      </c>
      <c r="I1443" s="340" t="s">
        <v>745</v>
      </c>
      <c r="K1443" s="343">
        <v>0</v>
      </c>
      <c r="L1443" s="343">
        <v>-97.39</v>
      </c>
      <c r="M1443" s="343">
        <v>-1243030.73</v>
      </c>
      <c r="O1443" s="343">
        <v>0</v>
      </c>
    </row>
    <row r="1444" spans="1:15" x14ac:dyDescent="0.3">
      <c r="A1444" s="340" t="s">
        <v>891</v>
      </c>
      <c r="B1444" s="350">
        <v>46107</v>
      </c>
      <c r="C1444" s="350">
        <v>46107</v>
      </c>
      <c r="D1444" s="351">
        <v>46082</v>
      </c>
      <c r="E1444" s="340" t="s">
        <v>2260</v>
      </c>
      <c r="F1444" s="340" t="s">
        <v>894</v>
      </c>
      <c r="G1444" s="340" t="s">
        <v>2272</v>
      </c>
      <c r="I1444" s="340" t="s">
        <v>745</v>
      </c>
      <c r="K1444" s="343">
        <v>0</v>
      </c>
      <c r="L1444" s="343">
        <v>-74.11</v>
      </c>
      <c r="M1444" s="343">
        <v>-1243104.8400000001</v>
      </c>
      <c r="O1444" s="343">
        <v>0</v>
      </c>
    </row>
    <row r="1445" spans="1:15" x14ac:dyDescent="0.3">
      <c r="A1445" s="340" t="s">
        <v>891</v>
      </c>
      <c r="B1445" s="350">
        <v>46107</v>
      </c>
      <c r="C1445" s="350">
        <v>46107</v>
      </c>
      <c r="D1445" s="351">
        <v>46082</v>
      </c>
      <c r="E1445" s="340" t="s">
        <v>2260</v>
      </c>
      <c r="F1445" s="340" t="s">
        <v>894</v>
      </c>
      <c r="G1445" s="340" t="s">
        <v>2032</v>
      </c>
      <c r="I1445" s="340" t="s">
        <v>745</v>
      </c>
      <c r="K1445" s="343">
        <v>0</v>
      </c>
      <c r="L1445" s="343">
        <v>-21.6</v>
      </c>
      <c r="M1445" s="343">
        <v>-1243126.44</v>
      </c>
      <c r="O1445" s="343">
        <v>0</v>
      </c>
    </row>
    <row r="1446" spans="1:15" x14ac:dyDescent="0.3">
      <c r="A1446" s="340" t="s">
        <v>891</v>
      </c>
      <c r="B1446" s="350">
        <v>46107</v>
      </c>
      <c r="C1446" s="350">
        <v>46107</v>
      </c>
      <c r="D1446" s="351">
        <v>46082</v>
      </c>
      <c r="E1446" s="340" t="s">
        <v>2260</v>
      </c>
      <c r="F1446" s="340" t="s">
        <v>894</v>
      </c>
      <c r="G1446" s="340" t="s">
        <v>2273</v>
      </c>
      <c r="I1446" s="340" t="s">
        <v>745</v>
      </c>
      <c r="K1446" s="343">
        <v>0</v>
      </c>
      <c r="L1446" s="343">
        <v>-2.61</v>
      </c>
      <c r="M1446" s="343">
        <v>-1243129.05</v>
      </c>
      <c r="O1446" s="343">
        <v>0</v>
      </c>
    </row>
    <row r="1447" spans="1:15" x14ac:dyDescent="0.3">
      <c r="A1447" s="340" t="s">
        <v>891</v>
      </c>
      <c r="B1447" s="350">
        <v>46107</v>
      </c>
      <c r="C1447" s="350">
        <v>46107</v>
      </c>
      <c r="D1447" s="351">
        <v>46082</v>
      </c>
      <c r="E1447" s="340" t="s">
        <v>2260</v>
      </c>
      <c r="F1447" s="340" t="s">
        <v>894</v>
      </c>
      <c r="G1447" s="340" t="s">
        <v>2274</v>
      </c>
      <c r="I1447" s="340" t="s">
        <v>745</v>
      </c>
      <c r="K1447" s="343">
        <v>0</v>
      </c>
      <c r="L1447" s="343">
        <v>-22.62</v>
      </c>
      <c r="M1447" s="343">
        <v>-1243151.67</v>
      </c>
      <c r="O1447" s="343">
        <v>0</v>
      </c>
    </row>
    <row r="1448" spans="1:15" x14ac:dyDescent="0.3">
      <c r="A1448" s="340" t="s">
        <v>891</v>
      </c>
      <c r="B1448" s="350">
        <v>46107</v>
      </c>
      <c r="C1448" s="350">
        <v>46107</v>
      </c>
      <c r="D1448" s="351">
        <v>46082</v>
      </c>
      <c r="E1448" s="340" t="s">
        <v>2260</v>
      </c>
      <c r="F1448" s="340" t="s">
        <v>894</v>
      </c>
      <c r="G1448" s="340" t="s">
        <v>2275</v>
      </c>
      <c r="I1448" s="340" t="s">
        <v>745</v>
      </c>
      <c r="K1448" s="343">
        <v>0</v>
      </c>
      <c r="L1448" s="343">
        <v>-16.14</v>
      </c>
      <c r="M1448" s="343">
        <v>-1243167.81</v>
      </c>
      <c r="O1448" s="343">
        <v>0</v>
      </c>
    </row>
    <row r="1449" spans="1:15" x14ac:dyDescent="0.3">
      <c r="A1449" s="340" t="s">
        <v>891</v>
      </c>
      <c r="B1449" s="350">
        <v>46107</v>
      </c>
      <c r="C1449" s="350">
        <v>46107</v>
      </c>
      <c r="D1449" s="351">
        <v>46082</v>
      </c>
      <c r="E1449" s="340" t="s">
        <v>2260</v>
      </c>
      <c r="F1449" s="340" t="s">
        <v>894</v>
      </c>
      <c r="G1449" s="340" t="s">
        <v>2276</v>
      </c>
      <c r="I1449" s="340" t="s">
        <v>745</v>
      </c>
      <c r="K1449" s="343">
        <v>0</v>
      </c>
      <c r="L1449" s="343">
        <v>-74.95</v>
      </c>
      <c r="M1449" s="343">
        <v>-1243242.76</v>
      </c>
      <c r="O1449" s="343">
        <v>0</v>
      </c>
    </row>
    <row r="1450" spans="1:15" x14ac:dyDescent="0.3">
      <c r="A1450" s="340" t="s">
        <v>891</v>
      </c>
      <c r="B1450" s="350">
        <v>46107</v>
      </c>
      <c r="C1450" s="350">
        <v>46107</v>
      </c>
      <c r="D1450" s="351">
        <v>46082</v>
      </c>
      <c r="E1450" s="340" t="s">
        <v>2260</v>
      </c>
      <c r="F1450" s="340" t="s">
        <v>894</v>
      </c>
      <c r="G1450" s="340" t="s">
        <v>2277</v>
      </c>
      <c r="I1450" s="340" t="s">
        <v>745</v>
      </c>
      <c r="K1450" s="343">
        <v>0</v>
      </c>
      <c r="L1450" s="343">
        <v>-35.89</v>
      </c>
      <c r="M1450" s="343">
        <v>-1243278.6499999999</v>
      </c>
      <c r="O1450" s="343">
        <v>0</v>
      </c>
    </row>
    <row r="1451" spans="1:15" x14ac:dyDescent="0.3">
      <c r="A1451" s="340" t="s">
        <v>891</v>
      </c>
      <c r="B1451" s="350">
        <v>46107</v>
      </c>
      <c r="C1451" s="350">
        <v>46107</v>
      </c>
      <c r="D1451" s="351">
        <v>46082</v>
      </c>
      <c r="E1451" s="340" t="s">
        <v>2260</v>
      </c>
      <c r="F1451" s="340" t="s">
        <v>894</v>
      </c>
      <c r="G1451" s="340" t="s">
        <v>2278</v>
      </c>
      <c r="I1451" s="340" t="s">
        <v>745</v>
      </c>
      <c r="K1451" s="343">
        <v>0</v>
      </c>
      <c r="L1451" s="343">
        <v>-99.57</v>
      </c>
      <c r="M1451" s="343">
        <v>-1243378.22</v>
      </c>
      <c r="O1451" s="343">
        <v>0</v>
      </c>
    </row>
    <row r="1452" spans="1:15" x14ac:dyDescent="0.3">
      <c r="A1452" s="340" t="s">
        <v>891</v>
      </c>
      <c r="B1452" s="350">
        <v>46107</v>
      </c>
      <c r="C1452" s="350">
        <v>46107</v>
      </c>
      <c r="D1452" s="351">
        <v>46082</v>
      </c>
      <c r="E1452" s="340" t="s">
        <v>2260</v>
      </c>
      <c r="F1452" s="340" t="s">
        <v>894</v>
      </c>
      <c r="G1452" s="340" t="s">
        <v>2279</v>
      </c>
      <c r="I1452" s="340" t="s">
        <v>745</v>
      </c>
      <c r="K1452" s="343">
        <v>0</v>
      </c>
      <c r="L1452" s="343">
        <v>-203.49</v>
      </c>
      <c r="M1452" s="343">
        <v>-1243581.71</v>
      </c>
      <c r="O1452" s="343">
        <v>0</v>
      </c>
    </row>
    <row r="1453" spans="1:15" x14ac:dyDescent="0.3">
      <c r="A1453" s="340" t="s">
        <v>891</v>
      </c>
      <c r="B1453" s="350">
        <v>46107</v>
      </c>
      <c r="C1453" s="350">
        <v>46107</v>
      </c>
      <c r="D1453" s="351">
        <v>46082</v>
      </c>
      <c r="E1453" s="340" t="s">
        <v>2260</v>
      </c>
      <c r="F1453" s="340" t="s">
        <v>894</v>
      </c>
      <c r="G1453" s="340" t="s">
        <v>2280</v>
      </c>
      <c r="I1453" s="340" t="s">
        <v>745</v>
      </c>
      <c r="K1453" s="343">
        <v>0</v>
      </c>
      <c r="L1453" s="343">
        <v>-327.57</v>
      </c>
      <c r="M1453" s="343">
        <v>-1243909.28</v>
      </c>
      <c r="O1453" s="343">
        <v>0</v>
      </c>
    </row>
    <row r="1454" spans="1:15" x14ac:dyDescent="0.3">
      <c r="A1454" s="340" t="s">
        <v>891</v>
      </c>
      <c r="B1454" s="350">
        <v>46107</v>
      </c>
      <c r="C1454" s="350">
        <v>46107</v>
      </c>
      <c r="D1454" s="351">
        <v>46082</v>
      </c>
      <c r="E1454" s="340" t="s">
        <v>2260</v>
      </c>
      <c r="F1454" s="340" t="s">
        <v>894</v>
      </c>
      <c r="G1454" s="340" t="s">
        <v>2089</v>
      </c>
      <c r="I1454" s="340" t="s">
        <v>745</v>
      </c>
      <c r="K1454" s="343">
        <v>0</v>
      </c>
      <c r="L1454" s="343">
        <v>-75.430000000000007</v>
      </c>
      <c r="M1454" s="343">
        <v>-1243984.71</v>
      </c>
      <c r="O1454" s="343">
        <v>0</v>
      </c>
    </row>
    <row r="1455" spans="1:15" x14ac:dyDescent="0.3">
      <c r="A1455" s="340" t="s">
        <v>891</v>
      </c>
      <c r="B1455" s="350">
        <v>46107</v>
      </c>
      <c r="C1455" s="350">
        <v>46107</v>
      </c>
      <c r="D1455" s="351">
        <v>46082</v>
      </c>
      <c r="E1455" s="340" t="s">
        <v>2260</v>
      </c>
      <c r="F1455" s="340" t="s">
        <v>894</v>
      </c>
      <c r="G1455" s="340" t="s">
        <v>1795</v>
      </c>
      <c r="I1455" s="340" t="s">
        <v>745</v>
      </c>
      <c r="K1455" s="343">
        <v>0</v>
      </c>
      <c r="L1455" s="343">
        <v>-46.45</v>
      </c>
      <c r="M1455" s="343">
        <v>-1244031.1599999999</v>
      </c>
      <c r="O1455" s="343">
        <v>0</v>
      </c>
    </row>
    <row r="1456" spans="1:15" x14ac:dyDescent="0.3">
      <c r="A1456" s="340" t="s">
        <v>891</v>
      </c>
      <c r="B1456" s="350">
        <v>46107</v>
      </c>
      <c r="C1456" s="350">
        <v>46107</v>
      </c>
      <c r="D1456" s="351">
        <v>46082</v>
      </c>
      <c r="E1456" s="340" t="s">
        <v>2281</v>
      </c>
      <c r="F1456" s="340" t="s">
        <v>894</v>
      </c>
      <c r="G1456" s="340" t="s">
        <v>2282</v>
      </c>
      <c r="I1456" s="340" t="s">
        <v>740</v>
      </c>
      <c r="K1456" s="343">
        <v>0</v>
      </c>
      <c r="L1456" s="343">
        <v>-200.26</v>
      </c>
      <c r="M1456" s="343">
        <v>-1244231.42</v>
      </c>
      <c r="O1456" s="343">
        <v>0</v>
      </c>
    </row>
    <row r="1457" spans="1:15" x14ac:dyDescent="0.3">
      <c r="A1457" s="340" t="s">
        <v>891</v>
      </c>
      <c r="B1457" s="350">
        <v>46107</v>
      </c>
      <c r="C1457" s="350">
        <v>46107</v>
      </c>
      <c r="D1457" s="351">
        <v>46082</v>
      </c>
      <c r="E1457" s="340" t="s">
        <v>2283</v>
      </c>
      <c r="F1457" s="340" t="s">
        <v>894</v>
      </c>
      <c r="G1457" s="340" t="s">
        <v>2284</v>
      </c>
      <c r="I1457" s="340" t="s">
        <v>740</v>
      </c>
      <c r="K1457" s="343">
        <v>0</v>
      </c>
      <c r="L1457" s="343">
        <v>-520</v>
      </c>
      <c r="M1457" s="343">
        <v>-1244751.42</v>
      </c>
      <c r="O1457" s="343">
        <v>0</v>
      </c>
    </row>
    <row r="1458" spans="1:15" x14ac:dyDescent="0.3">
      <c r="A1458" s="340" t="s">
        <v>891</v>
      </c>
      <c r="B1458" s="350">
        <v>46107</v>
      </c>
      <c r="C1458" s="350">
        <v>46107</v>
      </c>
      <c r="D1458" s="351">
        <v>46082</v>
      </c>
      <c r="E1458" s="340" t="s">
        <v>2283</v>
      </c>
      <c r="F1458" s="340" t="s">
        <v>894</v>
      </c>
      <c r="G1458" s="340" t="s">
        <v>2285</v>
      </c>
      <c r="I1458" s="340" t="s">
        <v>740</v>
      </c>
      <c r="K1458" s="343">
        <v>0</v>
      </c>
      <c r="L1458" s="343">
        <v>-550</v>
      </c>
      <c r="M1458" s="343">
        <v>-1245301.42</v>
      </c>
      <c r="O1458" s="343">
        <v>0</v>
      </c>
    </row>
    <row r="1459" spans="1:15" x14ac:dyDescent="0.3">
      <c r="A1459" s="340" t="s">
        <v>891</v>
      </c>
      <c r="B1459" s="350">
        <v>46107</v>
      </c>
      <c r="C1459" s="350">
        <v>46107</v>
      </c>
      <c r="D1459" s="351">
        <v>46082</v>
      </c>
      <c r="E1459" s="340" t="s">
        <v>2286</v>
      </c>
      <c r="F1459" s="340" t="s">
        <v>894</v>
      </c>
      <c r="G1459" s="340" t="s">
        <v>2287</v>
      </c>
      <c r="I1459" s="340" t="s">
        <v>740</v>
      </c>
      <c r="K1459" s="343">
        <v>0</v>
      </c>
      <c r="L1459" s="343">
        <v>-129.9</v>
      </c>
      <c r="M1459" s="343">
        <v>-1245431.32</v>
      </c>
      <c r="O1459" s="343">
        <v>0</v>
      </c>
    </row>
    <row r="1460" spans="1:15" x14ac:dyDescent="0.3">
      <c r="A1460" s="340" t="s">
        <v>891</v>
      </c>
      <c r="B1460" s="350">
        <v>46107</v>
      </c>
      <c r="C1460" s="350">
        <v>46107</v>
      </c>
      <c r="D1460" s="351">
        <v>46082</v>
      </c>
      <c r="E1460" s="340" t="s">
        <v>2288</v>
      </c>
      <c r="F1460" s="340" t="s">
        <v>894</v>
      </c>
      <c r="G1460" s="340" t="s">
        <v>2289</v>
      </c>
      <c r="I1460" s="340" t="s">
        <v>740</v>
      </c>
      <c r="K1460" s="343">
        <v>0</v>
      </c>
      <c r="L1460" s="343">
        <v>-830</v>
      </c>
      <c r="M1460" s="343">
        <v>-1246261.32</v>
      </c>
      <c r="O1460" s="343">
        <v>0</v>
      </c>
    </row>
    <row r="1461" spans="1:15" x14ac:dyDescent="0.3">
      <c r="A1461" s="340" t="s">
        <v>891</v>
      </c>
      <c r="B1461" s="350">
        <v>46107</v>
      </c>
      <c r="C1461" s="350">
        <v>46107</v>
      </c>
      <c r="D1461" s="351">
        <v>46082</v>
      </c>
      <c r="E1461" s="340" t="s">
        <v>2290</v>
      </c>
      <c r="F1461" s="340" t="s">
        <v>894</v>
      </c>
      <c r="G1461" s="340" t="s">
        <v>2291</v>
      </c>
      <c r="I1461" s="340" t="s">
        <v>740</v>
      </c>
      <c r="K1461" s="343">
        <v>0</v>
      </c>
      <c r="L1461" s="343">
        <v>-65</v>
      </c>
      <c r="M1461" s="343">
        <v>-1246326.32</v>
      </c>
      <c r="O1461" s="343">
        <v>0</v>
      </c>
    </row>
    <row r="1462" spans="1:15" x14ac:dyDescent="0.3">
      <c r="A1462" s="340" t="s">
        <v>891</v>
      </c>
      <c r="B1462" s="350">
        <v>46107</v>
      </c>
      <c r="C1462" s="350">
        <v>46107</v>
      </c>
      <c r="D1462" s="351">
        <v>46082</v>
      </c>
      <c r="E1462" s="340" t="s">
        <v>2290</v>
      </c>
      <c r="F1462" s="340" t="s">
        <v>894</v>
      </c>
      <c r="G1462" s="340" t="s">
        <v>2213</v>
      </c>
      <c r="I1462" s="340" t="s">
        <v>740</v>
      </c>
      <c r="K1462" s="343">
        <v>0</v>
      </c>
      <c r="L1462" s="343">
        <v>-48.71</v>
      </c>
      <c r="M1462" s="343">
        <v>-1246375.03</v>
      </c>
      <c r="O1462" s="343">
        <v>0</v>
      </c>
    </row>
    <row r="1463" spans="1:15" x14ac:dyDescent="0.3">
      <c r="A1463" s="340" t="s">
        <v>891</v>
      </c>
      <c r="B1463" s="350">
        <v>46107</v>
      </c>
      <c r="C1463" s="350">
        <v>46107</v>
      </c>
      <c r="D1463" s="351">
        <v>46082</v>
      </c>
      <c r="E1463" s="340" t="s">
        <v>2290</v>
      </c>
      <c r="F1463" s="340" t="s">
        <v>894</v>
      </c>
      <c r="G1463" s="340" t="s">
        <v>2122</v>
      </c>
      <c r="I1463" s="340" t="s">
        <v>740</v>
      </c>
      <c r="K1463" s="343">
        <v>0</v>
      </c>
      <c r="L1463" s="343">
        <v>-97.43</v>
      </c>
      <c r="M1463" s="343">
        <v>-1246472.46</v>
      </c>
      <c r="O1463" s="343">
        <v>0</v>
      </c>
    </row>
    <row r="1464" spans="1:15" x14ac:dyDescent="0.3">
      <c r="A1464" s="340" t="s">
        <v>891</v>
      </c>
      <c r="B1464" s="350">
        <v>46107</v>
      </c>
      <c r="C1464" s="350">
        <v>46107</v>
      </c>
      <c r="D1464" s="351">
        <v>46082</v>
      </c>
      <c r="E1464" s="340" t="s">
        <v>2292</v>
      </c>
      <c r="F1464" s="340" t="s">
        <v>894</v>
      </c>
      <c r="G1464" s="340" t="s">
        <v>2293</v>
      </c>
      <c r="I1464" s="340" t="s">
        <v>740</v>
      </c>
      <c r="K1464" s="343">
        <v>0</v>
      </c>
      <c r="L1464" s="343">
        <v>-260</v>
      </c>
      <c r="M1464" s="343">
        <v>-1246732.46</v>
      </c>
      <c r="O1464" s="343">
        <v>0</v>
      </c>
    </row>
    <row r="1465" spans="1:15" x14ac:dyDescent="0.3">
      <c r="A1465" s="340" t="s">
        <v>891</v>
      </c>
      <c r="B1465" s="350">
        <v>46107</v>
      </c>
      <c r="C1465" s="350">
        <v>46107</v>
      </c>
      <c r="D1465" s="351">
        <v>46082</v>
      </c>
      <c r="E1465" s="340" t="s">
        <v>2292</v>
      </c>
      <c r="F1465" s="340" t="s">
        <v>894</v>
      </c>
      <c r="G1465" s="340" t="s">
        <v>2294</v>
      </c>
      <c r="I1465" s="340" t="s">
        <v>740</v>
      </c>
      <c r="K1465" s="343">
        <v>0</v>
      </c>
      <c r="L1465" s="343">
        <v>-260</v>
      </c>
      <c r="M1465" s="343">
        <v>-1246992.46</v>
      </c>
      <c r="O1465" s="343">
        <v>0</v>
      </c>
    </row>
    <row r="1466" spans="1:15" x14ac:dyDescent="0.3">
      <c r="A1466" s="340" t="s">
        <v>891</v>
      </c>
      <c r="B1466" s="350">
        <v>46107</v>
      </c>
      <c r="C1466" s="350">
        <v>46107</v>
      </c>
      <c r="D1466" s="351">
        <v>46082</v>
      </c>
      <c r="E1466" s="340" t="s">
        <v>2295</v>
      </c>
      <c r="F1466" s="340" t="s">
        <v>894</v>
      </c>
      <c r="G1466" s="340" t="s">
        <v>2296</v>
      </c>
      <c r="I1466" s="340" t="s">
        <v>740</v>
      </c>
      <c r="K1466" s="343">
        <v>0</v>
      </c>
      <c r="L1466" s="343">
        <v>-445</v>
      </c>
      <c r="M1466" s="343">
        <v>-1247437.46</v>
      </c>
      <c r="O1466" s="343">
        <v>0</v>
      </c>
    </row>
    <row r="1467" spans="1:15" x14ac:dyDescent="0.3">
      <c r="A1467" s="340" t="s">
        <v>891</v>
      </c>
      <c r="B1467" s="350">
        <v>46107</v>
      </c>
      <c r="C1467" s="350">
        <v>46107</v>
      </c>
      <c r="D1467" s="351">
        <v>46082</v>
      </c>
      <c r="E1467" s="340" t="s">
        <v>2297</v>
      </c>
      <c r="F1467" s="340" t="s">
        <v>894</v>
      </c>
      <c r="G1467" s="340" t="s">
        <v>2298</v>
      </c>
      <c r="I1467" s="340" t="s">
        <v>740</v>
      </c>
      <c r="K1467" s="343">
        <v>0</v>
      </c>
      <c r="L1467" s="343">
        <v>-770</v>
      </c>
      <c r="M1467" s="343">
        <v>-1248207.46</v>
      </c>
      <c r="O1467" s="343">
        <v>0</v>
      </c>
    </row>
    <row r="1468" spans="1:15" x14ac:dyDescent="0.3">
      <c r="A1468" s="340" t="s">
        <v>891</v>
      </c>
      <c r="B1468" s="350">
        <v>46107</v>
      </c>
      <c r="C1468" s="350">
        <v>46107</v>
      </c>
      <c r="D1468" s="351">
        <v>46082</v>
      </c>
      <c r="E1468" s="340" t="s">
        <v>2299</v>
      </c>
      <c r="F1468" s="340" t="s">
        <v>894</v>
      </c>
      <c r="G1468" s="340" t="s">
        <v>2300</v>
      </c>
      <c r="I1468" s="340" t="s">
        <v>740</v>
      </c>
      <c r="K1468" s="343">
        <v>0</v>
      </c>
      <c r="L1468" s="343">
        <v>-129.9</v>
      </c>
      <c r="M1468" s="343">
        <v>-1248337.3600000001</v>
      </c>
      <c r="O1468" s="343">
        <v>0</v>
      </c>
    </row>
    <row r="1469" spans="1:15" x14ac:dyDescent="0.3">
      <c r="A1469" s="340" t="s">
        <v>891</v>
      </c>
      <c r="B1469" s="350">
        <v>46107</v>
      </c>
      <c r="C1469" s="350">
        <v>46107</v>
      </c>
      <c r="D1469" s="351">
        <v>46082</v>
      </c>
      <c r="E1469" s="340" t="s">
        <v>2301</v>
      </c>
      <c r="F1469" s="340" t="s">
        <v>894</v>
      </c>
      <c r="G1469" s="340" t="s">
        <v>2302</v>
      </c>
      <c r="I1469" s="340" t="s">
        <v>740</v>
      </c>
      <c r="K1469" s="343">
        <v>0</v>
      </c>
      <c r="L1469" s="343">
        <v>-129.9</v>
      </c>
      <c r="M1469" s="343">
        <v>-1248467.26</v>
      </c>
      <c r="O1469" s="343">
        <v>0</v>
      </c>
    </row>
    <row r="1470" spans="1:15" x14ac:dyDescent="0.3">
      <c r="A1470" s="340" t="s">
        <v>891</v>
      </c>
      <c r="B1470" s="350">
        <v>46107</v>
      </c>
      <c r="C1470" s="350">
        <v>46107</v>
      </c>
      <c r="D1470" s="351">
        <v>46082</v>
      </c>
      <c r="E1470" s="340" t="s">
        <v>2303</v>
      </c>
      <c r="F1470" s="340" t="s">
        <v>894</v>
      </c>
      <c r="G1470" s="340" t="s">
        <v>2304</v>
      </c>
      <c r="I1470" s="340" t="s">
        <v>740</v>
      </c>
      <c r="K1470" s="343">
        <v>0</v>
      </c>
      <c r="L1470" s="343">
        <v>-178.61</v>
      </c>
      <c r="M1470" s="343">
        <v>-1248645.8700000001</v>
      </c>
      <c r="O1470" s="343">
        <v>0</v>
      </c>
    </row>
    <row r="1471" spans="1:15" x14ac:dyDescent="0.3">
      <c r="A1471" s="340" t="s">
        <v>891</v>
      </c>
      <c r="B1471" s="350">
        <v>46107</v>
      </c>
      <c r="C1471" s="350">
        <v>46107</v>
      </c>
      <c r="D1471" s="351">
        <v>46082</v>
      </c>
      <c r="E1471" s="340" t="s">
        <v>2305</v>
      </c>
      <c r="F1471" s="340" t="s">
        <v>894</v>
      </c>
      <c r="G1471" s="340" t="s">
        <v>2306</v>
      </c>
      <c r="I1471" s="340" t="s">
        <v>740</v>
      </c>
      <c r="K1471" s="343">
        <v>0</v>
      </c>
      <c r="L1471" s="343">
        <v>-445</v>
      </c>
      <c r="M1471" s="343">
        <v>-1249090.8700000001</v>
      </c>
      <c r="O1471" s="343">
        <v>0</v>
      </c>
    </row>
    <row r="1472" spans="1:15" x14ac:dyDescent="0.3">
      <c r="A1472" s="340" t="s">
        <v>891</v>
      </c>
      <c r="B1472" s="350">
        <v>46107</v>
      </c>
      <c r="C1472" s="350">
        <v>46107</v>
      </c>
      <c r="D1472" s="351">
        <v>46082</v>
      </c>
      <c r="E1472" s="340" t="s">
        <v>2307</v>
      </c>
      <c r="F1472" s="340" t="s">
        <v>894</v>
      </c>
      <c r="G1472" s="340" t="s">
        <v>2308</v>
      </c>
      <c r="I1472" s="340" t="s">
        <v>740</v>
      </c>
      <c r="K1472" s="343">
        <v>0</v>
      </c>
      <c r="L1472" s="343">
        <v>-880</v>
      </c>
      <c r="M1472" s="343">
        <v>-1249970.8700000001</v>
      </c>
      <c r="O1472" s="343">
        <v>0</v>
      </c>
    </row>
    <row r="1473" spans="1:15" x14ac:dyDescent="0.3">
      <c r="A1473" s="340" t="s">
        <v>891</v>
      </c>
      <c r="B1473" s="350">
        <v>46107</v>
      </c>
      <c r="C1473" s="350">
        <v>46107</v>
      </c>
      <c r="D1473" s="351">
        <v>46082</v>
      </c>
      <c r="E1473" s="340" t="s">
        <v>2309</v>
      </c>
      <c r="F1473" s="340" t="s">
        <v>894</v>
      </c>
      <c r="G1473" s="340" t="s">
        <v>2310</v>
      </c>
      <c r="I1473" s="340" t="s">
        <v>740</v>
      </c>
      <c r="K1473" s="343">
        <v>0</v>
      </c>
      <c r="L1473" s="343">
        <v>-520</v>
      </c>
      <c r="M1473" s="343">
        <v>-1250490.8700000001</v>
      </c>
      <c r="O1473" s="343">
        <v>0</v>
      </c>
    </row>
    <row r="1474" spans="1:15" x14ac:dyDescent="0.3">
      <c r="A1474" s="340" t="s">
        <v>891</v>
      </c>
      <c r="B1474" s="350">
        <v>46107</v>
      </c>
      <c r="C1474" s="350">
        <v>46107</v>
      </c>
      <c r="D1474" s="351">
        <v>46082</v>
      </c>
      <c r="E1474" s="340" t="s">
        <v>2311</v>
      </c>
      <c r="F1474" s="340" t="s">
        <v>894</v>
      </c>
      <c r="G1474" s="340" t="s">
        <v>2312</v>
      </c>
      <c r="I1474" s="340" t="s">
        <v>740</v>
      </c>
      <c r="K1474" s="343">
        <v>0</v>
      </c>
      <c r="L1474" s="343">
        <v>-570</v>
      </c>
      <c r="M1474" s="343">
        <v>-1251060.8700000001</v>
      </c>
      <c r="O1474" s="343">
        <v>0</v>
      </c>
    </row>
    <row r="1475" spans="1:15" x14ac:dyDescent="0.3">
      <c r="A1475" s="340" t="s">
        <v>891</v>
      </c>
      <c r="B1475" s="350">
        <v>46107</v>
      </c>
      <c r="C1475" s="350">
        <v>46107</v>
      </c>
      <c r="D1475" s="351">
        <v>46082</v>
      </c>
      <c r="E1475" s="340" t="s">
        <v>2311</v>
      </c>
      <c r="F1475" s="340" t="s">
        <v>894</v>
      </c>
      <c r="G1475" s="340" t="s">
        <v>2313</v>
      </c>
      <c r="I1475" s="340" t="s">
        <v>740</v>
      </c>
      <c r="K1475" s="343">
        <v>0</v>
      </c>
      <c r="L1475" s="343">
        <v>-80</v>
      </c>
      <c r="M1475" s="343">
        <v>-1251140.8700000001</v>
      </c>
      <c r="O1475" s="343">
        <v>0</v>
      </c>
    </row>
    <row r="1476" spans="1:15" x14ac:dyDescent="0.3">
      <c r="A1476" s="340" t="s">
        <v>891</v>
      </c>
      <c r="B1476" s="350">
        <v>46107</v>
      </c>
      <c r="C1476" s="350">
        <v>46107</v>
      </c>
      <c r="D1476" s="351">
        <v>46082</v>
      </c>
      <c r="E1476" s="340" t="s">
        <v>2314</v>
      </c>
      <c r="F1476" s="340" t="s">
        <v>894</v>
      </c>
      <c r="G1476" s="340" t="s">
        <v>2315</v>
      </c>
      <c r="I1476" s="340" t="s">
        <v>740</v>
      </c>
      <c r="K1476" s="343">
        <v>0</v>
      </c>
      <c r="L1476" s="343">
        <v>-570</v>
      </c>
      <c r="M1476" s="343">
        <v>-1251710.8700000001</v>
      </c>
      <c r="O1476" s="343">
        <v>0</v>
      </c>
    </row>
    <row r="1477" spans="1:15" x14ac:dyDescent="0.3">
      <c r="A1477" s="340" t="s">
        <v>891</v>
      </c>
      <c r="B1477" s="350">
        <v>46107</v>
      </c>
      <c r="C1477" s="350">
        <v>46107</v>
      </c>
      <c r="D1477" s="351">
        <v>46082</v>
      </c>
      <c r="E1477" s="340" t="s">
        <v>2314</v>
      </c>
      <c r="F1477" s="340" t="s">
        <v>894</v>
      </c>
      <c r="G1477" s="340" t="s">
        <v>2316</v>
      </c>
      <c r="I1477" s="340" t="s">
        <v>740</v>
      </c>
      <c r="K1477" s="343">
        <v>0</v>
      </c>
      <c r="L1477" s="343">
        <v>-80</v>
      </c>
      <c r="M1477" s="343">
        <v>-1251790.8700000001</v>
      </c>
      <c r="O1477" s="343">
        <v>0</v>
      </c>
    </row>
    <row r="1478" spans="1:15" x14ac:dyDescent="0.3">
      <c r="A1478" s="340" t="s">
        <v>891</v>
      </c>
      <c r="B1478" s="350">
        <v>46107</v>
      </c>
      <c r="C1478" s="350">
        <v>46107</v>
      </c>
      <c r="D1478" s="351">
        <v>46082</v>
      </c>
      <c r="E1478" s="340" t="s">
        <v>2317</v>
      </c>
      <c r="F1478" s="340" t="s">
        <v>894</v>
      </c>
      <c r="G1478" s="340" t="s">
        <v>2318</v>
      </c>
      <c r="I1478" s="340" t="s">
        <v>740</v>
      </c>
      <c r="K1478" s="343">
        <v>0</v>
      </c>
      <c r="L1478" s="343">
        <v>-65</v>
      </c>
      <c r="M1478" s="343">
        <v>-1251855.8700000001</v>
      </c>
      <c r="O1478" s="343">
        <v>0</v>
      </c>
    </row>
    <row r="1479" spans="1:15" x14ac:dyDescent="0.3">
      <c r="A1479" s="340" t="s">
        <v>891</v>
      </c>
      <c r="B1479" s="350">
        <v>46107</v>
      </c>
      <c r="C1479" s="350">
        <v>46107</v>
      </c>
      <c r="D1479" s="351">
        <v>46082</v>
      </c>
      <c r="E1479" s="340" t="s">
        <v>2317</v>
      </c>
      <c r="F1479" s="340" t="s">
        <v>894</v>
      </c>
      <c r="G1479" s="340" t="s">
        <v>2213</v>
      </c>
      <c r="I1479" s="340" t="s">
        <v>740</v>
      </c>
      <c r="K1479" s="343">
        <v>0</v>
      </c>
      <c r="L1479" s="343">
        <v>-48.71</v>
      </c>
      <c r="M1479" s="343">
        <v>-1251904.58</v>
      </c>
      <c r="O1479" s="343">
        <v>0</v>
      </c>
    </row>
    <row r="1480" spans="1:15" x14ac:dyDescent="0.3">
      <c r="A1480" s="340" t="s">
        <v>891</v>
      </c>
      <c r="B1480" s="350">
        <v>46107</v>
      </c>
      <c r="C1480" s="350">
        <v>46107</v>
      </c>
      <c r="D1480" s="351">
        <v>46082</v>
      </c>
      <c r="E1480" s="340" t="s">
        <v>2317</v>
      </c>
      <c r="F1480" s="340" t="s">
        <v>894</v>
      </c>
      <c r="G1480" s="340" t="s">
        <v>2319</v>
      </c>
      <c r="I1480" s="340" t="s">
        <v>740</v>
      </c>
      <c r="K1480" s="343">
        <v>0</v>
      </c>
      <c r="L1480" s="343">
        <v>-340.99</v>
      </c>
      <c r="M1480" s="343">
        <v>-1252245.57</v>
      </c>
      <c r="O1480" s="343">
        <v>0</v>
      </c>
    </row>
    <row r="1481" spans="1:15" x14ac:dyDescent="0.3">
      <c r="A1481" s="340" t="s">
        <v>891</v>
      </c>
      <c r="B1481" s="350">
        <v>46107</v>
      </c>
      <c r="C1481" s="350">
        <v>46107</v>
      </c>
      <c r="D1481" s="351">
        <v>46082</v>
      </c>
      <c r="E1481" s="340" t="s">
        <v>2320</v>
      </c>
      <c r="F1481" s="340" t="s">
        <v>894</v>
      </c>
      <c r="G1481" s="340" t="s">
        <v>2321</v>
      </c>
      <c r="I1481" s="340" t="s">
        <v>740</v>
      </c>
      <c r="K1481" s="343">
        <v>0</v>
      </c>
      <c r="L1481" s="343">
        <v>-480</v>
      </c>
      <c r="M1481" s="343">
        <v>-1252725.57</v>
      </c>
      <c r="O1481" s="343">
        <v>0</v>
      </c>
    </row>
    <row r="1482" spans="1:15" x14ac:dyDescent="0.3">
      <c r="A1482" s="340" t="s">
        <v>891</v>
      </c>
      <c r="B1482" s="350">
        <v>46107</v>
      </c>
      <c r="C1482" s="350">
        <v>46107</v>
      </c>
      <c r="D1482" s="351">
        <v>46082</v>
      </c>
      <c r="E1482" s="340" t="s">
        <v>2320</v>
      </c>
      <c r="F1482" s="340" t="s">
        <v>894</v>
      </c>
      <c r="G1482" s="340" t="s">
        <v>2322</v>
      </c>
      <c r="I1482" s="340" t="s">
        <v>740</v>
      </c>
      <c r="K1482" s="343">
        <v>0</v>
      </c>
      <c r="L1482" s="343">
        <v>-100</v>
      </c>
      <c r="M1482" s="343">
        <v>-1252825.57</v>
      </c>
      <c r="O1482" s="343">
        <v>0</v>
      </c>
    </row>
    <row r="1483" spans="1:15" x14ac:dyDescent="0.3">
      <c r="A1483" s="340" t="s">
        <v>891</v>
      </c>
      <c r="B1483" s="350">
        <v>46107</v>
      </c>
      <c r="C1483" s="350">
        <v>46107</v>
      </c>
      <c r="D1483" s="351">
        <v>46082</v>
      </c>
      <c r="E1483" s="340" t="s">
        <v>2323</v>
      </c>
      <c r="F1483" s="340" t="s">
        <v>894</v>
      </c>
      <c r="G1483" s="340" t="s">
        <v>2324</v>
      </c>
      <c r="I1483" s="340" t="s">
        <v>740</v>
      </c>
      <c r="K1483" s="343">
        <v>0</v>
      </c>
      <c r="L1483" s="343">
        <v>-570</v>
      </c>
      <c r="M1483" s="343">
        <v>-1253395.57</v>
      </c>
      <c r="O1483" s="343">
        <v>0</v>
      </c>
    </row>
    <row r="1484" spans="1:15" x14ac:dyDescent="0.3">
      <c r="A1484" s="340" t="s">
        <v>891</v>
      </c>
      <c r="B1484" s="350">
        <v>46107</v>
      </c>
      <c r="C1484" s="350">
        <v>46107</v>
      </c>
      <c r="D1484" s="351">
        <v>46082</v>
      </c>
      <c r="E1484" s="340" t="s">
        <v>2323</v>
      </c>
      <c r="F1484" s="340" t="s">
        <v>894</v>
      </c>
      <c r="G1484" s="340" t="s">
        <v>2325</v>
      </c>
      <c r="I1484" s="340" t="s">
        <v>740</v>
      </c>
      <c r="K1484" s="343">
        <v>0</v>
      </c>
      <c r="L1484" s="343">
        <v>-115</v>
      </c>
      <c r="M1484" s="343">
        <v>-1253510.57</v>
      </c>
      <c r="O1484" s="343">
        <v>0</v>
      </c>
    </row>
    <row r="1485" spans="1:15" x14ac:dyDescent="0.3">
      <c r="A1485" s="340" t="s">
        <v>891</v>
      </c>
      <c r="B1485" s="350">
        <v>46107</v>
      </c>
      <c r="C1485" s="350">
        <v>46107</v>
      </c>
      <c r="D1485" s="351">
        <v>46082</v>
      </c>
      <c r="E1485" s="340" t="s">
        <v>2326</v>
      </c>
      <c r="F1485" s="340" t="s">
        <v>894</v>
      </c>
      <c r="G1485" s="340" t="s">
        <v>2327</v>
      </c>
      <c r="I1485" s="340" t="s">
        <v>740</v>
      </c>
      <c r="K1485" s="343">
        <v>0</v>
      </c>
      <c r="L1485" s="343">
        <v>-55</v>
      </c>
      <c r="M1485" s="343">
        <v>-1253565.57</v>
      </c>
      <c r="O1485" s="343">
        <v>0</v>
      </c>
    </row>
    <row r="1486" spans="1:15" x14ac:dyDescent="0.3">
      <c r="A1486" s="340" t="s">
        <v>891</v>
      </c>
      <c r="B1486" s="350">
        <v>46107</v>
      </c>
      <c r="C1486" s="350">
        <v>46107</v>
      </c>
      <c r="D1486" s="351">
        <v>46082</v>
      </c>
      <c r="E1486" s="340" t="s">
        <v>2326</v>
      </c>
      <c r="F1486" s="340" t="s">
        <v>894</v>
      </c>
      <c r="G1486" s="340" t="s">
        <v>1298</v>
      </c>
      <c r="I1486" s="340" t="s">
        <v>740</v>
      </c>
      <c r="K1486" s="343">
        <v>0</v>
      </c>
      <c r="L1486" s="343">
        <v>-64.95</v>
      </c>
      <c r="M1486" s="343">
        <v>-1253630.52</v>
      </c>
      <c r="O1486" s="343">
        <v>0</v>
      </c>
    </row>
    <row r="1487" spans="1:15" x14ac:dyDescent="0.3">
      <c r="A1487" s="340" t="s">
        <v>891</v>
      </c>
      <c r="B1487" s="350">
        <v>46107</v>
      </c>
      <c r="C1487" s="350">
        <v>46107</v>
      </c>
      <c r="D1487" s="351">
        <v>46082</v>
      </c>
      <c r="E1487" s="340" t="s">
        <v>2328</v>
      </c>
      <c r="F1487" s="340" t="s">
        <v>894</v>
      </c>
      <c r="G1487" s="340" t="s">
        <v>2329</v>
      </c>
      <c r="I1487" s="340" t="s">
        <v>740</v>
      </c>
      <c r="K1487" s="343">
        <v>0</v>
      </c>
      <c r="L1487" s="343">
        <v>-260</v>
      </c>
      <c r="M1487" s="343">
        <v>-1253890.52</v>
      </c>
      <c r="O1487" s="343">
        <v>0</v>
      </c>
    </row>
    <row r="1488" spans="1:15" x14ac:dyDescent="0.3">
      <c r="A1488" s="340" t="s">
        <v>891</v>
      </c>
      <c r="B1488" s="350">
        <v>46107</v>
      </c>
      <c r="C1488" s="350">
        <v>46107</v>
      </c>
      <c r="D1488" s="351">
        <v>46082</v>
      </c>
      <c r="E1488" s="340" t="s">
        <v>2328</v>
      </c>
      <c r="F1488" s="340" t="s">
        <v>894</v>
      </c>
      <c r="G1488" s="340" t="s">
        <v>2330</v>
      </c>
      <c r="I1488" s="340" t="s">
        <v>740</v>
      </c>
      <c r="K1488" s="343">
        <v>0</v>
      </c>
      <c r="L1488" s="343">
        <v>-200</v>
      </c>
      <c r="M1488" s="343">
        <v>-1254090.52</v>
      </c>
      <c r="O1488" s="343">
        <v>0</v>
      </c>
    </row>
    <row r="1489" spans="1:15" x14ac:dyDescent="0.3">
      <c r="A1489" s="340" t="s">
        <v>891</v>
      </c>
      <c r="B1489" s="350">
        <v>46107</v>
      </c>
      <c r="C1489" s="350">
        <v>46107</v>
      </c>
      <c r="D1489" s="351">
        <v>46082</v>
      </c>
      <c r="E1489" s="340" t="s">
        <v>2331</v>
      </c>
      <c r="F1489" s="340" t="s">
        <v>894</v>
      </c>
      <c r="G1489" s="340" t="s">
        <v>2332</v>
      </c>
      <c r="I1489" s="340" t="s">
        <v>740</v>
      </c>
      <c r="K1489" s="343">
        <v>0</v>
      </c>
      <c r="L1489" s="343">
        <v>-520</v>
      </c>
      <c r="M1489" s="343">
        <v>-1254610.52</v>
      </c>
      <c r="O1489" s="343">
        <v>0</v>
      </c>
    </row>
    <row r="1490" spans="1:15" x14ac:dyDescent="0.3">
      <c r="A1490" s="340" t="s">
        <v>891</v>
      </c>
      <c r="B1490" s="350">
        <v>46107</v>
      </c>
      <c r="C1490" s="350">
        <v>46107</v>
      </c>
      <c r="D1490" s="351">
        <v>46082</v>
      </c>
      <c r="E1490" s="340" t="s">
        <v>2331</v>
      </c>
      <c r="F1490" s="340" t="s">
        <v>894</v>
      </c>
      <c r="G1490" s="340" t="s">
        <v>2333</v>
      </c>
      <c r="I1490" s="340" t="s">
        <v>740</v>
      </c>
      <c r="K1490" s="343">
        <v>0</v>
      </c>
      <c r="L1490" s="343">
        <v>-555</v>
      </c>
      <c r="M1490" s="343">
        <v>-1255165.52</v>
      </c>
      <c r="O1490" s="343">
        <v>0</v>
      </c>
    </row>
    <row r="1491" spans="1:15" x14ac:dyDescent="0.3">
      <c r="A1491" s="340" t="s">
        <v>891</v>
      </c>
      <c r="B1491" s="350">
        <v>46107</v>
      </c>
      <c r="C1491" s="350">
        <v>46107</v>
      </c>
      <c r="D1491" s="351">
        <v>46082</v>
      </c>
      <c r="E1491" s="340" t="s">
        <v>2334</v>
      </c>
      <c r="F1491" s="340" t="s">
        <v>894</v>
      </c>
      <c r="G1491" s="340" t="s">
        <v>2335</v>
      </c>
      <c r="I1491" s="340" t="s">
        <v>740</v>
      </c>
      <c r="K1491" s="343">
        <v>0</v>
      </c>
      <c r="L1491" s="343">
        <v>-129.9</v>
      </c>
      <c r="M1491" s="343">
        <v>-1255295.42</v>
      </c>
      <c r="O1491" s="343">
        <v>0</v>
      </c>
    </row>
    <row r="1492" spans="1:15" x14ac:dyDescent="0.3">
      <c r="A1492" s="340" t="s">
        <v>891</v>
      </c>
      <c r="B1492" s="350">
        <v>46107</v>
      </c>
      <c r="C1492" s="350">
        <v>46107</v>
      </c>
      <c r="D1492" s="351">
        <v>46082</v>
      </c>
      <c r="E1492" s="340" t="s">
        <v>2336</v>
      </c>
      <c r="F1492" s="340" t="s">
        <v>894</v>
      </c>
      <c r="G1492" s="340" t="s">
        <v>2337</v>
      </c>
      <c r="I1492" s="340" t="s">
        <v>740</v>
      </c>
      <c r="K1492" s="343">
        <v>0</v>
      </c>
      <c r="L1492" s="343">
        <v>-665</v>
      </c>
      <c r="M1492" s="343">
        <v>-1255960.42</v>
      </c>
      <c r="O1492" s="343">
        <v>0</v>
      </c>
    </row>
    <row r="1493" spans="1:15" x14ac:dyDescent="0.3">
      <c r="A1493" s="340" t="s">
        <v>891</v>
      </c>
      <c r="B1493" s="350">
        <v>46107</v>
      </c>
      <c r="C1493" s="350">
        <v>46107</v>
      </c>
      <c r="D1493" s="351">
        <v>46082</v>
      </c>
      <c r="E1493" s="340" t="s">
        <v>2336</v>
      </c>
      <c r="F1493" s="340" t="s">
        <v>894</v>
      </c>
      <c r="G1493" s="340" t="s">
        <v>2325</v>
      </c>
      <c r="I1493" s="340" t="s">
        <v>740</v>
      </c>
      <c r="K1493" s="343">
        <v>0</v>
      </c>
      <c r="L1493" s="343">
        <v>-115</v>
      </c>
      <c r="M1493" s="343">
        <v>-1256075.42</v>
      </c>
      <c r="O1493" s="343">
        <v>0</v>
      </c>
    </row>
    <row r="1494" spans="1:15" x14ac:dyDescent="0.3">
      <c r="A1494" s="340" t="s">
        <v>891</v>
      </c>
      <c r="B1494" s="350">
        <v>46107</v>
      </c>
      <c r="C1494" s="350">
        <v>46107</v>
      </c>
      <c r="D1494" s="351">
        <v>46082</v>
      </c>
      <c r="E1494" s="340" t="s">
        <v>2338</v>
      </c>
      <c r="F1494" s="340" t="s">
        <v>894</v>
      </c>
      <c r="G1494" s="340" t="s">
        <v>2339</v>
      </c>
      <c r="I1494" s="340" t="s">
        <v>740</v>
      </c>
      <c r="K1494" s="343">
        <v>0</v>
      </c>
      <c r="L1494" s="343">
        <v>-260</v>
      </c>
      <c r="M1494" s="343">
        <v>-1256335.42</v>
      </c>
      <c r="O1494" s="343">
        <v>0</v>
      </c>
    </row>
    <row r="1495" spans="1:15" x14ac:dyDescent="0.3">
      <c r="A1495" s="340" t="s">
        <v>891</v>
      </c>
      <c r="B1495" s="350">
        <v>46107</v>
      </c>
      <c r="C1495" s="350">
        <v>46107</v>
      </c>
      <c r="D1495" s="351">
        <v>46082</v>
      </c>
      <c r="E1495" s="340" t="s">
        <v>2338</v>
      </c>
      <c r="F1495" s="340" t="s">
        <v>894</v>
      </c>
      <c r="G1495" s="340" t="s">
        <v>2340</v>
      </c>
      <c r="I1495" s="340" t="s">
        <v>740</v>
      </c>
      <c r="K1495" s="343">
        <v>0</v>
      </c>
      <c r="L1495" s="343">
        <v>-150</v>
      </c>
      <c r="M1495" s="343">
        <v>-1256485.42</v>
      </c>
      <c r="O1495" s="343">
        <v>0</v>
      </c>
    </row>
    <row r="1496" spans="1:15" x14ac:dyDescent="0.3">
      <c r="A1496" s="340" t="s">
        <v>891</v>
      </c>
      <c r="B1496" s="350">
        <v>46107</v>
      </c>
      <c r="C1496" s="350">
        <v>46107</v>
      </c>
      <c r="D1496" s="351">
        <v>46082</v>
      </c>
      <c r="E1496" s="340" t="s">
        <v>2338</v>
      </c>
      <c r="F1496" s="340" t="s">
        <v>894</v>
      </c>
      <c r="G1496" s="340" t="s">
        <v>2341</v>
      </c>
      <c r="I1496" s="340" t="s">
        <v>740</v>
      </c>
      <c r="K1496" s="343">
        <v>0</v>
      </c>
      <c r="L1496" s="343">
        <v>-260</v>
      </c>
      <c r="M1496" s="343">
        <v>-1256745.42</v>
      </c>
      <c r="O1496" s="343">
        <v>0</v>
      </c>
    </row>
    <row r="1497" spans="1:15" x14ac:dyDescent="0.3">
      <c r="A1497" s="340" t="s">
        <v>891</v>
      </c>
      <c r="B1497" s="350">
        <v>46107</v>
      </c>
      <c r="C1497" s="350">
        <v>46107</v>
      </c>
      <c r="D1497" s="351">
        <v>46082</v>
      </c>
      <c r="E1497" s="340" t="s">
        <v>2338</v>
      </c>
      <c r="F1497" s="340" t="s">
        <v>894</v>
      </c>
      <c r="G1497" s="340" t="s">
        <v>2342</v>
      </c>
      <c r="I1497" s="340" t="s">
        <v>740</v>
      </c>
      <c r="K1497" s="343">
        <v>0</v>
      </c>
      <c r="L1497" s="343">
        <v>-260</v>
      </c>
      <c r="M1497" s="343">
        <v>-1257005.42</v>
      </c>
      <c r="O1497" s="343">
        <v>0</v>
      </c>
    </row>
    <row r="1498" spans="1:15" x14ac:dyDescent="0.3">
      <c r="A1498" s="340" t="s">
        <v>891</v>
      </c>
      <c r="B1498" s="350">
        <v>46107</v>
      </c>
      <c r="C1498" s="350">
        <v>46107</v>
      </c>
      <c r="D1498" s="351">
        <v>46082</v>
      </c>
      <c r="E1498" s="340" t="s">
        <v>2343</v>
      </c>
      <c r="F1498" s="340" t="s">
        <v>894</v>
      </c>
      <c r="G1498" s="340" t="s">
        <v>2344</v>
      </c>
      <c r="I1498" s="340" t="s">
        <v>740</v>
      </c>
      <c r="K1498" s="343">
        <v>0</v>
      </c>
      <c r="L1498" s="343">
        <v>-480</v>
      </c>
      <c r="M1498" s="343">
        <v>-1257485.42</v>
      </c>
      <c r="O1498" s="343">
        <v>0</v>
      </c>
    </row>
    <row r="1499" spans="1:15" x14ac:dyDescent="0.3">
      <c r="A1499" s="340" t="s">
        <v>891</v>
      </c>
      <c r="B1499" s="350">
        <v>46107</v>
      </c>
      <c r="C1499" s="350">
        <v>46107</v>
      </c>
      <c r="D1499" s="351">
        <v>46082</v>
      </c>
      <c r="E1499" s="340" t="s">
        <v>2343</v>
      </c>
      <c r="F1499" s="340" t="s">
        <v>894</v>
      </c>
      <c r="G1499" s="340" t="s">
        <v>2345</v>
      </c>
      <c r="I1499" s="340" t="s">
        <v>740</v>
      </c>
      <c r="K1499" s="343">
        <v>0</v>
      </c>
      <c r="L1499" s="343">
        <v>-70</v>
      </c>
      <c r="M1499" s="343">
        <v>-1257555.42</v>
      </c>
      <c r="O1499" s="343">
        <v>0</v>
      </c>
    </row>
    <row r="1500" spans="1:15" x14ac:dyDescent="0.3">
      <c r="A1500" s="340" t="s">
        <v>891</v>
      </c>
      <c r="B1500" s="350">
        <v>46107</v>
      </c>
      <c r="C1500" s="350">
        <v>46107</v>
      </c>
      <c r="D1500" s="351">
        <v>46082</v>
      </c>
      <c r="E1500" s="340" t="s">
        <v>2346</v>
      </c>
      <c r="F1500" s="340" t="s">
        <v>894</v>
      </c>
      <c r="G1500" s="340" t="s">
        <v>2347</v>
      </c>
      <c r="I1500" s="340" t="s">
        <v>740</v>
      </c>
      <c r="K1500" s="343">
        <v>0</v>
      </c>
      <c r="L1500" s="343">
        <v>-530</v>
      </c>
      <c r="M1500" s="343">
        <v>-1258085.42</v>
      </c>
      <c r="O1500" s="343">
        <v>0</v>
      </c>
    </row>
    <row r="1501" spans="1:15" x14ac:dyDescent="0.3">
      <c r="A1501" s="340" t="s">
        <v>891</v>
      </c>
      <c r="B1501" s="350">
        <v>46107</v>
      </c>
      <c r="C1501" s="350">
        <v>46107</v>
      </c>
      <c r="D1501" s="351">
        <v>46082</v>
      </c>
      <c r="E1501" s="340" t="s">
        <v>2346</v>
      </c>
      <c r="F1501" s="340" t="s">
        <v>894</v>
      </c>
      <c r="G1501" s="340" t="s">
        <v>2348</v>
      </c>
      <c r="I1501" s="340" t="s">
        <v>740</v>
      </c>
      <c r="K1501" s="343">
        <v>0</v>
      </c>
      <c r="L1501" s="343">
        <v>-55</v>
      </c>
      <c r="M1501" s="343">
        <v>-1258140.42</v>
      </c>
      <c r="O1501" s="343">
        <v>0</v>
      </c>
    </row>
    <row r="1502" spans="1:15" x14ac:dyDescent="0.3">
      <c r="A1502" s="340" t="s">
        <v>891</v>
      </c>
      <c r="B1502" s="350">
        <v>46107</v>
      </c>
      <c r="C1502" s="350">
        <v>46109</v>
      </c>
      <c r="D1502" s="351">
        <v>46113</v>
      </c>
      <c r="E1502" s="340" t="s">
        <v>2349</v>
      </c>
      <c r="F1502" s="340" t="s">
        <v>894</v>
      </c>
      <c r="G1502" s="340" t="s">
        <v>2350</v>
      </c>
      <c r="I1502" s="340" t="s">
        <v>752</v>
      </c>
      <c r="K1502" s="343">
        <v>0</v>
      </c>
      <c r="L1502" s="343">
        <v>-505.83</v>
      </c>
      <c r="M1502" s="343">
        <v>-1258646.25</v>
      </c>
      <c r="O1502" s="343">
        <v>0</v>
      </c>
    </row>
    <row r="1503" spans="1:15" x14ac:dyDescent="0.3">
      <c r="A1503" s="340" t="s">
        <v>891</v>
      </c>
      <c r="B1503" s="350">
        <v>46107</v>
      </c>
      <c r="C1503" s="350">
        <v>46111</v>
      </c>
      <c r="D1503" s="351">
        <v>46113</v>
      </c>
      <c r="E1503" s="340" t="s">
        <v>2351</v>
      </c>
      <c r="F1503" s="340" t="s">
        <v>894</v>
      </c>
      <c r="G1503" s="340" t="s">
        <v>2352</v>
      </c>
      <c r="I1503" s="340" t="s">
        <v>765</v>
      </c>
      <c r="K1503" s="343">
        <v>0</v>
      </c>
      <c r="L1503" s="343">
        <v>-857.41</v>
      </c>
      <c r="M1503" s="343">
        <v>-1259503.6599999999</v>
      </c>
      <c r="O1503" s="343">
        <v>0</v>
      </c>
    </row>
    <row r="1504" spans="1:15" x14ac:dyDescent="0.3">
      <c r="A1504" s="340" t="s">
        <v>891</v>
      </c>
      <c r="B1504" s="350">
        <v>46107</v>
      </c>
      <c r="C1504" s="350">
        <v>46120</v>
      </c>
      <c r="D1504" s="351">
        <v>46113</v>
      </c>
      <c r="E1504" s="340" t="s">
        <v>2353</v>
      </c>
      <c r="F1504" s="340" t="s">
        <v>894</v>
      </c>
      <c r="G1504" s="340" t="s">
        <v>2213</v>
      </c>
      <c r="I1504" s="340" t="s">
        <v>740</v>
      </c>
      <c r="K1504" s="343">
        <v>0</v>
      </c>
      <c r="L1504" s="343">
        <v>-48.71</v>
      </c>
      <c r="M1504" s="343">
        <v>-1259552.3700000001</v>
      </c>
      <c r="O1504" s="343">
        <v>0</v>
      </c>
    </row>
    <row r="1505" spans="1:15" x14ac:dyDescent="0.3">
      <c r="A1505" s="340" t="s">
        <v>891</v>
      </c>
      <c r="B1505" s="350">
        <v>46107</v>
      </c>
      <c r="C1505" s="350">
        <v>46120</v>
      </c>
      <c r="D1505" s="351">
        <v>46113</v>
      </c>
      <c r="E1505" s="340" t="s">
        <v>2353</v>
      </c>
      <c r="F1505" s="340" t="s">
        <v>894</v>
      </c>
      <c r="G1505" s="340" t="s">
        <v>2354</v>
      </c>
      <c r="I1505" s="340" t="s">
        <v>740</v>
      </c>
      <c r="K1505" s="343">
        <v>0</v>
      </c>
      <c r="L1505" s="343">
        <v>-175</v>
      </c>
      <c r="M1505" s="343">
        <v>-1259727.3700000001</v>
      </c>
      <c r="O1505" s="343">
        <v>0</v>
      </c>
    </row>
    <row r="1506" spans="1:15" x14ac:dyDescent="0.3">
      <c r="A1506" s="340" t="s">
        <v>891</v>
      </c>
      <c r="B1506" s="350">
        <v>46107</v>
      </c>
      <c r="C1506" s="350">
        <v>46129</v>
      </c>
      <c r="D1506" s="351">
        <v>46113</v>
      </c>
      <c r="E1506" s="340" t="s">
        <v>2355</v>
      </c>
      <c r="F1506" s="340" t="s">
        <v>894</v>
      </c>
      <c r="G1506" s="340" t="s">
        <v>2356</v>
      </c>
      <c r="I1506" s="340" t="s">
        <v>740</v>
      </c>
      <c r="K1506" s="343">
        <v>0</v>
      </c>
      <c r="L1506" s="343">
        <v>-216.5</v>
      </c>
      <c r="M1506" s="343">
        <v>-1259943.8700000001</v>
      </c>
      <c r="O1506" s="343">
        <v>0</v>
      </c>
    </row>
    <row r="1507" spans="1:15" x14ac:dyDescent="0.3">
      <c r="A1507" s="340" t="s">
        <v>891</v>
      </c>
      <c r="B1507" s="350">
        <v>46108</v>
      </c>
      <c r="C1507" s="350">
        <v>46107</v>
      </c>
      <c r="D1507" s="351">
        <v>46082</v>
      </c>
      <c r="E1507" s="340" t="s">
        <v>2357</v>
      </c>
      <c r="F1507" s="340" t="s">
        <v>894</v>
      </c>
      <c r="G1507" s="340" t="s">
        <v>2358</v>
      </c>
      <c r="I1507" s="340" t="s">
        <v>740</v>
      </c>
      <c r="K1507" s="343">
        <v>0</v>
      </c>
      <c r="L1507" s="343">
        <v>-510</v>
      </c>
      <c r="M1507" s="343">
        <v>-1260453.8700000001</v>
      </c>
      <c r="O1507" s="343">
        <v>0</v>
      </c>
    </row>
    <row r="1508" spans="1:15" x14ac:dyDescent="0.3">
      <c r="A1508" s="340" t="s">
        <v>891</v>
      </c>
      <c r="B1508" s="350">
        <v>46108</v>
      </c>
      <c r="C1508" s="350">
        <v>46107</v>
      </c>
      <c r="D1508" s="351">
        <v>46082</v>
      </c>
      <c r="E1508" s="340" t="s">
        <v>2359</v>
      </c>
      <c r="F1508" s="340" t="s">
        <v>894</v>
      </c>
      <c r="G1508" s="340" t="s">
        <v>2360</v>
      </c>
      <c r="I1508" s="340" t="s">
        <v>740</v>
      </c>
      <c r="K1508" s="343">
        <v>0</v>
      </c>
      <c r="L1508" s="343">
        <v>-770</v>
      </c>
      <c r="M1508" s="343">
        <v>-1261223.8700000001</v>
      </c>
      <c r="O1508" s="343">
        <v>0</v>
      </c>
    </row>
    <row r="1509" spans="1:15" x14ac:dyDescent="0.3">
      <c r="A1509" s="340" t="s">
        <v>891</v>
      </c>
      <c r="B1509" s="350">
        <v>46108</v>
      </c>
      <c r="C1509" s="350">
        <v>46107</v>
      </c>
      <c r="D1509" s="351">
        <v>46082</v>
      </c>
      <c r="E1509" s="340" t="s">
        <v>2359</v>
      </c>
      <c r="F1509" s="340" t="s">
        <v>894</v>
      </c>
      <c r="G1509" s="340" t="s">
        <v>2361</v>
      </c>
      <c r="I1509" s="340" t="s">
        <v>740</v>
      </c>
      <c r="K1509" s="343">
        <v>0</v>
      </c>
      <c r="L1509" s="343">
        <v>-75</v>
      </c>
      <c r="M1509" s="343">
        <v>-1261298.8700000001</v>
      </c>
      <c r="O1509" s="343">
        <v>0</v>
      </c>
    </row>
    <row r="1510" spans="1:15" x14ac:dyDescent="0.3">
      <c r="A1510" s="340" t="s">
        <v>891</v>
      </c>
      <c r="B1510" s="350">
        <v>46108</v>
      </c>
      <c r="C1510" s="350">
        <v>46107</v>
      </c>
      <c r="D1510" s="351">
        <v>46082</v>
      </c>
      <c r="E1510" s="340" t="s">
        <v>2362</v>
      </c>
      <c r="F1510" s="340" t="s">
        <v>894</v>
      </c>
      <c r="G1510" s="340" t="s">
        <v>2363</v>
      </c>
      <c r="I1510" s="340" t="s">
        <v>740</v>
      </c>
      <c r="K1510" s="343">
        <v>0</v>
      </c>
      <c r="L1510" s="343">
        <v>-770</v>
      </c>
      <c r="M1510" s="343">
        <v>-1262068.8700000001</v>
      </c>
      <c r="O1510" s="343">
        <v>0</v>
      </c>
    </row>
    <row r="1511" spans="1:15" x14ac:dyDescent="0.3">
      <c r="A1511" s="340" t="s">
        <v>891</v>
      </c>
      <c r="B1511" s="350">
        <v>46108</v>
      </c>
      <c r="C1511" s="350">
        <v>46107</v>
      </c>
      <c r="D1511" s="351">
        <v>46082</v>
      </c>
      <c r="E1511" s="340" t="s">
        <v>2362</v>
      </c>
      <c r="F1511" s="340" t="s">
        <v>894</v>
      </c>
      <c r="G1511" s="340" t="s">
        <v>2364</v>
      </c>
      <c r="I1511" s="340" t="s">
        <v>740</v>
      </c>
      <c r="K1511" s="343">
        <v>0</v>
      </c>
      <c r="L1511" s="343">
        <v>-50</v>
      </c>
      <c r="M1511" s="343">
        <v>-1262118.8700000001</v>
      </c>
      <c r="O1511" s="343">
        <v>0</v>
      </c>
    </row>
    <row r="1512" spans="1:15" x14ac:dyDescent="0.3">
      <c r="A1512" s="340" t="s">
        <v>891</v>
      </c>
      <c r="B1512" s="350">
        <v>46108</v>
      </c>
      <c r="C1512" s="350">
        <v>46107</v>
      </c>
      <c r="D1512" s="351">
        <v>46082</v>
      </c>
      <c r="E1512" s="340" t="s">
        <v>2365</v>
      </c>
      <c r="F1512" s="340" t="s">
        <v>894</v>
      </c>
      <c r="G1512" s="340" t="s">
        <v>2366</v>
      </c>
      <c r="I1512" s="340" t="s">
        <v>740</v>
      </c>
      <c r="K1512" s="343">
        <v>0</v>
      </c>
      <c r="L1512" s="343">
        <v>-70.36</v>
      </c>
      <c r="M1512" s="343">
        <v>-1262189.23</v>
      </c>
      <c r="O1512" s="343">
        <v>0</v>
      </c>
    </row>
    <row r="1513" spans="1:15" x14ac:dyDescent="0.3">
      <c r="A1513" s="340" t="s">
        <v>891</v>
      </c>
      <c r="B1513" s="350">
        <v>46108</v>
      </c>
      <c r="C1513" s="350">
        <v>46107</v>
      </c>
      <c r="D1513" s="351">
        <v>46082</v>
      </c>
      <c r="E1513" s="340" t="s">
        <v>2367</v>
      </c>
      <c r="F1513" s="340" t="s">
        <v>894</v>
      </c>
      <c r="G1513" s="340" t="s">
        <v>2368</v>
      </c>
      <c r="I1513" s="340" t="s">
        <v>740</v>
      </c>
      <c r="K1513" s="343">
        <v>0</v>
      </c>
      <c r="L1513" s="343">
        <v>-720</v>
      </c>
      <c r="M1513" s="343">
        <v>-1262909.23</v>
      </c>
      <c r="O1513" s="343">
        <v>0</v>
      </c>
    </row>
    <row r="1514" spans="1:15" x14ac:dyDescent="0.3">
      <c r="A1514" s="340" t="s">
        <v>891</v>
      </c>
      <c r="B1514" s="350">
        <v>46108</v>
      </c>
      <c r="C1514" s="350">
        <v>46107</v>
      </c>
      <c r="D1514" s="351">
        <v>46082</v>
      </c>
      <c r="E1514" s="340" t="s">
        <v>2367</v>
      </c>
      <c r="F1514" s="340" t="s">
        <v>894</v>
      </c>
      <c r="G1514" s="340" t="s">
        <v>2369</v>
      </c>
      <c r="I1514" s="340" t="s">
        <v>740</v>
      </c>
      <c r="K1514" s="343">
        <v>0</v>
      </c>
      <c r="L1514" s="343">
        <v>-115</v>
      </c>
      <c r="M1514" s="343">
        <v>-1263024.23</v>
      </c>
      <c r="O1514" s="343">
        <v>0</v>
      </c>
    </row>
    <row r="1515" spans="1:15" x14ac:dyDescent="0.3">
      <c r="A1515" s="340" t="s">
        <v>891</v>
      </c>
      <c r="B1515" s="350">
        <v>46108</v>
      </c>
      <c r="C1515" s="350">
        <v>46107</v>
      </c>
      <c r="D1515" s="351">
        <v>46082</v>
      </c>
      <c r="E1515" s="340" t="s">
        <v>2370</v>
      </c>
      <c r="F1515" s="340" t="s">
        <v>894</v>
      </c>
      <c r="G1515" s="340" t="s">
        <v>2371</v>
      </c>
      <c r="I1515" s="340" t="s">
        <v>740</v>
      </c>
      <c r="K1515" s="343">
        <v>0</v>
      </c>
      <c r="L1515" s="343">
        <v>-290</v>
      </c>
      <c r="M1515" s="343">
        <v>-1263314.23</v>
      </c>
      <c r="O1515" s="343">
        <v>0</v>
      </c>
    </row>
    <row r="1516" spans="1:15" x14ac:dyDescent="0.3">
      <c r="A1516" s="340" t="s">
        <v>891</v>
      </c>
      <c r="B1516" s="350">
        <v>46108</v>
      </c>
      <c r="C1516" s="350">
        <v>46107</v>
      </c>
      <c r="D1516" s="351">
        <v>46082</v>
      </c>
      <c r="E1516" s="340" t="s">
        <v>2370</v>
      </c>
      <c r="F1516" s="340" t="s">
        <v>894</v>
      </c>
      <c r="G1516" s="340" t="s">
        <v>2372</v>
      </c>
      <c r="I1516" s="340" t="s">
        <v>740</v>
      </c>
      <c r="K1516" s="343">
        <v>0</v>
      </c>
      <c r="L1516" s="343">
        <v>-260</v>
      </c>
      <c r="M1516" s="343">
        <v>-1263574.23</v>
      </c>
      <c r="O1516" s="343">
        <v>0</v>
      </c>
    </row>
    <row r="1517" spans="1:15" x14ac:dyDescent="0.3">
      <c r="A1517" s="340" t="s">
        <v>891</v>
      </c>
      <c r="B1517" s="350">
        <v>46108</v>
      </c>
      <c r="C1517" s="350">
        <v>46107</v>
      </c>
      <c r="D1517" s="351">
        <v>46082</v>
      </c>
      <c r="E1517" s="340" t="s">
        <v>2373</v>
      </c>
      <c r="F1517" s="340" t="s">
        <v>894</v>
      </c>
      <c r="G1517" s="340" t="s">
        <v>2374</v>
      </c>
      <c r="I1517" s="340" t="s">
        <v>740</v>
      </c>
      <c r="K1517" s="343">
        <v>0</v>
      </c>
      <c r="L1517" s="343">
        <v>-480</v>
      </c>
      <c r="M1517" s="343">
        <v>-1264054.23</v>
      </c>
      <c r="O1517" s="343">
        <v>0</v>
      </c>
    </row>
    <row r="1518" spans="1:15" x14ac:dyDescent="0.3">
      <c r="A1518" s="340" t="s">
        <v>891</v>
      </c>
      <c r="B1518" s="350">
        <v>46108</v>
      </c>
      <c r="C1518" s="350">
        <v>46107</v>
      </c>
      <c r="D1518" s="351">
        <v>46082</v>
      </c>
      <c r="E1518" s="340" t="s">
        <v>2373</v>
      </c>
      <c r="F1518" s="340" t="s">
        <v>894</v>
      </c>
      <c r="G1518" s="340" t="s">
        <v>2375</v>
      </c>
      <c r="I1518" s="340" t="s">
        <v>740</v>
      </c>
      <c r="K1518" s="343">
        <v>0</v>
      </c>
      <c r="L1518" s="343">
        <v>-50</v>
      </c>
      <c r="M1518" s="343">
        <v>-1264104.23</v>
      </c>
      <c r="O1518" s="343">
        <v>0</v>
      </c>
    </row>
    <row r="1519" spans="1:15" x14ac:dyDescent="0.3">
      <c r="A1519" s="340" t="s">
        <v>891</v>
      </c>
      <c r="B1519" s="350">
        <v>46108</v>
      </c>
      <c r="C1519" s="350">
        <v>46107</v>
      </c>
      <c r="D1519" s="351">
        <v>46082</v>
      </c>
      <c r="E1519" s="340" t="s">
        <v>2376</v>
      </c>
      <c r="F1519" s="340" t="s">
        <v>894</v>
      </c>
      <c r="G1519" s="340" t="s">
        <v>2377</v>
      </c>
      <c r="I1519" s="340" t="s">
        <v>740</v>
      </c>
      <c r="K1519" s="343">
        <v>0</v>
      </c>
      <c r="L1519" s="343">
        <v>-540</v>
      </c>
      <c r="M1519" s="343">
        <v>-1264644.23</v>
      </c>
      <c r="O1519" s="343">
        <v>0</v>
      </c>
    </row>
    <row r="1520" spans="1:15" x14ac:dyDescent="0.3">
      <c r="A1520" s="340" t="s">
        <v>891</v>
      </c>
      <c r="B1520" s="350">
        <v>46108</v>
      </c>
      <c r="C1520" s="350">
        <v>46107</v>
      </c>
      <c r="D1520" s="351">
        <v>46082</v>
      </c>
      <c r="E1520" s="340" t="s">
        <v>2376</v>
      </c>
      <c r="F1520" s="340" t="s">
        <v>894</v>
      </c>
      <c r="G1520" s="340" t="s">
        <v>2378</v>
      </c>
      <c r="I1520" s="340" t="s">
        <v>740</v>
      </c>
      <c r="K1520" s="343">
        <v>0</v>
      </c>
      <c r="L1520" s="343">
        <v>-350</v>
      </c>
      <c r="M1520" s="343">
        <v>-1264994.23</v>
      </c>
      <c r="O1520" s="343">
        <v>0</v>
      </c>
    </row>
    <row r="1521" spans="1:15" x14ac:dyDescent="0.3">
      <c r="A1521" s="340" t="s">
        <v>891</v>
      </c>
      <c r="B1521" s="350">
        <v>46108</v>
      </c>
      <c r="C1521" s="350">
        <v>46108</v>
      </c>
      <c r="D1521" s="351">
        <v>46082</v>
      </c>
      <c r="E1521" s="340" t="s">
        <v>2379</v>
      </c>
      <c r="F1521" s="340" t="s">
        <v>1078</v>
      </c>
      <c r="G1521" s="340" t="s">
        <v>1039</v>
      </c>
      <c r="I1521" s="340" t="s">
        <v>746</v>
      </c>
      <c r="K1521" s="343">
        <v>8843.67</v>
      </c>
      <c r="L1521" s="343">
        <v>0</v>
      </c>
      <c r="M1521" s="343">
        <v>-1256150.56</v>
      </c>
      <c r="O1521" s="343">
        <v>0</v>
      </c>
    </row>
    <row r="1522" spans="1:15" x14ac:dyDescent="0.3">
      <c r="A1522" s="340" t="s">
        <v>891</v>
      </c>
      <c r="B1522" s="350">
        <v>46108</v>
      </c>
      <c r="C1522" s="350">
        <v>46108</v>
      </c>
      <c r="D1522" s="351">
        <v>46082</v>
      </c>
      <c r="E1522" s="340" t="s">
        <v>2380</v>
      </c>
      <c r="F1522" s="340" t="s">
        <v>1078</v>
      </c>
      <c r="G1522" s="340" t="s">
        <v>1587</v>
      </c>
      <c r="I1522" s="340" t="s">
        <v>755</v>
      </c>
      <c r="K1522" s="343">
        <v>30616.19</v>
      </c>
      <c r="L1522" s="343">
        <v>0</v>
      </c>
      <c r="M1522" s="343">
        <v>-1225534.3700000001</v>
      </c>
      <c r="O1522" s="343">
        <v>0</v>
      </c>
    </row>
    <row r="1523" spans="1:15" x14ac:dyDescent="0.3">
      <c r="A1523" s="340" t="s">
        <v>891</v>
      </c>
      <c r="B1523" s="350">
        <v>46108</v>
      </c>
      <c r="C1523" s="350">
        <v>46109</v>
      </c>
      <c r="D1523" s="351">
        <v>46113</v>
      </c>
      <c r="E1523" s="340" t="s">
        <v>2381</v>
      </c>
      <c r="F1523" s="340" t="s">
        <v>894</v>
      </c>
      <c r="G1523" s="340" t="s">
        <v>2382</v>
      </c>
      <c r="I1523" s="340" t="s">
        <v>747</v>
      </c>
      <c r="K1523" s="343">
        <v>0</v>
      </c>
      <c r="L1523" s="343">
        <v>-200</v>
      </c>
      <c r="M1523" s="343">
        <v>-1225734.3700000001</v>
      </c>
      <c r="O1523" s="343">
        <v>0</v>
      </c>
    </row>
    <row r="1524" spans="1:15" x14ac:dyDescent="0.3">
      <c r="A1524" s="340" t="s">
        <v>891</v>
      </c>
      <c r="B1524" s="350">
        <v>46108</v>
      </c>
      <c r="C1524" s="350">
        <v>46120</v>
      </c>
      <c r="D1524" s="351">
        <v>46113</v>
      </c>
      <c r="E1524" s="340" t="s">
        <v>2383</v>
      </c>
      <c r="F1524" s="340" t="s">
        <v>894</v>
      </c>
      <c r="G1524" s="340" t="s">
        <v>2384</v>
      </c>
      <c r="I1524" s="340" t="s">
        <v>740</v>
      </c>
      <c r="K1524" s="343">
        <v>0</v>
      </c>
      <c r="L1524" s="343">
        <v>-129.9</v>
      </c>
      <c r="M1524" s="343">
        <v>-1225864.27</v>
      </c>
      <c r="O1524" s="343">
        <v>0</v>
      </c>
    </row>
    <row r="1525" spans="1:15" x14ac:dyDescent="0.3">
      <c r="A1525" s="340" t="s">
        <v>891</v>
      </c>
      <c r="B1525" s="350">
        <v>46108</v>
      </c>
      <c r="C1525" s="350">
        <v>46120</v>
      </c>
      <c r="D1525" s="351">
        <v>46113</v>
      </c>
      <c r="E1525" s="340" t="s">
        <v>2383</v>
      </c>
      <c r="F1525" s="340" t="s">
        <v>894</v>
      </c>
      <c r="G1525" s="340" t="s">
        <v>1984</v>
      </c>
      <c r="I1525" s="340" t="s">
        <v>740</v>
      </c>
      <c r="K1525" s="343">
        <v>0</v>
      </c>
      <c r="L1525" s="343">
        <v>-25</v>
      </c>
      <c r="M1525" s="343">
        <v>-1225889.27</v>
      </c>
      <c r="O1525" s="343">
        <v>0</v>
      </c>
    </row>
    <row r="1526" spans="1:15" x14ac:dyDescent="0.3">
      <c r="A1526" s="340" t="s">
        <v>891</v>
      </c>
      <c r="B1526" s="350">
        <v>46108</v>
      </c>
      <c r="C1526" s="350">
        <v>46129</v>
      </c>
      <c r="D1526" s="351">
        <v>46113</v>
      </c>
      <c r="E1526" s="340" t="s">
        <v>2385</v>
      </c>
      <c r="F1526" s="340" t="s">
        <v>894</v>
      </c>
      <c r="G1526" s="340" t="s">
        <v>2386</v>
      </c>
      <c r="I1526" s="340" t="s">
        <v>740</v>
      </c>
      <c r="K1526" s="343">
        <v>0</v>
      </c>
      <c r="L1526" s="343">
        <v>-2350</v>
      </c>
      <c r="M1526" s="343">
        <v>-1228239.27</v>
      </c>
      <c r="O1526" s="343">
        <v>0</v>
      </c>
    </row>
    <row r="1527" spans="1:15" x14ac:dyDescent="0.3">
      <c r="A1527" s="340" t="s">
        <v>891</v>
      </c>
      <c r="B1527" s="350">
        <v>46108</v>
      </c>
      <c r="C1527" s="350">
        <v>46129</v>
      </c>
      <c r="D1527" s="351">
        <v>46113</v>
      </c>
      <c r="E1527" s="340" t="s">
        <v>2385</v>
      </c>
      <c r="F1527" s="340" t="s">
        <v>894</v>
      </c>
      <c r="G1527" s="340" t="s">
        <v>2387</v>
      </c>
      <c r="I1527" s="340" t="s">
        <v>740</v>
      </c>
      <c r="K1527" s="343">
        <v>0</v>
      </c>
      <c r="L1527" s="343">
        <v>-200</v>
      </c>
      <c r="M1527" s="343">
        <v>-1228439.27</v>
      </c>
      <c r="O1527" s="343">
        <v>0</v>
      </c>
    </row>
    <row r="1528" spans="1:15" x14ac:dyDescent="0.3">
      <c r="A1528" s="340" t="s">
        <v>891</v>
      </c>
      <c r="B1528" s="350">
        <v>46108</v>
      </c>
      <c r="C1528" s="350">
        <v>46136</v>
      </c>
      <c r="D1528" s="351">
        <v>46113</v>
      </c>
      <c r="E1528" s="340" t="s">
        <v>2388</v>
      </c>
      <c r="F1528" s="340" t="s">
        <v>894</v>
      </c>
      <c r="G1528" s="340" t="s">
        <v>2389</v>
      </c>
      <c r="I1528" s="340" t="s">
        <v>740</v>
      </c>
      <c r="K1528" s="343">
        <v>0</v>
      </c>
      <c r="L1528" s="343">
        <v>-270.63</v>
      </c>
      <c r="M1528" s="343">
        <v>-1228709.8999999999</v>
      </c>
      <c r="O1528" s="343">
        <v>0</v>
      </c>
    </row>
    <row r="1529" spans="1:15" x14ac:dyDescent="0.3">
      <c r="A1529" s="340" t="s">
        <v>891</v>
      </c>
      <c r="B1529" s="350">
        <v>46109</v>
      </c>
      <c r="C1529" s="350">
        <v>46115</v>
      </c>
      <c r="D1529" s="351">
        <v>46113</v>
      </c>
      <c r="E1529" s="340" t="s">
        <v>2390</v>
      </c>
      <c r="F1529" s="340" t="s">
        <v>894</v>
      </c>
      <c r="G1529" s="340" t="s">
        <v>2391</v>
      </c>
      <c r="I1529" s="340" t="s">
        <v>756</v>
      </c>
      <c r="K1529" s="343">
        <v>0</v>
      </c>
      <c r="L1529" s="343">
        <v>-112.81</v>
      </c>
      <c r="M1529" s="343">
        <v>-1228822.71</v>
      </c>
      <c r="O1529" s="343">
        <v>0</v>
      </c>
    </row>
    <row r="1530" spans="1:15" x14ac:dyDescent="0.3">
      <c r="A1530" s="340" t="s">
        <v>891</v>
      </c>
      <c r="B1530" s="350">
        <v>46109</v>
      </c>
      <c r="C1530" s="350">
        <v>46115</v>
      </c>
      <c r="D1530" s="351">
        <v>46113</v>
      </c>
      <c r="E1530" s="340" t="s">
        <v>2390</v>
      </c>
      <c r="F1530" s="340" t="s">
        <v>894</v>
      </c>
      <c r="G1530" s="340" t="s">
        <v>2392</v>
      </c>
      <c r="I1530" s="340" t="s">
        <v>756</v>
      </c>
      <c r="K1530" s="343">
        <v>0</v>
      </c>
      <c r="L1530" s="343">
        <v>-905.2</v>
      </c>
      <c r="M1530" s="343">
        <v>-1229727.9099999999</v>
      </c>
      <c r="O1530" s="343">
        <v>0</v>
      </c>
    </row>
    <row r="1531" spans="1:15" x14ac:dyDescent="0.3">
      <c r="A1531" s="340" t="s">
        <v>891</v>
      </c>
      <c r="B1531" s="350">
        <v>46109</v>
      </c>
      <c r="C1531" s="350">
        <v>46115</v>
      </c>
      <c r="D1531" s="351">
        <v>46113</v>
      </c>
      <c r="E1531" s="340" t="s">
        <v>2390</v>
      </c>
      <c r="F1531" s="340" t="s">
        <v>894</v>
      </c>
      <c r="G1531" s="340" t="s">
        <v>2393</v>
      </c>
      <c r="I1531" s="340" t="s">
        <v>756</v>
      </c>
      <c r="K1531" s="343">
        <v>0</v>
      </c>
      <c r="L1531" s="343">
        <v>-112.79</v>
      </c>
      <c r="M1531" s="343">
        <v>-1229840.7</v>
      </c>
      <c r="O1531" s="343">
        <v>0</v>
      </c>
    </row>
    <row r="1532" spans="1:15" x14ac:dyDescent="0.3">
      <c r="A1532" s="340" t="s">
        <v>891</v>
      </c>
      <c r="B1532" s="350">
        <v>46111</v>
      </c>
      <c r="C1532" s="350">
        <v>46111</v>
      </c>
      <c r="D1532" s="351">
        <v>46082</v>
      </c>
      <c r="E1532" s="340" t="s">
        <v>2394</v>
      </c>
      <c r="F1532" s="340" t="s">
        <v>1078</v>
      </c>
      <c r="G1532" s="340" t="s">
        <v>1079</v>
      </c>
      <c r="I1532" s="340" t="s">
        <v>2395</v>
      </c>
      <c r="K1532" s="343">
        <v>176</v>
      </c>
      <c r="L1532" s="343">
        <v>0</v>
      </c>
      <c r="M1532" s="343">
        <v>-1229664.7</v>
      </c>
      <c r="O1532" s="343">
        <v>0</v>
      </c>
    </row>
    <row r="1533" spans="1:15" x14ac:dyDescent="0.3">
      <c r="A1533" s="340" t="s">
        <v>891</v>
      </c>
      <c r="B1533" s="350">
        <v>46111</v>
      </c>
      <c r="C1533" s="350">
        <v>46111</v>
      </c>
      <c r="D1533" s="351">
        <v>46082</v>
      </c>
      <c r="E1533" s="340" t="s">
        <v>2394</v>
      </c>
      <c r="F1533" s="340" t="s">
        <v>1078</v>
      </c>
      <c r="G1533" s="340" t="s">
        <v>1079</v>
      </c>
      <c r="I1533" s="340" t="s">
        <v>2395</v>
      </c>
      <c r="K1533" s="343">
        <v>1075</v>
      </c>
      <c r="L1533" s="343">
        <v>0</v>
      </c>
      <c r="M1533" s="343">
        <v>-1228589.7</v>
      </c>
      <c r="O1533" s="343">
        <v>0</v>
      </c>
    </row>
    <row r="1534" spans="1:15" x14ac:dyDescent="0.3">
      <c r="A1534" s="340" t="s">
        <v>891</v>
      </c>
      <c r="B1534" s="350">
        <v>46111</v>
      </c>
      <c r="C1534" s="350">
        <v>46111</v>
      </c>
      <c r="D1534" s="351">
        <v>46082</v>
      </c>
      <c r="E1534" s="340" t="s">
        <v>2394</v>
      </c>
      <c r="F1534" s="340" t="s">
        <v>1078</v>
      </c>
      <c r="G1534" s="340" t="s">
        <v>1079</v>
      </c>
      <c r="I1534" s="340" t="s">
        <v>2395</v>
      </c>
      <c r="K1534" s="343">
        <v>1075</v>
      </c>
      <c r="L1534" s="343">
        <v>0</v>
      </c>
      <c r="M1534" s="343">
        <v>-1227514.7</v>
      </c>
      <c r="O1534" s="343">
        <v>0</v>
      </c>
    </row>
    <row r="1535" spans="1:15" x14ac:dyDescent="0.3">
      <c r="A1535" s="340" t="s">
        <v>891</v>
      </c>
      <c r="B1535" s="350">
        <v>46111</v>
      </c>
      <c r="C1535" s="350">
        <v>46111</v>
      </c>
      <c r="D1535" s="351">
        <v>46082</v>
      </c>
      <c r="E1535" s="340" t="s">
        <v>2394</v>
      </c>
      <c r="F1535" s="340" t="s">
        <v>1078</v>
      </c>
      <c r="G1535" s="340" t="s">
        <v>1079</v>
      </c>
      <c r="I1535" s="340" t="s">
        <v>2395</v>
      </c>
      <c r="K1535" s="343">
        <v>500</v>
      </c>
      <c r="L1535" s="343">
        <v>0</v>
      </c>
      <c r="M1535" s="343">
        <v>-1227014.7</v>
      </c>
      <c r="O1535" s="343">
        <v>0</v>
      </c>
    </row>
    <row r="1536" spans="1:15" x14ac:dyDescent="0.3">
      <c r="A1536" s="340" t="s">
        <v>891</v>
      </c>
      <c r="B1536" s="350">
        <v>46111</v>
      </c>
      <c r="C1536" s="350">
        <v>46111</v>
      </c>
      <c r="D1536" s="351">
        <v>46113</v>
      </c>
      <c r="E1536" s="340" t="s">
        <v>2396</v>
      </c>
      <c r="F1536" s="340" t="s">
        <v>894</v>
      </c>
      <c r="G1536" s="340" t="s">
        <v>2397</v>
      </c>
      <c r="I1536" s="340" t="s">
        <v>764</v>
      </c>
      <c r="K1536" s="343">
        <v>0</v>
      </c>
      <c r="L1536" s="343">
        <v>-54.13</v>
      </c>
      <c r="M1536" s="343">
        <v>-1227068.83</v>
      </c>
      <c r="O1536" s="343">
        <v>0</v>
      </c>
    </row>
    <row r="1537" spans="1:15" x14ac:dyDescent="0.3">
      <c r="A1537" s="340" t="s">
        <v>891</v>
      </c>
      <c r="B1537" s="350">
        <v>46111</v>
      </c>
      <c r="C1537" s="350">
        <v>46111</v>
      </c>
      <c r="D1537" s="351">
        <v>46113</v>
      </c>
      <c r="E1537" s="340" t="s">
        <v>2396</v>
      </c>
      <c r="F1537" s="340" t="s">
        <v>894</v>
      </c>
      <c r="G1537" s="340" t="s">
        <v>2398</v>
      </c>
      <c r="I1537" s="340" t="s">
        <v>764</v>
      </c>
      <c r="K1537" s="343">
        <v>0</v>
      </c>
      <c r="L1537" s="343">
        <v>-162.38</v>
      </c>
      <c r="M1537" s="343">
        <v>-1227231.21</v>
      </c>
      <c r="O1537" s="343">
        <v>0</v>
      </c>
    </row>
    <row r="1538" spans="1:15" x14ac:dyDescent="0.3">
      <c r="A1538" s="340" t="s">
        <v>891</v>
      </c>
      <c r="B1538" s="350">
        <v>46111</v>
      </c>
      <c r="C1538" s="350">
        <v>46111</v>
      </c>
      <c r="D1538" s="351">
        <v>46113</v>
      </c>
      <c r="E1538" s="340" t="s">
        <v>2396</v>
      </c>
      <c r="F1538" s="340" t="s">
        <v>894</v>
      </c>
      <c r="G1538" s="340" t="s">
        <v>2399</v>
      </c>
      <c r="I1538" s="340" t="s">
        <v>764</v>
      </c>
      <c r="K1538" s="343">
        <v>0</v>
      </c>
      <c r="L1538" s="343">
        <v>-97.42</v>
      </c>
      <c r="M1538" s="343">
        <v>-1227328.6299999999</v>
      </c>
      <c r="O1538" s="343">
        <v>0</v>
      </c>
    </row>
    <row r="1539" spans="1:15" x14ac:dyDescent="0.3">
      <c r="A1539" s="340" t="s">
        <v>891</v>
      </c>
      <c r="B1539" s="350">
        <v>46111</v>
      </c>
      <c r="C1539" s="350">
        <v>46111</v>
      </c>
      <c r="D1539" s="351">
        <v>46113</v>
      </c>
      <c r="E1539" s="340" t="s">
        <v>2400</v>
      </c>
      <c r="F1539" s="340" t="s">
        <v>894</v>
      </c>
      <c r="G1539" s="340" t="s">
        <v>2401</v>
      </c>
      <c r="I1539" s="340" t="s">
        <v>764</v>
      </c>
      <c r="K1539" s="343">
        <v>0</v>
      </c>
      <c r="L1539" s="343">
        <v>-54.13</v>
      </c>
      <c r="M1539" s="343">
        <v>-1227382.76</v>
      </c>
      <c r="O1539" s="343">
        <v>0</v>
      </c>
    </row>
    <row r="1540" spans="1:15" x14ac:dyDescent="0.3">
      <c r="A1540" s="340" t="s">
        <v>891</v>
      </c>
      <c r="B1540" s="350">
        <v>46111</v>
      </c>
      <c r="C1540" s="350">
        <v>46111</v>
      </c>
      <c r="D1540" s="351">
        <v>46113</v>
      </c>
      <c r="E1540" s="340" t="s">
        <v>2400</v>
      </c>
      <c r="F1540" s="340" t="s">
        <v>894</v>
      </c>
      <c r="G1540" s="340" t="s">
        <v>2402</v>
      </c>
      <c r="I1540" s="340" t="s">
        <v>764</v>
      </c>
      <c r="K1540" s="343">
        <v>0</v>
      </c>
      <c r="L1540" s="343">
        <v>-54.13</v>
      </c>
      <c r="M1540" s="343">
        <v>-1227436.8899999999</v>
      </c>
      <c r="O1540" s="343">
        <v>0</v>
      </c>
    </row>
    <row r="1541" spans="1:15" x14ac:dyDescent="0.3">
      <c r="A1541" s="340" t="s">
        <v>891</v>
      </c>
      <c r="B1541" s="350">
        <v>46111</v>
      </c>
      <c r="C1541" s="350">
        <v>46111</v>
      </c>
      <c r="D1541" s="351">
        <v>46113</v>
      </c>
      <c r="E1541" s="340" t="s">
        <v>2400</v>
      </c>
      <c r="F1541" s="340" t="s">
        <v>894</v>
      </c>
      <c r="G1541" s="340" t="s">
        <v>2403</v>
      </c>
      <c r="I1541" s="340" t="s">
        <v>764</v>
      </c>
      <c r="K1541" s="343">
        <v>0</v>
      </c>
      <c r="L1541" s="343">
        <v>-86.6</v>
      </c>
      <c r="M1541" s="343">
        <v>-1227523.49</v>
      </c>
      <c r="O1541" s="343">
        <v>0</v>
      </c>
    </row>
    <row r="1542" spans="1:15" x14ac:dyDescent="0.3">
      <c r="A1542" s="340" t="s">
        <v>891</v>
      </c>
      <c r="B1542" s="350">
        <v>46111</v>
      </c>
      <c r="C1542" s="350">
        <v>46111</v>
      </c>
      <c r="D1542" s="351">
        <v>46113</v>
      </c>
      <c r="E1542" s="340" t="s">
        <v>2400</v>
      </c>
      <c r="F1542" s="340" t="s">
        <v>894</v>
      </c>
      <c r="G1542" s="340" t="s">
        <v>2404</v>
      </c>
      <c r="I1542" s="340" t="s">
        <v>764</v>
      </c>
      <c r="K1542" s="343">
        <v>0</v>
      </c>
      <c r="L1542" s="343">
        <v>-119.07</v>
      </c>
      <c r="M1542" s="343">
        <v>-1227642.56</v>
      </c>
      <c r="O1542" s="343">
        <v>0</v>
      </c>
    </row>
    <row r="1543" spans="1:15" x14ac:dyDescent="0.3">
      <c r="A1543" s="340" t="s">
        <v>891</v>
      </c>
      <c r="B1543" s="350">
        <v>46111</v>
      </c>
      <c r="C1543" s="350">
        <v>46115</v>
      </c>
      <c r="D1543" s="351">
        <v>46113</v>
      </c>
      <c r="E1543" s="340" t="s">
        <v>2405</v>
      </c>
      <c r="F1543" s="340" t="s">
        <v>894</v>
      </c>
      <c r="G1543" s="340" t="s">
        <v>2406</v>
      </c>
      <c r="I1543" s="340" t="s">
        <v>752</v>
      </c>
      <c r="K1543" s="343">
        <v>0</v>
      </c>
      <c r="L1543" s="343">
        <v>-195.28</v>
      </c>
      <c r="M1543" s="343">
        <v>-1227837.8400000001</v>
      </c>
      <c r="O1543" s="343">
        <v>0</v>
      </c>
    </row>
    <row r="1544" spans="1:15" x14ac:dyDescent="0.3">
      <c r="A1544" s="340" t="s">
        <v>891</v>
      </c>
      <c r="B1544" s="350">
        <v>46112</v>
      </c>
      <c r="C1544" s="350">
        <v>46112</v>
      </c>
      <c r="D1544" s="351">
        <v>46082</v>
      </c>
      <c r="E1544" s="340" t="s">
        <v>2407</v>
      </c>
      <c r="F1544" s="340" t="s">
        <v>1078</v>
      </c>
      <c r="G1544" s="340" t="s">
        <v>951</v>
      </c>
      <c r="I1544" s="340" t="s">
        <v>952</v>
      </c>
      <c r="K1544" s="343">
        <v>460.55</v>
      </c>
      <c r="L1544" s="343">
        <v>0</v>
      </c>
      <c r="M1544" s="343">
        <v>-1227377.29</v>
      </c>
      <c r="O1544" s="343">
        <v>0</v>
      </c>
    </row>
    <row r="1545" spans="1:15" x14ac:dyDescent="0.3">
      <c r="A1545" s="340" t="s">
        <v>891</v>
      </c>
      <c r="B1545" s="350">
        <v>46112</v>
      </c>
      <c r="C1545" s="350">
        <v>46112</v>
      </c>
      <c r="D1545" s="351">
        <v>46113</v>
      </c>
      <c r="E1545" s="340" t="s">
        <v>2408</v>
      </c>
      <c r="F1545" s="340" t="s">
        <v>894</v>
      </c>
      <c r="G1545" s="340" t="s">
        <v>2409</v>
      </c>
      <c r="I1545" s="340" t="s">
        <v>745</v>
      </c>
      <c r="K1545" s="343">
        <v>0</v>
      </c>
      <c r="L1545" s="343">
        <v>-59.48</v>
      </c>
      <c r="M1545" s="343">
        <v>-1227436.77</v>
      </c>
      <c r="O1545" s="343">
        <v>0</v>
      </c>
    </row>
    <row r="1546" spans="1:15" x14ac:dyDescent="0.3">
      <c r="A1546" s="340" t="s">
        <v>891</v>
      </c>
      <c r="B1546" s="350">
        <v>46112</v>
      </c>
      <c r="C1546" s="350">
        <v>46112</v>
      </c>
      <c r="D1546" s="351">
        <v>46113</v>
      </c>
      <c r="E1546" s="340" t="s">
        <v>2408</v>
      </c>
      <c r="F1546" s="340" t="s">
        <v>894</v>
      </c>
      <c r="G1546" s="340" t="s">
        <v>2410</v>
      </c>
      <c r="I1546" s="340" t="s">
        <v>745</v>
      </c>
      <c r="K1546" s="343">
        <v>0</v>
      </c>
      <c r="L1546" s="343">
        <v>-142.81</v>
      </c>
      <c r="M1546" s="343">
        <v>-1227579.58</v>
      </c>
      <c r="O1546" s="343">
        <v>0</v>
      </c>
    </row>
    <row r="1547" spans="1:15" x14ac:dyDescent="0.3">
      <c r="A1547" s="340" t="s">
        <v>891</v>
      </c>
      <c r="B1547" s="350">
        <v>46112</v>
      </c>
      <c r="C1547" s="350">
        <v>46112</v>
      </c>
      <c r="D1547" s="351">
        <v>46113</v>
      </c>
      <c r="E1547" s="340" t="s">
        <v>2408</v>
      </c>
      <c r="F1547" s="340" t="s">
        <v>894</v>
      </c>
      <c r="G1547" s="340" t="s">
        <v>2411</v>
      </c>
      <c r="I1547" s="340" t="s">
        <v>745</v>
      </c>
      <c r="K1547" s="343">
        <v>0</v>
      </c>
      <c r="L1547" s="343">
        <v>-142.81</v>
      </c>
      <c r="M1547" s="343">
        <v>-1227722.3899999999</v>
      </c>
      <c r="O1547" s="343">
        <v>0</v>
      </c>
    </row>
    <row r="1548" spans="1:15" x14ac:dyDescent="0.3">
      <c r="A1548" s="340" t="s">
        <v>891</v>
      </c>
      <c r="B1548" s="350">
        <v>46112</v>
      </c>
      <c r="C1548" s="350">
        <v>46112</v>
      </c>
      <c r="D1548" s="351">
        <v>46113</v>
      </c>
      <c r="E1548" s="340" t="s">
        <v>2408</v>
      </c>
      <c r="F1548" s="340" t="s">
        <v>894</v>
      </c>
      <c r="G1548" s="340" t="s">
        <v>2412</v>
      </c>
      <c r="I1548" s="340" t="s">
        <v>745</v>
      </c>
      <c r="K1548" s="343">
        <v>0</v>
      </c>
      <c r="L1548" s="343">
        <v>-142.81</v>
      </c>
      <c r="M1548" s="343">
        <v>-1227865.2</v>
      </c>
      <c r="O1548" s="343">
        <v>0</v>
      </c>
    </row>
    <row r="1549" spans="1:15" x14ac:dyDescent="0.3">
      <c r="A1549" s="340" t="s">
        <v>891</v>
      </c>
      <c r="B1549" s="350">
        <v>46112</v>
      </c>
      <c r="C1549" s="350">
        <v>46112</v>
      </c>
      <c r="D1549" s="351">
        <v>46113</v>
      </c>
      <c r="E1549" s="340" t="s">
        <v>2408</v>
      </c>
      <c r="F1549" s="340" t="s">
        <v>894</v>
      </c>
      <c r="G1549" s="340" t="s">
        <v>1561</v>
      </c>
      <c r="I1549" s="340" t="s">
        <v>745</v>
      </c>
      <c r="K1549" s="343">
        <v>0</v>
      </c>
      <c r="L1549" s="343">
        <v>-284.14999999999998</v>
      </c>
      <c r="M1549" s="343">
        <v>-1228149.3500000001</v>
      </c>
      <c r="O1549" s="343">
        <v>0</v>
      </c>
    </row>
    <row r="1550" spans="1:15" x14ac:dyDescent="0.3">
      <c r="A1550" s="340" t="s">
        <v>891</v>
      </c>
      <c r="B1550" s="350">
        <v>46112</v>
      </c>
      <c r="C1550" s="350">
        <v>46112</v>
      </c>
      <c r="D1550" s="351">
        <v>46113</v>
      </c>
      <c r="E1550" s="340" t="s">
        <v>2408</v>
      </c>
      <c r="F1550" s="340" t="s">
        <v>894</v>
      </c>
      <c r="G1550" s="340" t="s">
        <v>1559</v>
      </c>
      <c r="I1550" s="340" t="s">
        <v>745</v>
      </c>
      <c r="K1550" s="343">
        <v>0</v>
      </c>
      <c r="L1550" s="343">
        <v>-138</v>
      </c>
      <c r="M1550" s="343">
        <v>-1228287.3500000001</v>
      </c>
      <c r="O1550" s="343">
        <v>0</v>
      </c>
    </row>
    <row r="1551" spans="1:15" x14ac:dyDescent="0.3">
      <c r="A1551" s="340" t="s">
        <v>891</v>
      </c>
      <c r="B1551" s="350">
        <v>46112</v>
      </c>
      <c r="C1551" s="350">
        <v>46112</v>
      </c>
      <c r="D1551" s="351">
        <v>46113</v>
      </c>
      <c r="E1551" s="340" t="s">
        <v>2408</v>
      </c>
      <c r="F1551" s="340" t="s">
        <v>894</v>
      </c>
      <c r="G1551" s="340" t="s">
        <v>2170</v>
      </c>
      <c r="I1551" s="340" t="s">
        <v>745</v>
      </c>
      <c r="K1551" s="343">
        <v>0</v>
      </c>
      <c r="L1551" s="343">
        <v>-211.03</v>
      </c>
      <c r="M1551" s="343">
        <v>-1228498.3799999999</v>
      </c>
      <c r="O1551" s="343">
        <v>0</v>
      </c>
    </row>
    <row r="1552" spans="1:15" x14ac:dyDescent="0.3">
      <c r="A1552" s="340" t="s">
        <v>891</v>
      </c>
      <c r="B1552" s="350">
        <v>46112</v>
      </c>
      <c r="C1552" s="350">
        <v>46112</v>
      </c>
      <c r="D1552" s="351">
        <v>46113</v>
      </c>
      <c r="E1552" s="340" t="s">
        <v>2408</v>
      </c>
      <c r="F1552" s="340" t="s">
        <v>894</v>
      </c>
      <c r="G1552" s="340" t="s">
        <v>1544</v>
      </c>
      <c r="I1552" s="340" t="s">
        <v>745</v>
      </c>
      <c r="K1552" s="343">
        <v>0</v>
      </c>
      <c r="L1552" s="343">
        <v>-169.54</v>
      </c>
      <c r="M1552" s="343">
        <v>-1228667.92</v>
      </c>
      <c r="O1552" s="343">
        <v>0</v>
      </c>
    </row>
    <row r="1553" spans="1:15" x14ac:dyDescent="0.3">
      <c r="A1553" s="340" t="s">
        <v>891</v>
      </c>
      <c r="B1553" s="350">
        <v>46112</v>
      </c>
      <c r="C1553" s="350">
        <v>46112</v>
      </c>
      <c r="D1553" s="351">
        <v>46113</v>
      </c>
      <c r="E1553" s="340" t="s">
        <v>2408</v>
      </c>
      <c r="F1553" s="340" t="s">
        <v>894</v>
      </c>
      <c r="G1553" s="340" t="s">
        <v>2413</v>
      </c>
      <c r="I1553" s="340" t="s">
        <v>745</v>
      </c>
      <c r="K1553" s="343">
        <v>0</v>
      </c>
      <c r="L1553" s="343">
        <v>-345.73</v>
      </c>
      <c r="M1553" s="343">
        <v>-1229013.6499999999</v>
      </c>
      <c r="O1553" s="343">
        <v>0</v>
      </c>
    </row>
    <row r="1554" spans="1:15" x14ac:dyDescent="0.3">
      <c r="A1554" s="340" t="s">
        <v>891</v>
      </c>
      <c r="B1554" s="350">
        <v>46112</v>
      </c>
      <c r="C1554" s="350">
        <v>46112</v>
      </c>
      <c r="D1554" s="351">
        <v>46113</v>
      </c>
      <c r="E1554" s="340" t="s">
        <v>2408</v>
      </c>
      <c r="F1554" s="340" t="s">
        <v>894</v>
      </c>
      <c r="G1554" s="340" t="s">
        <v>2414</v>
      </c>
      <c r="I1554" s="340" t="s">
        <v>745</v>
      </c>
      <c r="K1554" s="343">
        <v>0</v>
      </c>
      <c r="L1554" s="343">
        <v>-20.9</v>
      </c>
      <c r="M1554" s="343">
        <v>-1229034.55</v>
      </c>
      <c r="O1554" s="343">
        <v>0</v>
      </c>
    </row>
    <row r="1555" spans="1:15" x14ac:dyDescent="0.3">
      <c r="A1555" s="340" t="s">
        <v>891</v>
      </c>
      <c r="B1555" s="350">
        <v>46112</v>
      </c>
      <c r="C1555" s="350">
        <v>46112</v>
      </c>
      <c r="D1555" s="351">
        <v>46113</v>
      </c>
      <c r="E1555" s="340" t="s">
        <v>2408</v>
      </c>
      <c r="F1555" s="340" t="s">
        <v>894</v>
      </c>
      <c r="G1555" s="340" t="s">
        <v>2415</v>
      </c>
      <c r="I1555" s="340" t="s">
        <v>745</v>
      </c>
      <c r="K1555" s="343">
        <v>0</v>
      </c>
      <c r="L1555" s="343">
        <v>-89.9</v>
      </c>
      <c r="M1555" s="343">
        <v>-1229124.45</v>
      </c>
      <c r="O1555" s="343">
        <v>0</v>
      </c>
    </row>
    <row r="1556" spans="1:15" x14ac:dyDescent="0.3">
      <c r="A1556" s="340" t="s">
        <v>891</v>
      </c>
      <c r="B1556" s="350">
        <v>46112</v>
      </c>
      <c r="C1556" s="350">
        <v>46112</v>
      </c>
      <c r="D1556" s="351">
        <v>46113</v>
      </c>
      <c r="E1556" s="340" t="s">
        <v>2408</v>
      </c>
      <c r="F1556" s="340" t="s">
        <v>894</v>
      </c>
      <c r="G1556" s="340" t="s">
        <v>2416</v>
      </c>
      <c r="I1556" s="340" t="s">
        <v>745</v>
      </c>
      <c r="K1556" s="343">
        <v>0</v>
      </c>
      <c r="L1556" s="343">
        <v>-80.45</v>
      </c>
      <c r="M1556" s="343">
        <v>-1229204.8999999999</v>
      </c>
      <c r="O1556" s="343">
        <v>0</v>
      </c>
    </row>
    <row r="1557" spans="1:15" x14ac:dyDescent="0.3">
      <c r="A1557" s="340" t="s">
        <v>891</v>
      </c>
      <c r="B1557" s="350">
        <v>46112</v>
      </c>
      <c r="C1557" s="350">
        <v>46112</v>
      </c>
      <c r="D1557" s="351">
        <v>46113</v>
      </c>
      <c r="E1557" s="340" t="s">
        <v>2408</v>
      </c>
      <c r="F1557" s="340" t="s">
        <v>894</v>
      </c>
      <c r="G1557" s="340" t="s">
        <v>2417</v>
      </c>
      <c r="I1557" s="340" t="s">
        <v>745</v>
      </c>
      <c r="K1557" s="343">
        <v>0</v>
      </c>
      <c r="L1557" s="343">
        <v>-616.26</v>
      </c>
      <c r="M1557" s="343">
        <v>-1229821.1599999999</v>
      </c>
      <c r="O1557" s="343">
        <v>0</v>
      </c>
    </row>
    <row r="1558" spans="1:15" x14ac:dyDescent="0.3">
      <c r="A1558" s="340" t="s">
        <v>891</v>
      </c>
      <c r="B1558" s="350">
        <v>46112</v>
      </c>
      <c r="C1558" s="350">
        <v>46112</v>
      </c>
      <c r="D1558" s="351">
        <v>46113</v>
      </c>
      <c r="E1558" s="340" t="s">
        <v>2408</v>
      </c>
      <c r="F1558" s="340" t="s">
        <v>894</v>
      </c>
      <c r="G1558" s="340" t="s">
        <v>2418</v>
      </c>
      <c r="I1558" s="340" t="s">
        <v>745</v>
      </c>
      <c r="K1558" s="343">
        <v>0</v>
      </c>
      <c r="L1558" s="343">
        <v>-327.01</v>
      </c>
      <c r="M1558" s="343">
        <v>-1230148.17</v>
      </c>
      <c r="O1558" s="343">
        <v>0</v>
      </c>
    </row>
    <row r="1559" spans="1:15" x14ac:dyDescent="0.3">
      <c r="A1559" s="340" t="s">
        <v>891</v>
      </c>
      <c r="B1559" s="350">
        <v>46112</v>
      </c>
      <c r="C1559" s="350">
        <v>46112</v>
      </c>
      <c r="D1559" s="351">
        <v>46113</v>
      </c>
      <c r="E1559" s="340" t="s">
        <v>2408</v>
      </c>
      <c r="F1559" s="340" t="s">
        <v>894</v>
      </c>
      <c r="G1559" s="340" t="s">
        <v>2419</v>
      </c>
      <c r="I1559" s="340" t="s">
        <v>745</v>
      </c>
      <c r="K1559" s="343">
        <v>0</v>
      </c>
      <c r="L1559" s="343">
        <v>-223.24</v>
      </c>
      <c r="M1559" s="343">
        <v>-1230371.4099999999</v>
      </c>
      <c r="O1559" s="343">
        <v>0</v>
      </c>
    </row>
    <row r="1560" spans="1:15" x14ac:dyDescent="0.3">
      <c r="A1560" s="340" t="s">
        <v>891</v>
      </c>
      <c r="B1560" s="350">
        <v>46112</v>
      </c>
      <c r="C1560" s="350">
        <v>46112</v>
      </c>
      <c r="D1560" s="351">
        <v>46113</v>
      </c>
      <c r="E1560" s="340" t="s">
        <v>2408</v>
      </c>
      <c r="F1560" s="340" t="s">
        <v>894</v>
      </c>
      <c r="G1560" s="340" t="s">
        <v>2420</v>
      </c>
      <c r="I1560" s="340" t="s">
        <v>745</v>
      </c>
      <c r="K1560" s="343">
        <v>0</v>
      </c>
      <c r="L1560" s="343">
        <v>-152.6</v>
      </c>
      <c r="M1560" s="343">
        <v>-1230524.01</v>
      </c>
      <c r="O1560" s="343">
        <v>0</v>
      </c>
    </row>
    <row r="1561" spans="1:15" x14ac:dyDescent="0.3">
      <c r="A1561" s="340" t="s">
        <v>891</v>
      </c>
      <c r="B1561" s="350">
        <v>46112</v>
      </c>
      <c r="C1561" s="350">
        <v>46113</v>
      </c>
      <c r="D1561" s="351">
        <v>46113</v>
      </c>
      <c r="E1561" s="340" t="s">
        <v>2421</v>
      </c>
      <c r="F1561" s="340" t="s">
        <v>894</v>
      </c>
      <c r="G1561" s="340" t="s">
        <v>2422</v>
      </c>
      <c r="I1561" s="340" t="s">
        <v>740</v>
      </c>
      <c r="K1561" s="343">
        <v>0</v>
      </c>
      <c r="L1561" s="343">
        <v>-570</v>
      </c>
      <c r="M1561" s="343">
        <v>-1231094.01</v>
      </c>
      <c r="O1561" s="343">
        <v>0</v>
      </c>
    </row>
    <row r="1562" spans="1:15" x14ac:dyDescent="0.3">
      <c r="A1562" s="340" t="s">
        <v>891</v>
      </c>
      <c r="B1562" s="350">
        <v>46112</v>
      </c>
      <c r="C1562" s="350">
        <v>46115</v>
      </c>
      <c r="D1562" s="351">
        <v>46113</v>
      </c>
      <c r="E1562" s="340" t="s">
        <v>1232</v>
      </c>
      <c r="F1562" s="340" t="s">
        <v>894</v>
      </c>
      <c r="G1562" s="340" t="s">
        <v>1487</v>
      </c>
      <c r="I1562" s="340" t="s">
        <v>2423</v>
      </c>
      <c r="K1562" s="343">
        <v>0</v>
      </c>
      <c r="L1562" s="343">
        <v>-1</v>
      </c>
      <c r="M1562" s="343">
        <v>-1231095.01</v>
      </c>
      <c r="O1562" s="343">
        <v>0</v>
      </c>
    </row>
    <row r="1563" spans="1:15" x14ac:dyDescent="0.3">
      <c r="A1563" s="340" t="s">
        <v>891</v>
      </c>
      <c r="B1563" s="350">
        <v>46112</v>
      </c>
      <c r="C1563" s="350">
        <v>46115</v>
      </c>
      <c r="D1563" s="351">
        <v>46113</v>
      </c>
      <c r="E1563" s="340" t="s">
        <v>1232</v>
      </c>
      <c r="F1563" s="340" t="s">
        <v>894</v>
      </c>
      <c r="G1563" s="340" t="s">
        <v>1487</v>
      </c>
      <c r="I1563" s="340" t="s">
        <v>2424</v>
      </c>
      <c r="K1563" s="343">
        <v>0</v>
      </c>
      <c r="L1563" s="343">
        <v>-1</v>
      </c>
      <c r="M1563" s="343">
        <v>-1231096.01</v>
      </c>
      <c r="O1563" s="343">
        <v>0</v>
      </c>
    </row>
    <row r="1564" spans="1:15" x14ac:dyDescent="0.3">
      <c r="A1564" s="340" t="s">
        <v>891</v>
      </c>
      <c r="B1564" s="350">
        <v>46112</v>
      </c>
      <c r="C1564" s="350">
        <v>46115</v>
      </c>
      <c r="D1564" s="351">
        <v>46113</v>
      </c>
      <c r="E1564" s="340" t="s">
        <v>2425</v>
      </c>
      <c r="F1564" s="340" t="s">
        <v>894</v>
      </c>
      <c r="G1564" s="340" t="s">
        <v>2426</v>
      </c>
      <c r="I1564" s="340" t="s">
        <v>752</v>
      </c>
      <c r="K1564" s="343">
        <v>0</v>
      </c>
      <c r="L1564" s="343">
        <v>-62.76</v>
      </c>
      <c r="M1564" s="343">
        <v>-1231158.77</v>
      </c>
      <c r="O1564" s="343">
        <v>0</v>
      </c>
    </row>
    <row r="1565" spans="1:15" x14ac:dyDescent="0.3">
      <c r="A1565" s="340" t="s">
        <v>891</v>
      </c>
      <c r="B1565" s="350">
        <v>46112</v>
      </c>
      <c r="C1565" s="350">
        <v>46115</v>
      </c>
      <c r="D1565" s="351">
        <v>46113</v>
      </c>
      <c r="E1565" s="340" t="s">
        <v>2425</v>
      </c>
      <c r="F1565" s="340" t="s">
        <v>894</v>
      </c>
      <c r="G1565" s="340" t="s">
        <v>2427</v>
      </c>
      <c r="I1565" s="340" t="s">
        <v>752</v>
      </c>
      <c r="K1565" s="343">
        <v>0</v>
      </c>
      <c r="L1565" s="343">
        <v>-93.25</v>
      </c>
      <c r="M1565" s="343">
        <v>-1231252.02</v>
      </c>
      <c r="O1565" s="343">
        <v>0</v>
      </c>
    </row>
    <row r="1566" spans="1:15" x14ac:dyDescent="0.3">
      <c r="A1566" s="340" t="s">
        <v>891</v>
      </c>
      <c r="B1566" s="350">
        <v>46112</v>
      </c>
      <c r="C1566" s="350">
        <v>46117</v>
      </c>
      <c r="D1566" s="351">
        <v>46113</v>
      </c>
      <c r="E1566" s="340" t="s">
        <v>2428</v>
      </c>
      <c r="F1566" s="340" t="s">
        <v>894</v>
      </c>
      <c r="G1566" s="340" t="s">
        <v>2429</v>
      </c>
      <c r="I1566" s="340" t="s">
        <v>740</v>
      </c>
      <c r="K1566" s="343">
        <v>0</v>
      </c>
      <c r="L1566" s="343">
        <v>-480</v>
      </c>
      <c r="M1566" s="343">
        <v>-1231732.02</v>
      </c>
      <c r="O1566" s="343">
        <v>0</v>
      </c>
    </row>
    <row r="1567" spans="1:15" x14ac:dyDescent="0.3">
      <c r="A1567" s="340" t="s">
        <v>891</v>
      </c>
      <c r="B1567" s="350">
        <v>46112</v>
      </c>
      <c r="C1567" s="350">
        <v>46117</v>
      </c>
      <c r="D1567" s="351">
        <v>46113</v>
      </c>
      <c r="E1567" s="340" t="s">
        <v>2428</v>
      </c>
      <c r="F1567" s="340" t="s">
        <v>894</v>
      </c>
      <c r="G1567" s="340" t="s">
        <v>2430</v>
      </c>
      <c r="I1567" s="340" t="s">
        <v>740</v>
      </c>
      <c r="K1567" s="343">
        <v>0</v>
      </c>
      <c r="L1567" s="343">
        <v>-570</v>
      </c>
      <c r="M1567" s="343">
        <v>-1232302.02</v>
      </c>
      <c r="O1567" s="343">
        <v>0</v>
      </c>
    </row>
    <row r="1568" spans="1:15" x14ac:dyDescent="0.3">
      <c r="A1568" s="340" t="s">
        <v>891</v>
      </c>
      <c r="B1568" s="350">
        <v>46112</v>
      </c>
      <c r="C1568" s="350">
        <v>46117</v>
      </c>
      <c r="D1568" s="351">
        <v>46113</v>
      </c>
      <c r="E1568" s="340" t="s">
        <v>2431</v>
      </c>
      <c r="F1568" s="340" t="s">
        <v>894</v>
      </c>
      <c r="G1568" s="340" t="s">
        <v>2432</v>
      </c>
      <c r="I1568" s="340" t="s">
        <v>740</v>
      </c>
      <c r="K1568" s="343">
        <v>0</v>
      </c>
      <c r="L1568" s="343">
        <v>-100</v>
      </c>
      <c r="M1568" s="343">
        <v>-1232402.02</v>
      </c>
      <c r="O1568" s="343">
        <v>0</v>
      </c>
    </row>
    <row r="1569" spans="1:15" x14ac:dyDescent="0.3">
      <c r="A1569" s="340" t="s">
        <v>891</v>
      </c>
      <c r="B1569" s="350">
        <v>46112</v>
      </c>
      <c r="C1569" s="350">
        <v>46117</v>
      </c>
      <c r="D1569" s="351">
        <v>46113</v>
      </c>
      <c r="E1569" s="340" t="s">
        <v>2433</v>
      </c>
      <c r="F1569" s="340" t="s">
        <v>894</v>
      </c>
      <c r="G1569" s="340" t="s">
        <v>2434</v>
      </c>
      <c r="I1569" s="340" t="s">
        <v>740</v>
      </c>
      <c r="K1569" s="343">
        <v>0</v>
      </c>
      <c r="L1569" s="343">
        <v>-520</v>
      </c>
      <c r="M1569" s="343">
        <v>-1232922.02</v>
      </c>
      <c r="O1569" s="343">
        <v>0</v>
      </c>
    </row>
    <row r="1570" spans="1:15" x14ac:dyDescent="0.3">
      <c r="A1570" s="340" t="s">
        <v>891</v>
      </c>
      <c r="B1570" s="350">
        <v>46112</v>
      </c>
      <c r="C1570" s="350">
        <v>46117</v>
      </c>
      <c r="D1570" s="351">
        <v>46113</v>
      </c>
      <c r="E1570" s="340" t="s">
        <v>2435</v>
      </c>
      <c r="F1570" s="340" t="s">
        <v>894</v>
      </c>
      <c r="G1570" s="340" t="s">
        <v>2436</v>
      </c>
      <c r="I1570" s="340" t="s">
        <v>740</v>
      </c>
      <c r="K1570" s="343">
        <v>0</v>
      </c>
      <c r="L1570" s="343">
        <v>-520</v>
      </c>
      <c r="M1570" s="343">
        <v>-1233442.02</v>
      </c>
      <c r="O1570" s="343">
        <v>0</v>
      </c>
    </row>
    <row r="1571" spans="1:15" x14ac:dyDescent="0.3">
      <c r="A1571" s="340" t="s">
        <v>891</v>
      </c>
      <c r="B1571" s="350">
        <v>46112</v>
      </c>
      <c r="C1571" s="350">
        <v>46117</v>
      </c>
      <c r="D1571" s="351">
        <v>46113</v>
      </c>
      <c r="E1571" s="340" t="s">
        <v>2435</v>
      </c>
      <c r="F1571" s="340" t="s">
        <v>894</v>
      </c>
      <c r="G1571" s="340" t="s">
        <v>2437</v>
      </c>
      <c r="I1571" s="340" t="s">
        <v>740</v>
      </c>
      <c r="K1571" s="343">
        <v>0</v>
      </c>
      <c r="L1571" s="343">
        <v>-520</v>
      </c>
      <c r="M1571" s="343">
        <v>-1233962.02</v>
      </c>
      <c r="O1571" s="343">
        <v>0</v>
      </c>
    </row>
    <row r="1572" spans="1:15" x14ac:dyDescent="0.3">
      <c r="A1572" s="340" t="s">
        <v>891</v>
      </c>
      <c r="B1572" s="350">
        <v>46112</v>
      </c>
      <c r="C1572" s="350">
        <v>46125</v>
      </c>
      <c r="D1572" s="351">
        <v>46113</v>
      </c>
      <c r="E1572" s="340" t="s">
        <v>2438</v>
      </c>
      <c r="F1572" s="340" t="s">
        <v>894</v>
      </c>
      <c r="G1572" s="340" t="s">
        <v>2439</v>
      </c>
      <c r="H1572" s="340" t="s">
        <v>2440</v>
      </c>
      <c r="I1572" s="340" t="s">
        <v>771</v>
      </c>
      <c r="K1572" s="343">
        <v>0</v>
      </c>
      <c r="L1572" s="343">
        <v>-0.08</v>
      </c>
      <c r="M1572" s="343">
        <v>-1233962.1000000001</v>
      </c>
      <c r="O1572" s="343">
        <v>0</v>
      </c>
    </row>
    <row r="1573" spans="1:15" x14ac:dyDescent="0.3">
      <c r="A1573" s="340" t="s">
        <v>891</v>
      </c>
      <c r="B1573" s="350">
        <v>46112</v>
      </c>
      <c r="C1573" s="350">
        <v>46125</v>
      </c>
      <c r="D1573" s="351">
        <v>46113</v>
      </c>
      <c r="E1573" s="340" t="s">
        <v>2438</v>
      </c>
      <c r="F1573" s="340" t="s">
        <v>894</v>
      </c>
      <c r="G1573" s="340" t="s">
        <v>2441</v>
      </c>
      <c r="H1573" s="340" t="s">
        <v>2440</v>
      </c>
      <c r="I1573" s="340" t="s">
        <v>771</v>
      </c>
      <c r="K1573" s="343">
        <v>0</v>
      </c>
      <c r="L1573" s="343">
        <v>-0.15</v>
      </c>
      <c r="M1573" s="343">
        <v>-1233962.25</v>
      </c>
      <c r="O1573" s="343">
        <v>0</v>
      </c>
    </row>
    <row r="1574" spans="1:15" x14ac:dyDescent="0.3">
      <c r="A1574" s="340" t="s">
        <v>891</v>
      </c>
      <c r="B1574" s="350">
        <v>46112</v>
      </c>
      <c r="C1574" s="350">
        <v>46125</v>
      </c>
      <c r="D1574" s="351">
        <v>46113</v>
      </c>
      <c r="E1574" s="340" t="s">
        <v>2438</v>
      </c>
      <c r="F1574" s="340" t="s">
        <v>894</v>
      </c>
      <c r="G1574" s="340" t="s">
        <v>2442</v>
      </c>
      <c r="H1574" s="340" t="s">
        <v>2440</v>
      </c>
      <c r="I1574" s="340" t="s">
        <v>771</v>
      </c>
      <c r="K1574" s="343">
        <v>0</v>
      </c>
      <c r="L1574" s="343">
        <v>-2.95</v>
      </c>
      <c r="M1574" s="343">
        <v>-1233965.2</v>
      </c>
      <c r="O1574" s="343">
        <v>0</v>
      </c>
    </row>
    <row r="1575" spans="1:15" x14ac:dyDescent="0.3">
      <c r="A1575" s="340" t="s">
        <v>891</v>
      </c>
      <c r="B1575" s="350">
        <v>46112</v>
      </c>
      <c r="C1575" s="350">
        <v>46125</v>
      </c>
      <c r="D1575" s="351">
        <v>46113</v>
      </c>
      <c r="E1575" s="340" t="s">
        <v>2438</v>
      </c>
      <c r="F1575" s="340" t="s">
        <v>894</v>
      </c>
      <c r="G1575" s="340" t="s">
        <v>2443</v>
      </c>
      <c r="H1575" s="340" t="s">
        <v>2440</v>
      </c>
      <c r="I1575" s="340" t="s">
        <v>771</v>
      </c>
      <c r="K1575" s="343">
        <v>0</v>
      </c>
      <c r="L1575" s="343">
        <v>-4.57</v>
      </c>
      <c r="M1575" s="343">
        <v>-1233969.77</v>
      </c>
      <c r="O1575" s="343">
        <v>0</v>
      </c>
    </row>
    <row r="1576" spans="1:15" x14ac:dyDescent="0.3">
      <c r="A1576" s="340" t="s">
        <v>891</v>
      </c>
      <c r="B1576" s="350">
        <v>46112</v>
      </c>
      <c r="C1576" s="350">
        <v>46125</v>
      </c>
      <c r="D1576" s="351">
        <v>46113</v>
      </c>
      <c r="E1576" s="340" t="s">
        <v>2438</v>
      </c>
      <c r="F1576" s="340" t="s">
        <v>894</v>
      </c>
      <c r="G1576" s="340" t="s">
        <v>2439</v>
      </c>
      <c r="H1576" s="340" t="s">
        <v>2444</v>
      </c>
      <c r="I1576" s="340" t="s">
        <v>771</v>
      </c>
      <c r="K1576" s="343">
        <v>0</v>
      </c>
      <c r="L1576" s="343">
        <v>-0.06</v>
      </c>
      <c r="M1576" s="343">
        <v>-1233969.83</v>
      </c>
      <c r="O1576" s="343">
        <v>0</v>
      </c>
    </row>
    <row r="1577" spans="1:15" x14ac:dyDescent="0.3">
      <c r="A1577" s="340" t="s">
        <v>891</v>
      </c>
      <c r="B1577" s="350">
        <v>46112</v>
      </c>
      <c r="C1577" s="350">
        <v>46125</v>
      </c>
      <c r="D1577" s="351">
        <v>46113</v>
      </c>
      <c r="E1577" s="340" t="s">
        <v>2438</v>
      </c>
      <c r="F1577" s="340" t="s">
        <v>894</v>
      </c>
      <c r="G1577" s="340" t="s">
        <v>2441</v>
      </c>
      <c r="H1577" s="340" t="s">
        <v>2444</v>
      </c>
      <c r="I1577" s="340" t="s">
        <v>771</v>
      </c>
      <c r="K1577" s="343">
        <v>0</v>
      </c>
      <c r="L1577" s="343">
        <v>-0.12</v>
      </c>
      <c r="M1577" s="343">
        <v>-1233969.95</v>
      </c>
      <c r="O1577" s="343">
        <v>0</v>
      </c>
    </row>
    <row r="1578" spans="1:15" x14ac:dyDescent="0.3">
      <c r="A1578" s="340" t="s">
        <v>891</v>
      </c>
      <c r="B1578" s="350">
        <v>46112</v>
      </c>
      <c r="C1578" s="350">
        <v>46125</v>
      </c>
      <c r="D1578" s="351">
        <v>46113</v>
      </c>
      <c r="E1578" s="340" t="s">
        <v>2438</v>
      </c>
      <c r="F1578" s="340" t="s">
        <v>894</v>
      </c>
      <c r="G1578" s="340" t="s">
        <v>2442</v>
      </c>
      <c r="H1578" s="340" t="s">
        <v>2444</v>
      </c>
      <c r="I1578" s="340" t="s">
        <v>771</v>
      </c>
      <c r="K1578" s="343">
        <v>0</v>
      </c>
      <c r="L1578" s="343">
        <v>-2.95</v>
      </c>
      <c r="M1578" s="343">
        <v>-1233972.8999999999</v>
      </c>
      <c r="O1578" s="343">
        <v>0</v>
      </c>
    </row>
    <row r="1579" spans="1:15" x14ac:dyDescent="0.3">
      <c r="A1579" s="340" t="s">
        <v>891</v>
      </c>
      <c r="B1579" s="350">
        <v>46112</v>
      </c>
      <c r="C1579" s="350">
        <v>46125</v>
      </c>
      <c r="D1579" s="351">
        <v>46113</v>
      </c>
      <c r="E1579" s="340" t="s">
        <v>2438</v>
      </c>
      <c r="F1579" s="340" t="s">
        <v>894</v>
      </c>
      <c r="G1579" s="340" t="s">
        <v>2443</v>
      </c>
      <c r="H1579" s="340" t="s">
        <v>2444</v>
      </c>
      <c r="I1579" s="340" t="s">
        <v>771</v>
      </c>
      <c r="K1579" s="343">
        <v>0</v>
      </c>
      <c r="L1579" s="343">
        <v>-3.07</v>
      </c>
      <c r="M1579" s="343">
        <v>-1233975.97</v>
      </c>
      <c r="O1579" s="343">
        <v>0</v>
      </c>
    </row>
    <row r="1580" spans="1:15" x14ac:dyDescent="0.3">
      <c r="A1580" s="340" t="s">
        <v>891</v>
      </c>
      <c r="B1580" s="350">
        <v>46112</v>
      </c>
      <c r="C1580" s="350">
        <v>46125</v>
      </c>
      <c r="D1580" s="351">
        <v>46113</v>
      </c>
      <c r="E1580" s="340" t="s">
        <v>2438</v>
      </c>
      <c r="F1580" s="340" t="s">
        <v>894</v>
      </c>
      <c r="G1580" s="340" t="s">
        <v>2442</v>
      </c>
      <c r="H1580" s="340" t="s">
        <v>2445</v>
      </c>
      <c r="I1580" s="340" t="s">
        <v>771</v>
      </c>
      <c r="K1580" s="343">
        <v>0</v>
      </c>
      <c r="L1580" s="343">
        <v>-2.95</v>
      </c>
      <c r="M1580" s="343">
        <v>-1233978.92</v>
      </c>
      <c r="O1580" s="343">
        <v>0</v>
      </c>
    </row>
    <row r="1581" spans="1:15" x14ac:dyDescent="0.3">
      <c r="A1581" s="340" t="s">
        <v>891</v>
      </c>
      <c r="B1581" s="350">
        <v>46112</v>
      </c>
      <c r="C1581" s="350">
        <v>46125</v>
      </c>
      <c r="D1581" s="351">
        <v>46113</v>
      </c>
      <c r="E1581" s="340" t="s">
        <v>2438</v>
      </c>
      <c r="F1581" s="340" t="s">
        <v>894</v>
      </c>
      <c r="G1581" s="340" t="s">
        <v>2443</v>
      </c>
      <c r="H1581" s="340" t="s">
        <v>2445</v>
      </c>
      <c r="I1581" s="340" t="s">
        <v>771</v>
      </c>
      <c r="K1581" s="343">
        <v>0</v>
      </c>
      <c r="L1581" s="343">
        <v>-3.32</v>
      </c>
      <c r="M1581" s="343">
        <v>-1233982.24</v>
      </c>
      <c r="O1581" s="343">
        <v>0</v>
      </c>
    </row>
    <row r="1582" spans="1:15" x14ac:dyDescent="0.3">
      <c r="A1582" s="340" t="s">
        <v>891</v>
      </c>
      <c r="B1582" s="350">
        <v>46112</v>
      </c>
      <c r="C1582" s="350">
        <v>46125</v>
      </c>
      <c r="D1582" s="351">
        <v>46113</v>
      </c>
      <c r="E1582" s="340" t="s">
        <v>2438</v>
      </c>
      <c r="F1582" s="340" t="s">
        <v>894</v>
      </c>
      <c r="G1582" s="340" t="s">
        <v>2439</v>
      </c>
      <c r="H1582" s="340" t="s">
        <v>2445</v>
      </c>
      <c r="I1582" s="340" t="s">
        <v>771</v>
      </c>
      <c r="K1582" s="343">
        <v>0</v>
      </c>
      <c r="L1582" s="343">
        <v>-0.06</v>
      </c>
      <c r="M1582" s="343">
        <v>-1233982.3</v>
      </c>
      <c r="O1582" s="343">
        <v>0</v>
      </c>
    </row>
    <row r="1583" spans="1:15" x14ac:dyDescent="0.3">
      <c r="A1583" s="340" t="s">
        <v>891</v>
      </c>
      <c r="B1583" s="350">
        <v>46112</v>
      </c>
      <c r="C1583" s="350">
        <v>46125</v>
      </c>
      <c r="D1583" s="351">
        <v>46113</v>
      </c>
      <c r="E1583" s="340" t="s">
        <v>2438</v>
      </c>
      <c r="F1583" s="340" t="s">
        <v>894</v>
      </c>
      <c r="G1583" s="340" t="s">
        <v>2441</v>
      </c>
      <c r="H1583" s="340" t="s">
        <v>2445</v>
      </c>
      <c r="I1583" s="340" t="s">
        <v>771</v>
      </c>
      <c r="K1583" s="343">
        <v>0</v>
      </c>
      <c r="L1583" s="343">
        <v>-0.13</v>
      </c>
      <c r="M1583" s="343">
        <v>-1233982.43</v>
      </c>
      <c r="O1583" s="343">
        <v>0</v>
      </c>
    </row>
    <row r="1584" spans="1:15" x14ac:dyDescent="0.3">
      <c r="A1584" s="340" t="s">
        <v>891</v>
      </c>
      <c r="B1584" s="350">
        <v>46112</v>
      </c>
      <c r="C1584" s="350">
        <v>46125</v>
      </c>
      <c r="D1584" s="351">
        <v>46113</v>
      </c>
      <c r="E1584" s="340" t="s">
        <v>2438</v>
      </c>
      <c r="F1584" s="340" t="s">
        <v>894</v>
      </c>
      <c r="G1584" s="340" t="s">
        <v>2439</v>
      </c>
      <c r="H1584" s="340" t="s">
        <v>2446</v>
      </c>
      <c r="I1584" s="340" t="s">
        <v>771</v>
      </c>
      <c r="K1584" s="343">
        <v>0</v>
      </c>
      <c r="L1584" s="343">
        <v>-0.28000000000000003</v>
      </c>
      <c r="M1584" s="343">
        <v>-1233982.71</v>
      </c>
      <c r="O1584" s="343">
        <v>0</v>
      </c>
    </row>
    <row r="1585" spans="1:15" x14ac:dyDescent="0.3">
      <c r="A1585" s="340" t="s">
        <v>891</v>
      </c>
      <c r="B1585" s="350">
        <v>46112</v>
      </c>
      <c r="C1585" s="350">
        <v>46125</v>
      </c>
      <c r="D1585" s="351">
        <v>46113</v>
      </c>
      <c r="E1585" s="340" t="s">
        <v>2438</v>
      </c>
      <c r="F1585" s="340" t="s">
        <v>894</v>
      </c>
      <c r="G1585" s="340" t="s">
        <v>2441</v>
      </c>
      <c r="H1585" s="340" t="s">
        <v>2446</v>
      </c>
      <c r="I1585" s="340" t="s">
        <v>771</v>
      </c>
      <c r="K1585" s="343">
        <v>0</v>
      </c>
      <c r="L1585" s="343">
        <v>-0.56000000000000005</v>
      </c>
      <c r="M1585" s="343">
        <v>-1233983.27</v>
      </c>
      <c r="O1585" s="343">
        <v>0</v>
      </c>
    </row>
    <row r="1586" spans="1:15" x14ac:dyDescent="0.3">
      <c r="A1586" s="340" t="s">
        <v>891</v>
      </c>
      <c r="B1586" s="350">
        <v>46112</v>
      </c>
      <c r="C1586" s="350">
        <v>46125</v>
      </c>
      <c r="D1586" s="351">
        <v>46113</v>
      </c>
      <c r="E1586" s="340" t="s">
        <v>2438</v>
      </c>
      <c r="F1586" s="340" t="s">
        <v>894</v>
      </c>
      <c r="G1586" s="340" t="s">
        <v>2442</v>
      </c>
      <c r="H1586" s="340" t="s">
        <v>2446</v>
      </c>
      <c r="I1586" s="340" t="s">
        <v>771</v>
      </c>
      <c r="K1586" s="343">
        <v>0</v>
      </c>
      <c r="L1586" s="343">
        <v>-2.95</v>
      </c>
      <c r="M1586" s="343">
        <v>-1233986.22</v>
      </c>
      <c r="O1586" s="343">
        <v>0</v>
      </c>
    </row>
    <row r="1587" spans="1:15" x14ac:dyDescent="0.3">
      <c r="A1587" s="340" t="s">
        <v>891</v>
      </c>
      <c r="B1587" s="350">
        <v>46112</v>
      </c>
      <c r="C1587" s="350">
        <v>46125</v>
      </c>
      <c r="D1587" s="351">
        <v>46113</v>
      </c>
      <c r="E1587" s="340" t="s">
        <v>2438</v>
      </c>
      <c r="F1587" s="340" t="s">
        <v>894</v>
      </c>
      <c r="G1587" s="340" t="s">
        <v>2443</v>
      </c>
      <c r="H1587" s="340" t="s">
        <v>2446</v>
      </c>
      <c r="I1587" s="340" t="s">
        <v>771</v>
      </c>
      <c r="K1587" s="343">
        <v>0</v>
      </c>
      <c r="L1587" s="343">
        <v>-24.51</v>
      </c>
      <c r="M1587" s="343">
        <v>-1234010.73</v>
      </c>
      <c r="O1587" s="343">
        <v>0</v>
      </c>
    </row>
    <row r="1588" spans="1:15" x14ac:dyDescent="0.3">
      <c r="A1588" s="340" t="s">
        <v>891</v>
      </c>
      <c r="B1588" s="350">
        <v>46112</v>
      </c>
      <c r="C1588" s="350">
        <v>46125</v>
      </c>
      <c r="D1588" s="351">
        <v>46113</v>
      </c>
      <c r="E1588" s="340" t="s">
        <v>2438</v>
      </c>
      <c r="F1588" s="340" t="s">
        <v>894</v>
      </c>
      <c r="G1588" s="340" t="s">
        <v>2439</v>
      </c>
      <c r="H1588" s="340" t="s">
        <v>2447</v>
      </c>
      <c r="I1588" s="340" t="s">
        <v>771</v>
      </c>
      <c r="K1588" s="343">
        <v>0</v>
      </c>
      <c r="L1588" s="343">
        <v>-0.08</v>
      </c>
      <c r="M1588" s="343">
        <v>-1234010.81</v>
      </c>
      <c r="O1588" s="343">
        <v>0</v>
      </c>
    </row>
    <row r="1589" spans="1:15" x14ac:dyDescent="0.3">
      <c r="A1589" s="340" t="s">
        <v>891</v>
      </c>
      <c r="B1589" s="350">
        <v>46112</v>
      </c>
      <c r="C1589" s="350">
        <v>46125</v>
      </c>
      <c r="D1589" s="351">
        <v>46113</v>
      </c>
      <c r="E1589" s="340" t="s">
        <v>2438</v>
      </c>
      <c r="F1589" s="340" t="s">
        <v>894</v>
      </c>
      <c r="G1589" s="340" t="s">
        <v>2441</v>
      </c>
      <c r="H1589" s="340" t="s">
        <v>2447</v>
      </c>
      <c r="I1589" s="340" t="s">
        <v>771</v>
      </c>
      <c r="K1589" s="343">
        <v>0</v>
      </c>
      <c r="L1589" s="343">
        <v>-0.16</v>
      </c>
      <c r="M1589" s="343">
        <v>-1234010.97</v>
      </c>
      <c r="O1589" s="343">
        <v>0</v>
      </c>
    </row>
    <row r="1590" spans="1:15" x14ac:dyDescent="0.3">
      <c r="A1590" s="340" t="s">
        <v>891</v>
      </c>
      <c r="B1590" s="350">
        <v>46112</v>
      </c>
      <c r="C1590" s="350">
        <v>46125</v>
      </c>
      <c r="D1590" s="351">
        <v>46113</v>
      </c>
      <c r="E1590" s="340" t="s">
        <v>2438</v>
      </c>
      <c r="F1590" s="340" t="s">
        <v>894</v>
      </c>
      <c r="G1590" s="340" t="s">
        <v>2442</v>
      </c>
      <c r="H1590" s="340" t="s">
        <v>2447</v>
      </c>
      <c r="I1590" s="340" t="s">
        <v>771</v>
      </c>
      <c r="K1590" s="343">
        <v>0</v>
      </c>
      <c r="L1590" s="343">
        <v>-2.95</v>
      </c>
      <c r="M1590" s="343">
        <v>-1234013.92</v>
      </c>
      <c r="O1590" s="343">
        <v>0</v>
      </c>
    </row>
    <row r="1591" spans="1:15" x14ac:dyDescent="0.3">
      <c r="A1591" s="340" t="s">
        <v>891</v>
      </c>
      <c r="B1591" s="350">
        <v>46112</v>
      </c>
      <c r="C1591" s="350">
        <v>46125</v>
      </c>
      <c r="D1591" s="351">
        <v>46113</v>
      </c>
      <c r="E1591" s="340" t="s">
        <v>2438</v>
      </c>
      <c r="F1591" s="340" t="s">
        <v>894</v>
      </c>
      <c r="G1591" s="340" t="s">
        <v>2443</v>
      </c>
      <c r="H1591" s="340" t="s">
        <v>2447</v>
      </c>
      <c r="I1591" s="340" t="s">
        <v>771</v>
      </c>
      <c r="K1591" s="343">
        <v>0</v>
      </c>
      <c r="L1591" s="343">
        <v>-4.74</v>
      </c>
      <c r="M1591" s="343">
        <v>-1234018.6599999999</v>
      </c>
      <c r="O1591" s="343">
        <v>0</v>
      </c>
    </row>
    <row r="1592" spans="1:15" x14ac:dyDescent="0.3">
      <c r="A1592" s="340" t="s">
        <v>891</v>
      </c>
      <c r="B1592" s="350">
        <v>46112</v>
      </c>
      <c r="C1592" s="350">
        <v>46125</v>
      </c>
      <c r="D1592" s="351">
        <v>46113</v>
      </c>
      <c r="E1592" s="340" t="s">
        <v>2438</v>
      </c>
      <c r="F1592" s="340" t="s">
        <v>894</v>
      </c>
      <c r="G1592" s="340" t="s">
        <v>2441</v>
      </c>
      <c r="H1592" s="340" t="s">
        <v>2448</v>
      </c>
      <c r="I1592" s="340" t="s">
        <v>771</v>
      </c>
      <c r="K1592" s="343">
        <v>0</v>
      </c>
      <c r="L1592" s="343">
        <v>-0.14000000000000001</v>
      </c>
      <c r="M1592" s="343">
        <v>-1234018.8</v>
      </c>
      <c r="O1592" s="343">
        <v>0</v>
      </c>
    </row>
    <row r="1593" spans="1:15" x14ac:dyDescent="0.3">
      <c r="A1593" s="340" t="s">
        <v>891</v>
      </c>
      <c r="B1593" s="350">
        <v>46112</v>
      </c>
      <c r="C1593" s="350">
        <v>46125</v>
      </c>
      <c r="D1593" s="351">
        <v>46113</v>
      </c>
      <c r="E1593" s="340" t="s">
        <v>2438</v>
      </c>
      <c r="F1593" s="340" t="s">
        <v>894</v>
      </c>
      <c r="G1593" s="340" t="s">
        <v>2439</v>
      </c>
      <c r="H1593" s="340" t="s">
        <v>2448</v>
      </c>
      <c r="I1593" s="340" t="s">
        <v>771</v>
      </c>
      <c r="K1593" s="343">
        <v>0</v>
      </c>
      <c r="L1593" s="343">
        <v>-0.56999999999999995</v>
      </c>
      <c r="M1593" s="343">
        <v>-1234019.3700000001</v>
      </c>
      <c r="O1593" s="343">
        <v>0</v>
      </c>
    </row>
    <row r="1594" spans="1:15" x14ac:dyDescent="0.3">
      <c r="A1594" s="340" t="s">
        <v>891</v>
      </c>
      <c r="B1594" s="350">
        <v>46112</v>
      </c>
      <c r="C1594" s="350">
        <v>46125</v>
      </c>
      <c r="D1594" s="351">
        <v>46113</v>
      </c>
      <c r="E1594" s="340" t="s">
        <v>2438</v>
      </c>
      <c r="F1594" s="340" t="s">
        <v>894</v>
      </c>
      <c r="G1594" s="340" t="s">
        <v>2442</v>
      </c>
      <c r="H1594" s="340" t="s">
        <v>2448</v>
      </c>
      <c r="I1594" s="340" t="s">
        <v>771</v>
      </c>
      <c r="K1594" s="343">
        <v>0</v>
      </c>
      <c r="L1594" s="343">
        <v>-2.95</v>
      </c>
      <c r="M1594" s="343">
        <v>-1234022.32</v>
      </c>
      <c r="O1594" s="343">
        <v>0</v>
      </c>
    </row>
    <row r="1595" spans="1:15" x14ac:dyDescent="0.3">
      <c r="A1595" s="340" t="s">
        <v>891</v>
      </c>
      <c r="B1595" s="350">
        <v>46112</v>
      </c>
      <c r="C1595" s="350">
        <v>46125</v>
      </c>
      <c r="D1595" s="351">
        <v>46113</v>
      </c>
      <c r="E1595" s="340" t="s">
        <v>2438</v>
      </c>
      <c r="F1595" s="340" t="s">
        <v>894</v>
      </c>
      <c r="G1595" s="340" t="s">
        <v>2443</v>
      </c>
      <c r="H1595" s="340" t="s">
        <v>2448</v>
      </c>
      <c r="I1595" s="340" t="s">
        <v>771</v>
      </c>
      <c r="K1595" s="343">
        <v>0</v>
      </c>
      <c r="L1595" s="343">
        <v>-3.82</v>
      </c>
      <c r="M1595" s="343">
        <v>-1234026.1399999999</v>
      </c>
      <c r="O1595" s="343">
        <v>0</v>
      </c>
    </row>
    <row r="1596" spans="1:15" x14ac:dyDescent="0.3">
      <c r="A1596" s="340" t="s">
        <v>891</v>
      </c>
      <c r="B1596" s="350">
        <v>46112</v>
      </c>
      <c r="C1596" s="350">
        <v>46125</v>
      </c>
      <c r="D1596" s="351">
        <v>46113</v>
      </c>
      <c r="E1596" s="340" t="s">
        <v>2438</v>
      </c>
      <c r="F1596" s="340" t="s">
        <v>894</v>
      </c>
      <c r="G1596" s="340" t="s">
        <v>2449</v>
      </c>
      <c r="H1596" s="340" t="s">
        <v>2450</v>
      </c>
      <c r="I1596" s="340" t="s">
        <v>771</v>
      </c>
      <c r="K1596" s="343">
        <v>0</v>
      </c>
      <c r="L1596" s="343">
        <v>-0.13</v>
      </c>
      <c r="M1596" s="343">
        <v>-1234026.27</v>
      </c>
      <c r="O1596" s="343">
        <v>0</v>
      </c>
    </row>
    <row r="1597" spans="1:15" x14ac:dyDescent="0.3">
      <c r="A1597" s="340" t="s">
        <v>891</v>
      </c>
      <c r="B1597" s="350">
        <v>46112</v>
      </c>
      <c r="C1597" s="350">
        <v>46125</v>
      </c>
      <c r="D1597" s="351">
        <v>46113</v>
      </c>
      <c r="E1597" s="340" t="s">
        <v>2438</v>
      </c>
      <c r="F1597" s="340" t="s">
        <v>894</v>
      </c>
      <c r="G1597" s="340" t="s">
        <v>2451</v>
      </c>
      <c r="H1597" s="340" t="s">
        <v>2450</v>
      </c>
      <c r="I1597" s="340" t="s">
        <v>771</v>
      </c>
      <c r="K1597" s="343">
        <v>0</v>
      </c>
      <c r="L1597" s="343">
        <v>-0.26</v>
      </c>
      <c r="M1597" s="343">
        <v>-1234026.53</v>
      </c>
      <c r="O1597" s="343">
        <v>0</v>
      </c>
    </row>
    <row r="1598" spans="1:15" x14ac:dyDescent="0.3">
      <c r="A1598" s="340" t="s">
        <v>891</v>
      </c>
      <c r="B1598" s="350">
        <v>46112</v>
      </c>
      <c r="C1598" s="350">
        <v>46125</v>
      </c>
      <c r="D1598" s="351">
        <v>46113</v>
      </c>
      <c r="E1598" s="340" t="s">
        <v>2438</v>
      </c>
      <c r="F1598" s="340" t="s">
        <v>894</v>
      </c>
      <c r="G1598" s="340" t="s">
        <v>2452</v>
      </c>
      <c r="H1598" s="340" t="s">
        <v>2450</v>
      </c>
      <c r="I1598" s="340" t="s">
        <v>771</v>
      </c>
      <c r="K1598" s="343">
        <v>0</v>
      </c>
      <c r="L1598" s="343">
        <v>-2.95</v>
      </c>
      <c r="M1598" s="343">
        <v>-1234029.48</v>
      </c>
      <c r="O1598" s="343">
        <v>0</v>
      </c>
    </row>
    <row r="1599" spans="1:15" x14ac:dyDescent="0.3">
      <c r="A1599" s="340" t="s">
        <v>891</v>
      </c>
      <c r="B1599" s="350">
        <v>46112</v>
      </c>
      <c r="C1599" s="350">
        <v>46125</v>
      </c>
      <c r="D1599" s="351">
        <v>46113</v>
      </c>
      <c r="E1599" s="340" t="s">
        <v>2438</v>
      </c>
      <c r="F1599" s="340" t="s">
        <v>894</v>
      </c>
      <c r="G1599" s="340" t="s">
        <v>2453</v>
      </c>
      <c r="H1599" s="340" t="s">
        <v>2450</v>
      </c>
      <c r="I1599" s="340" t="s">
        <v>771</v>
      </c>
      <c r="K1599" s="343">
        <v>0</v>
      </c>
      <c r="L1599" s="343">
        <v>-9.64</v>
      </c>
      <c r="M1599" s="343">
        <v>-1234039.1200000001</v>
      </c>
      <c r="O1599" s="343">
        <v>0</v>
      </c>
    </row>
    <row r="1600" spans="1:15" x14ac:dyDescent="0.3">
      <c r="A1600" s="340" t="s">
        <v>891</v>
      </c>
      <c r="B1600" s="350">
        <v>46112</v>
      </c>
      <c r="C1600" s="350">
        <v>46125</v>
      </c>
      <c r="D1600" s="351">
        <v>46113</v>
      </c>
      <c r="E1600" s="340" t="s">
        <v>2438</v>
      </c>
      <c r="F1600" s="340" t="s">
        <v>894</v>
      </c>
      <c r="G1600" s="340" t="s">
        <v>2439</v>
      </c>
      <c r="H1600" s="340" t="s">
        <v>2454</v>
      </c>
      <c r="I1600" s="340" t="s">
        <v>771</v>
      </c>
      <c r="K1600" s="343">
        <v>0</v>
      </c>
      <c r="L1600" s="343">
        <v>-0.06</v>
      </c>
      <c r="M1600" s="343">
        <v>-1234039.18</v>
      </c>
      <c r="O1600" s="343">
        <v>0</v>
      </c>
    </row>
    <row r="1601" spans="1:15" x14ac:dyDescent="0.3">
      <c r="A1601" s="340" t="s">
        <v>891</v>
      </c>
      <c r="B1601" s="350">
        <v>46112</v>
      </c>
      <c r="C1601" s="350">
        <v>46125</v>
      </c>
      <c r="D1601" s="351">
        <v>46113</v>
      </c>
      <c r="E1601" s="340" t="s">
        <v>2438</v>
      </c>
      <c r="F1601" s="340" t="s">
        <v>894</v>
      </c>
      <c r="G1601" s="340" t="s">
        <v>2441</v>
      </c>
      <c r="H1601" s="340" t="s">
        <v>2454</v>
      </c>
      <c r="I1601" s="340" t="s">
        <v>771</v>
      </c>
      <c r="K1601" s="343">
        <v>0</v>
      </c>
      <c r="L1601" s="343">
        <v>-0.12</v>
      </c>
      <c r="M1601" s="343">
        <v>-1234039.3</v>
      </c>
      <c r="O1601" s="343">
        <v>0</v>
      </c>
    </row>
    <row r="1602" spans="1:15" x14ac:dyDescent="0.3">
      <c r="A1602" s="340" t="s">
        <v>891</v>
      </c>
      <c r="B1602" s="350">
        <v>46112</v>
      </c>
      <c r="C1602" s="350">
        <v>46125</v>
      </c>
      <c r="D1602" s="351">
        <v>46113</v>
      </c>
      <c r="E1602" s="340" t="s">
        <v>2438</v>
      </c>
      <c r="F1602" s="340" t="s">
        <v>894</v>
      </c>
      <c r="G1602" s="340" t="s">
        <v>2443</v>
      </c>
      <c r="H1602" s="340" t="s">
        <v>2454</v>
      </c>
      <c r="I1602" s="340" t="s">
        <v>771</v>
      </c>
      <c r="K1602" s="343">
        <v>0</v>
      </c>
      <c r="L1602" s="343">
        <v>-2.74</v>
      </c>
      <c r="M1602" s="343">
        <v>-1234042.04</v>
      </c>
      <c r="O1602" s="343">
        <v>0</v>
      </c>
    </row>
    <row r="1603" spans="1:15" x14ac:dyDescent="0.3">
      <c r="A1603" s="340" t="s">
        <v>891</v>
      </c>
      <c r="B1603" s="350">
        <v>46112</v>
      </c>
      <c r="C1603" s="350">
        <v>46125</v>
      </c>
      <c r="D1603" s="351">
        <v>46113</v>
      </c>
      <c r="E1603" s="340" t="s">
        <v>2438</v>
      </c>
      <c r="F1603" s="340" t="s">
        <v>894</v>
      </c>
      <c r="G1603" s="340" t="s">
        <v>2442</v>
      </c>
      <c r="H1603" s="340" t="s">
        <v>2454</v>
      </c>
      <c r="I1603" s="340" t="s">
        <v>771</v>
      </c>
      <c r="K1603" s="343">
        <v>0</v>
      </c>
      <c r="L1603" s="343">
        <v>-2.95</v>
      </c>
      <c r="M1603" s="343">
        <v>-1234044.99</v>
      </c>
      <c r="O1603" s="343">
        <v>0</v>
      </c>
    </row>
    <row r="1604" spans="1:15" x14ac:dyDescent="0.3">
      <c r="A1604" s="340" t="s">
        <v>891</v>
      </c>
      <c r="B1604" s="350">
        <v>46112</v>
      </c>
      <c r="C1604" s="350">
        <v>46125</v>
      </c>
      <c r="D1604" s="351">
        <v>46113</v>
      </c>
      <c r="E1604" s="340" t="s">
        <v>2438</v>
      </c>
      <c r="F1604" s="340" t="s">
        <v>894</v>
      </c>
      <c r="G1604" s="340" t="s">
        <v>2442</v>
      </c>
      <c r="H1604" s="340" t="s">
        <v>2455</v>
      </c>
      <c r="I1604" s="340" t="s">
        <v>771</v>
      </c>
      <c r="K1604" s="343">
        <v>0</v>
      </c>
      <c r="L1604" s="343">
        <v>-2.95</v>
      </c>
      <c r="M1604" s="343">
        <v>-1234047.94</v>
      </c>
      <c r="O1604" s="343">
        <v>0</v>
      </c>
    </row>
    <row r="1605" spans="1:15" x14ac:dyDescent="0.3">
      <c r="A1605" s="340" t="s">
        <v>891</v>
      </c>
      <c r="B1605" s="350">
        <v>46112</v>
      </c>
      <c r="C1605" s="350">
        <v>46125</v>
      </c>
      <c r="D1605" s="351">
        <v>46113</v>
      </c>
      <c r="E1605" s="340" t="s">
        <v>2438</v>
      </c>
      <c r="F1605" s="340" t="s">
        <v>894</v>
      </c>
      <c r="G1605" s="340" t="s">
        <v>2443</v>
      </c>
      <c r="H1605" s="340" t="s">
        <v>2455</v>
      </c>
      <c r="I1605" s="340" t="s">
        <v>771</v>
      </c>
      <c r="K1605" s="343">
        <v>0</v>
      </c>
      <c r="L1605" s="343">
        <v>-3.66</v>
      </c>
      <c r="M1605" s="343">
        <v>-1234051.6000000001</v>
      </c>
      <c r="O1605" s="343">
        <v>0</v>
      </c>
    </row>
    <row r="1606" spans="1:15" x14ac:dyDescent="0.3">
      <c r="A1606" s="340" t="s">
        <v>891</v>
      </c>
      <c r="B1606" s="350">
        <v>46112</v>
      </c>
      <c r="C1606" s="350">
        <v>46125</v>
      </c>
      <c r="D1606" s="351">
        <v>46113</v>
      </c>
      <c r="E1606" s="340" t="s">
        <v>2438</v>
      </c>
      <c r="F1606" s="340" t="s">
        <v>894</v>
      </c>
      <c r="G1606" s="340" t="s">
        <v>2439</v>
      </c>
      <c r="H1606" s="340" t="s">
        <v>2455</v>
      </c>
      <c r="I1606" s="340" t="s">
        <v>771</v>
      </c>
      <c r="K1606" s="343">
        <v>0</v>
      </c>
      <c r="L1606" s="343">
        <v>-7.0000000000000007E-2</v>
      </c>
      <c r="M1606" s="343">
        <v>-1234051.67</v>
      </c>
      <c r="O1606" s="343">
        <v>0</v>
      </c>
    </row>
    <row r="1607" spans="1:15" x14ac:dyDescent="0.3">
      <c r="A1607" s="340" t="s">
        <v>891</v>
      </c>
      <c r="B1607" s="350">
        <v>46112</v>
      </c>
      <c r="C1607" s="350">
        <v>46125</v>
      </c>
      <c r="D1607" s="351">
        <v>46113</v>
      </c>
      <c r="E1607" s="340" t="s">
        <v>2438</v>
      </c>
      <c r="F1607" s="340" t="s">
        <v>894</v>
      </c>
      <c r="G1607" s="340" t="s">
        <v>2441</v>
      </c>
      <c r="H1607" s="340" t="s">
        <v>2455</v>
      </c>
      <c r="I1607" s="340" t="s">
        <v>771</v>
      </c>
      <c r="K1607" s="343">
        <v>0</v>
      </c>
      <c r="L1607" s="343">
        <v>-0.13</v>
      </c>
      <c r="M1607" s="343">
        <v>-1234051.8</v>
      </c>
      <c r="O1607" s="343">
        <v>0</v>
      </c>
    </row>
    <row r="1608" spans="1:15" x14ac:dyDescent="0.3">
      <c r="A1608" s="340" t="s">
        <v>891</v>
      </c>
      <c r="B1608" s="350">
        <v>46112</v>
      </c>
      <c r="C1608" s="350">
        <v>46125</v>
      </c>
      <c r="D1608" s="351">
        <v>46113</v>
      </c>
      <c r="E1608" s="340" t="s">
        <v>2438</v>
      </c>
      <c r="F1608" s="340" t="s">
        <v>894</v>
      </c>
      <c r="G1608" s="340" t="s">
        <v>2456</v>
      </c>
      <c r="H1608" s="340" t="s">
        <v>2457</v>
      </c>
      <c r="I1608" s="340" t="s">
        <v>771</v>
      </c>
      <c r="K1608" s="343">
        <v>0</v>
      </c>
      <c r="L1608" s="343">
        <v>-0.2</v>
      </c>
      <c r="M1608" s="343">
        <v>-1234052</v>
      </c>
      <c r="O1608" s="343">
        <v>0</v>
      </c>
    </row>
    <row r="1609" spans="1:15" x14ac:dyDescent="0.3">
      <c r="A1609" s="340" t="s">
        <v>891</v>
      </c>
      <c r="B1609" s="350">
        <v>46112</v>
      </c>
      <c r="C1609" s="350">
        <v>46125</v>
      </c>
      <c r="D1609" s="351">
        <v>46113</v>
      </c>
      <c r="E1609" s="340" t="s">
        <v>2438</v>
      </c>
      <c r="F1609" s="340" t="s">
        <v>894</v>
      </c>
      <c r="G1609" s="340" t="s">
        <v>2458</v>
      </c>
      <c r="H1609" s="340" t="s">
        <v>2457</v>
      </c>
      <c r="I1609" s="340" t="s">
        <v>771</v>
      </c>
      <c r="K1609" s="343">
        <v>0</v>
      </c>
      <c r="L1609" s="343">
        <v>-0.22</v>
      </c>
      <c r="M1609" s="343">
        <v>-1234052.22</v>
      </c>
      <c r="O1609" s="343">
        <v>0</v>
      </c>
    </row>
    <row r="1610" spans="1:15" x14ac:dyDescent="0.3">
      <c r="A1610" s="340" t="s">
        <v>891</v>
      </c>
      <c r="B1610" s="350">
        <v>46112</v>
      </c>
      <c r="C1610" s="350">
        <v>46125</v>
      </c>
      <c r="D1610" s="351">
        <v>46113</v>
      </c>
      <c r="E1610" s="340" t="s">
        <v>2438</v>
      </c>
      <c r="F1610" s="340" t="s">
        <v>894</v>
      </c>
      <c r="G1610" s="340" t="s">
        <v>2459</v>
      </c>
      <c r="H1610" s="340" t="s">
        <v>2457</v>
      </c>
      <c r="I1610" s="340" t="s">
        <v>771</v>
      </c>
      <c r="K1610" s="343">
        <v>0</v>
      </c>
      <c r="L1610" s="343">
        <v>-0.43</v>
      </c>
      <c r="M1610" s="343">
        <v>-1234052.6499999999</v>
      </c>
      <c r="O1610" s="343">
        <v>0</v>
      </c>
    </row>
    <row r="1611" spans="1:15" x14ac:dyDescent="0.3">
      <c r="A1611" s="340" t="s">
        <v>891</v>
      </c>
      <c r="B1611" s="350">
        <v>46112</v>
      </c>
      <c r="C1611" s="350">
        <v>46125</v>
      </c>
      <c r="D1611" s="351">
        <v>46113</v>
      </c>
      <c r="E1611" s="340" t="s">
        <v>2438</v>
      </c>
      <c r="F1611" s="340" t="s">
        <v>894</v>
      </c>
      <c r="G1611" s="340" t="s">
        <v>2460</v>
      </c>
      <c r="H1611" s="340" t="s">
        <v>2457</v>
      </c>
      <c r="I1611" s="340" t="s">
        <v>771</v>
      </c>
      <c r="K1611" s="343">
        <v>0</v>
      </c>
      <c r="L1611" s="343">
        <v>-2.95</v>
      </c>
      <c r="M1611" s="343">
        <v>-1234055.6000000001</v>
      </c>
      <c r="O1611" s="343">
        <v>0</v>
      </c>
    </row>
    <row r="1612" spans="1:15" x14ac:dyDescent="0.3">
      <c r="A1612" s="340" t="s">
        <v>891</v>
      </c>
      <c r="B1612" s="350">
        <v>46112</v>
      </c>
      <c r="C1612" s="350">
        <v>46125</v>
      </c>
      <c r="D1612" s="351">
        <v>46113</v>
      </c>
      <c r="E1612" s="340" t="s">
        <v>2438</v>
      </c>
      <c r="F1612" s="340" t="s">
        <v>894</v>
      </c>
      <c r="G1612" s="340" t="s">
        <v>2461</v>
      </c>
      <c r="H1612" s="340" t="s">
        <v>2457</v>
      </c>
      <c r="I1612" s="340" t="s">
        <v>771</v>
      </c>
      <c r="K1612" s="343">
        <v>0</v>
      </c>
      <c r="L1612" s="343">
        <v>-18.28</v>
      </c>
      <c r="M1612" s="343">
        <v>-1234073.8799999999</v>
      </c>
      <c r="O1612" s="343">
        <v>0</v>
      </c>
    </row>
    <row r="1613" spans="1:15" x14ac:dyDescent="0.3">
      <c r="A1613" s="340" t="s">
        <v>891</v>
      </c>
      <c r="B1613" s="350">
        <v>46112</v>
      </c>
      <c r="C1613" s="350">
        <v>46125</v>
      </c>
      <c r="D1613" s="351">
        <v>46113</v>
      </c>
      <c r="E1613" s="340" t="s">
        <v>2438</v>
      </c>
      <c r="F1613" s="340" t="s">
        <v>894</v>
      </c>
      <c r="G1613" s="340" t="s">
        <v>2439</v>
      </c>
      <c r="H1613" s="340" t="s">
        <v>2462</v>
      </c>
      <c r="I1613" s="340" t="s">
        <v>771</v>
      </c>
      <c r="K1613" s="343">
        <v>0</v>
      </c>
      <c r="L1613" s="343">
        <v>-0.05</v>
      </c>
      <c r="M1613" s="343">
        <v>-1234073.93</v>
      </c>
      <c r="O1613" s="343">
        <v>0</v>
      </c>
    </row>
    <row r="1614" spans="1:15" x14ac:dyDescent="0.3">
      <c r="A1614" s="340" t="s">
        <v>891</v>
      </c>
      <c r="B1614" s="350">
        <v>46112</v>
      </c>
      <c r="C1614" s="350">
        <v>46125</v>
      </c>
      <c r="D1614" s="351">
        <v>46113</v>
      </c>
      <c r="E1614" s="340" t="s">
        <v>2438</v>
      </c>
      <c r="F1614" s="340" t="s">
        <v>894</v>
      </c>
      <c r="G1614" s="340" t="s">
        <v>2441</v>
      </c>
      <c r="H1614" s="340" t="s">
        <v>2462</v>
      </c>
      <c r="I1614" s="340" t="s">
        <v>771</v>
      </c>
      <c r="K1614" s="343">
        <v>0</v>
      </c>
      <c r="L1614" s="343">
        <v>-0.09</v>
      </c>
      <c r="M1614" s="343">
        <v>-1234074.02</v>
      </c>
      <c r="O1614" s="343">
        <v>0</v>
      </c>
    </row>
    <row r="1615" spans="1:15" x14ac:dyDescent="0.3">
      <c r="A1615" s="340" t="s">
        <v>891</v>
      </c>
      <c r="B1615" s="350">
        <v>46112</v>
      </c>
      <c r="C1615" s="350">
        <v>46125</v>
      </c>
      <c r="D1615" s="351">
        <v>46113</v>
      </c>
      <c r="E1615" s="340" t="s">
        <v>2438</v>
      </c>
      <c r="F1615" s="340" t="s">
        <v>894</v>
      </c>
      <c r="G1615" s="340" t="s">
        <v>2443</v>
      </c>
      <c r="H1615" s="340" t="s">
        <v>2462</v>
      </c>
      <c r="I1615" s="340" t="s">
        <v>771</v>
      </c>
      <c r="K1615" s="343">
        <v>0</v>
      </c>
      <c r="L1615" s="343">
        <v>-1.66</v>
      </c>
      <c r="M1615" s="343">
        <v>-1234075.68</v>
      </c>
      <c r="O1615" s="343">
        <v>0</v>
      </c>
    </row>
    <row r="1616" spans="1:15" x14ac:dyDescent="0.3">
      <c r="A1616" s="340" t="s">
        <v>891</v>
      </c>
      <c r="B1616" s="350">
        <v>46112</v>
      </c>
      <c r="C1616" s="350">
        <v>46125</v>
      </c>
      <c r="D1616" s="351">
        <v>46113</v>
      </c>
      <c r="E1616" s="340" t="s">
        <v>2438</v>
      </c>
      <c r="F1616" s="340" t="s">
        <v>894</v>
      </c>
      <c r="G1616" s="340" t="s">
        <v>2442</v>
      </c>
      <c r="H1616" s="340" t="s">
        <v>2462</v>
      </c>
      <c r="I1616" s="340" t="s">
        <v>771</v>
      </c>
      <c r="K1616" s="343">
        <v>0</v>
      </c>
      <c r="L1616" s="343">
        <v>-2.95</v>
      </c>
      <c r="M1616" s="343">
        <v>-1234078.6299999999</v>
      </c>
      <c r="O1616" s="343">
        <v>0</v>
      </c>
    </row>
    <row r="1617" spans="1:15" x14ac:dyDescent="0.3">
      <c r="A1617" s="340" t="s">
        <v>891</v>
      </c>
      <c r="B1617" s="350">
        <v>46112</v>
      </c>
      <c r="C1617" s="350">
        <v>46125</v>
      </c>
      <c r="D1617" s="351">
        <v>46113</v>
      </c>
      <c r="E1617" s="340" t="s">
        <v>2438</v>
      </c>
      <c r="F1617" s="340" t="s">
        <v>894</v>
      </c>
      <c r="G1617" s="340" t="s">
        <v>2463</v>
      </c>
      <c r="H1617" s="340" t="s">
        <v>2464</v>
      </c>
      <c r="I1617" s="340" t="s">
        <v>771</v>
      </c>
      <c r="K1617" s="343">
        <v>0</v>
      </c>
      <c r="L1617" s="343">
        <v>-0.15</v>
      </c>
      <c r="M1617" s="343">
        <v>-1234078.78</v>
      </c>
      <c r="O1617" s="343">
        <v>0</v>
      </c>
    </row>
    <row r="1618" spans="1:15" x14ac:dyDescent="0.3">
      <c r="A1618" s="340" t="s">
        <v>891</v>
      </c>
      <c r="B1618" s="350">
        <v>46112</v>
      </c>
      <c r="C1618" s="350">
        <v>46125</v>
      </c>
      <c r="D1618" s="351">
        <v>46113</v>
      </c>
      <c r="E1618" s="340" t="s">
        <v>2438</v>
      </c>
      <c r="F1618" s="340" t="s">
        <v>894</v>
      </c>
      <c r="G1618" s="340" t="s">
        <v>2465</v>
      </c>
      <c r="H1618" s="340" t="s">
        <v>2464</v>
      </c>
      <c r="I1618" s="340" t="s">
        <v>771</v>
      </c>
      <c r="K1618" s="343">
        <v>0</v>
      </c>
      <c r="L1618" s="343">
        <v>-0.28999999999999998</v>
      </c>
      <c r="M1618" s="343">
        <v>-1234079.07</v>
      </c>
      <c r="O1618" s="343">
        <v>0</v>
      </c>
    </row>
    <row r="1619" spans="1:15" x14ac:dyDescent="0.3">
      <c r="A1619" s="340" t="s">
        <v>891</v>
      </c>
      <c r="B1619" s="350">
        <v>46112</v>
      </c>
      <c r="C1619" s="350">
        <v>46125</v>
      </c>
      <c r="D1619" s="351">
        <v>46113</v>
      </c>
      <c r="E1619" s="340" t="s">
        <v>2438</v>
      </c>
      <c r="F1619" s="340" t="s">
        <v>894</v>
      </c>
      <c r="G1619" s="340" t="s">
        <v>2466</v>
      </c>
      <c r="H1619" s="340" t="s">
        <v>2464</v>
      </c>
      <c r="I1619" s="340" t="s">
        <v>771</v>
      </c>
      <c r="K1619" s="343">
        <v>0</v>
      </c>
      <c r="L1619" s="343">
        <v>-2.95</v>
      </c>
      <c r="M1619" s="343">
        <v>-1234082.02</v>
      </c>
      <c r="O1619" s="343">
        <v>0</v>
      </c>
    </row>
    <row r="1620" spans="1:15" x14ac:dyDescent="0.3">
      <c r="A1620" s="340" t="s">
        <v>891</v>
      </c>
      <c r="B1620" s="350">
        <v>46112</v>
      </c>
      <c r="C1620" s="350">
        <v>46125</v>
      </c>
      <c r="D1620" s="351">
        <v>46113</v>
      </c>
      <c r="E1620" s="340" t="s">
        <v>2438</v>
      </c>
      <c r="F1620" s="340" t="s">
        <v>894</v>
      </c>
      <c r="G1620" s="340" t="s">
        <v>2467</v>
      </c>
      <c r="H1620" s="340" t="s">
        <v>2464</v>
      </c>
      <c r="I1620" s="340" t="s">
        <v>771</v>
      </c>
      <c r="K1620" s="343">
        <v>0</v>
      </c>
      <c r="L1620" s="343">
        <v>-11.3</v>
      </c>
      <c r="M1620" s="343">
        <v>-1234093.32</v>
      </c>
      <c r="O1620" s="343">
        <v>0</v>
      </c>
    </row>
    <row r="1621" spans="1:15" x14ac:dyDescent="0.3">
      <c r="A1621" s="340" t="s">
        <v>891</v>
      </c>
      <c r="B1621" s="350">
        <v>46112</v>
      </c>
      <c r="C1621" s="350">
        <v>46125</v>
      </c>
      <c r="D1621" s="351">
        <v>46113</v>
      </c>
      <c r="E1621" s="340" t="s">
        <v>2438</v>
      </c>
      <c r="F1621" s="340" t="s">
        <v>894</v>
      </c>
      <c r="G1621" s="340" t="s">
        <v>2468</v>
      </c>
      <c r="H1621" s="340" t="s">
        <v>2469</v>
      </c>
      <c r="I1621" s="340" t="s">
        <v>771</v>
      </c>
      <c r="K1621" s="343">
        <v>0</v>
      </c>
      <c r="L1621" s="343">
        <v>-0.08</v>
      </c>
      <c r="M1621" s="343">
        <v>-1234093.3999999999</v>
      </c>
      <c r="O1621" s="343">
        <v>0</v>
      </c>
    </row>
    <row r="1622" spans="1:15" x14ac:dyDescent="0.3">
      <c r="A1622" s="340" t="s">
        <v>891</v>
      </c>
      <c r="B1622" s="350">
        <v>46112</v>
      </c>
      <c r="C1622" s="350">
        <v>46125</v>
      </c>
      <c r="D1622" s="351">
        <v>46113</v>
      </c>
      <c r="E1622" s="340" t="s">
        <v>2438</v>
      </c>
      <c r="F1622" s="340" t="s">
        <v>894</v>
      </c>
      <c r="G1622" s="340" t="s">
        <v>2470</v>
      </c>
      <c r="H1622" s="340" t="s">
        <v>2469</v>
      </c>
      <c r="I1622" s="340" t="s">
        <v>771</v>
      </c>
      <c r="K1622" s="343">
        <v>0</v>
      </c>
      <c r="L1622" s="343">
        <v>-0.16</v>
      </c>
      <c r="M1622" s="343">
        <v>-1234093.56</v>
      </c>
      <c r="O1622" s="343">
        <v>0</v>
      </c>
    </row>
    <row r="1623" spans="1:15" x14ac:dyDescent="0.3">
      <c r="A1623" s="340" t="s">
        <v>891</v>
      </c>
      <c r="B1623" s="350">
        <v>46112</v>
      </c>
      <c r="C1623" s="350">
        <v>46125</v>
      </c>
      <c r="D1623" s="351">
        <v>46113</v>
      </c>
      <c r="E1623" s="340" t="s">
        <v>2438</v>
      </c>
      <c r="F1623" s="340" t="s">
        <v>894</v>
      </c>
      <c r="G1623" s="340" t="s">
        <v>2471</v>
      </c>
      <c r="H1623" s="340" t="s">
        <v>2469</v>
      </c>
      <c r="I1623" s="340" t="s">
        <v>771</v>
      </c>
      <c r="K1623" s="343">
        <v>0</v>
      </c>
      <c r="L1623" s="343">
        <v>-0.2</v>
      </c>
      <c r="M1623" s="343">
        <v>-1234093.76</v>
      </c>
      <c r="O1623" s="343">
        <v>0</v>
      </c>
    </row>
    <row r="1624" spans="1:15" x14ac:dyDescent="0.3">
      <c r="A1624" s="340" t="s">
        <v>891</v>
      </c>
      <c r="B1624" s="350">
        <v>46112</v>
      </c>
      <c r="C1624" s="350">
        <v>46125</v>
      </c>
      <c r="D1624" s="351">
        <v>46113</v>
      </c>
      <c r="E1624" s="340" t="s">
        <v>2438</v>
      </c>
      <c r="F1624" s="340" t="s">
        <v>894</v>
      </c>
      <c r="G1624" s="340" t="s">
        <v>2472</v>
      </c>
      <c r="H1624" s="340" t="s">
        <v>2469</v>
      </c>
      <c r="I1624" s="340" t="s">
        <v>771</v>
      </c>
      <c r="K1624" s="343">
        <v>0</v>
      </c>
      <c r="L1624" s="343">
        <v>-2.95</v>
      </c>
      <c r="M1624" s="343">
        <v>-1234096.71</v>
      </c>
      <c r="O1624" s="343">
        <v>0</v>
      </c>
    </row>
    <row r="1625" spans="1:15" x14ac:dyDescent="0.3">
      <c r="A1625" s="340" t="s">
        <v>891</v>
      </c>
      <c r="B1625" s="350">
        <v>46112</v>
      </c>
      <c r="C1625" s="350">
        <v>46125</v>
      </c>
      <c r="D1625" s="351">
        <v>46113</v>
      </c>
      <c r="E1625" s="340" t="s">
        <v>2438</v>
      </c>
      <c r="F1625" s="340" t="s">
        <v>894</v>
      </c>
      <c r="G1625" s="340" t="s">
        <v>2473</v>
      </c>
      <c r="H1625" s="340" t="s">
        <v>2469</v>
      </c>
      <c r="I1625" s="340" t="s">
        <v>771</v>
      </c>
      <c r="K1625" s="343">
        <v>0</v>
      </c>
      <c r="L1625" s="343">
        <v>-5.07</v>
      </c>
      <c r="M1625" s="343">
        <v>-1234101.78</v>
      </c>
      <c r="O1625" s="343">
        <v>0</v>
      </c>
    </row>
    <row r="1626" spans="1:15" x14ac:dyDescent="0.3">
      <c r="A1626" s="340" t="s">
        <v>891</v>
      </c>
      <c r="B1626" s="350">
        <v>46112</v>
      </c>
      <c r="C1626" s="350">
        <v>46125</v>
      </c>
      <c r="D1626" s="351">
        <v>46113</v>
      </c>
      <c r="E1626" s="340" t="s">
        <v>2438</v>
      </c>
      <c r="F1626" s="340" t="s">
        <v>894</v>
      </c>
      <c r="G1626" s="340" t="s">
        <v>2474</v>
      </c>
      <c r="H1626" s="340" t="s">
        <v>2475</v>
      </c>
      <c r="I1626" s="340" t="s">
        <v>771</v>
      </c>
      <c r="K1626" s="343">
        <v>0</v>
      </c>
      <c r="L1626" s="343">
        <v>-0.09</v>
      </c>
      <c r="M1626" s="343">
        <v>-1234101.8700000001</v>
      </c>
      <c r="O1626" s="343">
        <v>0</v>
      </c>
    </row>
    <row r="1627" spans="1:15" x14ac:dyDescent="0.3">
      <c r="A1627" s="340" t="s">
        <v>891</v>
      </c>
      <c r="B1627" s="350">
        <v>46112</v>
      </c>
      <c r="C1627" s="350">
        <v>46125</v>
      </c>
      <c r="D1627" s="351">
        <v>46113</v>
      </c>
      <c r="E1627" s="340" t="s">
        <v>2438</v>
      </c>
      <c r="F1627" s="340" t="s">
        <v>894</v>
      </c>
      <c r="G1627" s="340" t="s">
        <v>2476</v>
      </c>
      <c r="H1627" s="340" t="s">
        <v>2475</v>
      </c>
      <c r="I1627" s="340" t="s">
        <v>771</v>
      </c>
      <c r="K1627" s="343">
        <v>0</v>
      </c>
      <c r="L1627" s="343">
        <v>-0.18</v>
      </c>
      <c r="M1627" s="343">
        <v>-1234102.05</v>
      </c>
      <c r="O1627" s="343">
        <v>0</v>
      </c>
    </row>
    <row r="1628" spans="1:15" x14ac:dyDescent="0.3">
      <c r="A1628" s="340" t="s">
        <v>891</v>
      </c>
      <c r="B1628" s="350">
        <v>46112</v>
      </c>
      <c r="C1628" s="350">
        <v>46125</v>
      </c>
      <c r="D1628" s="351">
        <v>46113</v>
      </c>
      <c r="E1628" s="340" t="s">
        <v>2438</v>
      </c>
      <c r="F1628" s="340" t="s">
        <v>894</v>
      </c>
      <c r="G1628" s="340" t="s">
        <v>2477</v>
      </c>
      <c r="H1628" s="340" t="s">
        <v>2475</v>
      </c>
      <c r="I1628" s="340" t="s">
        <v>771</v>
      </c>
      <c r="K1628" s="343">
        <v>0</v>
      </c>
      <c r="L1628" s="343">
        <v>-2.95</v>
      </c>
      <c r="M1628" s="343">
        <v>-1234105</v>
      </c>
      <c r="O1628" s="343">
        <v>0</v>
      </c>
    </row>
    <row r="1629" spans="1:15" x14ac:dyDescent="0.3">
      <c r="A1629" s="340" t="s">
        <v>891</v>
      </c>
      <c r="B1629" s="350">
        <v>46112</v>
      </c>
      <c r="C1629" s="350">
        <v>46125</v>
      </c>
      <c r="D1629" s="351">
        <v>46113</v>
      </c>
      <c r="E1629" s="340" t="s">
        <v>2438</v>
      </c>
      <c r="F1629" s="340" t="s">
        <v>894</v>
      </c>
      <c r="G1629" s="340" t="s">
        <v>2478</v>
      </c>
      <c r="H1629" s="340" t="s">
        <v>2475</v>
      </c>
      <c r="I1629" s="340" t="s">
        <v>771</v>
      </c>
      <c r="K1629" s="343">
        <v>0</v>
      </c>
      <c r="L1629" s="343">
        <v>-5.65</v>
      </c>
      <c r="M1629" s="343">
        <v>-1234110.6499999999</v>
      </c>
      <c r="O1629" s="343">
        <v>0</v>
      </c>
    </row>
    <row r="1630" spans="1:15" x14ac:dyDescent="0.3">
      <c r="A1630" s="340" t="s">
        <v>891</v>
      </c>
      <c r="B1630" s="350">
        <v>46112</v>
      </c>
      <c r="C1630" s="350">
        <v>46125</v>
      </c>
      <c r="D1630" s="351">
        <v>46113</v>
      </c>
      <c r="E1630" s="340" t="s">
        <v>2438</v>
      </c>
      <c r="F1630" s="340" t="s">
        <v>894</v>
      </c>
      <c r="G1630" s="340" t="s">
        <v>2439</v>
      </c>
      <c r="H1630" s="340" t="s">
        <v>2479</v>
      </c>
      <c r="I1630" s="340" t="s">
        <v>771</v>
      </c>
      <c r="K1630" s="343">
        <v>0</v>
      </c>
      <c r="L1630" s="343">
        <v>-0.7</v>
      </c>
      <c r="M1630" s="343">
        <v>-1234111.3500000001</v>
      </c>
      <c r="O1630" s="343">
        <v>0</v>
      </c>
    </row>
    <row r="1631" spans="1:15" x14ac:dyDescent="0.3">
      <c r="A1631" s="340" t="s">
        <v>891</v>
      </c>
      <c r="B1631" s="350">
        <v>46112</v>
      </c>
      <c r="C1631" s="350">
        <v>46125</v>
      </c>
      <c r="D1631" s="351">
        <v>46113</v>
      </c>
      <c r="E1631" s="340" t="s">
        <v>2438</v>
      </c>
      <c r="F1631" s="340" t="s">
        <v>894</v>
      </c>
      <c r="G1631" s="340" t="s">
        <v>2441</v>
      </c>
      <c r="H1631" s="340" t="s">
        <v>2479</v>
      </c>
      <c r="I1631" s="340" t="s">
        <v>771</v>
      </c>
      <c r="K1631" s="343">
        <v>0</v>
      </c>
      <c r="L1631" s="343">
        <v>-1.4</v>
      </c>
      <c r="M1631" s="343">
        <v>-1234112.75</v>
      </c>
      <c r="O1631" s="343">
        <v>0</v>
      </c>
    </row>
    <row r="1632" spans="1:15" x14ac:dyDescent="0.3">
      <c r="A1632" s="340" t="s">
        <v>891</v>
      </c>
      <c r="B1632" s="350">
        <v>46112</v>
      </c>
      <c r="C1632" s="350">
        <v>46125</v>
      </c>
      <c r="D1632" s="351">
        <v>46113</v>
      </c>
      <c r="E1632" s="340" t="s">
        <v>2438</v>
      </c>
      <c r="F1632" s="340" t="s">
        <v>894</v>
      </c>
      <c r="G1632" s="340" t="s">
        <v>2442</v>
      </c>
      <c r="H1632" s="340" t="s">
        <v>2479</v>
      </c>
      <c r="I1632" s="340" t="s">
        <v>771</v>
      </c>
      <c r="K1632" s="343">
        <v>0</v>
      </c>
      <c r="L1632" s="343">
        <v>-2.95</v>
      </c>
      <c r="M1632" s="343">
        <v>-1234115.7</v>
      </c>
      <c r="O1632" s="343">
        <v>0</v>
      </c>
    </row>
    <row r="1633" spans="1:15" x14ac:dyDescent="0.3">
      <c r="A1633" s="340" t="s">
        <v>891</v>
      </c>
      <c r="B1633" s="350">
        <v>46112</v>
      </c>
      <c r="C1633" s="350">
        <v>46125</v>
      </c>
      <c r="D1633" s="351">
        <v>46113</v>
      </c>
      <c r="E1633" s="340" t="s">
        <v>2438</v>
      </c>
      <c r="F1633" s="340" t="s">
        <v>894</v>
      </c>
      <c r="G1633" s="340" t="s">
        <v>2443</v>
      </c>
      <c r="H1633" s="340" t="s">
        <v>2479</v>
      </c>
      <c r="I1633" s="340" t="s">
        <v>771</v>
      </c>
      <c r="K1633" s="343">
        <v>0</v>
      </c>
      <c r="L1633" s="343">
        <v>-65.819999999999993</v>
      </c>
      <c r="M1633" s="343">
        <v>-1234181.52</v>
      </c>
      <c r="O1633" s="343">
        <v>0</v>
      </c>
    </row>
    <row r="1634" spans="1:15" x14ac:dyDescent="0.3">
      <c r="A1634" s="340" t="s">
        <v>891</v>
      </c>
      <c r="B1634" s="350">
        <v>46112</v>
      </c>
      <c r="C1634" s="350">
        <v>46125</v>
      </c>
      <c r="D1634" s="351">
        <v>46113</v>
      </c>
      <c r="E1634" s="340" t="s">
        <v>2438</v>
      </c>
      <c r="F1634" s="340" t="s">
        <v>894</v>
      </c>
      <c r="G1634" s="340" t="s">
        <v>2439</v>
      </c>
      <c r="H1634" s="340" t="s">
        <v>2480</v>
      </c>
      <c r="I1634" s="340" t="s">
        <v>771</v>
      </c>
      <c r="K1634" s="343">
        <v>0</v>
      </c>
      <c r="L1634" s="343">
        <v>-0.17</v>
      </c>
      <c r="M1634" s="343">
        <v>-1234181.69</v>
      </c>
      <c r="O1634" s="343">
        <v>0</v>
      </c>
    </row>
    <row r="1635" spans="1:15" x14ac:dyDescent="0.3">
      <c r="A1635" s="340" t="s">
        <v>891</v>
      </c>
      <c r="B1635" s="350">
        <v>46112</v>
      </c>
      <c r="C1635" s="350">
        <v>46125</v>
      </c>
      <c r="D1635" s="351">
        <v>46113</v>
      </c>
      <c r="E1635" s="340" t="s">
        <v>2438</v>
      </c>
      <c r="F1635" s="340" t="s">
        <v>894</v>
      </c>
      <c r="G1635" s="340" t="s">
        <v>2441</v>
      </c>
      <c r="H1635" s="340" t="s">
        <v>2480</v>
      </c>
      <c r="I1635" s="340" t="s">
        <v>771</v>
      </c>
      <c r="K1635" s="343">
        <v>0</v>
      </c>
      <c r="L1635" s="343">
        <v>-0.33</v>
      </c>
      <c r="M1635" s="343">
        <v>-1234182.02</v>
      </c>
      <c r="O1635" s="343">
        <v>0</v>
      </c>
    </row>
    <row r="1636" spans="1:15" x14ac:dyDescent="0.3">
      <c r="A1636" s="340" t="s">
        <v>891</v>
      </c>
      <c r="B1636" s="350">
        <v>46112</v>
      </c>
      <c r="C1636" s="350">
        <v>46125</v>
      </c>
      <c r="D1636" s="351">
        <v>46113</v>
      </c>
      <c r="E1636" s="340" t="s">
        <v>2438</v>
      </c>
      <c r="F1636" s="340" t="s">
        <v>894</v>
      </c>
      <c r="G1636" s="340" t="s">
        <v>2442</v>
      </c>
      <c r="H1636" s="340" t="s">
        <v>2480</v>
      </c>
      <c r="I1636" s="340" t="s">
        <v>771</v>
      </c>
      <c r="K1636" s="343">
        <v>0</v>
      </c>
      <c r="L1636" s="343">
        <v>-2.95</v>
      </c>
      <c r="M1636" s="343">
        <v>-1234184.97</v>
      </c>
      <c r="O1636" s="343">
        <v>0</v>
      </c>
    </row>
    <row r="1637" spans="1:15" x14ac:dyDescent="0.3">
      <c r="A1637" s="340" t="s">
        <v>891</v>
      </c>
      <c r="B1637" s="350">
        <v>46112</v>
      </c>
      <c r="C1637" s="350">
        <v>46125</v>
      </c>
      <c r="D1637" s="351">
        <v>46113</v>
      </c>
      <c r="E1637" s="340" t="s">
        <v>2438</v>
      </c>
      <c r="F1637" s="340" t="s">
        <v>894</v>
      </c>
      <c r="G1637" s="340" t="s">
        <v>2443</v>
      </c>
      <c r="H1637" s="340" t="s">
        <v>2480</v>
      </c>
      <c r="I1637" s="340" t="s">
        <v>771</v>
      </c>
      <c r="K1637" s="343">
        <v>0</v>
      </c>
      <c r="L1637" s="343">
        <v>-13.46</v>
      </c>
      <c r="M1637" s="343">
        <v>-1234198.43</v>
      </c>
      <c r="O1637" s="343">
        <v>0</v>
      </c>
    </row>
    <row r="1638" spans="1:15" x14ac:dyDescent="0.3">
      <c r="A1638" s="340" t="s">
        <v>891</v>
      </c>
      <c r="B1638" s="350">
        <v>46112</v>
      </c>
      <c r="C1638" s="350">
        <v>46125</v>
      </c>
      <c r="D1638" s="351">
        <v>46113</v>
      </c>
      <c r="E1638" s="340" t="s">
        <v>2438</v>
      </c>
      <c r="F1638" s="340" t="s">
        <v>894</v>
      </c>
      <c r="G1638" s="340" t="s">
        <v>2481</v>
      </c>
      <c r="H1638" s="340" t="s">
        <v>2482</v>
      </c>
      <c r="I1638" s="340" t="s">
        <v>771</v>
      </c>
      <c r="K1638" s="343">
        <v>0</v>
      </c>
      <c r="L1638" s="343">
        <v>-0.22</v>
      </c>
      <c r="M1638" s="343">
        <v>-1234198.6499999999</v>
      </c>
      <c r="O1638" s="343">
        <v>0</v>
      </c>
    </row>
    <row r="1639" spans="1:15" x14ac:dyDescent="0.3">
      <c r="A1639" s="340" t="s">
        <v>891</v>
      </c>
      <c r="B1639" s="350">
        <v>46112</v>
      </c>
      <c r="C1639" s="350">
        <v>46125</v>
      </c>
      <c r="D1639" s="351">
        <v>46113</v>
      </c>
      <c r="E1639" s="340" t="s">
        <v>2438</v>
      </c>
      <c r="F1639" s="340" t="s">
        <v>894</v>
      </c>
      <c r="G1639" s="340" t="s">
        <v>2483</v>
      </c>
      <c r="H1639" s="340" t="s">
        <v>2482</v>
      </c>
      <c r="I1639" s="340" t="s">
        <v>771</v>
      </c>
      <c r="K1639" s="343">
        <v>0</v>
      </c>
      <c r="L1639" s="343">
        <v>-0.44</v>
      </c>
      <c r="M1639" s="343">
        <v>-1234199.0900000001</v>
      </c>
      <c r="O1639" s="343">
        <v>0</v>
      </c>
    </row>
    <row r="1640" spans="1:15" x14ac:dyDescent="0.3">
      <c r="A1640" s="340" t="s">
        <v>891</v>
      </c>
      <c r="B1640" s="350">
        <v>46112</v>
      </c>
      <c r="C1640" s="350">
        <v>46125</v>
      </c>
      <c r="D1640" s="351">
        <v>46113</v>
      </c>
      <c r="E1640" s="340" t="s">
        <v>2438</v>
      </c>
      <c r="F1640" s="340" t="s">
        <v>894</v>
      </c>
      <c r="G1640" s="340" t="s">
        <v>2484</v>
      </c>
      <c r="H1640" s="340" t="s">
        <v>2482</v>
      </c>
      <c r="I1640" s="340" t="s">
        <v>771</v>
      </c>
      <c r="K1640" s="343">
        <v>0</v>
      </c>
      <c r="L1640" s="343">
        <v>-2.95</v>
      </c>
      <c r="M1640" s="343">
        <v>-1234202.04</v>
      </c>
      <c r="O1640" s="343">
        <v>0</v>
      </c>
    </row>
    <row r="1641" spans="1:15" x14ac:dyDescent="0.3">
      <c r="A1641" s="340" t="s">
        <v>891</v>
      </c>
      <c r="B1641" s="350">
        <v>46112</v>
      </c>
      <c r="C1641" s="350">
        <v>46125</v>
      </c>
      <c r="D1641" s="351">
        <v>46113</v>
      </c>
      <c r="E1641" s="340" t="s">
        <v>2438</v>
      </c>
      <c r="F1641" s="340" t="s">
        <v>894</v>
      </c>
      <c r="G1641" s="340" t="s">
        <v>2485</v>
      </c>
      <c r="H1641" s="340" t="s">
        <v>2482</v>
      </c>
      <c r="I1641" s="340" t="s">
        <v>771</v>
      </c>
      <c r="K1641" s="343">
        <v>0</v>
      </c>
      <c r="L1641" s="343">
        <v>-18.86</v>
      </c>
      <c r="M1641" s="343">
        <v>-1234220.8999999999</v>
      </c>
      <c r="O1641" s="343">
        <v>0</v>
      </c>
    </row>
    <row r="1642" spans="1:15" x14ac:dyDescent="0.3">
      <c r="A1642" s="340" t="s">
        <v>891</v>
      </c>
      <c r="B1642" s="350">
        <v>46112</v>
      </c>
      <c r="C1642" s="350">
        <v>46125</v>
      </c>
      <c r="D1642" s="351">
        <v>46113</v>
      </c>
      <c r="E1642" s="340" t="s">
        <v>2438</v>
      </c>
      <c r="F1642" s="340" t="s">
        <v>894</v>
      </c>
      <c r="G1642" s="340" t="s">
        <v>2439</v>
      </c>
      <c r="H1642" s="340" t="s">
        <v>2486</v>
      </c>
      <c r="I1642" s="340" t="s">
        <v>771</v>
      </c>
      <c r="K1642" s="343">
        <v>0</v>
      </c>
      <c r="L1642" s="343">
        <v>-0.05</v>
      </c>
      <c r="M1642" s="343">
        <v>-1234220.95</v>
      </c>
      <c r="O1642" s="343">
        <v>0</v>
      </c>
    </row>
    <row r="1643" spans="1:15" x14ac:dyDescent="0.3">
      <c r="A1643" s="340" t="s">
        <v>891</v>
      </c>
      <c r="B1643" s="350">
        <v>46112</v>
      </c>
      <c r="C1643" s="350">
        <v>46125</v>
      </c>
      <c r="D1643" s="351">
        <v>46113</v>
      </c>
      <c r="E1643" s="340" t="s">
        <v>2438</v>
      </c>
      <c r="F1643" s="340" t="s">
        <v>894</v>
      </c>
      <c r="G1643" s="340" t="s">
        <v>2441</v>
      </c>
      <c r="H1643" s="340" t="s">
        <v>2486</v>
      </c>
      <c r="I1643" s="340" t="s">
        <v>771</v>
      </c>
      <c r="K1643" s="343">
        <v>0</v>
      </c>
      <c r="L1643" s="343">
        <v>-0.11</v>
      </c>
      <c r="M1643" s="343">
        <v>-1234221.06</v>
      </c>
      <c r="O1643" s="343">
        <v>0</v>
      </c>
    </row>
    <row r="1644" spans="1:15" x14ac:dyDescent="0.3">
      <c r="A1644" s="340" t="s">
        <v>891</v>
      </c>
      <c r="B1644" s="350">
        <v>46112</v>
      </c>
      <c r="C1644" s="350">
        <v>46125</v>
      </c>
      <c r="D1644" s="351">
        <v>46113</v>
      </c>
      <c r="E1644" s="340" t="s">
        <v>2438</v>
      </c>
      <c r="F1644" s="340" t="s">
        <v>894</v>
      </c>
      <c r="G1644" s="340" t="s">
        <v>2443</v>
      </c>
      <c r="H1644" s="340" t="s">
        <v>2486</v>
      </c>
      <c r="I1644" s="340" t="s">
        <v>771</v>
      </c>
      <c r="K1644" s="343">
        <v>0</v>
      </c>
      <c r="L1644" s="343">
        <v>-2.2400000000000002</v>
      </c>
      <c r="M1644" s="343">
        <v>-1234223.3</v>
      </c>
      <c r="O1644" s="343">
        <v>0</v>
      </c>
    </row>
    <row r="1645" spans="1:15" x14ac:dyDescent="0.3">
      <c r="A1645" s="340" t="s">
        <v>891</v>
      </c>
      <c r="B1645" s="350">
        <v>46112</v>
      </c>
      <c r="C1645" s="350">
        <v>46125</v>
      </c>
      <c r="D1645" s="351">
        <v>46113</v>
      </c>
      <c r="E1645" s="340" t="s">
        <v>2438</v>
      </c>
      <c r="F1645" s="340" t="s">
        <v>894</v>
      </c>
      <c r="G1645" s="340" t="s">
        <v>2442</v>
      </c>
      <c r="H1645" s="340" t="s">
        <v>2486</v>
      </c>
      <c r="I1645" s="340" t="s">
        <v>771</v>
      </c>
      <c r="K1645" s="343">
        <v>0</v>
      </c>
      <c r="L1645" s="343">
        <v>-2.95</v>
      </c>
      <c r="M1645" s="343">
        <v>-1234226.25</v>
      </c>
      <c r="O1645" s="343">
        <v>0</v>
      </c>
    </row>
    <row r="1646" spans="1:15" x14ac:dyDescent="0.3">
      <c r="A1646" s="340" t="s">
        <v>891</v>
      </c>
      <c r="B1646" s="350">
        <v>46112</v>
      </c>
      <c r="C1646" s="350">
        <v>46125</v>
      </c>
      <c r="D1646" s="351">
        <v>46113</v>
      </c>
      <c r="E1646" s="340" t="s">
        <v>2438</v>
      </c>
      <c r="F1646" s="340" t="s">
        <v>894</v>
      </c>
      <c r="G1646" s="340" t="s">
        <v>2439</v>
      </c>
      <c r="H1646" s="340" t="s">
        <v>2487</v>
      </c>
      <c r="I1646" s="340" t="s">
        <v>771</v>
      </c>
      <c r="K1646" s="343">
        <v>0</v>
      </c>
      <c r="L1646" s="343">
        <v>-0.17</v>
      </c>
      <c r="M1646" s="343">
        <v>-1234226.42</v>
      </c>
      <c r="O1646" s="343">
        <v>0</v>
      </c>
    </row>
    <row r="1647" spans="1:15" x14ac:dyDescent="0.3">
      <c r="A1647" s="340" t="s">
        <v>891</v>
      </c>
      <c r="B1647" s="350">
        <v>46112</v>
      </c>
      <c r="C1647" s="350">
        <v>46125</v>
      </c>
      <c r="D1647" s="351">
        <v>46113</v>
      </c>
      <c r="E1647" s="340" t="s">
        <v>2438</v>
      </c>
      <c r="F1647" s="340" t="s">
        <v>894</v>
      </c>
      <c r="G1647" s="340" t="s">
        <v>2441</v>
      </c>
      <c r="H1647" s="340" t="s">
        <v>2487</v>
      </c>
      <c r="I1647" s="340" t="s">
        <v>771</v>
      </c>
      <c r="K1647" s="343">
        <v>0</v>
      </c>
      <c r="L1647" s="343">
        <v>-0.34</v>
      </c>
      <c r="M1647" s="343">
        <v>-1234226.76</v>
      </c>
      <c r="O1647" s="343">
        <v>0</v>
      </c>
    </row>
    <row r="1648" spans="1:15" x14ac:dyDescent="0.3">
      <c r="A1648" s="340" t="s">
        <v>891</v>
      </c>
      <c r="B1648" s="350">
        <v>46112</v>
      </c>
      <c r="C1648" s="350">
        <v>46125</v>
      </c>
      <c r="D1648" s="351">
        <v>46113</v>
      </c>
      <c r="E1648" s="340" t="s">
        <v>2438</v>
      </c>
      <c r="F1648" s="340" t="s">
        <v>894</v>
      </c>
      <c r="G1648" s="340" t="s">
        <v>2442</v>
      </c>
      <c r="H1648" s="340" t="s">
        <v>2487</v>
      </c>
      <c r="I1648" s="340" t="s">
        <v>771</v>
      </c>
      <c r="K1648" s="343">
        <v>0</v>
      </c>
      <c r="L1648" s="343">
        <v>-2.95</v>
      </c>
      <c r="M1648" s="343">
        <v>-1234229.71</v>
      </c>
      <c r="O1648" s="343">
        <v>0</v>
      </c>
    </row>
    <row r="1649" spans="1:15" x14ac:dyDescent="0.3">
      <c r="A1649" s="340" t="s">
        <v>891</v>
      </c>
      <c r="B1649" s="350">
        <v>46112</v>
      </c>
      <c r="C1649" s="350">
        <v>46125</v>
      </c>
      <c r="D1649" s="351">
        <v>46113</v>
      </c>
      <c r="E1649" s="340" t="s">
        <v>2438</v>
      </c>
      <c r="F1649" s="340" t="s">
        <v>894</v>
      </c>
      <c r="G1649" s="340" t="s">
        <v>2443</v>
      </c>
      <c r="H1649" s="340" t="s">
        <v>2487</v>
      </c>
      <c r="I1649" s="340" t="s">
        <v>771</v>
      </c>
      <c r="K1649" s="343">
        <v>0</v>
      </c>
      <c r="L1649" s="343">
        <v>-13.63</v>
      </c>
      <c r="M1649" s="343">
        <v>-1234243.3400000001</v>
      </c>
      <c r="O1649" s="343">
        <v>0</v>
      </c>
    </row>
    <row r="1650" spans="1:15" x14ac:dyDescent="0.3">
      <c r="A1650" s="340" t="s">
        <v>891</v>
      </c>
      <c r="B1650" s="350">
        <v>46112</v>
      </c>
      <c r="C1650" s="350">
        <v>46125</v>
      </c>
      <c r="D1650" s="351">
        <v>46113</v>
      </c>
      <c r="E1650" s="340" t="s">
        <v>2438</v>
      </c>
      <c r="F1650" s="340" t="s">
        <v>894</v>
      </c>
      <c r="G1650" s="340" t="s">
        <v>2488</v>
      </c>
      <c r="H1650" s="340" t="s">
        <v>2489</v>
      </c>
      <c r="I1650" s="340" t="s">
        <v>771</v>
      </c>
      <c r="K1650" s="343">
        <v>0</v>
      </c>
      <c r="L1650" s="343">
        <v>-0.14000000000000001</v>
      </c>
      <c r="M1650" s="343">
        <v>-1234243.48</v>
      </c>
      <c r="O1650" s="343">
        <v>0</v>
      </c>
    </row>
    <row r="1651" spans="1:15" x14ac:dyDescent="0.3">
      <c r="A1651" s="340" t="s">
        <v>891</v>
      </c>
      <c r="B1651" s="350">
        <v>46112</v>
      </c>
      <c r="C1651" s="350">
        <v>46125</v>
      </c>
      <c r="D1651" s="351">
        <v>46113</v>
      </c>
      <c r="E1651" s="340" t="s">
        <v>2438</v>
      </c>
      <c r="F1651" s="340" t="s">
        <v>894</v>
      </c>
      <c r="G1651" s="340" t="s">
        <v>2490</v>
      </c>
      <c r="H1651" s="340" t="s">
        <v>2489</v>
      </c>
      <c r="I1651" s="340" t="s">
        <v>771</v>
      </c>
      <c r="K1651" s="343">
        <v>0</v>
      </c>
      <c r="L1651" s="343">
        <v>-0.25</v>
      </c>
      <c r="M1651" s="343">
        <v>-1234243.73</v>
      </c>
      <c r="O1651" s="343">
        <v>0</v>
      </c>
    </row>
    <row r="1652" spans="1:15" x14ac:dyDescent="0.3">
      <c r="A1652" s="340" t="s">
        <v>891</v>
      </c>
      <c r="B1652" s="350">
        <v>46112</v>
      </c>
      <c r="C1652" s="350">
        <v>46125</v>
      </c>
      <c r="D1652" s="351">
        <v>46113</v>
      </c>
      <c r="E1652" s="340" t="s">
        <v>2438</v>
      </c>
      <c r="F1652" s="340" t="s">
        <v>894</v>
      </c>
      <c r="G1652" s="340" t="s">
        <v>2491</v>
      </c>
      <c r="H1652" s="340" t="s">
        <v>2489</v>
      </c>
      <c r="I1652" s="340" t="s">
        <v>771</v>
      </c>
      <c r="K1652" s="343">
        <v>0</v>
      </c>
      <c r="L1652" s="343">
        <v>-1.29</v>
      </c>
      <c r="M1652" s="343">
        <v>-1234245.02</v>
      </c>
      <c r="O1652" s="343">
        <v>0</v>
      </c>
    </row>
    <row r="1653" spans="1:15" x14ac:dyDescent="0.3">
      <c r="A1653" s="340" t="s">
        <v>891</v>
      </c>
      <c r="B1653" s="350">
        <v>46112</v>
      </c>
      <c r="C1653" s="350">
        <v>46125</v>
      </c>
      <c r="D1653" s="351">
        <v>46113</v>
      </c>
      <c r="E1653" s="340" t="s">
        <v>2438</v>
      </c>
      <c r="F1653" s="340" t="s">
        <v>894</v>
      </c>
      <c r="G1653" s="340" t="s">
        <v>2488</v>
      </c>
      <c r="H1653" s="340" t="s">
        <v>2489</v>
      </c>
      <c r="I1653" s="340" t="s">
        <v>771</v>
      </c>
      <c r="K1653" s="343">
        <v>0</v>
      </c>
      <c r="L1653" s="343">
        <v>-2.57</v>
      </c>
      <c r="M1653" s="343">
        <v>-1234247.5900000001</v>
      </c>
      <c r="O1653" s="343">
        <v>0</v>
      </c>
    </row>
    <row r="1654" spans="1:15" x14ac:dyDescent="0.3">
      <c r="A1654" s="340" t="s">
        <v>891</v>
      </c>
      <c r="B1654" s="350">
        <v>46112</v>
      </c>
      <c r="C1654" s="350">
        <v>46125</v>
      </c>
      <c r="D1654" s="351">
        <v>46113</v>
      </c>
      <c r="E1654" s="340" t="s">
        <v>2438</v>
      </c>
      <c r="F1654" s="340" t="s">
        <v>894</v>
      </c>
      <c r="G1654" s="340" t="s">
        <v>2492</v>
      </c>
      <c r="H1654" s="340" t="s">
        <v>2489</v>
      </c>
      <c r="I1654" s="340" t="s">
        <v>771</v>
      </c>
      <c r="K1654" s="343">
        <v>0</v>
      </c>
      <c r="L1654" s="343">
        <v>-2.95</v>
      </c>
      <c r="M1654" s="343">
        <v>-1234250.54</v>
      </c>
      <c r="O1654" s="343">
        <v>0</v>
      </c>
    </row>
    <row r="1655" spans="1:15" x14ac:dyDescent="0.3">
      <c r="A1655" s="340" t="s">
        <v>891</v>
      </c>
      <c r="B1655" s="350">
        <v>46112</v>
      </c>
      <c r="C1655" s="350">
        <v>46125</v>
      </c>
      <c r="D1655" s="351">
        <v>46113</v>
      </c>
      <c r="E1655" s="340" t="s">
        <v>2438</v>
      </c>
      <c r="F1655" s="340" t="s">
        <v>894</v>
      </c>
      <c r="G1655" s="340" t="s">
        <v>2492</v>
      </c>
      <c r="H1655" s="340" t="s">
        <v>2489</v>
      </c>
      <c r="I1655" s="340" t="s">
        <v>771</v>
      </c>
      <c r="K1655" s="343">
        <v>0</v>
      </c>
      <c r="L1655" s="343">
        <v>-2.95</v>
      </c>
      <c r="M1655" s="343">
        <v>-1234253.49</v>
      </c>
      <c r="O1655" s="343">
        <v>0</v>
      </c>
    </row>
    <row r="1656" spans="1:15" x14ac:dyDescent="0.3">
      <c r="A1656" s="340" t="s">
        <v>891</v>
      </c>
      <c r="B1656" s="350">
        <v>46112</v>
      </c>
      <c r="C1656" s="350">
        <v>46125</v>
      </c>
      <c r="D1656" s="351">
        <v>46113</v>
      </c>
      <c r="E1656" s="340" t="s">
        <v>2438</v>
      </c>
      <c r="F1656" s="340" t="s">
        <v>894</v>
      </c>
      <c r="G1656" s="340" t="s">
        <v>2493</v>
      </c>
      <c r="H1656" s="340" t="s">
        <v>2489</v>
      </c>
      <c r="I1656" s="340" t="s">
        <v>771</v>
      </c>
      <c r="K1656" s="343">
        <v>0</v>
      </c>
      <c r="L1656" s="343">
        <v>-3.91</v>
      </c>
      <c r="M1656" s="343">
        <v>-1234257.3999999999</v>
      </c>
      <c r="O1656" s="343">
        <v>0</v>
      </c>
    </row>
    <row r="1657" spans="1:15" x14ac:dyDescent="0.3">
      <c r="A1657" s="340" t="s">
        <v>891</v>
      </c>
      <c r="B1657" s="350">
        <v>46112</v>
      </c>
      <c r="C1657" s="350">
        <v>46125</v>
      </c>
      <c r="D1657" s="351">
        <v>46113</v>
      </c>
      <c r="E1657" s="340" t="s">
        <v>2438</v>
      </c>
      <c r="F1657" s="340" t="s">
        <v>894</v>
      </c>
      <c r="G1657" s="340" t="s">
        <v>2493</v>
      </c>
      <c r="H1657" s="340" t="s">
        <v>2489</v>
      </c>
      <c r="I1657" s="340" t="s">
        <v>771</v>
      </c>
      <c r="K1657" s="343">
        <v>0</v>
      </c>
      <c r="L1657" s="343">
        <v>-123.07</v>
      </c>
      <c r="M1657" s="343">
        <v>-1234380.47</v>
      </c>
      <c r="O1657" s="343">
        <v>0</v>
      </c>
    </row>
    <row r="1658" spans="1:15" x14ac:dyDescent="0.3">
      <c r="A1658" s="340" t="s">
        <v>891</v>
      </c>
      <c r="B1658" s="350">
        <v>46112</v>
      </c>
      <c r="C1658" s="350">
        <v>46125</v>
      </c>
      <c r="D1658" s="351">
        <v>46113</v>
      </c>
      <c r="E1658" s="340" t="s">
        <v>2438</v>
      </c>
      <c r="F1658" s="340" t="s">
        <v>894</v>
      </c>
      <c r="G1658" s="340" t="s">
        <v>2491</v>
      </c>
      <c r="H1658" s="340" t="s">
        <v>2489</v>
      </c>
      <c r="I1658" s="340" t="s">
        <v>771</v>
      </c>
      <c r="K1658" s="343">
        <v>0</v>
      </c>
      <c r="L1658" s="343">
        <v>-7.0000000000000007E-2</v>
      </c>
      <c r="M1658" s="343">
        <v>-1234380.54</v>
      </c>
      <c r="O1658" s="343">
        <v>0</v>
      </c>
    </row>
    <row r="1659" spans="1:15" x14ac:dyDescent="0.3">
      <c r="A1659" s="340" t="s">
        <v>891</v>
      </c>
      <c r="B1659" s="350">
        <v>46112</v>
      </c>
      <c r="C1659" s="350">
        <v>46125</v>
      </c>
      <c r="D1659" s="351">
        <v>46113</v>
      </c>
      <c r="E1659" s="340" t="s">
        <v>2438</v>
      </c>
      <c r="F1659" s="340" t="s">
        <v>894</v>
      </c>
      <c r="G1659" s="340" t="s">
        <v>2439</v>
      </c>
      <c r="H1659" s="340" t="s">
        <v>2494</v>
      </c>
      <c r="I1659" s="340" t="s">
        <v>771</v>
      </c>
      <c r="K1659" s="343">
        <v>0</v>
      </c>
      <c r="L1659" s="343">
        <v>-0.06</v>
      </c>
      <c r="M1659" s="343">
        <v>-1234380.6000000001</v>
      </c>
      <c r="O1659" s="343">
        <v>0</v>
      </c>
    </row>
    <row r="1660" spans="1:15" x14ac:dyDescent="0.3">
      <c r="A1660" s="340" t="s">
        <v>891</v>
      </c>
      <c r="B1660" s="350">
        <v>46112</v>
      </c>
      <c r="C1660" s="350">
        <v>46125</v>
      </c>
      <c r="D1660" s="351">
        <v>46113</v>
      </c>
      <c r="E1660" s="340" t="s">
        <v>2438</v>
      </c>
      <c r="F1660" s="340" t="s">
        <v>894</v>
      </c>
      <c r="G1660" s="340" t="s">
        <v>2441</v>
      </c>
      <c r="H1660" s="340" t="s">
        <v>2494</v>
      </c>
      <c r="I1660" s="340" t="s">
        <v>771</v>
      </c>
      <c r="K1660" s="343">
        <v>0</v>
      </c>
      <c r="L1660" s="343">
        <v>-0.12</v>
      </c>
      <c r="M1660" s="343">
        <v>-1234380.72</v>
      </c>
      <c r="O1660" s="343">
        <v>0</v>
      </c>
    </row>
    <row r="1661" spans="1:15" x14ac:dyDescent="0.3">
      <c r="A1661" s="340" t="s">
        <v>891</v>
      </c>
      <c r="B1661" s="350">
        <v>46112</v>
      </c>
      <c r="C1661" s="350">
        <v>46125</v>
      </c>
      <c r="D1661" s="351">
        <v>46113</v>
      </c>
      <c r="E1661" s="340" t="s">
        <v>2438</v>
      </c>
      <c r="F1661" s="340" t="s">
        <v>894</v>
      </c>
      <c r="G1661" s="340" t="s">
        <v>2443</v>
      </c>
      <c r="H1661" s="340" t="s">
        <v>2494</v>
      </c>
      <c r="I1661" s="340" t="s">
        <v>771</v>
      </c>
      <c r="K1661" s="343">
        <v>0</v>
      </c>
      <c r="L1661" s="343">
        <v>-2.91</v>
      </c>
      <c r="M1661" s="343">
        <v>-1234383.6299999999</v>
      </c>
      <c r="O1661" s="343">
        <v>0</v>
      </c>
    </row>
    <row r="1662" spans="1:15" x14ac:dyDescent="0.3">
      <c r="A1662" s="340" t="s">
        <v>891</v>
      </c>
      <c r="B1662" s="350">
        <v>46112</v>
      </c>
      <c r="C1662" s="350">
        <v>46125</v>
      </c>
      <c r="D1662" s="351">
        <v>46113</v>
      </c>
      <c r="E1662" s="340" t="s">
        <v>2438</v>
      </c>
      <c r="F1662" s="340" t="s">
        <v>894</v>
      </c>
      <c r="G1662" s="340" t="s">
        <v>2442</v>
      </c>
      <c r="H1662" s="340" t="s">
        <v>2494</v>
      </c>
      <c r="I1662" s="340" t="s">
        <v>771</v>
      </c>
      <c r="K1662" s="343">
        <v>0</v>
      </c>
      <c r="L1662" s="343">
        <v>-2.95</v>
      </c>
      <c r="M1662" s="343">
        <v>-1234386.58</v>
      </c>
      <c r="O1662" s="343">
        <v>0</v>
      </c>
    </row>
    <row r="1663" spans="1:15" x14ac:dyDescent="0.3">
      <c r="A1663" s="340" t="s">
        <v>891</v>
      </c>
      <c r="B1663" s="350">
        <v>46112</v>
      </c>
      <c r="C1663" s="350">
        <v>46125</v>
      </c>
      <c r="D1663" s="351">
        <v>46113</v>
      </c>
      <c r="E1663" s="340" t="s">
        <v>2438</v>
      </c>
      <c r="F1663" s="340" t="s">
        <v>894</v>
      </c>
      <c r="G1663" s="340" t="s">
        <v>2495</v>
      </c>
      <c r="H1663" s="340" t="s">
        <v>2496</v>
      </c>
      <c r="I1663" s="340" t="s">
        <v>771</v>
      </c>
      <c r="K1663" s="343">
        <v>0</v>
      </c>
      <c r="L1663" s="343">
        <v>-0.14000000000000001</v>
      </c>
      <c r="M1663" s="343">
        <v>-1234386.72</v>
      </c>
      <c r="O1663" s="343">
        <v>0</v>
      </c>
    </row>
    <row r="1664" spans="1:15" x14ac:dyDescent="0.3">
      <c r="A1664" s="340" t="s">
        <v>891</v>
      </c>
      <c r="B1664" s="350">
        <v>46112</v>
      </c>
      <c r="C1664" s="350">
        <v>46125</v>
      </c>
      <c r="D1664" s="351">
        <v>46113</v>
      </c>
      <c r="E1664" s="340" t="s">
        <v>2438</v>
      </c>
      <c r="F1664" s="340" t="s">
        <v>894</v>
      </c>
      <c r="G1664" s="340" t="s">
        <v>2497</v>
      </c>
      <c r="H1664" s="340" t="s">
        <v>2496</v>
      </c>
      <c r="I1664" s="340" t="s">
        <v>771</v>
      </c>
      <c r="K1664" s="343">
        <v>0</v>
      </c>
      <c r="L1664" s="343">
        <v>-0.57999999999999996</v>
      </c>
      <c r="M1664" s="343">
        <v>-1234387.3</v>
      </c>
      <c r="O1664" s="343">
        <v>0</v>
      </c>
    </row>
    <row r="1665" spans="1:15" x14ac:dyDescent="0.3">
      <c r="A1665" s="340" t="s">
        <v>891</v>
      </c>
      <c r="B1665" s="350">
        <v>46112</v>
      </c>
      <c r="C1665" s="350">
        <v>46125</v>
      </c>
      <c r="D1665" s="351">
        <v>46113</v>
      </c>
      <c r="E1665" s="340" t="s">
        <v>2438</v>
      </c>
      <c r="F1665" s="340" t="s">
        <v>894</v>
      </c>
      <c r="G1665" s="340" t="s">
        <v>2498</v>
      </c>
      <c r="H1665" s="340" t="s">
        <v>2496</v>
      </c>
      <c r="I1665" s="340" t="s">
        <v>771</v>
      </c>
      <c r="K1665" s="343">
        <v>0</v>
      </c>
      <c r="L1665" s="343">
        <v>-2.95</v>
      </c>
      <c r="M1665" s="343">
        <v>-1234390.25</v>
      </c>
      <c r="O1665" s="343">
        <v>0</v>
      </c>
    </row>
    <row r="1666" spans="1:15" x14ac:dyDescent="0.3">
      <c r="A1666" s="340" t="s">
        <v>891</v>
      </c>
      <c r="B1666" s="350">
        <v>46112</v>
      </c>
      <c r="C1666" s="350">
        <v>46125</v>
      </c>
      <c r="D1666" s="351">
        <v>46113</v>
      </c>
      <c r="E1666" s="340" t="s">
        <v>2438</v>
      </c>
      <c r="F1666" s="340" t="s">
        <v>894</v>
      </c>
      <c r="G1666" s="340" t="s">
        <v>2499</v>
      </c>
      <c r="H1666" s="340" t="s">
        <v>2496</v>
      </c>
      <c r="I1666" s="340" t="s">
        <v>771</v>
      </c>
      <c r="K1666" s="343">
        <v>0</v>
      </c>
      <c r="L1666" s="343">
        <v>-3.91</v>
      </c>
      <c r="M1666" s="343">
        <v>-1234394.1599999999</v>
      </c>
      <c r="O1666" s="343">
        <v>0</v>
      </c>
    </row>
    <row r="1667" spans="1:15" x14ac:dyDescent="0.3">
      <c r="A1667" s="340" t="s">
        <v>891</v>
      </c>
      <c r="B1667" s="350">
        <v>46112</v>
      </c>
      <c r="C1667" s="350">
        <v>46125</v>
      </c>
      <c r="D1667" s="351">
        <v>46113</v>
      </c>
      <c r="E1667" s="340" t="s">
        <v>2438</v>
      </c>
      <c r="F1667" s="340" t="s">
        <v>894</v>
      </c>
      <c r="G1667" s="340" t="s">
        <v>2439</v>
      </c>
      <c r="H1667" s="340" t="s">
        <v>2500</v>
      </c>
      <c r="I1667" s="340" t="s">
        <v>771</v>
      </c>
      <c r="K1667" s="343">
        <v>0</v>
      </c>
      <c r="L1667" s="343">
        <v>-0.05</v>
      </c>
      <c r="M1667" s="343">
        <v>-1234394.21</v>
      </c>
      <c r="O1667" s="343">
        <v>0</v>
      </c>
    </row>
    <row r="1668" spans="1:15" x14ac:dyDescent="0.3">
      <c r="A1668" s="340" t="s">
        <v>891</v>
      </c>
      <c r="B1668" s="350">
        <v>46112</v>
      </c>
      <c r="C1668" s="350">
        <v>46125</v>
      </c>
      <c r="D1668" s="351">
        <v>46113</v>
      </c>
      <c r="E1668" s="340" t="s">
        <v>2438</v>
      </c>
      <c r="F1668" s="340" t="s">
        <v>894</v>
      </c>
      <c r="G1668" s="340" t="s">
        <v>2441</v>
      </c>
      <c r="H1668" s="340" t="s">
        <v>2500</v>
      </c>
      <c r="I1668" s="340" t="s">
        <v>771</v>
      </c>
      <c r="K1668" s="343">
        <v>0</v>
      </c>
      <c r="L1668" s="343">
        <v>-0.1</v>
      </c>
      <c r="M1668" s="343">
        <v>-1234394.31</v>
      </c>
      <c r="O1668" s="343">
        <v>0</v>
      </c>
    </row>
    <row r="1669" spans="1:15" x14ac:dyDescent="0.3">
      <c r="A1669" s="340" t="s">
        <v>891</v>
      </c>
      <c r="B1669" s="350">
        <v>46112</v>
      </c>
      <c r="C1669" s="350">
        <v>46125</v>
      </c>
      <c r="D1669" s="351">
        <v>46113</v>
      </c>
      <c r="E1669" s="340" t="s">
        <v>2438</v>
      </c>
      <c r="F1669" s="340" t="s">
        <v>894</v>
      </c>
      <c r="G1669" s="340" t="s">
        <v>2443</v>
      </c>
      <c r="H1669" s="340" t="s">
        <v>2500</v>
      </c>
      <c r="I1669" s="340" t="s">
        <v>771</v>
      </c>
      <c r="K1669" s="343">
        <v>0</v>
      </c>
      <c r="L1669" s="343">
        <v>-1.99</v>
      </c>
      <c r="M1669" s="343">
        <v>-1234396.3</v>
      </c>
      <c r="O1669" s="343">
        <v>0</v>
      </c>
    </row>
    <row r="1670" spans="1:15" x14ac:dyDescent="0.3">
      <c r="A1670" s="340" t="s">
        <v>891</v>
      </c>
      <c r="B1670" s="350">
        <v>46112</v>
      </c>
      <c r="C1670" s="350">
        <v>46125</v>
      </c>
      <c r="D1670" s="351">
        <v>46113</v>
      </c>
      <c r="E1670" s="340" t="s">
        <v>2438</v>
      </c>
      <c r="F1670" s="340" t="s">
        <v>894</v>
      </c>
      <c r="G1670" s="340" t="s">
        <v>2442</v>
      </c>
      <c r="H1670" s="340" t="s">
        <v>2500</v>
      </c>
      <c r="I1670" s="340" t="s">
        <v>771</v>
      </c>
      <c r="K1670" s="343">
        <v>0</v>
      </c>
      <c r="L1670" s="343">
        <v>-2.95</v>
      </c>
      <c r="M1670" s="343">
        <v>-1234399.25</v>
      </c>
      <c r="O1670" s="343">
        <v>0</v>
      </c>
    </row>
    <row r="1671" spans="1:15" x14ac:dyDescent="0.3">
      <c r="A1671" s="340" t="s">
        <v>891</v>
      </c>
      <c r="B1671" s="350">
        <v>46112</v>
      </c>
      <c r="C1671" s="350">
        <v>46125</v>
      </c>
      <c r="D1671" s="351">
        <v>46113</v>
      </c>
      <c r="E1671" s="340" t="s">
        <v>2438</v>
      </c>
      <c r="F1671" s="340" t="s">
        <v>894</v>
      </c>
      <c r="G1671" s="340" t="s">
        <v>2501</v>
      </c>
      <c r="H1671" s="340" t="s">
        <v>2502</v>
      </c>
      <c r="I1671" s="340" t="s">
        <v>771</v>
      </c>
      <c r="K1671" s="343">
        <v>0</v>
      </c>
      <c r="L1671" s="343">
        <v>-2.09</v>
      </c>
      <c r="M1671" s="343">
        <v>-1234401.3400000001</v>
      </c>
      <c r="O1671" s="343">
        <v>0</v>
      </c>
    </row>
    <row r="1672" spans="1:15" x14ac:dyDescent="0.3">
      <c r="A1672" s="340" t="s">
        <v>891</v>
      </c>
      <c r="B1672" s="350">
        <v>46112</v>
      </c>
      <c r="C1672" s="350">
        <v>46125</v>
      </c>
      <c r="D1672" s="351">
        <v>46113</v>
      </c>
      <c r="E1672" s="340" t="s">
        <v>2438</v>
      </c>
      <c r="F1672" s="340" t="s">
        <v>894</v>
      </c>
      <c r="G1672" s="340" t="s">
        <v>2503</v>
      </c>
      <c r="H1672" s="340" t="s">
        <v>2502</v>
      </c>
      <c r="I1672" s="340" t="s">
        <v>771</v>
      </c>
      <c r="K1672" s="343">
        <v>0</v>
      </c>
      <c r="L1672" s="343">
        <v>-2.95</v>
      </c>
      <c r="M1672" s="343">
        <v>-1234404.29</v>
      </c>
      <c r="O1672" s="343">
        <v>0</v>
      </c>
    </row>
    <row r="1673" spans="1:15" x14ac:dyDescent="0.3">
      <c r="A1673" s="340" t="s">
        <v>891</v>
      </c>
      <c r="B1673" s="350">
        <v>46112</v>
      </c>
      <c r="C1673" s="350">
        <v>46125</v>
      </c>
      <c r="D1673" s="351">
        <v>46113</v>
      </c>
      <c r="E1673" s="340" t="s">
        <v>2438</v>
      </c>
      <c r="F1673" s="340" t="s">
        <v>894</v>
      </c>
      <c r="G1673" s="340" t="s">
        <v>2504</v>
      </c>
      <c r="H1673" s="340" t="s">
        <v>2502</v>
      </c>
      <c r="I1673" s="340" t="s">
        <v>771</v>
      </c>
      <c r="K1673" s="343">
        <v>0</v>
      </c>
      <c r="L1673" s="343">
        <v>-8.64</v>
      </c>
      <c r="M1673" s="343">
        <v>-1234412.93</v>
      </c>
      <c r="O1673" s="343">
        <v>0</v>
      </c>
    </row>
    <row r="1674" spans="1:15" x14ac:dyDescent="0.3">
      <c r="A1674" s="340" t="s">
        <v>891</v>
      </c>
      <c r="B1674" s="350">
        <v>46112</v>
      </c>
      <c r="C1674" s="350">
        <v>46125</v>
      </c>
      <c r="D1674" s="351">
        <v>46113</v>
      </c>
      <c r="E1674" s="340" t="s">
        <v>2438</v>
      </c>
      <c r="F1674" s="340" t="s">
        <v>894</v>
      </c>
      <c r="G1674" s="340" t="s">
        <v>2505</v>
      </c>
      <c r="H1674" s="340" t="s">
        <v>2502</v>
      </c>
      <c r="I1674" s="340" t="s">
        <v>771</v>
      </c>
      <c r="K1674" s="343">
        <v>0</v>
      </c>
      <c r="L1674" s="343">
        <v>-99.72</v>
      </c>
      <c r="M1674" s="343">
        <v>-1234512.6499999999</v>
      </c>
      <c r="O1674" s="343">
        <v>0</v>
      </c>
    </row>
    <row r="1675" spans="1:15" x14ac:dyDescent="0.3">
      <c r="A1675" s="340" t="s">
        <v>891</v>
      </c>
      <c r="B1675" s="350">
        <v>46112</v>
      </c>
      <c r="C1675" s="350">
        <v>46125</v>
      </c>
      <c r="D1675" s="351">
        <v>46113</v>
      </c>
      <c r="E1675" s="340" t="s">
        <v>2438</v>
      </c>
      <c r="F1675" s="340" t="s">
        <v>894</v>
      </c>
      <c r="G1675" s="340" t="s">
        <v>2439</v>
      </c>
      <c r="H1675" s="340" t="s">
        <v>2506</v>
      </c>
      <c r="I1675" s="340" t="s">
        <v>771</v>
      </c>
      <c r="K1675" s="343">
        <v>0</v>
      </c>
      <c r="L1675" s="343">
        <v>-0.54</v>
      </c>
      <c r="M1675" s="343">
        <v>-1234513.19</v>
      </c>
      <c r="O1675" s="343">
        <v>0</v>
      </c>
    </row>
    <row r="1676" spans="1:15" x14ac:dyDescent="0.3">
      <c r="A1676" s="340" t="s">
        <v>891</v>
      </c>
      <c r="B1676" s="350">
        <v>46112</v>
      </c>
      <c r="C1676" s="350">
        <v>46125</v>
      </c>
      <c r="D1676" s="351">
        <v>46113</v>
      </c>
      <c r="E1676" s="340" t="s">
        <v>2438</v>
      </c>
      <c r="F1676" s="340" t="s">
        <v>894</v>
      </c>
      <c r="G1676" s="340" t="s">
        <v>2441</v>
      </c>
      <c r="H1676" s="340" t="s">
        <v>2506</v>
      </c>
      <c r="I1676" s="340" t="s">
        <v>771</v>
      </c>
      <c r="K1676" s="343">
        <v>0</v>
      </c>
      <c r="L1676" s="343">
        <v>-1.08</v>
      </c>
      <c r="M1676" s="343">
        <v>-1234514.27</v>
      </c>
      <c r="O1676" s="343">
        <v>0</v>
      </c>
    </row>
    <row r="1677" spans="1:15" x14ac:dyDescent="0.3">
      <c r="A1677" s="340" t="s">
        <v>891</v>
      </c>
      <c r="B1677" s="350">
        <v>46112</v>
      </c>
      <c r="C1677" s="350">
        <v>46125</v>
      </c>
      <c r="D1677" s="351">
        <v>46113</v>
      </c>
      <c r="E1677" s="340" t="s">
        <v>2438</v>
      </c>
      <c r="F1677" s="340" t="s">
        <v>894</v>
      </c>
      <c r="G1677" s="340" t="s">
        <v>2442</v>
      </c>
      <c r="H1677" s="340" t="s">
        <v>2506</v>
      </c>
      <c r="I1677" s="340" t="s">
        <v>771</v>
      </c>
      <c r="K1677" s="343">
        <v>0</v>
      </c>
      <c r="L1677" s="343">
        <v>-2.95</v>
      </c>
      <c r="M1677" s="343">
        <v>-1234517.22</v>
      </c>
      <c r="O1677" s="343">
        <v>0</v>
      </c>
    </row>
    <row r="1678" spans="1:15" x14ac:dyDescent="0.3">
      <c r="A1678" s="340" t="s">
        <v>891</v>
      </c>
      <c r="B1678" s="350">
        <v>46112</v>
      </c>
      <c r="C1678" s="350">
        <v>46125</v>
      </c>
      <c r="D1678" s="351">
        <v>46113</v>
      </c>
      <c r="E1678" s="340" t="s">
        <v>2438</v>
      </c>
      <c r="F1678" s="340" t="s">
        <v>894</v>
      </c>
      <c r="G1678" s="340" t="s">
        <v>2443</v>
      </c>
      <c r="H1678" s="340" t="s">
        <v>2506</v>
      </c>
      <c r="I1678" s="340" t="s">
        <v>771</v>
      </c>
      <c r="K1678" s="343">
        <v>0</v>
      </c>
      <c r="L1678" s="343">
        <v>-50.19</v>
      </c>
      <c r="M1678" s="343">
        <v>-1234567.4099999999</v>
      </c>
      <c r="O1678" s="343">
        <v>0</v>
      </c>
    </row>
    <row r="1679" spans="1:15" x14ac:dyDescent="0.3">
      <c r="A1679" s="340" t="s">
        <v>891</v>
      </c>
      <c r="B1679" s="350">
        <v>46112</v>
      </c>
      <c r="C1679" s="350">
        <v>46125</v>
      </c>
      <c r="D1679" s="351">
        <v>46113</v>
      </c>
      <c r="E1679" s="340" t="s">
        <v>2438</v>
      </c>
      <c r="F1679" s="340" t="s">
        <v>894</v>
      </c>
      <c r="G1679" s="340" t="s">
        <v>2439</v>
      </c>
      <c r="H1679" s="340" t="s">
        <v>2507</v>
      </c>
      <c r="I1679" s="340" t="s">
        <v>771</v>
      </c>
      <c r="K1679" s="343">
        <v>0</v>
      </c>
      <c r="L1679" s="343">
        <v>-0.24</v>
      </c>
      <c r="M1679" s="343">
        <v>-1234567.6499999999</v>
      </c>
      <c r="O1679" s="343">
        <v>0</v>
      </c>
    </row>
    <row r="1680" spans="1:15" x14ac:dyDescent="0.3">
      <c r="A1680" s="340" t="s">
        <v>891</v>
      </c>
      <c r="B1680" s="350">
        <v>46112</v>
      </c>
      <c r="C1680" s="350">
        <v>46125</v>
      </c>
      <c r="D1680" s="351">
        <v>46113</v>
      </c>
      <c r="E1680" s="340" t="s">
        <v>2438</v>
      </c>
      <c r="F1680" s="340" t="s">
        <v>894</v>
      </c>
      <c r="G1680" s="340" t="s">
        <v>2441</v>
      </c>
      <c r="H1680" s="340" t="s">
        <v>2507</v>
      </c>
      <c r="I1680" s="340" t="s">
        <v>771</v>
      </c>
      <c r="K1680" s="343">
        <v>0</v>
      </c>
      <c r="L1680" s="343">
        <v>-0.48</v>
      </c>
      <c r="M1680" s="343">
        <v>-1234568.1299999999</v>
      </c>
      <c r="O1680" s="343">
        <v>0</v>
      </c>
    </row>
    <row r="1681" spans="1:15" x14ac:dyDescent="0.3">
      <c r="A1681" s="340" t="s">
        <v>891</v>
      </c>
      <c r="B1681" s="350">
        <v>46112</v>
      </c>
      <c r="C1681" s="350">
        <v>46125</v>
      </c>
      <c r="D1681" s="351">
        <v>46113</v>
      </c>
      <c r="E1681" s="340" t="s">
        <v>2438</v>
      </c>
      <c r="F1681" s="340" t="s">
        <v>894</v>
      </c>
      <c r="G1681" s="340" t="s">
        <v>2442</v>
      </c>
      <c r="H1681" s="340" t="s">
        <v>2507</v>
      </c>
      <c r="I1681" s="340" t="s">
        <v>771</v>
      </c>
      <c r="K1681" s="343">
        <v>0</v>
      </c>
      <c r="L1681" s="343">
        <v>-2.95</v>
      </c>
      <c r="M1681" s="343">
        <v>-1234571.08</v>
      </c>
      <c r="O1681" s="343">
        <v>0</v>
      </c>
    </row>
    <row r="1682" spans="1:15" x14ac:dyDescent="0.3">
      <c r="A1682" s="340" t="s">
        <v>891</v>
      </c>
      <c r="B1682" s="350">
        <v>46112</v>
      </c>
      <c r="C1682" s="350">
        <v>46125</v>
      </c>
      <c r="D1682" s="351">
        <v>46113</v>
      </c>
      <c r="E1682" s="340" t="s">
        <v>2438</v>
      </c>
      <c r="F1682" s="340" t="s">
        <v>894</v>
      </c>
      <c r="G1682" s="340" t="s">
        <v>2443</v>
      </c>
      <c r="H1682" s="340" t="s">
        <v>2507</v>
      </c>
      <c r="I1682" s="340" t="s">
        <v>771</v>
      </c>
      <c r="K1682" s="343">
        <v>0</v>
      </c>
      <c r="L1682" s="343">
        <v>-20.61</v>
      </c>
      <c r="M1682" s="343">
        <v>-1234591.69</v>
      </c>
      <c r="O1682" s="343">
        <v>0</v>
      </c>
    </row>
    <row r="1683" spans="1:15" x14ac:dyDescent="0.3">
      <c r="A1683" s="340" t="s">
        <v>891</v>
      </c>
      <c r="B1683" s="350">
        <v>46112</v>
      </c>
      <c r="C1683" s="350">
        <v>46125</v>
      </c>
      <c r="D1683" s="351">
        <v>46113</v>
      </c>
      <c r="E1683" s="340" t="s">
        <v>2438</v>
      </c>
      <c r="F1683" s="340" t="s">
        <v>894</v>
      </c>
      <c r="G1683" s="340" t="s">
        <v>2439</v>
      </c>
      <c r="H1683" s="340" t="s">
        <v>2508</v>
      </c>
      <c r="I1683" s="340" t="s">
        <v>771</v>
      </c>
      <c r="K1683" s="343">
        <v>0</v>
      </c>
      <c r="L1683" s="343">
        <v>-7.0000000000000007E-2</v>
      </c>
      <c r="M1683" s="343">
        <v>-1234591.76</v>
      </c>
      <c r="O1683" s="343">
        <v>0</v>
      </c>
    </row>
    <row r="1684" spans="1:15" x14ac:dyDescent="0.3">
      <c r="A1684" s="340" t="s">
        <v>891</v>
      </c>
      <c r="B1684" s="350">
        <v>46112</v>
      </c>
      <c r="C1684" s="350">
        <v>46125</v>
      </c>
      <c r="D1684" s="351">
        <v>46113</v>
      </c>
      <c r="E1684" s="340" t="s">
        <v>2438</v>
      </c>
      <c r="F1684" s="340" t="s">
        <v>894</v>
      </c>
      <c r="G1684" s="340" t="s">
        <v>2441</v>
      </c>
      <c r="H1684" s="340" t="s">
        <v>2508</v>
      </c>
      <c r="I1684" s="340" t="s">
        <v>771</v>
      </c>
      <c r="K1684" s="343">
        <v>0</v>
      </c>
      <c r="L1684" s="343">
        <v>-0.14000000000000001</v>
      </c>
      <c r="M1684" s="343">
        <v>-1234591.8999999999</v>
      </c>
      <c r="O1684" s="343">
        <v>0</v>
      </c>
    </row>
    <row r="1685" spans="1:15" x14ac:dyDescent="0.3">
      <c r="A1685" s="340" t="s">
        <v>891</v>
      </c>
      <c r="B1685" s="350">
        <v>46112</v>
      </c>
      <c r="C1685" s="350">
        <v>46125</v>
      </c>
      <c r="D1685" s="351">
        <v>46113</v>
      </c>
      <c r="E1685" s="340" t="s">
        <v>2438</v>
      </c>
      <c r="F1685" s="340" t="s">
        <v>894</v>
      </c>
      <c r="G1685" s="340" t="s">
        <v>2442</v>
      </c>
      <c r="H1685" s="340" t="s">
        <v>2508</v>
      </c>
      <c r="I1685" s="340" t="s">
        <v>771</v>
      </c>
      <c r="K1685" s="343">
        <v>0</v>
      </c>
      <c r="L1685" s="343">
        <v>-2.95</v>
      </c>
      <c r="M1685" s="343">
        <v>-1234594.8500000001</v>
      </c>
      <c r="O1685" s="343">
        <v>0</v>
      </c>
    </row>
    <row r="1686" spans="1:15" x14ac:dyDescent="0.3">
      <c r="A1686" s="340" t="s">
        <v>891</v>
      </c>
      <c r="B1686" s="350">
        <v>46112</v>
      </c>
      <c r="C1686" s="350">
        <v>46125</v>
      </c>
      <c r="D1686" s="351">
        <v>46113</v>
      </c>
      <c r="E1686" s="340" t="s">
        <v>2438</v>
      </c>
      <c r="F1686" s="340" t="s">
        <v>894</v>
      </c>
      <c r="G1686" s="340" t="s">
        <v>2443</v>
      </c>
      <c r="H1686" s="340" t="s">
        <v>2508</v>
      </c>
      <c r="I1686" s="340" t="s">
        <v>771</v>
      </c>
      <c r="K1686" s="343">
        <v>0</v>
      </c>
      <c r="L1686" s="343">
        <v>-3.78</v>
      </c>
      <c r="M1686" s="343">
        <v>-1234598.6299999999</v>
      </c>
      <c r="O1686" s="343">
        <v>0</v>
      </c>
    </row>
    <row r="1687" spans="1:15" x14ac:dyDescent="0.3">
      <c r="A1687" s="340" t="s">
        <v>891</v>
      </c>
      <c r="B1687" s="350">
        <v>46112</v>
      </c>
      <c r="C1687" s="350">
        <v>46125</v>
      </c>
      <c r="D1687" s="351">
        <v>46113</v>
      </c>
      <c r="E1687" s="340" t="s">
        <v>2438</v>
      </c>
      <c r="F1687" s="340" t="s">
        <v>894</v>
      </c>
      <c r="G1687" s="340" t="s">
        <v>2439</v>
      </c>
      <c r="H1687" s="340" t="s">
        <v>2509</v>
      </c>
      <c r="I1687" s="340" t="s">
        <v>771</v>
      </c>
      <c r="K1687" s="343">
        <v>0</v>
      </c>
      <c r="L1687" s="343">
        <v>-0.11</v>
      </c>
      <c r="M1687" s="343">
        <v>-1234598.74</v>
      </c>
      <c r="O1687" s="343">
        <v>0</v>
      </c>
    </row>
    <row r="1688" spans="1:15" x14ac:dyDescent="0.3">
      <c r="A1688" s="340" t="s">
        <v>891</v>
      </c>
      <c r="B1688" s="350">
        <v>46112</v>
      </c>
      <c r="C1688" s="350">
        <v>46125</v>
      </c>
      <c r="D1688" s="351">
        <v>46113</v>
      </c>
      <c r="E1688" s="340" t="s">
        <v>2438</v>
      </c>
      <c r="F1688" s="340" t="s">
        <v>894</v>
      </c>
      <c r="G1688" s="340" t="s">
        <v>2441</v>
      </c>
      <c r="H1688" s="340" t="s">
        <v>2509</v>
      </c>
      <c r="I1688" s="340" t="s">
        <v>771</v>
      </c>
      <c r="K1688" s="343">
        <v>0</v>
      </c>
      <c r="L1688" s="343">
        <v>-0.21</v>
      </c>
      <c r="M1688" s="343">
        <v>-1234598.95</v>
      </c>
      <c r="O1688" s="343">
        <v>0</v>
      </c>
    </row>
    <row r="1689" spans="1:15" x14ac:dyDescent="0.3">
      <c r="A1689" s="340" t="s">
        <v>891</v>
      </c>
      <c r="B1689" s="350">
        <v>46112</v>
      </c>
      <c r="C1689" s="350">
        <v>46125</v>
      </c>
      <c r="D1689" s="351">
        <v>46113</v>
      </c>
      <c r="E1689" s="340" t="s">
        <v>2438</v>
      </c>
      <c r="F1689" s="340" t="s">
        <v>894</v>
      </c>
      <c r="G1689" s="340" t="s">
        <v>2442</v>
      </c>
      <c r="H1689" s="340" t="s">
        <v>2509</v>
      </c>
      <c r="I1689" s="340" t="s">
        <v>771</v>
      </c>
      <c r="K1689" s="343">
        <v>0</v>
      </c>
      <c r="L1689" s="343">
        <v>-2.95</v>
      </c>
      <c r="M1689" s="343">
        <v>-1234601.8999999999</v>
      </c>
      <c r="O1689" s="343">
        <v>0</v>
      </c>
    </row>
    <row r="1690" spans="1:15" x14ac:dyDescent="0.3">
      <c r="A1690" s="340" t="s">
        <v>891</v>
      </c>
      <c r="B1690" s="350">
        <v>46112</v>
      </c>
      <c r="C1690" s="350">
        <v>46125</v>
      </c>
      <c r="D1690" s="351">
        <v>46113</v>
      </c>
      <c r="E1690" s="340" t="s">
        <v>2438</v>
      </c>
      <c r="F1690" s="340" t="s">
        <v>894</v>
      </c>
      <c r="G1690" s="340" t="s">
        <v>2443</v>
      </c>
      <c r="H1690" s="340" t="s">
        <v>2509</v>
      </c>
      <c r="I1690" s="340" t="s">
        <v>771</v>
      </c>
      <c r="K1690" s="343">
        <v>0</v>
      </c>
      <c r="L1690" s="343">
        <v>-7.48</v>
      </c>
      <c r="M1690" s="343">
        <v>-1234609.3799999999</v>
      </c>
      <c r="O1690" s="343">
        <v>0</v>
      </c>
    </row>
    <row r="1691" spans="1:15" x14ac:dyDescent="0.3">
      <c r="A1691" s="340" t="s">
        <v>891</v>
      </c>
      <c r="B1691" s="350">
        <v>46112</v>
      </c>
      <c r="C1691" s="350">
        <v>46125</v>
      </c>
      <c r="D1691" s="351">
        <v>46113</v>
      </c>
      <c r="E1691" s="340" t="s">
        <v>2438</v>
      </c>
      <c r="F1691" s="340" t="s">
        <v>894</v>
      </c>
      <c r="G1691" s="340" t="s">
        <v>2441</v>
      </c>
      <c r="H1691" s="340" t="s">
        <v>2510</v>
      </c>
      <c r="I1691" s="340" t="s">
        <v>771</v>
      </c>
      <c r="K1691" s="343">
        <v>0</v>
      </c>
      <c r="L1691" s="343">
        <v>-0.39</v>
      </c>
      <c r="M1691" s="343">
        <v>-1234609.77</v>
      </c>
      <c r="O1691" s="343">
        <v>0</v>
      </c>
    </row>
    <row r="1692" spans="1:15" x14ac:dyDescent="0.3">
      <c r="A1692" s="340" t="s">
        <v>891</v>
      </c>
      <c r="B1692" s="350">
        <v>46112</v>
      </c>
      <c r="C1692" s="350">
        <v>46125</v>
      </c>
      <c r="D1692" s="351">
        <v>46113</v>
      </c>
      <c r="E1692" s="340" t="s">
        <v>2438</v>
      </c>
      <c r="F1692" s="340" t="s">
        <v>894</v>
      </c>
      <c r="G1692" s="340" t="s">
        <v>2439</v>
      </c>
      <c r="H1692" s="340" t="s">
        <v>2510</v>
      </c>
      <c r="I1692" s="340" t="s">
        <v>771</v>
      </c>
      <c r="K1692" s="343">
        <v>0</v>
      </c>
      <c r="L1692" s="343">
        <v>-1.61</v>
      </c>
      <c r="M1692" s="343">
        <v>-1234611.3799999999</v>
      </c>
      <c r="O1692" s="343">
        <v>0</v>
      </c>
    </row>
    <row r="1693" spans="1:15" x14ac:dyDescent="0.3">
      <c r="A1693" s="340" t="s">
        <v>891</v>
      </c>
      <c r="B1693" s="350">
        <v>46112</v>
      </c>
      <c r="C1693" s="350">
        <v>46125</v>
      </c>
      <c r="D1693" s="351">
        <v>46113</v>
      </c>
      <c r="E1693" s="340" t="s">
        <v>2438</v>
      </c>
      <c r="F1693" s="340" t="s">
        <v>894</v>
      </c>
      <c r="G1693" s="340" t="s">
        <v>2442</v>
      </c>
      <c r="H1693" s="340" t="s">
        <v>2510</v>
      </c>
      <c r="I1693" s="340" t="s">
        <v>771</v>
      </c>
      <c r="K1693" s="343">
        <v>0</v>
      </c>
      <c r="L1693" s="343">
        <v>-2.95</v>
      </c>
      <c r="M1693" s="343">
        <v>-1234614.33</v>
      </c>
      <c r="O1693" s="343">
        <v>0</v>
      </c>
    </row>
    <row r="1694" spans="1:15" x14ac:dyDescent="0.3">
      <c r="A1694" s="340" t="s">
        <v>891</v>
      </c>
      <c r="B1694" s="350">
        <v>46112</v>
      </c>
      <c r="C1694" s="350">
        <v>46125</v>
      </c>
      <c r="D1694" s="351">
        <v>46113</v>
      </c>
      <c r="E1694" s="340" t="s">
        <v>2438</v>
      </c>
      <c r="F1694" s="340" t="s">
        <v>894</v>
      </c>
      <c r="G1694" s="340" t="s">
        <v>2443</v>
      </c>
      <c r="H1694" s="340" t="s">
        <v>2510</v>
      </c>
      <c r="I1694" s="340" t="s">
        <v>771</v>
      </c>
      <c r="K1694" s="343">
        <v>0</v>
      </c>
      <c r="L1694" s="343">
        <v>-16.12</v>
      </c>
      <c r="M1694" s="343">
        <v>-1234630.45</v>
      </c>
      <c r="O1694" s="343">
        <v>0</v>
      </c>
    </row>
    <row r="1695" spans="1:15" x14ac:dyDescent="0.3">
      <c r="A1695" s="340" t="s">
        <v>891</v>
      </c>
      <c r="B1695" s="350">
        <v>46112</v>
      </c>
      <c r="C1695" s="350">
        <v>46125</v>
      </c>
      <c r="D1695" s="351">
        <v>46113</v>
      </c>
      <c r="E1695" s="340" t="s">
        <v>2438</v>
      </c>
      <c r="F1695" s="340" t="s">
        <v>894</v>
      </c>
      <c r="G1695" s="340" t="s">
        <v>2443</v>
      </c>
      <c r="H1695" s="340" t="s">
        <v>2511</v>
      </c>
      <c r="I1695" s="340" t="s">
        <v>771</v>
      </c>
      <c r="K1695" s="343">
        <v>0</v>
      </c>
      <c r="L1695" s="343">
        <v>-3.99</v>
      </c>
      <c r="M1695" s="343">
        <v>-1234634.44</v>
      </c>
      <c r="O1695" s="343">
        <v>0</v>
      </c>
    </row>
    <row r="1696" spans="1:15" x14ac:dyDescent="0.3">
      <c r="A1696" s="340" t="s">
        <v>891</v>
      </c>
      <c r="B1696" s="350">
        <v>46112</v>
      </c>
      <c r="C1696" s="350">
        <v>46125</v>
      </c>
      <c r="D1696" s="351">
        <v>46113</v>
      </c>
      <c r="E1696" s="340" t="s">
        <v>2438</v>
      </c>
      <c r="F1696" s="340" t="s">
        <v>894</v>
      </c>
      <c r="G1696" s="340" t="s">
        <v>2439</v>
      </c>
      <c r="H1696" s="340" t="s">
        <v>2511</v>
      </c>
      <c r="I1696" s="340" t="s">
        <v>771</v>
      </c>
      <c r="K1696" s="343">
        <v>0</v>
      </c>
      <c r="L1696" s="343">
        <v>-7.0000000000000007E-2</v>
      </c>
      <c r="M1696" s="343">
        <v>-1234634.51</v>
      </c>
      <c r="O1696" s="343">
        <v>0</v>
      </c>
    </row>
    <row r="1697" spans="1:15" x14ac:dyDescent="0.3">
      <c r="A1697" s="340" t="s">
        <v>891</v>
      </c>
      <c r="B1697" s="350">
        <v>46112</v>
      </c>
      <c r="C1697" s="350">
        <v>46125</v>
      </c>
      <c r="D1697" s="351">
        <v>46113</v>
      </c>
      <c r="E1697" s="340" t="s">
        <v>2438</v>
      </c>
      <c r="F1697" s="340" t="s">
        <v>894</v>
      </c>
      <c r="G1697" s="340" t="s">
        <v>2441</v>
      </c>
      <c r="H1697" s="340" t="s">
        <v>2511</v>
      </c>
      <c r="I1697" s="340" t="s">
        <v>771</v>
      </c>
      <c r="K1697" s="343">
        <v>0</v>
      </c>
      <c r="L1697" s="343">
        <v>-0.14000000000000001</v>
      </c>
      <c r="M1697" s="343">
        <v>-1234634.6499999999</v>
      </c>
      <c r="O1697" s="343">
        <v>0</v>
      </c>
    </row>
    <row r="1698" spans="1:15" x14ac:dyDescent="0.3">
      <c r="A1698" s="340" t="s">
        <v>891</v>
      </c>
      <c r="B1698" s="350">
        <v>46112</v>
      </c>
      <c r="C1698" s="350">
        <v>46125</v>
      </c>
      <c r="D1698" s="351">
        <v>46113</v>
      </c>
      <c r="E1698" s="340" t="s">
        <v>2438</v>
      </c>
      <c r="F1698" s="340" t="s">
        <v>894</v>
      </c>
      <c r="G1698" s="340" t="s">
        <v>2442</v>
      </c>
      <c r="H1698" s="340" t="s">
        <v>2511</v>
      </c>
      <c r="I1698" s="340" t="s">
        <v>771</v>
      </c>
      <c r="K1698" s="343">
        <v>0</v>
      </c>
      <c r="L1698" s="343">
        <v>-2.95</v>
      </c>
      <c r="M1698" s="343">
        <v>-1234637.6000000001</v>
      </c>
      <c r="O1698" s="343">
        <v>0</v>
      </c>
    </row>
    <row r="1699" spans="1:15" x14ac:dyDescent="0.3">
      <c r="A1699" s="340" t="s">
        <v>891</v>
      </c>
      <c r="B1699" s="350">
        <v>46112</v>
      </c>
      <c r="C1699" s="350">
        <v>46125</v>
      </c>
      <c r="D1699" s="351">
        <v>46113</v>
      </c>
      <c r="E1699" s="340" t="s">
        <v>2438</v>
      </c>
      <c r="F1699" s="340" t="s">
        <v>894</v>
      </c>
      <c r="G1699" s="340" t="s">
        <v>2474</v>
      </c>
      <c r="H1699" s="340" t="s">
        <v>2512</v>
      </c>
      <c r="I1699" s="340" t="s">
        <v>771</v>
      </c>
      <c r="K1699" s="343">
        <v>0</v>
      </c>
      <c r="L1699" s="343">
        <v>-0.05</v>
      </c>
      <c r="M1699" s="343">
        <v>-1234637.6499999999</v>
      </c>
      <c r="O1699" s="343">
        <v>0</v>
      </c>
    </row>
    <row r="1700" spans="1:15" x14ac:dyDescent="0.3">
      <c r="A1700" s="340" t="s">
        <v>891</v>
      </c>
      <c r="B1700" s="350">
        <v>46112</v>
      </c>
      <c r="C1700" s="350">
        <v>46125</v>
      </c>
      <c r="D1700" s="351">
        <v>46113</v>
      </c>
      <c r="E1700" s="340" t="s">
        <v>2438</v>
      </c>
      <c r="F1700" s="340" t="s">
        <v>894</v>
      </c>
      <c r="G1700" s="340" t="s">
        <v>2476</v>
      </c>
      <c r="H1700" s="340" t="s">
        <v>2512</v>
      </c>
      <c r="I1700" s="340" t="s">
        <v>771</v>
      </c>
      <c r="K1700" s="343">
        <v>0</v>
      </c>
      <c r="L1700" s="343">
        <v>-0.1</v>
      </c>
      <c r="M1700" s="343">
        <v>-1234637.75</v>
      </c>
      <c r="O1700" s="343">
        <v>0</v>
      </c>
    </row>
    <row r="1701" spans="1:15" x14ac:dyDescent="0.3">
      <c r="A1701" s="340" t="s">
        <v>891</v>
      </c>
      <c r="B1701" s="350">
        <v>46112</v>
      </c>
      <c r="C1701" s="350">
        <v>46125</v>
      </c>
      <c r="D1701" s="351">
        <v>46113</v>
      </c>
      <c r="E1701" s="340" t="s">
        <v>2438</v>
      </c>
      <c r="F1701" s="340" t="s">
        <v>894</v>
      </c>
      <c r="G1701" s="340" t="s">
        <v>2478</v>
      </c>
      <c r="H1701" s="340" t="s">
        <v>2512</v>
      </c>
      <c r="I1701" s="340" t="s">
        <v>771</v>
      </c>
      <c r="K1701" s="343">
        <v>0</v>
      </c>
      <c r="L1701" s="343">
        <v>-1.99</v>
      </c>
      <c r="M1701" s="343">
        <v>-1234639.74</v>
      </c>
      <c r="O1701" s="343">
        <v>0</v>
      </c>
    </row>
    <row r="1702" spans="1:15" x14ac:dyDescent="0.3">
      <c r="A1702" s="340" t="s">
        <v>891</v>
      </c>
      <c r="B1702" s="350">
        <v>46112</v>
      </c>
      <c r="C1702" s="350">
        <v>46125</v>
      </c>
      <c r="D1702" s="351">
        <v>46113</v>
      </c>
      <c r="E1702" s="340" t="s">
        <v>2438</v>
      </c>
      <c r="F1702" s="340" t="s">
        <v>894</v>
      </c>
      <c r="G1702" s="340" t="s">
        <v>2477</v>
      </c>
      <c r="H1702" s="340" t="s">
        <v>2512</v>
      </c>
      <c r="I1702" s="340" t="s">
        <v>771</v>
      </c>
      <c r="K1702" s="343">
        <v>0</v>
      </c>
      <c r="L1702" s="343">
        <v>-2.95</v>
      </c>
      <c r="M1702" s="343">
        <v>-1234642.69</v>
      </c>
      <c r="O1702" s="343">
        <v>0</v>
      </c>
    </row>
    <row r="1703" spans="1:15" x14ac:dyDescent="0.3">
      <c r="A1703" s="340" t="s">
        <v>891</v>
      </c>
      <c r="B1703" s="350">
        <v>46112</v>
      </c>
      <c r="C1703" s="350">
        <v>46125</v>
      </c>
      <c r="D1703" s="351">
        <v>46113</v>
      </c>
      <c r="E1703" s="340" t="s">
        <v>2438</v>
      </c>
      <c r="F1703" s="340" t="s">
        <v>894</v>
      </c>
      <c r="G1703" s="340" t="s">
        <v>2481</v>
      </c>
      <c r="H1703" s="340" t="s">
        <v>2513</v>
      </c>
      <c r="I1703" s="340" t="s">
        <v>771</v>
      </c>
      <c r="K1703" s="343">
        <v>0</v>
      </c>
      <c r="L1703" s="343">
        <v>-0.1</v>
      </c>
      <c r="M1703" s="343">
        <v>-1234642.79</v>
      </c>
      <c r="O1703" s="343">
        <v>0</v>
      </c>
    </row>
    <row r="1704" spans="1:15" x14ac:dyDescent="0.3">
      <c r="A1704" s="340" t="s">
        <v>891</v>
      </c>
      <c r="B1704" s="350">
        <v>46112</v>
      </c>
      <c r="C1704" s="350">
        <v>46125</v>
      </c>
      <c r="D1704" s="351">
        <v>46113</v>
      </c>
      <c r="E1704" s="340" t="s">
        <v>2438</v>
      </c>
      <c r="F1704" s="340" t="s">
        <v>894</v>
      </c>
      <c r="G1704" s="340" t="s">
        <v>2483</v>
      </c>
      <c r="H1704" s="340" t="s">
        <v>2513</v>
      </c>
      <c r="I1704" s="340" t="s">
        <v>771</v>
      </c>
      <c r="K1704" s="343">
        <v>0</v>
      </c>
      <c r="L1704" s="343">
        <v>-0.19</v>
      </c>
      <c r="M1704" s="343">
        <v>-1234642.98</v>
      </c>
      <c r="O1704" s="343">
        <v>0</v>
      </c>
    </row>
    <row r="1705" spans="1:15" x14ac:dyDescent="0.3">
      <c r="A1705" s="340" t="s">
        <v>891</v>
      </c>
      <c r="B1705" s="350">
        <v>46112</v>
      </c>
      <c r="C1705" s="350">
        <v>46125</v>
      </c>
      <c r="D1705" s="351">
        <v>46113</v>
      </c>
      <c r="E1705" s="340" t="s">
        <v>2438</v>
      </c>
      <c r="F1705" s="340" t="s">
        <v>894</v>
      </c>
      <c r="G1705" s="340" t="s">
        <v>2484</v>
      </c>
      <c r="H1705" s="340" t="s">
        <v>2513</v>
      </c>
      <c r="I1705" s="340" t="s">
        <v>771</v>
      </c>
      <c r="K1705" s="343">
        <v>0</v>
      </c>
      <c r="L1705" s="343">
        <v>-2.95</v>
      </c>
      <c r="M1705" s="343">
        <v>-1234645.93</v>
      </c>
      <c r="O1705" s="343">
        <v>0</v>
      </c>
    </row>
    <row r="1706" spans="1:15" x14ac:dyDescent="0.3">
      <c r="A1706" s="340" t="s">
        <v>891</v>
      </c>
      <c r="B1706" s="350">
        <v>46112</v>
      </c>
      <c r="C1706" s="350">
        <v>46125</v>
      </c>
      <c r="D1706" s="351">
        <v>46113</v>
      </c>
      <c r="E1706" s="340" t="s">
        <v>2438</v>
      </c>
      <c r="F1706" s="340" t="s">
        <v>894</v>
      </c>
      <c r="G1706" s="340" t="s">
        <v>2485</v>
      </c>
      <c r="H1706" s="340" t="s">
        <v>2513</v>
      </c>
      <c r="I1706" s="340" t="s">
        <v>771</v>
      </c>
      <c r="K1706" s="343">
        <v>0</v>
      </c>
      <c r="L1706" s="343">
        <v>-6.56</v>
      </c>
      <c r="M1706" s="343">
        <v>-1234652.49</v>
      </c>
      <c r="O1706" s="343">
        <v>0</v>
      </c>
    </row>
    <row r="1707" spans="1:15" x14ac:dyDescent="0.3">
      <c r="A1707" s="340" t="s">
        <v>891</v>
      </c>
      <c r="B1707" s="350">
        <v>46112</v>
      </c>
      <c r="C1707" s="350">
        <v>46125</v>
      </c>
      <c r="D1707" s="351">
        <v>46113</v>
      </c>
      <c r="E1707" s="340" t="s">
        <v>2438</v>
      </c>
      <c r="F1707" s="340" t="s">
        <v>894</v>
      </c>
      <c r="G1707" s="340" t="s">
        <v>2439</v>
      </c>
      <c r="H1707" s="340" t="s">
        <v>2514</v>
      </c>
      <c r="I1707" s="340" t="s">
        <v>771</v>
      </c>
      <c r="K1707" s="343">
        <v>0</v>
      </c>
      <c r="L1707" s="343">
        <v>-0.17</v>
      </c>
      <c r="M1707" s="343">
        <v>-1234652.6599999999</v>
      </c>
      <c r="O1707" s="343">
        <v>0</v>
      </c>
    </row>
    <row r="1708" spans="1:15" x14ac:dyDescent="0.3">
      <c r="A1708" s="340" t="s">
        <v>891</v>
      </c>
      <c r="B1708" s="350">
        <v>46112</v>
      </c>
      <c r="C1708" s="350">
        <v>46125</v>
      </c>
      <c r="D1708" s="351">
        <v>46113</v>
      </c>
      <c r="E1708" s="340" t="s">
        <v>2438</v>
      </c>
      <c r="F1708" s="340" t="s">
        <v>894</v>
      </c>
      <c r="G1708" s="340" t="s">
        <v>2441</v>
      </c>
      <c r="H1708" s="340" t="s">
        <v>2514</v>
      </c>
      <c r="I1708" s="340" t="s">
        <v>771</v>
      </c>
      <c r="K1708" s="343">
        <v>0</v>
      </c>
      <c r="L1708" s="343">
        <v>-0.33</v>
      </c>
      <c r="M1708" s="343">
        <v>-1234652.99</v>
      </c>
      <c r="O1708" s="343">
        <v>0</v>
      </c>
    </row>
    <row r="1709" spans="1:15" x14ac:dyDescent="0.3">
      <c r="A1709" s="340" t="s">
        <v>891</v>
      </c>
      <c r="B1709" s="350">
        <v>46112</v>
      </c>
      <c r="C1709" s="350">
        <v>46125</v>
      </c>
      <c r="D1709" s="351">
        <v>46113</v>
      </c>
      <c r="E1709" s="340" t="s">
        <v>2438</v>
      </c>
      <c r="F1709" s="340" t="s">
        <v>894</v>
      </c>
      <c r="G1709" s="340" t="s">
        <v>2442</v>
      </c>
      <c r="H1709" s="340" t="s">
        <v>2514</v>
      </c>
      <c r="I1709" s="340" t="s">
        <v>771</v>
      </c>
      <c r="K1709" s="343">
        <v>0</v>
      </c>
      <c r="L1709" s="343">
        <v>-2.95</v>
      </c>
      <c r="M1709" s="343">
        <v>-1234655.94</v>
      </c>
      <c r="O1709" s="343">
        <v>0</v>
      </c>
    </row>
    <row r="1710" spans="1:15" x14ac:dyDescent="0.3">
      <c r="A1710" s="340" t="s">
        <v>891</v>
      </c>
      <c r="B1710" s="350">
        <v>46112</v>
      </c>
      <c r="C1710" s="350">
        <v>46125</v>
      </c>
      <c r="D1710" s="351">
        <v>46113</v>
      </c>
      <c r="E1710" s="340" t="s">
        <v>2438</v>
      </c>
      <c r="F1710" s="340" t="s">
        <v>894</v>
      </c>
      <c r="G1710" s="340" t="s">
        <v>2443</v>
      </c>
      <c r="H1710" s="340" t="s">
        <v>2514</v>
      </c>
      <c r="I1710" s="340" t="s">
        <v>771</v>
      </c>
      <c r="K1710" s="343">
        <v>0</v>
      </c>
      <c r="L1710" s="343">
        <v>-13.46</v>
      </c>
      <c r="M1710" s="343">
        <v>-1234669.3999999999</v>
      </c>
      <c r="O1710" s="343">
        <v>0</v>
      </c>
    </row>
    <row r="1711" spans="1:15" x14ac:dyDescent="0.3">
      <c r="A1711" s="340" t="s">
        <v>891</v>
      </c>
      <c r="B1711" s="350">
        <v>46112</v>
      </c>
      <c r="C1711" s="350">
        <v>46125</v>
      </c>
      <c r="D1711" s="351">
        <v>46113</v>
      </c>
      <c r="E1711" s="340" t="s">
        <v>2438</v>
      </c>
      <c r="F1711" s="340" t="s">
        <v>894</v>
      </c>
      <c r="G1711" s="340" t="s">
        <v>2515</v>
      </c>
      <c r="H1711" s="340" t="s">
        <v>2516</v>
      </c>
      <c r="I1711" s="340" t="s">
        <v>771</v>
      </c>
      <c r="K1711" s="343">
        <v>0</v>
      </c>
      <c r="L1711" s="343">
        <v>-0.18</v>
      </c>
      <c r="M1711" s="343">
        <v>-1234669.58</v>
      </c>
      <c r="O1711" s="343">
        <v>0</v>
      </c>
    </row>
    <row r="1712" spans="1:15" x14ac:dyDescent="0.3">
      <c r="A1712" s="340" t="s">
        <v>891</v>
      </c>
      <c r="B1712" s="350">
        <v>46112</v>
      </c>
      <c r="C1712" s="350">
        <v>46125</v>
      </c>
      <c r="D1712" s="351">
        <v>46113</v>
      </c>
      <c r="E1712" s="340" t="s">
        <v>2438</v>
      </c>
      <c r="F1712" s="340" t="s">
        <v>894</v>
      </c>
      <c r="G1712" s="340" t="s">
        <v>2517</v>
      </c>
      <c r="H1712" s="340" t="s">
        <v>2516</v>
      </c>
      <c r="I1712" s="340" t="s">
        <v>771</v>
      </c>
      <c r="K1712" s="343">
        <v>0</v>
      </c>
      <c r="L1712" s="343">
        <v>-0.37</v>
      </c>
      <c r="M1712" s="343">
        <v>-1234669.95</v>
      </c>
      <c r="O1712" s="343">
        <v>0</v>
      </c>
    </row>
    <row r="1713" spans="1:15" x14ac:dyDescent="0.3">
      <c r="A1713" s="340" t="s">
        <v>891</v>
      </c>
      <c r="B1713" s="350">
        <v>46112</v>
      </c>
      <c r="C1713" s="350">
        <v>46125</v>
      </c>
      <c r="D1713" s="351">
        <v>46113</v>
      </c>
      <c r="E1713" s="340" t="s">
        <v>2438</v>
      </c>
      <c r="F1713" s="340" t="s">
        <v>894</v>
      </c>
      <c r="G1713" s="340" t="s">
        <v>2518</v>
      </c>
      <c r="H1713" s="340" t="s">
        <v>2516</v>
      </c>
      <c r="I1713" s="340" t="s">
        <v>771</v>
      </c>
      <c r="K1713" s="343">
        <v>0</v>
      </c>
      <c r="L1713" s="343">
        <v>-2.95</v>
      </c>
      <c r="M1713" s="343">
        <v>-1234672.8999999999</v>
      </c>
      <c r="O1713" s="343">
        <v>0</v>
      </c>
    </row>
    <row r="1714" spans="1:15" x14ac:dyDescent="0.3">
      <c r="A1714" s="340" t="s">
        <v>891</v>
      </c>
      <c r="B1714" s="350">
        <v>46112</v>
      </c>
      <c r="C1714" s="350">
        <v>46125</v>
      </c>
      <c r="D1714" s="351">
        <v>46113</v>
      </c>
      <c r="E1714" s="340" t="s">
        <v>2438</v>
      </c>
      <c r="F1714" s="340" t="s">
        <v>894</v>
      </c>
      <c r="G1714" s="340" t="s">
        <v>2519</v>
      </c>
      <c r="H1714" s="340" t="s">
        <v>2516</v>
      </c>
      <c r="I1714" s="340" t="s">
        <v>771</v>
      </c>
      <c r="K1714" s="343">
        <v>0</v>
      </c>
      <c r="L1714" s="343">
        <v>-15.04</v>
      </c>
      <c r="M1714" s="343">
        <v>-1234687.94</v>
      </c>
      <c r="O1714" s="343">
        <v>0</v>
      </c>
    </row>
    <row r="1715" spans="1:15" x14ac:dyDescent="0.3">
      <c r="A1715" s="340" t="s">
        <v>891</v>
      </c>
      <c r="B1715" s="350">
        <v>46112</v>
      </c>
      <c r="C1715" s="350">
        <v>46125</v>
      </c>
      <c r="D1715" s="351">
        <v>46113</v>
      </c>
      <c r="E1715" s="340" t="s">
        <v>2438</v>
      </c>
      <c r="F1715" s="340" t="s">
        <v>894</v>
      </c>
      <c r="G1715" s="340" t="s">
        <v>2443</v>
      </c>
      <c r="H1715" s="340" t="s">
        <v>2520</v>
      </c>
      <c r="I1715" s="340" t="s">
        <v>771</v>
      </c>
      <c r="K1715" s="343">
        <v>0</v>
      </c>
      <c r="L1715" s="343">
        <v>-2.83</v>
      </c>
      <c r="M1715" s="343">
        <v>-1234690.77</v>
      </c>
      <c r="O1715" s="343">
        <v>0</v>
      </c>
    </row>
    <row r="1716" spans="1:15" x14ac:dyDescent="0.3">
      <c r="A1716" s="340" t="s">
        <v>891</v>
      </c>
      <c r="B1716" s="350">
        <v>46112</v>
      </c>
      <c r="C1716" s="350">
        <v>46125</v>
      </c>
      <c r="D1716" s="351">
        <v>46113</v>
      </c>
      <c r="E1716" s="340" t="s">
        <v>2438</v>
      </c>
      <c r="F1716" s="340" t="s">
        <v>894</v>
      </c>
      <c r="G1716" s="340" t="s">
        <v>2442</v>
      </c>
      <c r="H1716" s="340" t="s">
        <v>2520</v>
      </c>
      <c r="I1716" s="340" t="s">
        <v>771</v>
      </c>
      <c r="K1716" s="343">
        <v>0</v>
      </c>
      <c r="L1716" s="343">
        <v>-2.95</v>
      </c>
      <c r="M1716" s="343">
        <v>-1234693.72</v>
      </c>
      <c r="O1716" s="343">
        <v>0</v>
      </c>
    </row>
    <row r="1717" spans="1:15" x14ac:dyDescent="0.3">
      <c r="A1717" s="340" t="s">
        <v>891</v>
      </c>
      <c r="B1717" s="350">
        <v>46112</v>
      </c>
      <c r="C1717" s="350">
        <v>46125</v>
      </c>
      <c r="D1717" s="351">
        <v>46113</v>
      </c>
      <c r="E1717" s="340" t="s">
        <v>2438</v>
      </c>
      <c r="F1717" s="340" t="s">
        <v>894</v>
      </c>
      <c r="G1717" s="340" t="s">
        <v>2439</v>
      </c>
      <c r="H1717" s="340" t="s">
        <v>2520</v>
      </c>
      <c r="I1717" s="340" t="s">
        <v>771</v>
      </c>
      <c r="K1717" s="343">
        <v>0</v>
      </c>
      <c r="L1717" s="343">
        <v>-0.06</v>
      </c>
      <c r="M1717" s="343">
        <v>-1234693.78</v>
      </c>
      <c r="O1717" s="343">
        <v>0</v>
      </c>
    </row>
    <row r="1718" spans="1:15" x14ac:dyDescent="0.3">
      <c r="A1718" s="340" t="s">
        <v>891</v>
      </c>
      <c r="B1718" s="350">
        <v>46112</v>
      </c>
      <c r="C1718" s="350">
        <v>46125</v>
      </c>
      <c r="D1718" s="351">
        <v>46113</v>
      </c>
      <c r="E1718" s="340" t="s">
        <v>2438</v>
      </c>
      <c r="F1718" s="340" t="s">
        <v>894</v>
      </c>
      <c r="G1718" s="340" t="s">
        <v>2441</v>
      </c>
      <c r="H1718" s="340" t="s">
        <v>2520</v>
      </c>
      <c r="I1718" s="340" t="s">
        <v>771</v>
      </c>
      <c r="K1718" s="343">
        <v>0</v>
      </c>
      <c r="L1718" s="343">
        <v>-0.12</v>
      </c>
      <c r="M1718" s="343">
        <v>-1234693.8999999999</v>
      </c>
      <c r="O1718" s="343">
        <v>0</v>
      </c>
    </row>
    <row r="1719" spans="1:15" x14ac:dyDescent="0.3">
      <c r="A1719" s="340" t="s">
        <v>891</v>
      </c>
      <c r="B1719" s="350">
        <v>46112</v>
      </c>
      <c r="C1719" s="350">
        <v>46125</v>
      </c>
      <c r="D1719" s="351">
        <v>46113</v>
      </c>
      <c r="E1719" s="340" t="s">
        <v>2438</v>
      </c>
      <c r="F1719" s="340" t="s">
        <v>894</v>
      </c>
      <c r="G1719" s="340" t="s">
        <v>2442</v>
      </c>
      <c r="H1719" s="340" t="s">
        <v>2521</v>
      </c>
      <c r="I1719" s="340" t="s">
        <v>771</v>
      </c>
      <c r="K1719" s="343">
        <v>0</v>
      </c>
      <c r="L1719" s="343">
        <v>-2.95</v>
      </c>
      <c r="M1719" s="343">
        <v>-1234696.8500000001</v>
      </c>
      <c r="O1719" s="343">
        <v>0</v>
      </c>
    </row>
    <row r="1720" spans="1:15" x14ac:dyDescent="0.3">
      <c r="A1720" s="340" t="s">
        <v>891</v>
      </c>
      <c r="B1720" s="350">
        <v>46112</v>
      </c>
      <c r="C1720" s="350">
        <v>46125</v>
      </c>
      <c r="D1720" s="351">
        <v>46113</v>
      </c>
      <c r="E1720" s="340" t="s">
        <v>2438</v>
      </c>
      <c r="F1720" s="340" t="s">
        <v>894</v>
      </c>
      <c r="G1720" s="340" t="s">
        <v>2443</v>
      </c>
      <c r="H1720" s="340" t="s">
        <v>2521</v>
      </c>
      <c r="I1720" s="340" t="s">
        <v>771</v>
      </c>
      <c r="K1720" s="343">
        <v>0</v>
      </c>
      <c r="L1720" s="343">
        <v>-8.89</v>
      </c>
      <c r="M1720" s="343">
        <v>-1234705.74</v>
      </c>
      <c r="O1720" s="343">
        <v>0</v>
      </c>
    </row>
    <row r="1721" spans="1:15" x14ac:dyDescent="0.3">
      <c r="A1721" s="340" t="s">
        <v>891</v>
      </c>
      <c r="B1721" s="350">
        <v>46112</v>
      </c>
      <c r="C1721" s="350">
        <v>46125</v>
      </c>
      <c r="D1721" s="351">
        <v>46113</v>
      </c>
      <c r="E1721" s="340" t="s">
        <v>2438</v>
      </c>
      <c r="F1721" s="340" t="s">
        <v>894</v>
      </c>
      <c r="G1721" s="340" t="s">
        <v>2439</v>
      </c>
      <c r="H1721" s="340" t="s">
        <v>2521</v>
      </c>
      <c r="I1721" s="340" t="s">
        <v>771</v>
      </c>
      <c r="K1721" s="343">
        <v>0</v>
      </c>
      <c r="L1721" s="343">
        <v>-0.12</v>
      </c>
      <c r="M1721" s="343">
        <v>-1234705.8600000001</v>
      </c>
      <c r="O1721" s="343">
        <v>0</v>
      </c>
    </row>
    <row r="1722" spans="1:15" x14ac:dyDescent="0.3">
      <c r="A1722" s="340" t="s">
        <v>891</v>
      </c>
      <c r="B1722" s="350">
        <v>46112</v>
      </c>
      <c r="C1722" s="350">
        <v>46125</v>
      </c>
      <c r="D1722" s="351">
        <v>46113</v>
      </c>
      <c r="E1722" s="340" t="s">
        <v>2438</v>
      </c>
      <c r="F1722" s="340" t="s">
        <v>894</v>
      </c>
      <c r="G1722" s="340" t="s">
        <v>2441</v>
      </c>
      <c r="H1722" s="340" t="s">
        <v>2521</v>
      </c>
      <c r="I1722" s="340" t="s">
        <v>771</v>
      </c>
      <c r="K1722" s="343">
        <v>0</v>
      </c>
      <c r="L1722" s="343">
        <v>-0.24</v>
      </c>
      <c r="M1722" s="343">
        <v>-1234706.1000000001</v>
      </c>
      <c r="O1722" s="343">
        <v>0</v>
      </c>
    </row>
    <row r="1723" spans="1:15" x14ac:dyDescent="0.3">
      <c r="A1723" s="340" t="s">
        <v>891</v>
      </c>
      <c r="B1723" s="350">
        <v>46112</v>
      </c>
      <c r="C1723" s="350">
        <v>46125</v>
      </c>
      <c r="D1723" s="351">
        <v>46113</v>
      </c>
      <c r="E1723" s="340" t="s">
        <v>2438</v>
      </c>
      <c r="F1723" s="340" t="s">
        <v>894</v>
      </c>
      <c r="G1723" s="340" t="s">
        <v>2439</v>
      </c>
      <c r="H1723" s="340" t="s">
        <v>2522</v>
      </c>
      <c r="I1723" s="340" t="s">
        <v>771</v>
      </c>
      <c r="K1723" s="343">
        <v>0</v>
      </c>
      <c r="L1723" s="343">
        <v>-7.0000000000000007E-2</v>
      </c>
      <c r="M1723" s="343">
        <v>-1234706.17</v>
      </c>
      <c r="O1723" s="343">
        <v>0</v>
      </c>
    </row>
    <row r="1724" spans="1:15" x14ac:dyDescent="0.3">
      <c r="A1724" s="340" t="s">
        <v>891</v>
      </c>
      <c r="B1724" s="350">
        <v>46112</v>
      </c>
      <c r="C1724" s="350">
        <v>46125</v>
      </c>
      <c r="D1724" s="351">
        <v>46113</v>
      </c>
      <c r="E1724" s="340" t="s">
        <v>2438</v>
      </c>
      <c r="F1724" s="340" t="s">
        <v>894</v>
      </c>
      <c r="G1724" s="340" t="s">
        <v>2441</v>
      </c>
      <c r="H1724" s="340" t="s">
        <v>2522</v>
      </c>
      <c r="I1724" s="340" t="s">
        <v>771</v>
      </c>
      <c r="K1724" s="343">
        <v>0</v>
      </c>
      <c r="L1724" s="343">
        <v>-0.14000000000000001</v>
      </c>
      <c r="M1724" s="343">
        <v>-1234706.31</v>
      </c>
      <c r="O1724" s="343">
        <v>0</v>
      </c>
    </row>
    <row r="1725" spans="1:15" x14ac:dyDescent="0.3">
      <c r="A1725" s="340" t="s">
        <v>891</v>
      </c>
      <c r="B1725" s="350">
        <v>46112</v>
      </c>
      <c r="C1725" s="350">
        <v>46125</v>
      </c>
      <c r="D1725" s="351">
        <v>46113</v>
      </c>
      <c r="E1725" s="340" t="s">
        <v>2438</v>
      </c>
      <c r="F1725" s="340" t="s">
        <v>894</v>
      </c>
      <c r="G1725" s="340" t="s">
        <v>2442</v>
      </c>
      <c r="H1725" s="340" t="s">
        <v>2522</v>
      </c>
      <c r="I1725" s="340" t="s">
        <v>771</v>
      </c>
      <c r="K1725" s="343">
        <v>0</v>
      </c>
      <c r="L1725" s="343">
        <v>-2.95</v>
      </c>
      <c r="M1725" s="343">
        <v>-1234709.26</v>
      </c>
      <c r="O1725" s="343">
        <v>0</v>
      </c>
    </row>
    <row r="1726" spans="1:15" x14ac:dyDescent="0.3">
      <c r="A1726" s="340" t="s">
        <v>891</v>
      </c>
      <c r="B1726" s="350">
        <v>46112</v>
      </c>
      <c r="C1726" s="350">
        <v>46125</v>
      </c>
      <c r="D1726" s="351">
        <v>46113</v>
      </c>
      <c r="E1726" s="340" t="s">
        <v>2438</v>
      </c>
      <c r="F1726" s="340" t="s">
        <v>894</v>
      </c>
      <c r="G1726" s="340" t="s">
        <v>2443</v>
      </c>
      <c r="H1726" s="340" t="s">
        <v>2522</v>
      </c>
      <c r="I1726" s="340" t="s">
        <v>771</v>
      </c>
      <c r="K1726" s="343">
        <v>0</v>
      </c>
      <c r="L1726" s="343">
        <v>-3.74</v>
      </c>
      <c r="M1726" s="343">
        <v>-1234713</v>
      </c>
      <c r="O1726" s="343">
        <v>0</v>
      </c>
    </row>
    <row r="1727" spans="1:15" x14ac:dyDescent="0.3">
      <c r="A1727" s="340" t="s">
        <v>891</v>
      </c>
      <c r="B1727" s="350">
        <v>46112</v>
      </c>
      <c r="C1727" s="350">
        <v>46125</v>
      </c>
      <c r="D1727" s="351">
        <v>46113</v>
      </c>
      <c r="E1727" s="340" t="s">
        <v>2438</v>
      </c>
      <c r="F1727" s="340" t="s">
        <v>894</v>
      </c>
      <c r="G1727" s="340" t="s">
        <v>2439</v>
      </c>
      <c r="H1727" s="340" t="s">
        <v>2523</v>
      </c>
      <c r="I1727" s="340" t="s">
        <v>771</v>
      </c>
      <c r="K1727" s="343">
        <v>0</v>
      </c>
      <c r="L1727" s="343">
        <v>-0.16</v>
      </c>
      <c r="M1727" s="343">
        <v>-1234713.1599999999</v>
      </c>
      <c r="O1727" s="343">
        <v>0</v>
      </c>
    </row>
    <row r="1728" spans="1:15" x14ac:dyDescent="0.3">
      <c r="A1728" s="340" t="s">
        <v>891</v>
      </c>
      <c r="B1728" s="350">
        <v>46112</v>
      </c>
      <c r="C1728" s="350">
        <v>46125</v>
      </c>
      <c r="D1728" s="351">
        <v>46113</v>
      </c>
      <c r="E1728" s="340" t="s">
        <v>2438</v>
      </c>
      <c r="F1728" s="340" t="s">
        <v>894</v>
      </c>
      <c r="G1728" s="340" t="s">
        <v>2441</v>
      </c>
      <c r="H1728" s="340" t="s">
        <v>2523</v>
      </c>
      <c r="I1728" s="340" t="s">
        <v>771</v>
      </c>
      <c r="K1728" s="343">
        <v>0</v>
      </c>
      <c r="L1728" s="343">
        <v>-0.31</v>
      </c>
      <c r="M1728" s="343">
        <v>-1234713.47</v>
      </c>
      <c r="O1728" s="343">
        <v>0</v>
      </c>
    </row>
    <row r="1729" spans="1:15" x14ac:dyDescent="0.3">
      <c r="A1729" s="340" t="s">
        <v>891</v>
      </c>
      <c r="B1729" s="350">
        <v>46112</v>
      </c>
      <c r="C1729" s="350">
        <v>46125</v>
      </c>
      <c r="D1729" s="351">
        <v>46113</v>
      </c>
      <c r="E1729" s="340" t="s">
        <v>2438</v>
      </c>
      <c r="F1729" s="340" t="s">
        <v>894</v>
      </c>
      <c r="G1729" s="340" t="s">
        <v>2442</v>
      </c>
      <c r="H1729" s="340" t="s">
        <v>2523</v>
      </c>
      <c r="I1729" s="340" t="s">
        <v>771</v>
      </c>
      <c r="K1729" s="343">
        <v>0</v>
      </c>
      <c r="L1729" s="343">
        <v>-2.95</v>
      </c>
      <c r="M1729" s="343">
        <v>-1234716.42</v>
      </c>
      <c r="O1729" s="343">
        <v>0</v>
      </c>
    </row>
    <row r="1730" spans="1:15" x14ac:dyDescent="0.3">
      <c r="A1730" s="340" t="s">
        <v>891</v>
      </c>
      <c r="B1730" s="350">
        <v>46112</v>
      </c>
      <c r="C1730" s="350">
        <v>46125</v>
      </c>
      <c r="D1730" s="351">
        <v>46113</v>
      </c>
      <c r="E1730" s="340" t="s">
        <v>2438</v>
      </c>
      <c r="F1730" s="340" t="s">
        <v>894</v>
      </c>
      <c r="G1730" s="340" t="s">
        <v>2443</v>
      </c>
      <c r="H1730" s="340" t="s">
        <v>2523</v>
      </c>
      <c r="I1730" s="340" t="s">
        <v>771</v>
      </c>
      <c r="K1730" s="343">
        <v>0</v>
      </c>
      <c r="L1730" s="343">
        <v>-12.47</v>
      </c>
      <c r="M1730" s="343">
        <v>-1234728.8899999999</v>
      </c>
      <c r="O1730" s="343">
        <v>0</v>
      </c>
    </row>
    <row r="1731" spans="1:15" x14ac:dyDescent="0.3">
      <c r="A1731" s="340" t="s">
        <v>891</v>
      </c>
      <c r="B1731" s="350">
        <v>46112</v>
      </c>
      <c r="C1731" s="350">
        <v>46125</v>
      </c>
      <c r="D1731" s="351">
        <v>46113</v>
      </c>
      <c r="E1731" s="340" t="s">
        <v>2438</v>
      </c>
      <c r="F1731" s="340" t="s">
        <v>894</v>
      </c>
      <c r="G1731" s="340" t="s">
        <v>2439</v>
      </c>
      <c r="H1731" s="340" t="s">
        <v>2524</v>
      </c>
      <c r="I1731" s="340" t="s">
        <v>771</v>
      </c>
      <c r="K1731" s="343">
        <v>0</v>
      </c>
      <c r="L1731" s="343">
        <v>-0.56999999999999995</v>
      </c>
      <c r="M1731" s="343">
        <v>-1234729.46</v>
      </c>
      <c r="O1731" s="343">
        <v>0</v>
      </c>
    </row>
    <row r="1732" spans="1:15" x14ac:dyDescent="0.3">
      <c r="A1732" s="340" t="s">
        <v>891</v>
      </c>
      <c r="B1732" s="350">
        <v>46112</v>
      </c>
      <c r="C1732" s="350">
        <v>46125</v>
      </c>
      <c r="D1732" s="351">
        <v>46113</v>
      </c>
      <c r="E1732" s="340" t="s">
        <v>2438</v>
      </c>
      <c r="F1732" s="340" t="s">
        <v>894</v>
      </c>
      <c r="G1732" s="340" t="s">
        <v>2441</v>
      </c>
      <c r="H1732" s="340" t="s">
        <v>2524</v>
      </c>
      <c r="I1732" s="340" t="s">
        <v>771</v>
      </c>
      <c r="K1732" s="343">
        <v>0</v>
      </c>
      <c r="L1732" s="343">
        <v>-1.1399999999999999</v>
      </c>
      <c r="M1732" s="343">
        <v>-1234730.6000000001</v>
      </c>
      <c r="O1732" s="343">
        <v>0</v>
      </c>
    </row>
    <row r="1733" spans="1:15" x14ac:dyDescent="0.3">
      <c r="A1733" s="340" t="s">
        <v>891</v>
      </c>
      <c r="B1733" s="350">
        <v>46112</v>
      </c>
      <c r="C1733" s="350">
        <v>46125</v>
      </c>
      <c r="D1733" s="351">
        <v>46113</v>
      </c>
      <c r="E1733" s="340" t="s">
        <v>2438</v>
      </c>
      <c r="F1733" s="340" t="s">
        <v>894</v>
      </c>
      <c r="G1733" s="340" t="s">
        <v>2442</v>
      </c>
      <c r="H1733" s="340" t="s">
        <v>2524</v>
      </c>
      <c r="I1733" s="340" t="s">
        <v>771</v>
      </c>
      <c r="K1733" s="343">
        <v>0</v>
      </c>
      <c r="L1733" s="343">
        <v>-2.95</v>
      </c>
      <c r="M1733" s="343">
        <v>-1234733.55</v>
      </c>
      <c r="O1733" s="343">
        <v>0</v>
      </c>
    </row>
    <row r="1734" spans="1:15" x14ac:dyDescent="0.3">
      <c r="A1734" s="340" t="s">
        <v>891</v>
      </c>
      <c r="B1734" s="350">
        <v>46112</v>
      </c>
      <c r="C1734" s="350">
        <v>46125</v>
      </c>
      <c r="D1734" s="351">
        <v>46113</v>
      </c>
      <c r="E1734" s="340" t="s">
        <v>2438</v>
      </c>
      <c r="F1734" s="340" t="s">
        <v>894</v>
      </c>
      <c r="G1734" s="340" t="s">
        <v>2443</v>
      </c>
      <c r="H1734" s="340" t="s">
        <v>2524</v>
      </c>
      <c r="I1734" s="340" t="s">
        <v>771</v>
      </c>
      <c r="K1734" s="343">
        <v>0</v>
      </c>
      <c r="L1734" s="343">
        <v>-52.77</v>
      </c>
      <c r="M1734" s="343">
        <v>-1234786.32</v>
      </c>
      <c r="O1734" s="343">
        <v>0</v>
      </c>
    </row>
    <row r="1735" spans="1:15" x14ac:dyDescent="0.3">
      <c r="A1735" s="340" t="s">
        <v>891</v>
      </c>
      <c r="B1735" s="350">
        <v>46112</v>
      </c>
      <c r="C1735" s="350">
        <v>46125</v>
      </c>
      <c r="D1735" s="351">
        <v>46113</v>
      </c>
      <c r="E1735" s="340" t="s">
        <v>2438</v>
      </c>
      <c r="F1735" s="340" t="s">
        <v>894</v>
      </c>
      <c r="G1735" s="340" t="s">
        <v>2439</v>
      </c>
      <c r="H1735" s="340" t="s">
        <v>2525</v>
      </c>
      <c r="I1735" s="340" t="s">
        <v>771</v>
      </c>
      <c r="K1735" s="343">
        <v>0</v>
      </c>
      <c r="L1735" s="343">
        <v>-0.06</v>
      </c>
      <c r="M1735" s="343">
        <v>-1234786.3799999999</v>
      </c>
      <c r="O1735" s="343">
        <v>0</v>
      </c>
    </row>
    <row r="1736" spans="1:15" x14ac:dyDescent="0.3">
      <c r="A1736" s="340" t="s">
        <v>891</v>
      </c>
      <c r="B1736" s="350">
        <v>46112</v>
      </c>
      <c r="C1736" s="350">
        <v>46125</v>
      </c>
      <c r="D1736" s="351">
        <v>46113</v>
      </c>
      <c r="E1736" s="340" t="s">
        <v>2438</v>
      </c>
      <c r="F1736" s="340" t="s">
        <v>894</v>
      </c>
      <c r="G1736" s="340" t="s">
        <v>2441</v>
      </c>
      <c r="H1736" s="340" t="s">
        <v>2525</v>
      </c>
      <c r="I1736" s="340" t="s">
        <v>771</v>
      </c>
      <c r="K1736" s="343">
        <v>0</v>
      </c>
      <c r="L1736" s="343">
        <v>-0.11</v>
      </c>
      <c r="M1736" s="343">
        <v>-1234786.49</v>
      </c>
      <c r="O1736" s="343">
        <v>0</v>
      </c>
    </row>
    <row r="1737" spans="1:15" x14ac:dyDescent="0.3">
      <c r="A1737" s="340" t="s">
        <v>891</v>
      </c>
      <c r="B1737" s="350">
        <v>46112</v>
      </c>
      <c r="C1737" s="350">
        <v>46125</v>
      </c>
      <c r="D1737" s="351">
        <v>46113</v>
      </c>
      <c r="E1737" s="340" t="s">
        <v>2438</v>
      </c>
      <c r="F1737" s="340" t="s">
        <v>894</v>
      </c>
      <c r="G1737" s="340" t="s">
        <v>2443</v>
      </c>
      <c r="H1737" s="340" t="s">
        <v>2525</v>
      </c>
      <c r="I1737" s="340" t="s">
        <v>771</v>
      </c>
      <c r="K1737" s="343">
        <v>0</v>
      </c>
      <c r="L1737" s="343">
        <v>-2.58</v>
      </c>
      <c r="M1737" s="343">
        <v>-1234789.07</v>
      </c>
      <c r="O1737" s="343">
        <v>0</v>
      </c>
    </row>
    <row r="1738" spans="1:15" x14ac:dyDescent="0.3">
      <c r="A1738" s="340" t="s">
        <v>891</v>
      </c>
      <c r="B1738" s="350">
        <v>46112</v>
      </c>
      <c r="C1738" s="350">
        <v>46125</v>
      </c>
      <c r="D1738" s="351">
        <v>46113</v>
      </c>
      <c r="E1738" s="340" t="s">
        <v>2438</v>
      </c>
      <c r="F1738" s="340" t="s">
        <v>894</v>
      </c>
      <c r="G1738" s="340" t="s">
        <v>2442</v>
      </c>
      <c r="H1738" s="340" t="s">
        <v>2525</v>
      </c>
      <c r="I1738" s="340" t="s">
        <v>771</v>
      </c>
      <c r="K1738" s="343">
        <v>0</v>
      </c>
      <c r="L1738" s="343">
        <v>-2.95</v>
      </c>
      <c r="M1738" s="343">
        <v>-1234792.02</v>
      </c>
      <c r="O1738" s="343">
        <v>0</v>
      </c>
    </row>
    <row r="1739" spans="1:15" x14ac:dyDescent="0.3">
      <c r="A1739" s="340" t="s">
        <v>891</v>
      </c>
      <c r="B1739" s="350">
        <v>46112</v>
      </c>
      <c r="C1739" s="350">
        <v>46125</v>
      </c>
      <c r="D1739" s="351">
        <v>46113</v>
      </c>
      <c r="E1739" s="340" t="s">
        <v>2438</v>
      </c>
      <c r="F1739" s="340" t="s">
        <v>894</v>
      </c>
      <c r="G1739" s="340" t="s">
        <v>2442</v>
      </c>
      <c r="H1739" s="340" t="s">
        <v>2526</v>
      </c>
      <c r="I1739" s="340" t="s">
        <v>771</v>
      </c>
      <c r="K1739" s="343">
        <v>0</v>
      </c>
      <c r="L1739" s="343">
        <v>-2.95</v>
      </c>
      <c r="M1739" s="343">
        <v>-1234794.97</v>
      </c>
      <c r="O1739" s="343">
        <v>0</v>
      </c>
    </row>
    <row r="1740" spans="1:15" x14ac:dyDescent="0.3">
      <c r="A1740" s="340" t="s">
        <v>891</v>
      </c>
      <c r="B1740" s="350">
        <v>46112</v>
      </c>
      <c r="C1740" s="350">
        <v>46125</v>
      </c>
      <c r="D1740" s="351">
        <v>46113</v>
      </c>
      <c r="E1740" s="340" t="s">
        <v>2438</v>
      </c>
      <c r="F1740" s="340" t="s">
        <v>894</v>
      </c>
      <c r="G1740" s="340" t="s">
        <v>2439</v>
      </c>
      <c r="H1740" s="340" t="s">
        <v>2526</v>
      </c>
      <c r="I1740" s="340" t="s">
        <v>771</v>
      </c>
      <c r="K1740" s="343">
        <v>0</v>
      </c>
      <c r="L1740" s="343">
        <v>-0.06</v>
      </c>
      <c r="M1740" s="343">
        <v>-1234795.03</v>
      </c>
      <c r="O1740" s="343">
        <v>0</v>
      </c>
    </row>
    <row r="1741" spans="1:15" x14ac:dyDescent="0.3">
      <c r="A1741" s="340" t="s">
        <v>891</v>
      </c>
      <c r="B1741" s="350">
        <v>46112</v>
      </c>
      <c r="C1741" s="350">
        <v>46125</v>
      </c>
      <c r="D1741" s="351">
        <v>46113</v>
      </c>
      <c r="E1741" s="340" t="s">
        <v>2438</v>
      </c>
      <c r="F1741" s="340" t="s">
        <v>894</v>
      </c>
      <c r="G1741" s="340" t="s">
        <v>2441</v>
      </c>
      <c r="H1741" s="340" t="s">
        <v>2526</v>
      </c>
      <c r="I1741" s="340" t="s">
        <v>771</v>
      </c>
      <c r="K1741" s="343">
        <v>0</v>
      </c>
      <c r="L1741" s="343">
        <v>-0.11</v>
      </c>
      <c r="M1741" s="343">
        <v>-1234795.1399999999</v>
      </c>
      <c r="O1741" s="343">
        <v>0</v>
      </c>
    </row>
    <row r="1742" spans="1:15" x14ac:dyDescent="0.3">
      <c r="A1742" s="340" t="s">
        <v>891</v>
      </c>
      <c r="B1742" s="350">
        <v>46112</v>
      </c>
      <c r="C1742" s="350">
        <v>46125</v>
      </c>
      <c r="D1742" s="351">
        <v>46113</v>
      </c>
      <c r="E1742" s="340" t="s">
        <v>2438</v>
      </c>
      <c r="F1742" s="340" t="s">
        <v>894</v>
      </c>
      <c r="G1742" s="340" t="s">
        <v>2443</v>
      </c>
      <c r="H1742" s="340" t="s">
        <v>2526</v>
      </c>
      <c r="I1742" s="340" t="s">
        <v>771</v>
      </c>
      <c r="K1742" s="343">
        <v>0</v>
      </c>
      <c r="L1742" s="343">
        <v>-2.58</v>
      </c>
      <c r="M1742" s="343">
        <v>-1234797.72</v>
      </c>
      <c r="O1742" s="343">
        <v>0</v>
      </c>
    </row>
    <row r="1743" spans="1:15" x14ac:dyDescent="0.3">
      <c r="A1743" s="340" t="s">
        <v>891</v>
      </c>
      <c r="B1743" s="350">
        <v>46112</v>
      </c>
      <c r="C1743" s="350">
        <v>46125</v>
      </c>
      <c r="D1743" s="351">
        <v>46113</v>
      </c>
      <c r="E1743" s="340" t="s">
        <v>2438</v>
      </c>
      <c r="F1743" s="340" t="s">
        <v>894</v>
      </c>
      <c r="G1743" s="340" t="s">
        <v>2439</v>
      </c>
      <c r="H1743" s="340" t="s">
        <v>2527</v>
      </c>
      <c r="I1743" s="340" t="s">
        <v>771</v>
      </c>
      <c r="K1743" s="343">
        <v>0</v>
      </c>
      <c r="L1743" s="343">
        <v>-0.06</v>
      </c>
      <c r="M1743" s="343">
        <v>-1234797.78</v>
      </c>
      <c r="O1743" s="343">
        <v>0</v>
      </c>
    </row>
    <row r="1744" spans="1:15" x14ac:dyDescent="0.3">
      <c r="A1744" s="340" t="s">
        <v>891</v>
      </c>
      <c r="B1744" s="350">
        <v>46112</v>
      </c>
      <c r="C1744" s="350">
        <v>46125</v>
      </c>
      <c r="D1744" s="351">
        <v>46113</v>
      </c>
      <c r="E1744" s="340" t="s">
        <v>2438</v>
      </c>
      <c r="F1744" s="340" t="s">
        <v>894</v>
      </c>
      <c r="G1744" s="340" t="s">
        <v>2441</v>
      </c>
      <c r="H1744" s="340" t="s">
        <v>2527</v>
      </c>
      <c r="I1744" s="340" t="s">
        <v>771</v>
      </c>
      <c r="K1744" s="343">
        <v>0</v>
      </c>
      <c r="L1744" s="343">
        <v>-0.11</v>
      </c>
      <c r="M1744" s="343">
        <v>-1234797.8899999999</v>
      </c>
      <c r="O1744" s="343">
        <v>0</v>
      </c>
    </row>
    <row r="1745" spans="1:15" x14ac:dyDescent="0.3">
      <c r="A1745" s="340" t="s">
        <v>891</v>
      </c>
      <c r="B1745" s="350">
        <v>46112</v>
      </c>
      <c r="C1745" s="350">
        <v>46125</v>
      </c>
      <c r="D1745" s="351">
        <v>46113</v>
      </c>
      <c r="E1745" s="340" t="s">
        <v>2438</v>
      </c>
      <c r="F1745" s="340" t="s">
        <v>894</v>
      </c>
      <c r="G1745" s="340" t="s">
        <v>2443</v>
      </c>
      <c r="H1745" s="340" t="s">
        <v>2527</v>
      </c>
      <c r="I1745" s="340" t="s">
        <v>771</v>
      </c>
      <c r="K1745" s="343">
        <v>0</v>
      </c>
      <c r="L1745" s="343">
        <v>-2.4900000000000002</v>
      </c>
      <c r="M1745" s="343">
        <v>-1234800.3799999999</v>
      </c>
      <c r="O1745" s="343">
        <v>0</v>
      </c>
    </row>
    <row r="1746" spans="1:15" x14ac:dyDescent="0.3">
      <c r="A1746" s="340" t="s">
        <v>891</v>
      </c>
      <c r="B1746" s="350">
        <v>46112</v>
      </c>
      <c r="C1746" s="350">
        <v>46125</v>
      </c>
      <c r="D1746" s="351">
        <v>46113</v>
      </c>
      <c r="E1746" s="340" t="s">
        <v>2438</v>
      </c>
      <c r="F1746" s="340" t="s">
        <v>894</v>
      </c>
      <c r="G1746" s="340" t="s">
        <v>2442</v>
      </c>
      <c r="H1746" s="340" t="s">
        <v>2527</v>
      </c>
      <c r="I1746" s="340" t="s">
        <v>771</v>
      </c>
      <c r="K1746" s="343">
        <v>0</v>
      </c>
      <c r="L1746" s="343">
        <v>-2.95</v>
      </c>
      <c r="M1746" s="343">
        <v>-1234803.33</v>
      </c>
      <c r="O1746" s="343">
        <v>0</v>
      </c>
    </row>
    <row r="1747" spans="1:15" x14ac:dyDescent="0.3">
      <c r="A1747" s="340" t="s">
        <v>891</v>
      </c>
      <c r="B1747" s="350">
        <v>46112</v>
      </c>
      <c r="C1747" s="350">
        <v>46125</v>
      </c>
      <c r="D1747" s="351">
        <v>46113</v>
      </c>
      <c r="E1747" s="340" t="s">
        <v>2438</v>
      </c>
      <c r="F1747" s="340" t="s">
        <v>894</v>
      </c>
      <c r="G1747" s="340" t="s">
        <v>2473</v>
      </c>
      <c r="H1747" s="340" t="s">
        <v>2528</v>
      </c>
      <c r="I1747" s="340" t="s">
        <v>771</v>
      </c>
      <c r="K1747" s="343">
        <v>0</v>
      </c>
      <c r="L1747" s="343">
        <v>-2.66</v>
      </c>
      <c r="M1747" s="343">
        <v>-1234805.99</v>
      </c>
      <c r="O1747" s="343">
        <v>0</v>
      </c>
    </row>
    <row r="1748" spans="1:15" x14ac:dyDescent="0.3">
      <c r="A1748" s="340" t="s">
        <v>891</v>
      </c>
      <c r="B1748" s="350">
        <v>46112</v>
      </c>
      <c r="C1748" s="350">
        <v>46125</v>
      </c>
      <c r="D1748" s="351">
        <v>46113</v>
      </c>
      <c r="E1748" s="340" t="s">
        <v>2438</v>
      </c>
      <c r="F1748" s="340" t="s">
        <v>894</v>
      </c>
      <c r="G1748" s="340" t="s">
        <v>2472</v>
      </c>
      <c r="H1748" s="340" t="s">
        <v>2528</v>
      </c>
      <c r="I1748" s="340" t="s">
        <v>771</v>
      </c>
      <c r="K1748" s="343">
        <v>0</v>
      </c>
      <c r="L1748" s="343">
        <v>-2.95</v>
      </c>
      <c r="M1748" s="343">
        <v>-1234808.94</v>
      </c>
      <c r="O1748" s="343">
        <v>0</v>
      </c>
    </row>
    <row r="1749" spans="1:15" x14ac:dyDescent="0.3">
      <c r="A1749" s="340" t="s">
        <v>891</v>
      </c>
      <c r="B1749" s="350">
        <v>46112</v>
      </c>
      <c r="C1749" s="350">
        <v>46125</v>
      </c>
      <c r="D1749" s="351">
        <v>46113</v>
      </c>
      <c r="E1749" s="340" t="s">
        <v>2438</v>
      </c>
      <c r="F1749" s="340" t="s">
        <v>894</v>
      </c>
      <c r="G1749" s="340" t="s">
        <v>2468</v>
      </c>
      <c r="H1749" s="340" t="s">
        <v>2528</v>
      </c>
      <c r="I1749" s="340" t="s">
        <v>771</v>
      </c>
      <c r="K1749" s="343">
        <v>0</v>
      </c>
      <c r="L1749" s="343">
        <v>-0.06</v>
      </c>
      <c r="M1749" s="343">
        <v>-1234809</v>
      </c>
      <c r="O1749" s="343">
        <v>0</v>
      </c>
    </row>
    <row r="1750" spans="1:15" x14ac:dyDescent="0.3">
      <c r="A1750" s="340" t="s">
        <v>891</v>
      </c>
      <c r="B1750" s="350">
        <v>46112</v>
      </c>
      <c r="C1750" s="350">
        <v>46125</v>
      </c>
      <c r="D1750" s="351">
        <v>46113</v>
      </c>
      <c r="E1750" s="340" t="s">
        <v>2438</v>
      </c>
      <c r="F1750" s="340" t="s">
        <v>894</v>
      </c>
      <c r="G1750" s="340" t="s">
        <v>2470</v>
      </c>
      <c r="H1750" s="340" t="s">
        <v>2528</v>
      </c>
      <c r="I1750" s="340" t="s">
        <v>771</v>
      </c>
      <c r="K1750" s="343">
        <v>0</v>
      </c>
      <c r="L1750" s="343">
        <v>-0.11</v>
      </c>
      <c r="M1750" s="343">
        <v>-1234809.1100000001</v>
      </c>
      <c r="O1750" s="343">
        <v>0</v>
      </c>
    </row>
    <row r="1751" spans="1:15" x14ac:dyDescent="0.3">
      <c r="A1751" s="340" t="s">
        <v>891</v>
      </c>
      <c r="B1751" s="350">
        <v>46112</v>
      </c>
      <c r="C1751" s="350">
        <v>46125</v>
      </c>
      <c r="D1751" s="351">
        <v>46113</v>
      </c>
      <c r="E1751" s="340" t="s">
        <v>2438</v>
      </c>
      <c r="F1751" s="340" t="s">
        <v>894</v>
      </c>
      <c r="G1751" s="340" t="s">
        <v>2471</v>
      </c>
      <c r="H1751" s="340" t="s">
        <v>2528</v>
      </c>
      <c r="I1751" s="340" t="s">
        <v>771</v>
      </c>
      <c r="K1751" s="343">
        <v>0</v>
      </c>
      <c r="L1751" s="343">
        <v>-0.2</v>
      </c>
      <c r="M1751" s="343">
        <v>-1234809.31</v>
      </c>
      <c r="O1751" s="343">
        <v>0</v>
      </c>
    </row>
    <row r="1752" spans="1:15" x14ac:dyDescent="0.3">
      <c r="A1752" s="340" t="s">
        <v>891</v>
      </c>
      <c r="B1752" s="350">
        <v>46112</v>
      </c>
      <c r="C1752" s="350">
        <v>46125</v>
      </c>
      <c r="D1752" s="351">
        <v>46113</v>
      </c>
      <c r="E1752" s="340" t="s">
        <v>2438</v>
      </c>
      <c r="F1752" s="340" t="s">
        <v>894</v>
      </c>
      <c r="G1752" s="340" t="s">
        <v>2439</v>
      </c>
      <c r="H1752" s="340" t="s">
        <v>2529</v>
      </c>
      <c r="I1752" s="340" t="s">
        <v>771</v>
      </c>
      <c r="K1752" s="343">
        <v>0</v>
      </c>
      <c r="L1752" s="343">
        <v>-0.17</v>
      </c>
      <c r="M1752" s="343">
        <v>-1234809.48</v>
      </c>
      <c r="O1752" s="343">
        <v>0</v>
      </c>
    </row>
    <row r="1753" spans="1:15" x14ac:dyDescent="0.3">
      <c r="A1753" s="340" t="s">
        <v>891</v>
      </c>
      <c r="B1753" s="350">
        <v>46112</v>
      </c>
      <c r="C1753" s="350">
        <v>46125</v>
      </c>
      <c r="D1753" s="351">
        <v>46113</v>
      </c>
      <c r="E1753" s="340" t="s">
        <v>2438</v>
      </c>
      <c r="F1753" s="340" t="s">
        <v>894</v>
      </c>
      <c r="G1753" s="340" t="s">
        <v>2441</v>
      </c>
      <c r="H1753" s="340" t="s">
        <v>2529</v>
      </c>
      <c r="I1753" s="340" t="s">
        <v>771</v>
      </c>
      <c r="K1753" s="343">
        <v>0</v>
      </c>
      <c r="L1753" s="343">
        <v>-0.34</v>
      </c>
      <c r="M1753" s="343">
        <v>-1234809.82</v>
      </c>
      <c r="O1753" s="343">
        <v>0</v>
      </c>
    </row>
    <row r="1754" spans="1:15" x14ac:dyDescent="0.3">
      <c r="A1754" s="340" t="s">
        <v>891</v>
      </c>
      <c r="B1754" s="350">
        <v>46112</v>
      </c>
      <c r="C1754" s="350">
        <v>46125</v>
      </c>
      <c r="D1754" s="351">
        <v>46113</v>
      </c>
      <c r="E1754" s="340" t="s">
        <v>2438</v>
      </c>
      <c r="F1754" s="340" t="s">
        <v>894</v>
      </c>
      <c r="G1754" s="340" t="s">
        <v>2442</v>
      </c>
      <c r="H1754" s="340" t="s">
        <v>2529</v>
      </c>
      <c r="I1754" s="340" t="s">
        <v>771</v>
      </c>
      <c r="K1754" s="343">
        <v>0</v>
      </c>
      <c r="L1754" s="343">
        <v>-2.95</v>
      </c>
      <c r="M1754" s="343">
        <v>-1234812.77</v>
      </c>
      <c r="O1754" s="343">
        <v>0</v>
      </c>
    </row>
    <row r="1755" spans="1:15" x14ac:dyDescent="0.3">
      <c r="A1755" s="340" t="s">
        <v>891</v>
      </c>
      <c r="B1755" s="350">
        <v>46112</v>
      </c>
      <c r="C1755" s="350">
        <v>46125</v>
      </c>
      <c r="D1755" s="351">
        <v>46113</v>
      </c>
      <c r="E1755" s="340" t="s">
        <v>2438</v>
      </c>
      <c r="F1755" s="340" t="s">
        <v>894</v>
      </c>
      <c r="G1755" s="340" t="s">
        <v>2443</v>
      </c>
      <c r="H1755" s="340" t="s">
        <v>2529</v>
      </c>
      <c r="I1755" s="340" t="s">
        <v>771</v>
      </c>
      <c r="K1755" s="343">
        <v>0</v>
      </c>
      <c r="L1755" s="343">
        <v>-13.96</v>
      </c>
      <c r="M1755" s="343">
        <v>-1234826.73</v>
      </c>
      <c r="O1755" s="343">
        <v>0</v>
      </c>
    </row>
    <row r="1756" spans="1:15" x14ac:dyDescent="0.3">
      <c r="A1756" s="340" t="s">
        <v>891</v>
      </c>
      <c r="B1756" s="350">
        <v>46112</v>
      </c>
      <c r="C1756" s="350">
        <v>46125</v>
      </c>
      <c r="D1756" s="351">
        <v>46113</v>
      </c>
      <c r="E1756" s="340" t="s">
        <v>2438</v>
      </c>
      <c r="F1756" s="340" t="s">
        <v>894</v>
      </c>
      <c r="G1756" s="340" t="s">
        <v>2491</v>
      </c>
      <c r="H1756" s="340" t="s">
        <v>2530</v>
      </c>
      <c r="I1756" s="340" t="s">
        <v>771</v>
      </c>
      <c r="K1756" s="343">
        <v>0</v>
      </c>
      <c r="L1756" s="343">
        <v>-0.05</v>
      </c>
      <c r="M1756" s="343">
        <v>-1234826.78</v>
      </c>
      <c r="O1756" s="343">
        <v>0</v>
      </c>
    </row>
    <row r="1757" spans="1:15" x14ac:dyDescent="0.3">
      <c r="A1757" s="340" t="s">
        <v>891</v>
      </c>
      <c r="B1757" s="350">
        <v>46112</v>
      </c>
      <c r="C1757" s="350">
        <v>46125</v>
      </c>
      <c r="D1757" s="351">
        <v>46113</v>
      </c>
      <c r="E1757" s="340" t="s">
        <v>2438</v>
      </c>
      <c r="F1757" s="340" t="s">
        <v>894</v>
      </c>
      <c r="G1757" s="340" t="s">
        <v>2488</v>
      </c>
      <c r="H1757" s="340" t="s">
        <v>2530</v>
      </c>
      <c r="I1757" s="340" t="s">
        <v>771</v>
      </c>
      <c r="K1757" s="343">
        <v>0</v>
      </c>
      <c r="L1757" s="343">
        <v>-0.1</v>
      </c>
      <c r="M1757" s="343">
        <v>-1234826.8799999999</v>
      </c>
      <c r="O1757" s="343">
        <v>0</v>
      </c>
    </row>
    <row r="1758" spans="1:15" x14ac:dyDescent="0.3">
      <c r="A1758" s="340" t="s">
        <v>891</v>
      </c>
      <c r="B1758" s="350">
        <v>46112</v>
      </c>
      <c r="C1758" s="350">
        <v>46125</v>
      </c>
      <c r="D1758" s="351">
        <v>46113</v>
      </c>
      <c r="E1758" s="340" t="s">
        <v>2438</v>
      </c>
      <c r="F1758" s="340" t="s">
        <v>894</v>
      </c>
      <c r="G1758" s="340" t="s">
        <v>2490</v>
      </c>
      <c r="H1758" s="340" t="s">
        <v>2530</v>
      </c>
      <c r="I1758" s="340" t="s">
        <v>771</v>
      </c>
      <c r="K1758" s="343">
        <v>0</v>
      </c>
      <c r="L1758" s="343">
        <v>-0.25</v>
      </c>
      <c r="M1758" s="343">
        <v>-1234827.1299999999</v>
      </c>
      <c r="O1758" s="343">
        <v>0</v>
      </c>
    </row>
    <row r="1759" spans="1:15" x14ac:dyDescent="0.3">
      <c r="A1759" s="340" t="s">
        <v>891</v>
      </c>
      <c r="B1759" s="350">
        <v>46112</v>
      </c>
      <c r="C1759" s="350">
        <v>46125</v>
      </c>
      <c r="D1759" s="351">
        <v>46113</v>
      </c>
      <c r="E1759" s="340" t="s">
        <v>2438</v>
      </c>
      <c r="F1759" s="340" t="s">
        <v>894</v>
      </c>
      <c r="G1759" s="340" t="s">
        <v>2491</v>
      </c>
      <c r="H1759" s="340" t="s">
        <v>2530</v>
      </c>
      <c r="I1759" s="340" t="s">
        <v>771</v>
      </c>
      <c r="K1759" s="343">
        <v>0</v>
      </c>
      <c r="L1759" s="343">
        <v>-0.8</v>
      </c>
      <c r="M1759" s="343">
        <v>-1234827.93</v>
      </c>
      <c r="O1759" s="343">
        <v>0</v>
      </c>
    </row>
    <row r="1760" spans="1:15" x14ac:dyDescent="0.3">
      <c r="A1760" s="340" t="s">
        <v>891</v>
      </c>
      <c r="B1760" s="350">
        <v>46112</v>
      </c>
      <c r="C1760" s="350">
        <v>46125</v>
      </c>
      <c r="D1760" s="351">
        <v>46113</v>
      </c>
      <c r="E1760" s="340" t="s">
        <v>2438</v>
      </c>
      <c r="F1760" s="340" t="s">
        <v>894</v>
      </c>
      <c r="G1760" s="340" t="s">
        <v>2488</v>
      </c>
      <c r="H1760" s="340" t="s">
        <v>2530</v>
      </c>
      <c r="I1760" s="340" t="s">
        <v>771</v>
      </c>
      <c r="K1760" s="343">
        <v>0</v>
      </c>
      <c r="L1760" s="343">
        <v>-1.6</v>
      </c>
      <c r="M1760" s="343">
        <v>-1234829.53</v>
      </c>
      <c r="O1760" s="343">
        <v>0</v>
      </c>
    </row>
    <row r="1761" spans="1:15" x14ac:dyDescent="0.3">
      <c r="A1761" s="340" t="s">
        <v>891</v>
      </c>
      <c r="B1761" s="350">
        <v>46112</v>
      </c>
      <c r="C1761" s="350">
        <v>46125</v>
      </c>
      <c r="D1761" s="351">
        <v>46113</v>
      </c>
      <c r="E1761" s="340" t="s">
        <v>2438</v>
      </c>
      <c r="F1761" s="340" t="s">
        <v>894</v>
      </c>
      <c r="G1761" s="340" t="s">
        <v>2493</v>
      </c>
      <c r="H1761" s="340" t="s">
        <v>2530</v>
      </c>
      <c r="I1761" s="340" t="s">
        <v>771</v>
      </c>
      <c r="K1761" s="343">
        <v>0</v>
      </c>
      <c r="L1761" s="343">
        <v>-2.08</v>
      </c>
      <c r="M1761" s="343">
        <v>-1234831.6100000001</v>
      </c>
      <c r="O1761" s="343">
        <v>0</v>
      </c>
    </row>
    <row r="1762" spans="1:15" x14ac:dyDescent="0.3">
      <c r="A1762" s="340" t="s">
        <v>891</v>
      </c>
      <c r="B1762" s="350">
        <v>46112</v>
      </c>
      <c r="C1762" s="350">
        <v>46125</v>
      </c>
      <c r="D1762" s="351">
        <v>46113</v>
      </c>
      <c r="E1762" s="340" t="s">
        <v>2438</v>
      </c>
      <c r="F1762" s="340" t="s">
        <v>894</v>
      </c>
      <c r="G1762" s="340" t="s">
        <v>2492</v>
      </c>
      <c r="H1762" s="340" t="s">
        <v>2530</v>
      </c>
      <c r="I1762" s="340" t="s">
        <v>771</v>
      </c>
      <c r="K1762" s="343">
        <v>0</v>
      </c>
      <c r="L1762" s="343">
        <v>-2.95</v>
      </c>
      <c r="M1762" s="343">
        <v>-1234834.56</v>
      </c>
      <c r="O1762" s="343">
        <v>0</v>
      </c>
    </row>
    <row r="1763" spans="1:15" x14ac:dyDescent="0.3">
      <c r="A1763" s="340" t="s">
        <v>891</v>
      </c>
      <c r="B1763" s="350">
        <v>46112</v>
      </c>
      <c r="C1763" s="350">
        <v>46125</v>
      </c>
      <c r="D1763" s="351">
        <v>46113</v>
      </c>
      <c r="E1763" s="340" t="s">
        <v>2438</v>
      </c>
      <c r="F1763" s="340" t="s">
        <v>894</v>
      </c>
      <c r="G1763" s="340" t="s">
        <v>2492</v>
      </c>
      <c r="H1763" s="340" t="s">
        <v>2530</v>
      </c>
      <c r="I1763" s="340" t="s">
        <v>771</v>
      </c>
      <c r="K1763" s="343">
        <v>0</v>
      </c>
      <c r="L1763" s="343">
        <v>-2.95</v>
      </c>
      <c r="M1763" s="343">
        <v>-1234837.51</v>
      </c>
      <c r="O1763" s="343">
        <v>0</v>
      </c>
    </row>
    <row r="1764" spans="1:15" x14ac:dyDescent="0.3">
      <c r="A1764" s="340" t="s">
        <v>891</v>
      </c>
      <c r="B1764" s="350">
        <v>46112</v>
      </c>
      <c r="C1764" s="350">
        <v>46125</v>
      </c>
      <c r="D1764" s="351">
        <v>46113</v>
      </c>
      <c r="E1764" s="340" t="s">
        <v>2438</v>
      </c>
      <c r="F1764" s="340" t="s">
        <v>894</v>
      </c>
      <c r="G1764" s="340" t="s">
        <v>2493</v>
      </c>
      <c r="H1764" s="340" t="s">
        <v>2530</v>
      </c>
      <c r="I1764" s="340" t="s">
        <v>771</v>
      </c>
      <c r="K1764" s="343">
        <v>0</v>
      </c>
      <c r="L1764" s="343">
        <v>-75.62</v>
      </c>
      <c r="M1764" s="343">
        <v>-1234913.1299999999</v>
      </c>
      <c r="O1764" s="343">
        <v>0</v>
      </c>
    </row>
    <row r="1765" spans="1:15" x14ac:dyDescent="0.3">
      <c r="A1765" s="340" t="s">
        <v>891</v>
      </c>
      <c r="B1765" s="350">
        <v>46112</v>
      </c>
      <c r="C1765" s="350">
        <v>46125</v>
      </c>
      <c r="D1765" s="351">
        <v>46113</v>
      </c>
      <c r="E1765" s="340" t="s">
        <v>2438</v>
      </c>
      <c r="F1765" s="340" t="s">
        <v>894</v>
      </c>
      <c r="G1765" s="340" t="s">
        <v>2491</v>
      </c>
      <c r="H1765" s="340" t="s">
        <v>2531</v>
      </c>
      <c r="I1765" s="340" t="s">
        <v>771</v>
      </c>
      <c r="K1765" s="343">
        <v>0</v>
      </c>
      <c r="L1765" s="343">
        <v>-0.04</v>
      </c>
      <c r="M1765" s="343">
        <v>-1234913.17</v>
      </c>
      <c r="O1765" s="343">
        <v>0</v>
      </c>
    </row>
    <row r="1766" spans="1:15" x14ac:dyDescent="0.3">
      <c r="A1766" s="340" t="s">
        <v>891</v>
      </c>
      <c r="B1766" s="350">
        <v>46112</v>
      </c>
      <c r="C1766" s="350">
        <v>46125</v>
      </c>
      <c r="D1766" s="351">
        <v>46113</v>
      </c>
      <c r="E1766" s="340" t="s">
        <v>2438</v>
      </c>
      <c r="F1766" s="340" t="s">
        <v>894</v>
      </c>
      <c r="G1766" s="340" t="s">
        <v>2488</v>
      </c>
      <c r="H1766" s="340" t="s">
        <v>2531</v>
      </c>
      <c r="I1766" s="340" t="s">
        <v>771</v>
      </c>
      <c r="K1766" s="343">
        <v>0</v>
      </c>
      <c r="L1766" s="343">
        <v>-0.09</v>
      </c>
      <c r="M1766" s="343">
        <v>-1234913.26</v>
      </c>
      <c r="O1766" s="343">
        <v>0</v>
      </c>
    </row>
    <row r="1767" spans="1:15" x14ac:dyDescent="0.3">
      <c r="A1767" s="340" t="s">
        <v>891</v>
      </c>
      <c r="B1767" s="350">
        <v>46112</v>
      </c>
      <c r="C1767" s="350">
        <v>46125</v>
      </c>
      <c r="D1767" s="351">
        <v>46113</v>
      </c>
      <c r="E1767" s="340" t="s">
        <v>2438</v>
      </c>
      <c r="F1767" s="340" t="s">
        <v>894</v>
      </c>
      <c r="G1767" s="340" t="s">
        <v>2490</v>
      </c>
      <c r="H1767" s="340" t="s">
        <v>2531</v>
      </c>
      <c r="I1767" s="340" t="s">
        <v>771</v>
      </c>
      <c r="K1767" s="343">
        <v>0</v>
      </c>
      <c r="L1767" s="343">
        <v>-0.25</v>
      </c>
      <c r="M1767" s="343">
        <v>-1234913.51</v>
      </c>
      <c r="O1767" s="343">
        <v>0</v>
      </c>
    </row>
    <row r="1768" spans="1:15" x14ac:dyDescent="0.3">
      <c r="A1768" s="340" t="s">
        <v>891</v>
      </c>
      <c r="B1768" s="350">
        <v>46112</v>
      </c>
      <c r="C1768" s="350">
        <v>46125</v>
      </c>
      <c r="D1768" s="351">
        <v>46113</v>
      </c>
      <c r="E1768" s="340" t="s">
        <v>2438</v>
      </c>
      <c r="F1768" s="340" t="s">
        <v>894</v>
      </c>
      <c r="G1768" s="340" t="s">
        <v>2491</v>
      </c>
      <c r="H1768" s="340" t="s">
        <v>2531</v>
      </c>
      <c r="I1768" s="340" t="s">
        <v>771</v>
      </c>
      <c r="K1768" s="343">
        <v>0</v>
      </c>
      <c r="L1768" s="343">
        <v>-0.44</v>
      </c>
      <c r="M1768" s="343">
        <v>-1234913.95</v>
      </c>
      <c r="O1768" s="343">
        <v>0</v>
      </c>
    </row>
    <row r="1769" spans="1:15" x14ac:dyDescent="0.3">
      <c r="A1769" s="340" t="s">
        <v>891</v>
      </c>
      <c r="B1769" s="350">
        <v>46112</v>
      </c>
      <c r="C1769" s="350">
        <v>46125</v>
      </c>
      <c r="D1769" s="351">
        <v>46113</v>
      </c>
      <c r="E1769" s="340" t="s">
        <v>2438</v>
      </c>
      <c r="F1769" s="340" t="s">
        <v>894</v>
      </c>
      <c r="G1769" s="340" t="s">
        <v>2488</v>
      </c>
      <c r="H1769" s="340" t="s">
        <v>2531</v>
      </c>
      <c r="I1769" s="340" t="s">
        <v>771</v>
      </c>
      <c r="K1769" s="343">
        <v>0</v>
      </c>
      <c r="L1769" s="343">
        <v>-0.88</v>
      </c>
      <c r="M1769" s="343">
        <v>-1234914.83</v>
      </c>
      <c r="O1769" s="343">
        <v>0</v>
      </c>
    </row>
    <row r="1770" spans="1:15" x14ac:dyDescent="0.3">
      <c r="A1770" s="340" t="s">
        <v>891</v>
      </c>
      <c r="B1770" s="350">
        <v>46112</v>
      </c>
      <c r="C1770" s="350">
        <v>46125</v>
      </c>
      <c r="D1770" s="351">
        <v>46113</v>
      </c>
      <c r="E1770" s="340" t="s">
        <v>2438</v>
      </c>
      <c r="F1770" s="340" t="s">
        <v>894</v>
      </c>
      <c r="G1770" s="340" t="s">
        <v>2493</v>
      </c>
      <c r="H1770" s="340" t="s">
        <v>2531</v>
      </c>
      <c r="I1770" s="340" t="s">
        <v>771</v>
      </c>
      <c r="K1770" s="343">
        <v>0</v>
      </c>
      <c r="L1770" s="343">
        <v>-1.25</v>
      </c>
      <c r="M1770" s="343">
        <v>-1234916.08</v>
      </c>
      <c r="O1770" s="343">
        <v>0</v>
      </c>
    </row>
    <row r="1771" spans="1:15" x14ac:dyDescent="0.3">
      <c r="A1771" s="340" t="s">
        <v>891</v>
      </c>
      <c r="B1771" s="350">
        <v>46112</v>
      </c>
      <c r="C1771" s="350">
        <v>46125</v>
      </c>
      <c r="D1771" s="351">
        <v>46113</v>
      </c>
      <c r="E1771" s="340" t="s">
        <v>2438</v>
      </c>
      <c r="F1771" s="340" t="s">
        <v>894</v>
      </c>
      <c r="G1771" s="340" t="s">
        <v>2492</v>
      </c>
      <c r="H1771" s="340" t="s">
        <v>2531</v>
      </c>
      <c r="I1771" s="340" t="s">
        <v>771</v>
      </c>
      <c r="K1771" s="343">
        <v>0</v>
      </c>
      <c r="L1771" s="343">
        <v>-2.95</v>
      </c>
      <c r="M1771" s="343">
        <v>-1234919.03</v>
      </c>
      <c r="O1771" s="343">
        <v>0</v>
      </c>
    </row>
    <row r="1772" spans="1:15" x14ac:dyDescent="0.3">
      <c r="A1772" s="340" t="s">
        <v>891</v>
      </c>
      <c r="B1772" s="350">
        <v>46112</v>
      </c>
      <c r="C1772" s="350">
        <v>46125</v>
      </c>
      <c r="D1772" s="351">
        <v>46113</v>
      </c>
      <c r="E1772" s="340" t="s">
        <v>2438</v>
      </c>
      <c r="F1772" s="340" t="s">
        <v>894</v>
      </c>
      <c r="G1772" s="340" t="s">
        <v>2492</v>
      </c>
      <c r="H1772" s="340" t="s">
        <v>2531</v>
      </c>
      <c r="I1772" s="340" t="s">
        <v>771</v>
      </c>
      <c r="K1772" s="343">
        <v>0</v>
      </c>
      <c r="L1772" s="343">
        <v>-2.95</v>
      </c>
      <c r="M1772" s="343">
        <v>-1234921.98</v>
      </c>
      <c r="O1772" s="343">
        <v>0</v>
      </c>
    </row>
    <row r="1773" spans="1:15" x14ac:dyDescent="0.3">
      <c r="A1773" s="340" t="s">
        <v>891</v>
      </c>
      <c r="B1773" s="350">
        <v>46112</v>
      </c>
      <c r="C1773" s="350">
        <v>46125</v>
      </c>
      <c r="D1773" s="351">
        <v>46113</v>
      </c>
      <c r="E1773" s="340" t="s">
        <v>2438</v>
      </c>
      <c r="F1773" s="340" t="s">
        <v>894</v>
      </c>
      <c r="G1773" s="340" t="s">
        <v>2493</v>
      </c>
      <c r="H1773" s="340" t="s">
        <v>2531</v>
      </c>
      <c r="I1773" s="340" t="s">
        <v>771</v>
      </c>
      <c r="K1773" s="343">
        <v>0</v>
      </c>
      <c r="L1773" s="343">
        <v>-40.47</v>
      </c>
      <c r="M1773" s="343">
        <v>-1234962.45</v>
      </c>
      <c r="O1773" s="343">
        <v>0</v>
      </c>
    </row>
    <row r="1774" spans="1:15" x14ac:dyDescent="0.3">
      <c r="A1774" s="340" t="s">
        <v>891</v>
      </c>
      <c r="B1774" s="350">
        <v>46112</v>
      </c>
      <c r="C1774" s="350">
        <v>46125</v>
      </c>
      <c r="D1774" s="351">
        <v>46113</v>
      </c>
      <c r="E1774" s="340" t="s">
        <v>2438</v>
      </c>
      <c r="F1774" s="340" t="s">
        <v>894</v>
      </c>
      <c r="G1774" s="340" t="s">
        <v>2493</v>
      </c>
      <c r="H1774" s="340" t="s">
        <v>2532</v>
      </c>
      <c r="I1774" s="340" t="s">
        <v>771</v>
      </c>
      <c r="K1774" s="343">
        <v>0</v>
      </c>
      <c r="L1774" s="343">
        <v>-149.41</v>
      </c>
      <c r="M1774" s="343">
        <v>-1235111.8600000001</v>
      </c>
      <c r="O1774" s="343">
        <v>0</v>
      </c>
    </row>
    <row r="1775" spans="1:15" x14ac:dyDescent="0.3">
      <c r="A1775" s="340" t="s">
        <v>891</v>
      </c>
      <c r="B1775" s="350">
        <v>46112</v>
      </c>
      <c r="C1775" s="350">
        <v>46125</v>
      </c>
      <c r="D1775" s="351">
        <v>46113</v>
      </c>
      <c r="E1775" s="340" t="s">
        <v>2438</v>
      </c>
      <c r="F1775" s="340" t="s">
        <v>894</v>
      </c>
      <c r="G1775" s="340" t="s">
        <v>2490</v>
      </c>
      <c r="H1775" s="340" t="s">
        <v>2532</v>
      </c>
      <c r="I1775" s="340" t="s">
        <v>771</v>
      </c>
      <c r="K1775" s="343">
        <v>0</v>
      </c>
      <c r="L1775" s="343">
        <v>-0.25</v>
      </c>
      <c r="M1775" s="343">
        <v>-1235112.1100000001</v>
      </c>
      <c r="O1775" s="343">
        <v>0</v>
      </c>
    </row>
    <row r="1776" spans="1:15" x14ac:dyDescent="0.3">
      <c r="A1776" s="340" t="s">
        <v>891</v>
      </c>
      <c r="B1776" s="350">
        <v>46112</v>
      </c>
      <c r="C1776" s="350">
        <v>46125</v>
      </c>
      <c r="D1776" s="351">
        <v>46113</v>
      </c>
      <c r="E1776" s="340" t="s">
        <v>2438</v>
      </c>
      <c r="F1776" s="340" t="s">
        <v>894</v>
      </c>
      <c r="G1776" s="340" t="s">
        <v>2491</v>
      </c>
      <c r="H1776" s="340" t="s">
        <v>2532</v>
      </c>
      <c r="I1776" s="340" t="s">
        <v>771</v>
      </c>
      <c r="K1776" s="343">
        <v>0</v>
      </c>
      <c r="L1776" s="343">
        <v>-1.55</v>
      </c>
      <c r="M1776" s="343">
        <v>-1235113.6599999999</v>
      </c>
      <c r="O1776" s="343">
        <v>0</v>
      </c>
    </row>
    <row r="1777" spans="1:15" x14ac:dyDescent="0.3">
      <c r="A1777" s="340" t="s">
        <v>891</v>
      </c>
      <c r="B1777" s="350">
        <v>46112</v>
      </c>
      <c r="C1777" s="350">
        <v>46125</v>
      </c>
      <c r="D1777" s="351">
        <v>46113</v>
      </c>
      <c r="E1777" s="340" t="s">
        <v>2438</v>
      </c>
      <c r="F1777" s="340" t="s">
        <v>894</v>
      </c>
      <c r="G1777" s="340" t="s">
        <v>2492</v>
      </c>
      <c r="H1777" s="340" t="s">
        <v>2532</v>
      </c>
      <c r="I1777" s="340" t="s">
        <v>771</v>
      </c>
      <c r="K1777" s="343">
        <v>0</v>
      </c>
      <c r="L1777" s="343">
        <v>-2.95</v>
      </c>
      <c r="M1777" s="343">
        <v>-1235116.6100000001</v>
      </c>
      <c r="O1777" s="343">
        <v>0</v>
      </c>
    </row>
    <row r="1778" spans="1:15" x14ac:dyDescent="0.3">
      <c r="A1778" s="340" t="s">
        <v>891</v>
      </c>
      <c r="B1778" s="350">
        <v>46112</v>
      </c>
      <c r="C1778" s="350">
        <v>46125</v>
      </c>
      <c r="D1778" s="351">
        <v>46113</v>
      </c>
      <c r="E1778" s="340" t="s">
        <v>2438</v>
      </c>
      <c r="F1778" s="340" t="s">
        <v>894</v>
      </c>
      <c r="G1778" s="340" t="s">
        <v>2488</v>
      </c>
      <c r="H1778" s="340" t="s">
        <v>2532</v>
      </c>
      <c r="I1778" s="340" t="s">
        <v>771</v>
      </c>
      <c r="K1778" s="343">
        <v>0</v>
      </c>
      <c r="L1778" s="343">
        <v>-3.1</v>
      </c>
      <c r="M1778" s="343">
        <v>-1235119.71</v>
      </c>
      <c r="O1778" s="343">
        <v>0</v>
      </c>
    </row>
    <row r="1779" spans="1:15" x14ac:dyDescent="0.3">
      <c r="A1779" s="340" t="s">
        <v>891</v>
      </c>
      <c r="B1779" s="350">
        <v>46112</v>
      </c>
      <c r="C1779" s="350">
        <v>46125</v>
      </c>
      <c r="D1779" s="351">
        <v>46113</v>
      </c>
      <c r="E1779" s="340" t="s">
        <v>2438</v>
      </c>
      <c r="F1779" s="340" t="s">
        <v>894</v>
      </c>
      <c r="G1779" s="340" t="s">
        <v>2439</v>
      </c>
      <c r="H1779" s="340" t="s">
        <v>2533</v>
      </c>
      <c r="I1779" s="340" t="s">
        <v>771</v>
      </c>
      <c r="K1779" s="343">
        <v>0</v>
      </c>
      <c r="L1779" s="343">
        <v>-0.05</v>
      </c>
      <c r="M1779" s="343">
        <v>-1235119.76</v>
      </c>
      <c r="O1779" s="343">
        <v>0</v>
      </c>
    </row>
    <row r="1780" spans="1:15" x14ac:dyDescent="0.3">
      <c r="A1780" s="340" t="s">
        <v>891</v>
      </c>
      <c r="B1780" s="350">
        <v>46112</v>
      </c>
      <c r="C1780" s="350">
        <v>46125</v>
      </c>
      <c r="D1780" s="351">
        <v>46113</v>
      </c>
      <c r="E1780" s="340" t="s">
        <v>2438</v>
      </c>
      <c r="F1780" s="340" t="s">
        <v>894</v>
      </c>
      <c r="G1780" s="340" t="s">
        <v>2441</v>
      </c>
      <c r="H1780" s="340" t="s">
        <v>2533</v>
      </c>
      <c r="I1780" s="340" t="s">
        <v>771</v>
      </c>
      <c r="K1780" s="343">
        <v>0</v>
      </c>
      <c r="L1780" s="343">
        <v>-0.1</v>
      </c>
      <c r="M1780" s="343">
        <v>-1235119.8600000001</v>
      </c>
      <c r="O1780" s="343">
        <v>0</v>
      </c>
    </row>
    <row r="1781" spans="1:15" x14ac:dyDescent="0.3">
      <c r="A1781" s="340" t="s">
        <v>891</v>
      </c>
      <c r="B1781" s="350">
        <v>46112</v>
      </c>
      <c r="C1781" s="350">
        <v>46125</v>
      </c>
      <c r="D1781" s="351">
        <v>46113</v>
      </c>
      <c r="E1781" s="340" t="s">
        <v>2438</v>
      </c>
      <c r="F1781" s="340" t="s">
        <v>894</v>
      </c>
      <c r="G1781" s="340" t="s">
        <v>2443</v>
      </c>
      <c r="H1781" s="340" t="s">
        <v>2533</v>
      </c>
      <c r="I1781" s="340" t="s">
        <v>771</v>
      </c>
      <c r="K1781" s="343">
        <v>0</v>
      </c>
      <c r="L1781" s="343">
        <v>-2.08</v>
      </c>
      <c r="M1781" s="343">
        <v>-1235121.94</v>
      </c>
      <c r="O1781" s="343">
        <v>0</v>
      </c>
    </row>
    <row r="1782" spans="1:15" x14ac:dyDescent="0.3">
      <c r="A1782" s="340" t="s">
        <v>891</v>
      </c>
      <c r="B1782" s="350">
        <v>46112</v>
      </c>
      <c r="C1782" s="350">
        <v>46125</v>
      </c>
      <c r="D1782" s="351">
        <v>46113</v>
      </c>
      <c r="E1782" s="340" t="s">
        <v>2438</v>
      </c>
      <c r="F1782" s="340" t="s">
        <v>894</v>
      </c>
      <c r="G1782" s="340" t="s">
        <v>2442</v>
      </c>
      <c r="H1782" s="340" t="s">
        <v>2533</v>
      </c>
      <c r="I1782" s="340" t="s">
        <v>771</v>
      </c>
      <c r="K1782" s="343">
        <v>0</v>
      </c>
      <c r="L1782" s="343">
        <v>-2.95</v>
      </c>
      <c r="M1782" s="343">
        <v>-1235124.8899999999</v>
      </c>
      <c r="O1782" s="343">
        <v>0</v>
      </c>
    </row>
    <row r="1783" spans="1:15" x14ac:dyDescent="0.3">
      <c r="A1783" s="340" t="s">
        <v>891</v>
      </c>
      <c r="B1783" s="350">
        <v>46112</v>
      </c>
      <c r="C1783" s="350">
        <v>46125</v>
      </c>
      <c r="D1783" s="351">
        <v>46113</v>
      </c>
      <c r="E1783" s="340" t="s">
        <v>2438</v>
      </c>
      <c r="F1783" s="340" t="s">
        <v>894</v>
      </c>
      <c r="G1783" s="340" t="s">
        <v>2534</v>
      </c>
      <c r="H1783" s="340"/>
      <c r="I1783" s="340" t="s">
        <v>771</v>
      </c>
      <c r="K1783" s="343">
        <v>0</v>
      </c>
      <c r="L1783" s="343">
        <v>-226.99</v>
      </c>
      <c r="M1783" s="343">
        <v>-1235351.8799999999</v>
      </c>
      <c r="O1783" s="343">
        <v>0</v>
      </c>
    </row>
    <row r="1784" spans="1:15" x14ac:dyDescent="0.3">
      <c r="A1784" s="340" t="s">
        <v>891</v>
      </c>
      <c r="B1784" s="350">
        <v>46112</v>
      </c>
      <c r="C1784" s="350">
        <v>46125</v>
      </c>
      <c r="D1784" s="351">
        <v>46113</v>
      </c>
      <c r="E1784" s="340" t="s">
        <v>2438</v>
      </c>
      <c r="F1784" s="340" t="s">
        <v>894</v>
      </c>
      <c r="G1784" s="340" t="s">
        <v>2535</v>
      </c>
      <c r="H1784" s="340"/>
      <c r="I1784" s="340" t="s">
        <v>771</v>
      </c>
      <c r="K1784" s="343">
        <v>0</v>
      </c>
      <c r="L1784" s="343">
        <v>-1.82</v>
      </c>
      <c r="M1784" s="343">
        <v>-1235353.7</v>
      </c>
      <c r="O1784" s="343">
        <v>0</v>
      </c>
    </row>
    <row r="1785" spans="1:15" x14ac:dyDescent="0.3">
      <c r="A1785" s="340" t="s">
        <v>891</v>
      </c>
      <c r="B1785" s="350">
        <v>46112</v>
      </c>
      <c r="C1785" s="350">
        <v>46125</v>
      </c>
      <c r="D1785" s="351">
        <v>46113</v>
      </c>
      <c r="E1785" s="340" t="s">
        <v>2438</v>
      </c>
      <c r="F1785" s="340" t="s">
        <v>894</v>
      </c>
      <c r="G1785" s="340" t="s">
        <v>2536</v>
      </c>
      <c r="H1785" s="340"/>
      <c r="I1785" s="340" t="s">
        <v>771</v>
      </c>
      <c r="K1785" s="343">
        <v>0</v>
      </c>
      <c r="L1785" s="343">
        <v>-3.57</v>
      </c>
      <c r="M1785" s="343">
        <v>-1235357.27</v>
      </c>
      <c r="O1785" s="343">
        <v>0</v>
      </c>
    </row>
    <row r="1786" spans="1:15" x14ac:dyDescent="0.3">
      <c r="A1786" s="340" t="s">
        <v>891</v>
      </c>
      <c r="B1786" s="350">
        <v>46112</v>
      </c>
      <c r="C1786" s="350">
        <v>46125</v>
      </c>
      <c r="D1786" s="351">
        <v>46113</v>
      </c>
      <c r="E1786" s="340" t="s">
        <v>2438</v>
      </c>
      <c r="F1786" s="340" t="s">
        <v>894</v>
      </c>
      <c r="G1786" s="340" t="s">
        <v>2537</v>
      </c>
      <c r="H1786" s="340"/>
      <c r="I1786" s="340" t="s">
        <v>771</v>
      </c>
      <c r="K1786" s="343">
        <v>0</v>
      </c>
      <c r="L1786" s="343">
        <v>-175</v>
      </c>
      <c r="M1786" s="343">
        <v>-1235532.27</v>
      </c>
      <c r="O1786" s="343">
        <v>0</v>
      </c>
    </row>
    <row r="1787" spans="1:15" x14ac:dyDescent="0.3">
      <c r="A1787" s="340" t="s">
        <v>891</v>
      </c>
      <c r="B1787" s="350">
        <v>46112</v>
      </c>
      <c r="C1787" s="350">
        <v>46126</v>
      </c>
      <c r="D1787" s="351">
        <v>46113</v>
      </c>
      <c r="E1787" s="340" t="s">
        <v>2538</v>
      </c>
      <c r="F1787" s="340" t="s">
        <v>894</v>
      </c>
      <c r="G1787" s="340" t="s">
        <v>2539</v>
      </c>
      <c r="H1787" s="340"/>
      <c r="I1787" s="340" t="s">
        <v>232</v>
      </c>
      <c r="K1787" s="343">
        <v>0</v>
      </c>
      <c r="L1787" s="343">
        <v>-11647.53</v>
      </c>
      <c r="M1787" s="343">
        <v>-1247179.8</v>
      </c>
      <c r="O1787" s="343">
        <v>0</v>
      </c>
    </row>
    <row r="1788" spans="1:15" x14ac:dyDescent="0.3">
      <c r="A1788" s="340" t="s">
        <v>891</v>
      </c>
      <c r="B1788" s="350">
        <v>46112</v>
      </c>
      <c r="C1788" s="350">
        <v>46126</v>
      </c>
      <c r="D1788" s="351">
        <v>46113</v>
      </c>
      <c r="E1788" s="340" t="s">
        <v>2538</v>
      </c>
      <c r="F1788" s="340" t="s">
        <v>894</v>
      </c>
      <c r="G1788" s="340" t="s">
        <v>2540</v>
      </c>
      <c r="H1788" s="340"/>
      <c r="I1788" s="340" t="s">
        <v>232</v>
      </c>
      <c r="K1788" s="343">
        <v>0</v>
      </c>
      <c r="L1788" s="343">
        <v>-300</v>
      </c>
      <c r="M1788" s="343">
        <v>-1247479.8</v>
      </c>
      <c r="O1788" s="343">
        <v>0</v>
      </c>
    </row>
    <row r="1789" spans="1:15" x14ac:dyDescent="0.3">
      <c r="A1789" s="340" t="s">
        <v>891</v>
      </c>
      <c r="B1789" s="350">
        <v>46112</v>
      </c>
      <c r="C1789" s="350">
        <v>46126</v>
      </c>
      <c r="D1789" s="351">
        <v>46113</v>
      </c>
      <c r="E1789" s="340" t="s">
        <v>2538</v>
      </c>
      <c r="F1789" s="340" t="s">
        <v>894</v>
      </c>
      <c r="G1789" s="340" t="s">
        <v>2541</v>
      </c>
      <c r="H1789" s="340"/>
      <c r="I1789" s="340" t="s">
        <v>232</v>
      </c>
      <c r="K1789" s="343">
        <v>0</v>
      </c>
      <c r="L1789" s="343">
        <v>-249</v>
      </c>
      <c r="M1789" s="343">
        <v>-1247728.8</v>
      </c>
      <c r="O1789" s="343">
        <v>0</v>
      </c>
    </row>
    <row r="1790" spans="1:15" x14ac:dyDescent="0.3">
      <c r="A1790" s="340" t="s">
        <v>891</v>
      </c>
      <c r="B1790" s="350">
        <v>46113</v>
      </c>
      <c r="C1790" s="350">
        <v>46113</v>
      </c>
      <c r="D1790" s="351">
        <v>46082</v>
      </c>
      <c r="E1790" s="340" t="s">
        <v>2542</v>
      </c>
      <c r="F1790" s="340" t="s">
        <v>1078</v>
      </c>
      <c r="G1790" s="340" t="s">
        <v>1281</v>
      </c>
      <c r="H1790" s="340"/>
      <c r="I1790" s="340" t="s">
        <v>771</v>
      </c>
      <c r="K1790" s="343">
        <v>6255.23</v>
      </c>
      <c r="L1790" s="343">
        <v>0</v>
      </c>
      <c r="M1790" s="343">
        <v>-1241473.57</v>
      </c>
      <c r="O1790" s="343">
        <v>0</v>
      </c>
    </row>
    <row r="1791" spans="1:15" x14ac:dyDescent="0.3">
      <c r="A1791" s="340" t="s">
        <v>891</v>
      </c>
      <c r="B1791" s="350">
        <v>46113</v>
      </c>
      <c r="C1791" s="350">
        <v>46115</v>
      </c>
      <c r="D1791" s="351">
        <v>46113</v>
      </c>
      <c r="E1791" s="340" t="s">
        <v>2543</v>
      </c>
      <c r="F1791" s="340" t="s">
        <v>894</v>
      </c>
      <c r="G1791" s="340" t="s">
        <v>1589</v>
      </c>
      <c r="H1791" s="340"/>
      <c r="I1791" s="340" t="s">
        <v>745</v>
      </c>
      <c r="K1791" s="343">
        <v>0</v>
      </c>
      <c r="L1791" s="343">
        <v>-151.97999999999999</v>
      </c>
      <c r="M1791" s="343">
        <v>-1241625.55</v>
      </c>
      <c r="O1791" s="343">
        <v>0</v>
      </c>
    </row>
    <row r="1792" spans="1:15" x14ac:dyDescent="0.3">
      <c r="A1792" s="340" t="s">
        <v>891</v>
      </c>
      <c r="B1792" s="350">
        <v>46113</v>
      </c>
      <c r="C1792" s="350">
        <v>46115</v>
      </c>
      <c r="D1792" s="351">
        <v>46113</v>
      </c>
      <c r="E1792" s="340" t="s">
        <v>2543</v>
      </c>
      <c r="F1792" s="340" t="s">
        <v>894</v>
      </c>
      <c r="G1792" s="340" t="s">
        <v>2544</v>
      </c>
      <c r="H1792" s="340"/>
      <c r="I1792" s="340" t="s">
        <v>745</v>
      </c>
      <c r="K1792" s="343">
        <v>0</v>
      </c>
      <c r="L1792" s="343">
        <v>-121.49</v>
      </c>
      <c r="M1792" s="343">
        <v>-1241747.04</v>
      </c>
      <c r="O1792" s="343">
        <v>0</v>
      </c>
    </row>
    <row r="1793" spans="1:15" x14ac:dyDescent="0.3">
      <c r="A1793" s="340" t="s">
        <v>891</v>
      </c>
      <c r="B1793" s="350">
        <v>46113</v>
      </c>
      <c r="C1793" s="350">
        <v>46115</v>
      </c>
      <c r="D1793" s="351">
        <v>46113</v>
      </c>
      <c r="E1793" s="340" t="s">
        <v>2543</v>
      </c>
      <c r="F1793" s="340" t="s">
        <v>894</v>
      </c>
      <c r="G1793" s="340" t="s">
        <v>2545</v>
      </c>
      <c r="H1793" s="340"/>
      <c r="I1793" s="340" t="s">
        <v>745</v>
      </c>
      <c r="K1793" s="343">
        <v>0</v>
      </c>
      <c r="L1793" s="343">
        <v>-85.18</v>
      </c>
      <c r="M1793" s="343">
        <v>-1241832.22</v>
      </c>
      <c r="O1793" s="343">
        <v>0</v>
      </c>
    </row>
    <row r="1794" spans="1:15" x14ac:dyDescent="0.3">
      <c r="A1794" s="340" t="s">
        <v>891</v>
      </c>
      <c r="B1794" s="350">
        <v>46113</v>
      </c>
      <c r="C1794" s="350">
        <v>46115</v>
      </c>
      <c r="D1794" s="351">
        <v>46113</v>
      </c>
      <c r="E1794" s="340" t="s">
        <v>2543</v>
      </c>
      <c r="F1794" s="340" t="s">
        <v>894</v>
      </c>
      <c r="G1794" s="340" t="s">
        <v>2546</v>
      </c>
      <c r="H1794" s="340"/>
      <c r="I1794" s="340" t="s">
        <v>745</v>
      </c>
      <c r="K1794" s="343">
        <v>0</v>
      </c>
      <c r="L1794" s="343">
        <v>-19.02</v>
      </c>
      <c r="M1794" s="343">
        <v>-1241851.24</v>
      </c>
      <c r="O1794" s="343">
        <v>0</v>
      </c>
    </row>
    <row r="1795" spans="1:15" x14ac:dyDescent="0.3">
      <c r="A1795" s="340" t="s">
        <v>891</v>
      </c>
      <c r="B1795" s="350">
        <v>46113</v>
      </c>
      <c r="C1795" s="350">
        <v>46115</v>
      </c>
      <c r="D1795" s="351">
        <v>46113</v>
      </c>
      <c r="E1795" s="340" t="s">
        <v>2543</v>
      </c>
      <c r="F1795" s="340" t="s">
        <v>894</v>
      </c>
      <c r="G1795" s="340" t="s">
        <v>2547</v>
      </c>
      <c r="H1795" s="340"/>
      <c r="I1795" s="340" t="s">
        <v>745</v>
      </c>
      <c r="K1795" s="343">
        <v>0</v>
      </c>
      <c r="L1795" s="343">
        <v>-22.81</v>
      </c>
      <c r="M1795" s="343">
        <v>-1241874.05</v>
      </c>
      <c r="O1795" s="343">
        <v>0</v>
      </c>
    </row>
    <row r="1796" spans="1:15" x14ac:dyDescent="0.3">
      <c r="A1796" s="340" t="s">
        <v>891</v>
      </c>
      <c r="B1796" s="350">
        <v>46113</v>
      </c>
      <c r="C1796" s="350">
        <v>46115</v>
      </c>
      <c r="D1796" s="351">
        <v>46113</v>
      </c>
      <c r="E1796" s="340" t="s">
        <v>2543</v>
      </c>
      <c r="F1796" s="340" t="s">
        <v>894</v>
      </c>
      <c r="G1796" s="340" t="s">
        <v>2548</v>
      </c>
      <c r="H1796" s="340"/>
      <c r="I1796" s="340" t="s">
        <v>745</v>
      </c>
      <c r="K1796" s="343">
        <v>0</v>
      </c>
      <c r="L1796" s="343">
        <v>-45.69</v>
      </c>
      <c r="M1796" s="343">
        <v>-1241919.74</v>
      </c>
      <c r="O1796" s="343">
        <v>0</v>
      </c>
    </row>
    <row r="1797" spans="1:15" x14ac:dyDescent="0.3">
      <c r="A1797" s="340" t="s">
        <v>891</v>
      </c>
      <c r="B1797" s="350">
        <v>46113</v>
      </c>
      <c r="C1797" s="350">
        <v>46115</v>
      </c>
      <c r="D1797" s="351">
        <v>46113</v>
      </c>
      <c r="E1797" s="340" t="s">
        <v>2543</v>
      </c>
      <c r="F1797" s="340" t="s">
        <v>894</v>
      </c>
      <c r="G1797" s="340" t="s">
        <v>2549</v>
      </c>
      <c r="H1797" s="340"/>
      <c r="I1797" s="340" t="s">
        <v>745</v>
      </c>
      <c r="K1797" s="343">
        <v>0</v>
      </c>
      <c r="L1797" s="343">
        <v>-30.78</v>
      </c>
      <c r="M1797" s="343">
        <v>-1241950.52</v>
      </c>
      <c r="O1797" s="343">
        <v>0</v>
      </c>
    </row>
    <row r="1798" spans="1:15" x14ac:dyDescent="0.3">
      <c r="A1798" s="340" t="s">
        <v>891</v>
      </c>
      <c r="B1798" s="350">
        <v>46113</v>
      </c>
      <c r="C1798" s="350">
        <v>46115</v>
      </c>
      <c r="D1798" s="351">
        <v>46113</v>
      </c>
      <c r="E1798" s="340" t="s">
        <v>2543</v>
      </c>
      <c r="F1798" s="340" t="s">
        <v>894</v>
      </c>
      <c r="G1798" s="340" t="s">
        <v>2550</v>
      </c>
      <c r="H1798" s="340"/>
      <c r="I1798" s="340" t="s">
        <v>745</v>
      </c>
      <c r="K1798" s="343">
        <v>0</v>
      </c>
      <c r="L1798" s="343">
        <v>-92.55</v>
      </c>
      <c r="M1798" s="343">
        <v>-1242043.07</v>
      </c>
      <c r="O1798" s="343">
        <v>0</v>
      </c>
    </row>
    <row r="1799" spans="1:15" x14ac:dyDescent="0.3">
      <c r="A1799" s="340" t="s">
        <v>891</v>
      </c>
      <c r="B1799" s="350">
        <v>46113</v>
      </c>
      <c r="C1799" s="350">
        <v>46115</v>
      </c>
      <c r="D1799" s="351">
        <v>46113</v>
      </c>
      <c r="E1799" s="340" t="s">
        <v>2543</v>
      </c>
      <c r="F1799" s="340" t="s">
        <v>894</v>
      </c>
      <c r="G1799" s="340" t="s">
        <v>2551</v>
      </c>
      <c r="H1799" s="340"/>
      <c r="I1799" s="340" t="s">
        <v>745</v>
      </c>
      <c r="K1799" s="343">
        <v>0</v>
      </c>
      <c r="L1799" s="343">
        <v>-142.84</v>
      </c>
      <c r="M1799" s="343">
        <v>-1242185.9099999999</v>
      </c>
      <c r="O1799" s="343">
        <v>0</v>
      </c>
    </row>
    <row r="1800" spans="1:15" x14ac:dyDescent="0.3">
      <c r="A1800" s="340" t="s">
        <v>891</v>
      </c>
      <c r="B1800" s="350">
        <v>46113</v>
      </c>
      <c r="C1800" s="350">
        <v>46115</v>
      </c>
      <c r="D1800" s="351">
        <v>46113</v>
      </c>
      <c r="E1800" s="340" t="s">
        <v>2543</v>
      </c>
      <c r="F1800" s="340" t="s">
        <v>894</v>
      </c>
      <c r="G1800" s="340" t="s">
        <v>2552</v>
      </c>
      <c r="H1800" s="340"/>
      <c r="I1800" s="340" t="s">
        <v>745</v>
      </c>
      <c r="K1800" s="343">
        <v>0</v>
      </c>
      <c r="L1800" s="343">
        <v>-33.700000000000003</v>
      </c>
      <c r="M1800" s="343">
        <v>-1242219.6100000001</v>
      </c>
      <c r="O1800" s="343">
        <v>0</v>
      </c>
    </row>
    <row r="1801" spans="1:15" x14ac:dyDescent="0.3">
      <c r="A1801" s="340" t="s">
        <v>891</v>
      </c>
      <c r="B1801" s="350">
        <v>46113</v>
      </c>
      <c r="C1801" s="350">
        <v>46115</v>
      </c>
      <c r="D1801" s="351">
        <v>46113</v>
      </c>
      <c r="E1801" s="340" t="s">
        <v>2543</v>
      </c>
      <c r="F1801" s="340" t="s">
        <v>894</v>
      </c>
      <c r="G1801" s="340" t="s">
        <v>2553</v>
      </c>
      <c r="H1801" s="340"/>
      <c r="I1801" s="340" t="s">
        <v>745</v>
      </c>
      <c r="K1801" s="343">
        <v>0</v>
      </c>
      <c r="L1801" s="343">
        <v>-38.049999999999997</v>
      </c>
      <c r="M1801" s="343">
        <v>-1242257.6599999999</v>
      </c>
      <c r="O1801" s="343">
        <v>0</v>
      </c>
    </row>
    <row r="1802" spans="1:15" x14ac:dyDescent="0.3">
      <c r="A1802" s="340" t="s">
        <v>891</v>
      </c>
      <c r="B1802" s="350">
        <v>46113</v>
      </c>
      <c r="C1802" s="350">
        <v>46115</v>
      </c>
      <c r="D1802" s="351">
        <v>46113</v>
      </c>
      <c r="E1802" s="340" t="s">
        <v>2543</v>
      </c>
      <c r="F1802" s="340" t="s">
        <v>894</v>
      </c>
      <c r="G1802" s="340" t="s">
        <v>2554</v>
      </c>
      <c r="H1802" s="340"/>
      <c r="I1802" s="340" t="s">
        <v>745</v>
      </c>
      <c r="K1802" s="343">
        <v>0</v>
      </c>
      <c r="L1802" s="343">
        <v>-72.540000000000006</v>
      </c>
      <c r="M1802" s="343">
        <v>-1242330.2</v>
      </c>
      <c r="O1802" s="343">
        <v>0</v>
      </c>
    </row>
    <row r="1803" spans="1:15" x14ac:dyDescent="0.3">
      <c r="A1803" s="340" t="s">
        <v>891</v>
      </c>
      <c r="B1803" s="350">
        <v>46113</v>
      </c>
      <c r="C1803" s="350">
        <v>46115</v>
      </c>
      <c r="D1803" s="351">
        <v>46113</v>
      </c>
      <c r="E1803" s="340" t="s">
        <v>2543</v>
      </c>
      <c r="F1803" s="340" t="s">
        <v>894</v>
      </c>
      <c r="G1803" s="340" t="s">
        <v>2555</v>
      </c>
      <c r="H1803" s="340"/>
      <c r="I1803" s="340" t="s">
        <v>745</v>
      </c>
      <c r="K1803" s="343">
        <v>0</v>
      </c>
      <c r="L1803" s="343">
        <v>-75.23</v>
      </c>
      <c r="M1803" s="343">
        <v>-1242405.43</v>
      </c>
      <c r="O1803" s="343">
        <v>0</v>
      </c>
    </row>
    <row r="1804" spans="1:15" x14ac:dyDescent="0.3">
      <c r="A1804" s="340" t="s">
        <v>891</v>
      </c>
      <c r="B1804" s="350">
        <v>46113</v>
      </c>
      <c r="C1804" s="350">
        <v>46115</v>
      </c>
      <c r="D1804" s="351">
        <v>46113</v>
      </c>
      <c r="E1804" s="340" t="s">
        <v>2543</v>
      </c>
      <c r="F1804" s="340" t="s">
        <v>894</v>
      </c>
      <c r="G1804" s="340" t="s">
        <v>2556</v>
      </c>
      <c r="H1804" s="340"/>
      <c r="I1804" s="340" t="s">
        <v>745</v>
      </c>
      <c r="K1804" s="343">
        <v>0</v>
      </c>
      <c r="L1804" s="343">
        <v>-73.42</v>
      </c>
      <c r="M1804" s="343">
        <v>-1242478.8500000001</v>
      </c>
      <c r="O1804" s="343">
        <v>0</v>
      </c>
    </row>
    <row r="1805" spans="1:15" x14ac:dyDescent="0.3">
      <c r="A1805" s="340" t="s">
        <v>891</v>
      </c>
      <c r="B1805" s="350">
        <v>46113</v>
      </c>
      <c r="C1805" s="350">
        <v>46115</v>
      </c>
      <c r="D1805" s="351">
        <v>46113</v>
      </c>
      <c r="E1805" s="340" t="s">
        <v>2543</v>
      </c>
      <c r="F1805" s="340" t="s">
        <v>894</v>
      </c>
      <c r="G1805" s="340" t="s">
        <v>1617</v>
      </c>
      <c r="H1805" s="340"/>
      <c r="I1805" s="340" t="s">
        <v>745</v>
      </c>
      <c r="K1805" s="343">
        <v>0</v>
      </c>
      <c r="L1805" s="343">
        <v>-149.30000000000001</v>
      </c>
      <c r="M1805" s="343">
        <v>-1242628.1499999999</v>
      </c>
      <c r="O1805" s="343">
        <v>0</v>
      </c>
    </row>
    <row r="1806" spans="1:15" x14ac:dyDescent="0.3">
      <c r="A1806" s="340" t="s">
        <v>891</v>
      </c>
      <c r="B1806" s="350">
        <v>46113</v>
      </c>
      <c r="C1806" s="350">
        <v>46117</v>
      </c>
      <c r="D1806" s="351">
        <v>46113</v>
      </c>
      <c r="E1806" s="340" t="s">
        <v>2557</v>
      </c>
      <c r="F1806" s="340" t="s">
        <v>894</v>
      </c>
      <c r="G1806" s="340" t="s">
        <v>2558</v>
      </c>
      <c r="H1806" s="340"/>
      <c r="I1806" s="340" t="s">
        <v>740</v>
      </c>
      <c r="K1806" s="343">
        <v>0</v>
      </c>
      <c r="L1806" s="343">
        <v>-920</v>
      </c>
      <c r="M1806" s="343">
        <v>-1243548.1499999999</v>
      </c>
      <c r="O1806" s="343">
        <v>0</v>
      </c>
    </row>
    <row r="1807" spans="1:15" x14ac:dyDescent="0.3">
      <c r="A1807" s="340" t="s">
        <v>891</v>
      </c>
      <c r="B1807" s="350">
        <v>46113</v>
      </c>
      <c r="C1807" s="350">
        <v>46117</v>
      </c>
      <c r="D1807" s="351">
        <v>46113</v>
      </c>
      <c r="E1807" s="340" t="s">
        <v>2559</v>
      </c>
      <c r="F1807" s="340" t="s">
        <v>894</v>
      </c>
      <c r="G1807" s="340" t="s">
        <v>2560</v>
      </c>
      <c r="H1807" s="340"/>
      <c r="I1807" s="340" t="s">
        <v>740</v>
      </c>
      <c r="K1807" s="343">
        <v>0</v>
      </c>
      <c r="L1807" s="343">
        <v>-930</v>
      </c>
      <c r="M1807" s="343">
        <v>-1244478.1499999999</v>
      </c>
      <c r="O1807" s="343">
        <v>0</v>
      </c>
    </row>
    <row r="1808" spans="1:15" x14ac:dyDescent="0.3">
      <c r="A1808" s="340" t="s">
        <v>891</v>
      </c>
      <c r="B1808" s="350">
        <v>46113</v>
      </c>
      <c r="C1808" s="350">
        <v>46131</v>
      </c>
      <c r="D1808" s="351">
        <v>46113</v>
      </c>
      <c r="E1808" s="340" t="s">
        <v>2561</v>
      </c>
      <c r="F1808" s="340" t="s">
        <v>894</v>
      </c>
      <c r="G1808" s="340" t="s">
        <v>2562</v>
      </c>
      <c r="H1808" s="340"/>
      <c r="I1808" s="340" t="s">
        <v>1005</v>
      </c>
      <c r="K1808" s="343">
        <v>0</v>
      </c>
      <c r="L1808" s="343">
        <v>-2574.39</v>
      </c>
      <c r="M1808" s="343">
        <v>-1247052.54</v>
      </c>
      <c r="O1808" s="343">
        <v>0</v>
      </c>
    </row>
    <row r="1809" spans="1:15" x14ac:dyDescent="0.3">
      <c r="A1809" s="340" t="s">
        <v>891</v>
      </c>
      <c r="B1809" s="350">
        <v>46113</v>
      </c>
      <c r="C1809" s="350">
        <v>46131</v>
      </c>
      <c r="D1809" s="351">
        <v>46113</v>
      </c>
      <c r="E1809" s="340" t="s">
        <v>2561</v>
      </c>
      <c r="F1809" s="340" t="s">
        <v>894</v>
      </c>
      <c r="G1809" s="340" t="s">
        <v>1007</v>
      </c>
      <c r="H1809" s="340"/>
      <c r="I1809" s="340" t="s">
        <v>1005</v>
      </c>
      <c r="K1809" s="343">
        <v>0</v>
      </c>
      <c r="L1809" s="343">
        <v>-2111.4299999999998</v>
      </c>
      <c r="M1809" s="343">
        <v>-1249163.97</v>
      </c>
      <c r="O1809" s="343">
        <v>0</v>
      </c>
    </row>
    <row r="1810" spans="1:15" x14ac:dyDescent="0.3">
      <c r="A1810" s="340" t="s">
        <v>891</v>
      </c>
      <c r="B1810" s="350">
        <v>46113</v>
      </c>
      <c r="C1810" s="350">
        <v>46131</v>
      </c>
      <c r="D1810" s="351">
        <v>46113</v>
      </c>
      <c r="E1810" s="340" t="s">
        <v>2561</v>
      </c>
      <c r="F1810" s="340" t="s">
        <v>894</v>
      </c>
      <c r="G1810" s="340" t="s">
        <v>1004</v>
      </c>
      <c r="H1810" s="340"/>
      <c r="I1810" s="340" t="s">
        <v>1005</v>
      </c>
      <c r="K1810" s="343">
        <v>0</v>
      </c>
      <c r="L1810" s="343">
        <v>-5197</v>
      </c>
      <c r="M1810" s="343">
        <v>-1254360.97</v>
      </c>
      <c r="O1810" s="343">
        <v>0</v>
      </c>
    </row>
    <row r="1811" spans="1:15" x14ac:dyDescent="0.3">
      <c r="A1811" s="340" t="s">
        <v>891</v>
      </c>
      <c r="B1811" s="350">
        <v>46113</v>
      </c>
      <c r="C1811" s="350">
        <v>46134</v>
      </c>
      <c r="D1811" s="351">
        <v>46113</v>
      </c>
      <c r="E1811" s="340" t="s">
        <v>2563</v>
      </c>
      <c r="F1811" s="340" t="s">
        <v>894</v>
      </c>
      <c r="G1811" s="340" t="s">
        <v>1015</v>
      </c>
      <c r="H1811" s="340"/>
      <c r="I1811" s="340" t="s">
        <v>751</v>
      </c>
      <c r="K1811" s="343">
        <v>0</v>
      </c>
      <c r="L1811" s="343">
        <v>-64.95</v>
      </c>
      <c r="M1811" s="343">
        <v>-1254425.92</v>
      </c>
      <c r="O1811" s="343">
        <v>0</v>
      </c>
    </row>
    <row r="1812" spans="1:15" x14ac:dyDescent="0.3">
      <c r="A1812" s="340" t="s">
        <v>891</v>
      </c>
      <c r="B1812" s="350">
        <v>46113</v>
      </c>
      <c r="C1812" s="350">
        <v>46136</v>
      </c>
      <c r="D1812" s="351">
        <v>46113</v>
      </c>
      <c r="E1812" s="340" t="s">
        <v>2564</v>
      </c>
      <c r="F1812" s="340" t="s">
        <v>894</v>
      </c>
      <c r="G1812" s="340" t="s">
        <v>2439</v>
      </c>
      <c r="H1812" s="340"/>
      <c r="I1812" s="340" t="s">
        <v>771</v>
      </c>
      <c r="K1812" s="343">
        <v>0</v>
      </c>
      <c r="L1812" s="343">
        <v>-0.1</v>
      </c>
      <c r="M1812" s="343">
        <v>-1254426.02</v>
      </c>
      <c r="O1812" s="343">
        <v>0</v>
      </c>
    </row>
    <row r="1813" spans="1:15" x14ac:dyDescent="0.3">
      <c r="A1813" s="340" t="s">
        <v>891</v>
      </c>
      <c r="B1813" s="350">
        <v>46113</v>
      </c>
      <c r="C1813" s="350">
        <v>46136</v>
      </c>
      <c r="D1813" s="351">
        <v>46113</v>
      </c>
      <c r="E1813" s="340" t="s">
        <v>2564</v>
      </c>
      <c r="F1813" s="340" t="s">
        <v>894</v>
      </c>
      <c r="G1813" s="340" t="s">
        <v>2565</v>
      </c>
      <c r="H1813" s="340"/>
      <c r="I1813" s="340" t="s">
        <v>771</v>
      </c>
      <c r="K1813" s="343">
        <v>0</v>
      </c>
      <c r="L1813" s="343">
        <v>-4.6100000000000003</v>
      </c>
      <c r="M1813" s="343">
        <v>-1254430.6299999999</v>
      </c>
      <c r="O1813" s="343">
        <v>0</v>
      </c>
    </row>
    <row r="1814" spans="1:15" x14ac:dyDescent="0.3">
      <c r="A1814" s="340" t="s">
        <v>891</v>
      </c>
      <c r="B1814" s="350">
        <v>46113</v>
      </c>
      <c r="C1814" s="350">
        <v>46136</v>
      </c>
      <c r="D1814" s="351">
        <v>46113</v>
      </c>
      <c r="E1814" s="340" t="s">
        <v>2564</v>
      </c>
      <c r="F1814" s="340" t="s">
        <v>894</v>
      </c>
      <c r="G1814" s="340" t="s">
        <v>2566</v>
      </c>
      <c r="H1814" s="340"/>
      <c r="I1814" s="340" t="s">
        <v>771</v>
      </c>
      <c r="K1814" s="343">
        <v>0</v>
      </c>
      <c r="L1814" s="343">
        <v>-5.0199999999999996</v>
      </c>
      <c r="M1814" s="343">
        <v>-1254435.6499999999</v>
      </c>
      <c r="O1814" s="343">
        <v>0</v>
      </c>
    </row>
    <row r="1815" spans="1:15" x14ac:dyDescent="0.3">
      <c r="A1815" s="340" t="s">
        <v>891</v>
      </c>
      <c r="B1815" s="350">
        <v>46113</v>
      </c>
      <c r="C1815" s="350">
        <v>46136</v>
      </c>
      <c r="D1815" s="351">
        <v>46113</v>
      </c>
      <c r="E1815" s="340" t="s">
        <v>2564</v>
      </c>
      <c r="F1815" s="340" t="s">
        <v>894</v>
      </c>
      <c r="G1815" s="340" t="s">
        <v>2567</v>
      </c>
      <c r="H1815" s="340"/>
      <c r="I1815" s="340" t="s">
        <v>771</v>
      </c>
      <c r="K1815" s="343">
        <v>0</v>
      </c>
      <c r="L1815" s="343">
        <v>-0.11</v>
      </c>
      <c r="M1815" s="343">
        <v>-1254435.76</v>
      </c>
      <c r="O1815" s="343">
        <v>0</v>
      </c>
    </row>
    <row r="1816" spans="1:15" x14ac:dyDescent="0.3">
      <c r="A1816" s="340" t="s">
        <v>891</v>
      </c>
      <c r="B1816" s="350">
        <v>46113</v>
      </c>
      <c r="C1816" s="350">
        <v>46136</v>
      </c>
      <c r="D1816" s="351">
        <v>46113</v>
      </c>
      <c r="E1816" s="340" t="s">
        <v>2564</v>
      </c>
      <c r="F1816" s="340" t="s">
        <v>894</v>
      </c>
      <c r="G1816" s="340" t="s">
        <v>2568</v>
      </c>
      <c r="H1816" s="340"/>
      <c r="I1816" s="340" t="s">
        <v>771</v>
      </c>
      <c r="K1816" s="343">
        <v>0</v>
      </c>
      <c r="L1816" s="343">
        <v>-0.02</v>
      </c>
      <c r="M1816" s="343">
        <v>-1254435.78</v>
      </c>
      <c r="O1816" s="343">
        <v>0</v>
      </c>
    </row>
    <row r="1817" spans="1:15" x14ac:dyDescent="0.3">
      <c r="A1817" s="340" t="s">
        <v>891</v>
      </c>
      <c r="B1817" s="350">
        <v>46113</v>
      </c>
      <c r="C1817" s="350">
        <v>46136</v>
      </c>
      <c r="D1817" s="351">
        <v>46113</v>
      </c>
      <c r="E1817" s="340" t="s">
        <v>2564</v>
      </c>
      <c r="F1817" s="340" t="s">
        <v>894</v>
      </c>
      <c r="G1817" s="340" t="s">
        <v>2442</v>
      </c>
      <c r="H1817" s="340"/>
      <c r="I1817" s="340" t="s">
        <v>771</v>
      </c>
      <c r="K1817" s="343">
        <v>0</v>
      </c>
      <c r="L1817" s="343">
        <v>-2.2599999999999998</v>
      </c>
      <c r="M1817" s="343">
        <v>-1254438.04</v>
      </c>
      <c r="O1817" s="343">
        <v>0</v>
      </c>
    </row>
    <row r="1818" spans="1:15" x14ac:dyDescent="0.3">
      <c r="A1818" s="340" t="s">
        <v>891</v>
      </c>
      <c r="B1818" s="350">
        <v>46113</v>
      </c>
      <c r="C1818" s="350">
        <v>46136</v>
      </c>
      <c r="D1818" s="351">
        <v>46113</v>
      </c>
      <c r="E1818" s="340" t="s">
        <v>2564</v>
      </c>
      <c r="F1818" s="340" t="s">
        <v>894</v>
      </c>
      <c r="G1818" s="340" t="s">
        <v>2568</v>
      </c>
      <c r="H1818" s="340"/>
      <c r="I1818" s="340" t="s">
        <v>771</v>
      </c>
      <c r="K1818" s="343">
        <v>0</v>
      </c>
      <c r="L1818" s="343">
        <v>-0.01</v>
      </c>
      <c r="M1818" s="343">
        <v>-1254438.05</v>
      </c>
      <c r="O1818" s="343">
        <v>0</v>
      </c>
    </row>
    <row r="1819" spans="1:15" x14ac:dyDescent="0.3">
      <c r="A1819" s="340" t="s">
        <v>891</v>
      </c>
      <c r="B1819" s="350">
        <v>46113</v>
      </c>
      <c r="C1819" s="350">
        <v>46136</v>
      </c>
      <c r="D1819" s="351">
        <v>46113</v>
      </c>
      <c r="E1819" s="340" t="s">
        <v>2564</v>
      </c>
      <c r="F1819" s="340" t="s">
        <v>894</v>
      </c>
      <c r="G1819" s="340" t="s">
        <v>2568</v>
      </c>
      <c r="H1819" s="340"/>
      <c r="I1819" s="340" t="s">
        <v>771</v>
      </c>
      <c r="K1819" s="343">
        <v>0</v>
      </c>
      <c r="L1819" s="343">
        <v>-0.02</v>
      </c>
      <c r="M1819" s="343">
        <v>-1254438.07</v>
      </c>
      <c r="O1819" s="343">
        <v>0</v>
      </c>
    </row>
    <row r="1820" spans="1:15" x14ac:dyDescent="0.3">
      <c r="A1820" s="340" t="s">
        <v>891</v>
      </c>
      <c r="B1820" s="350">
        <v>46113</v>
      </c>
      <c r="C1820" s="350">
        <v>46136</v>
      </c>
      <c r="D1820" s="351">
        <v>46113</v>
      </c>
      <c r="E1820" s="340" t="s">
        <v>2564</v>
      </c>
      <c r="F1820" s="340" t="s">
        <v>894</v>
      </c>
      <c r="G1820" s="340" t="s">
        <v>2569</v>
      </c>
      <c r="H1820" s="340"/>
      <c r="I1820" s="340" t="s">
        <v>771</v>
      </c>
      <c r="K1820" s="343">
        <v>0</v>
      </c>
      <c r="L1820" s="343">
        <v>-0.04</v>
      </c>
      <c r="M1820" s="343">
        <v>-1254438.1100000001</v>
      </c>
      <c r="O1820" s="343">
        <v>0</v>
      </c>
    </row>
    <row r="1821" spans="1:15" x14ac:dyDescent="0.3">
      <c r="A1821" s="340" t="s">
        <v>891</v>
      </c>
      <c r="B1821" s="350">
        <v>46113</v>
      </c>
      <c r="C1821" s="350">
        <v>46136</v>
      </c>
      <c r="D1821" s="351">
        <v>46113</v>
      </c>
      <c r="E1821" s="340" t="s">
        <v>2564</v>
      </c>
      <c r="F1821" s="340" t="s">
        <v>894</v>
      </c>
      <c r="G1821" s="340" t="s">
        <v>2439</v>
      </c>
      <c r="H1821" s="340"/>
      <c r="I1821" s="340" t="s">
        <v>771</v>
      </c>
      <c r="K1821" s="343">
        <v>0</v>
      </c>
      <c r="L1821" s="343">
        <v>-0.05</v>
      </c>
      <c r="M1821" s="343">
        <v>-1254438.1599999999</v>
      </c>
      <c r="O1821" s="343">
        <v>0</v>
      </c>
    </row>
    <row r="1822" spans="1:15" x14ac:dyDescent="0.3">
      <c r="A1822" s="340" t="s">
        <v>891</v>
      </c>
      <c r="B1822" s="350">
        <v>46113</v>
      </c>
      <c r="C1822" s="350">
        <v>46136</v>
      </c>
      <c r="D1822" s="351">
        <v>46113</v>
      </c>
      <c r="E1822" s="340" t="s">
        <v>2564</v>
      </c>
      <c r="F1822" s="340" t="s">
        <v>894</v>
      </c>
      <c r="G1822" s="340" t="s">
        <v>2570</v>
      </c>
      <c r="H1822" s="340"/>
      <c r="I1822" s="340" t="s">
        <v>771</v>
      </c>
      <c r="K1822" s="343">
        <v>0</v>
      </c>
      <c r="L1822" s="343">
        <v>-0.05</v>
      </c>
      <c r="M1822" s="343">
        <v>-1254438.21</v>
      </c>
      <c r="O1822" s="343">
        <v>0</v>
      </c>
    </row>
    <row r="1823" spans="1:15" x14ac:dyDescent="0.3">
      <c r="A1823" s="340" t="s">
        <v>891</v>
      </c>
      <c r="B1823" s="350">
        <v>46113</v>
      </c>
      <c r="C1823" s="350">
        <v>46136</v>
      </c>
      <c r="D1823" s="351">
        <v>46113</v>
      </c>
      <c r="E1823" s="340" t="s">
        <v>2564</v>
      </c>
      <c r="F1823" s="340" t="s">
        <v>894</v>
      </c>
      <c r="G1823" s="340" t="s">
        <v>2439</v>
      </c>
      <c r="H1823" s="340"/>
      <c r="I1823" s="340" t="s">
        <v>771</v>
      </c>
      <c r="K1823" s="343">
        <v>0</v>
      </c>
      <c r="L1823" s="343">
        <v>-0.1</v>
      </c>
      <c r="M1823" s="343">
        <v>-1254438.31</v>
      </c>
      <c r="O1823" s="343">
        <v>0</v>
      </c>
    </row>
    <row r="1824" spans="1:15" x14ac:dyDescent="0.3">
      <c r="A1824" s="340" t="s">
        <v>891</v>
      </c>
      <c r="B1824" s="350">
        <v>46113</v>
      </c>
      <c r="C1824" s="350">
        <v>46136</v>
      </c>
      <c r="D1824" s="351">
        <v>46113</v>
      </c>
      <c r="E1824" s="340" t="s">
        <v>2564</v>
      </c>
      <c r="F1824" s="340" t="s">
        <v>894</v>
      </c>
      <c r="G1824" s="340" t="s">
        <v>2441</v>
      </c>
      <c r="H1824" s="340"/>
      <c r="I1824" s="340" t="s">
        <v>771</v>
      </c>
      <c r="K1824" s="343">
        <v>0</v>
      </c>
      <c r="L1824" s="343">
        <v>-0.1</v>
      </c>
      <c r="M1824" s="343">
        <v>-1254438.4099999999</v>
      </c>
      <c r="O1824" s="343">
        <v>0</v>
      </c>
    </row>
    <row r="1825" spans="1:15" x14ac:dyDescent="0.3">
      <c r="A1825" s="340" t="s">
        <v>891</v>
      </c>
      <c r="B1825" s="350">
        <v>46113</v>
      </c>
      <c r="C1825" s="350">
        <v>46136</v>
      </c>
      <c r="D1825" s="351">
        <v>46113</v>
      </c>
      <c r="E1825" s="340" t="s">
        <v>2564</v>
      </c>
      <c r="F1825" s="340" t="s">
        <v>894</v>
      </c>
      <c r="G1825" s="340" t="s">
        <v>2441</v>
      </c>
      <c r="H1825" s="340"/>
      <c r="I1825" s="340" t="s">
        <v>771</v>
      </c>
      <c r="K1825" s="343">
        <v>0</v>
      </c>
      <c r="L1825" s="343">
        <v>-0.2</v>
      </c>
      <c r="M1825" s="343">
        <v>-1254438.6100000001</v>
      </c>
      <c r="O1825" s="343">
        <v>0</v>
      </c>
    </row>
    <row r="1826" spans="1:15" x14ac:dyDescent="0.3">
      <c r="A1826" s="340" t="s">
        <v>891</v>
      </c>
      <c r="B1826" s="350">
        <v>46113</v>
      </c>
      <c r="C1826" s="350">
        <v>46136</v>
      </c>
      <c r="D1826" s="351">
        <v>46113</v>
      </c>
      <c r="E1826" s="340" t="s">
        <v>2564</v>
      </c>
      <c r="F1826" s="340" t="s">
        <v>894</v>
      </c>
      <c r="G1826" s="340" t="s">
        <v>2571</v>
      </c>
      <c r="H1826" s="340"/>
      <c r="I1826" s="340" t="s">
        <v>771</v>
      </c>
      <c r="K1826" s="343">
        <v>0</v>
      </c>
      <c r="L1826" s="343">
        <v>-0.44</v>
      </c>
      <c r="M1826" s="343">
        <v>-1254439.05</v>
      </c>
      <c r="O1826" s="343">
        <v>0</v>
      </c>
    </row>
    <row r="1827" spans="1:15" x14ac:dyDescent="0.3">
      <c r="A1827" s="340" t="s">
        <v>891</v>
      </c>
      <c r="B1827" s="350">
        <v>46113</v>
      </c>
      <c r="C1827" s="350">
        <v>46136</v>
      </c>
      <c r="D1827" s="351">
        <v>46113</v>
      </c>
      <c r="E1827" s="340" t="s">
        <v>2564</v>
      </c>
      <c r="F1827" s="340" t="s">
        <v>894</v>
      </c>
      <c r="G1827" s="340" t="s">
        <v>2572</v>
      </c>
      <c r="H1827" s="340"/>
      <c r="I1827" s="340" t="s">
        <v>771</v>
      </c>
      <c r="K1827" s="343">
        <v>0</v>
      </c>
      <c r="L1827" s="343">
        <v>-1.25</v>
      </c>
      <c r="M1827" s="343">
        <v>-1254440.3</v>
      </c>
      <c r="O1827" s="343">
        <v>0</v>
      </c>
    </row>
    <row r="1828" spans="1:15" x14ac:dyDescent="0.3">
      <c r="A1828" s="340" t="s">
        <v>891</v>
      </c>
      <c r="B1828" s="350">
        <v>46113</v>
      </c>
      <c r="C1828" s="350">
        <v>46136</v>
      </c>
      <c r="D1828" s="351">
        <v>46113</v>
      </c>
      <c r="E1828" s="340" t="s">
        <v>2564</v>
      </c>
      <c r="F1828" s="340" t="s">
        <v>894</v>
      </c>
      <c r="G1828" s="340" t="s">
        <v>2573</v>
      </c>
      <c r="H1828" s="340"/>
      <c r="I1828" s="340" t="s">
        <v>771</v>
      </c>
      <c r="K1828" s="343">
        <v>0</v>
      </c>
      <c r="L1828" s="343">
        <v>-1.47</v>
      </c>
      <c r="M1828" s="343">
        <v>-1254441.77</v>
      </c>
      <c r="O1828" s="343">
        <v>0</v>
      </c>
    </row>
    <row r="1829" spans="1:15" x14ac:dyDescent="0.3">
      <c r="A1829" s="340" t="s">
        <v>891</v>
      </c>
      <c r="B1829" s="350">
        <v>46113</v>
      </c>
      <c r="C1829" s="350">
        <v>46136</v>
      </c>
      <c r="D1829" s="351">
        <v>46113</v>
      </c>
      <c r="E1829" s="340" t="s">
        <v>2564</v>
      </c>
      <c r="F1829" s="340" t="s">
        <v>894</v>
      </c>
      <c r="G1829" s="340" t="s">
        <v>2442</v>
      </c>
      <c r="H1829" s="340"/>
      <c r="I1829" s="340" t="s">
        <v>771</v>
      </c>
      <c r="K1829" s="343">
        <v>0</v>
      </c>
      <c r="L1829" s="343">
        <v>-2.2599999999999998</v>
      </c>
      <c r="M1829" s="343">
        <v>-1254444.03</v>
      </c>
      <c r="O1829" s="343">
        <v>0</v>
      </c>
    </row>
    <row r="1830" spans="1:15" x14ac:dyDescent="0.3">
      <c r="A1830" s="340" t="s">
        <v>891</v>
      </c>
      <c r="B1830" s="350">
        <v>46113</v>
      </c>
      <c r="C1830" s="350">
        <v>46136</v>
      </c>
      <c r="D1830" s="351">
        <v>46113</v>
      </c>
      <c r="E1830" s="340" t="s">
        <v>2564</v>
      </c>
      <c r="F1830" s="340" t="s">
        <v>894</v>
      </c>
      <c r="G1830" s="340" t="s">
        <v>2568</v>
      </c>
      <c r="H1830" s="340"/>
      <c r="I1830" s="340" t="s">
        <v>771</v>
      </c>
      <c r="K1830" s="343">
        <v>0</v>
      </c>
      <c r="L1830" s="343">
        <v>-0.16</v>
      </c>
      <c r="M1830" s="343">
        <v>-1254444.19</v>
      </c>
      <c r="O1830" s="343">
        <v>0</v>
      </c>
    </row>
    <row r="1831" spans="1:15" x14ac:dyDescent="0.3">
      <c r="A1831" s="340" t="s">
        <v>891</v>
      </c>
      <c r="B1831" s="350">
        <v>46113</v>
      </c>
      <c r="C1831" s="350">
        <v>46136</v>
      </c>
      <c r="D1831" s="351">
        <v>46113</v>
      </c>
      <c r="E1831" s="340" t="s">
        <v>2564</v>
      </c>
      <c r="F1831" s="340" t="s">
        <v>894</v>
      </c>
      <c r="G1831" s="340" t="s">
        <v>2568</v>
      </c>
      <c r="H1831" s="340"/>
      <c r="I1831" s="340" t="s">
        <v>771</v>
      </c>
      <c r="K1831" s="343">
        <v>0</v>
      </c>
      <c r="L1831" s="343">
        <v>-0.25</v>
      </c>
      <c r="M1831" s="343">
        <v>-1254444.44</v>
      </c>
      <c r="O1831" s="343">
        <v>0</v>
      </c>
    </row>
    <row r="1832" spans="1:15" x14ac:dyDescent="0.3">
      <c r="A1832" s="340" t="s">
        <v>891</v>
      </c>
      <c r="B1832" s="350">
        <v>46113</v>
      </c>
      <c r="C1832" s="350">
        <v>46136</v>
      </c>
      <c r="D1832" s="351">
        <v>46113</v>
      </c>
      <c r="E1832" s="340" t="s">
        <v>2564</v>
      </c>
      <c r="F1832" s="340" t="s">
        <v>894</v>
      </c>
      <c r="G1832" s="340" t="s">
        <v>2439</v>
      </c>
      <c r="H1832" s="340"/>
      <c r="I1832" s="340" t="s">
        <v>771</v>
      </c>
      <c r="K1832" s="343">
        <v>0</v>
      </c>
      <c r="L1832" s="343">
        <v>-1</v>
      </c>
      <c r="M1832" s="343">
        <v>-1254445.44</v>
      </c>
      <c r="O1832" s="343">
        <v>0</v>
      </c>
    </row>
    <row r="1833" spans="1:15" x14ac:dyDescent="0.3">
      <c r="A1833" s="340" t="s">
        <v>891</v>
      </c>
      <c r="B1833" s="350">
        <v>46113</v>
      </c>
      <c r="C1833" s="350">
        <v>46136</v>
      </c>
      <c r="D1833" s="351">
        <v>46113</v>
      </c>
      <c r="E1833" s="340" t="s">
        <v>2564</v>
      </c>
      <c r="F1833" s="340" t="s">
        <v>894</v>
      </c>
      <c r="G1833" s="340" t="s">
        <v>2569</v>
      </c>
      <c r="H1833" s="340"/>
      <c r="I1833" s="340" t="s">
        <v>771</v>
      </c>
      <c r="K1833" s="343">
        <v>0</v>
      </c>
      <c r="L1833" s="343">
        <v>-1.28</v>
      </c>
      <c r="M1833" s="343">
        <v>-1254446.72</v>
      </c>
      <c r="O1833" s="343">
        <v>0</v>
      </c>
    </row>
    <row r="1834" spans="1:15" x14ac:dyDescent="0.3">
      <c r="A1834" s="340" t="s">
        <v>891</v>
      </c>
      <c r="B1834" s="350">
        <v>46113</v>
      </c>
      <c r="C1834" s="350">
        <v>46136</v>
      </c>
      <c r="D1834" s="351">
        <v>46113</v>
      </c>
      <c r="E1834" s="340" t="s">
        <v>2564</v>
      </c>
      <c r="F1834" s="340" t="s">
        <v>894</v>
      </c>
      <c r="G1834" s="340" t="s">
        <v>2570</v>
      </c>
      <c r="H1834" s="340"/>
      <c r="I1834" s="340" t="s">
        <v>771</v>
      </c>
      <c r="K1834" s="343">
        <v>0</v>
      </c>
      <c r="L1834" s="343">
        <v>-1.45</v>
      </c>
      <c r="M1834" s="343">
        <v>-1254448.17</v>
      </c>
      <c r="O1834" s="343">
        <v>0</v>
      </c>
    </row>
    <row r="1835" spans="1:15" x14ac:dyDescent="0.3">
      <c r="A1835" s="340" t="s">
        <v>891</v>
      </c>
      <c r="B1835" s="350">
        <v>46113</v>
      </c>
      <c r="C1835" s="350">
        <v>46136</v>
      </c>
      <c r="D1835" s="351">
        <v>46113</v>
      </c>
      <c r="E1835" s="340" t="s">
        <v>2564</v>
      </c>
      <c r="F1835" s="340" t="s">
        <v>894</v>
      </c>
      <c r="G1835" s="340" t="s">
        <v>2439</v>
      </c>
      <c r="H1835" s="340"/>
      <c r="I1835" s="340" t="s">
        <v>771</v>
      </c>
      <c r="K1835" s="343">
        <v>0</v>
      </c>
      <c r="L1835" s="343">
        <v>-1.5</v>
      </c>
      <c r="M1835" s="343">
        <v>-1254449.67</v>
      </c>
      <c r="O1835" s="343">
        <v>0</v>
      </c>
    </row>
    <row r="1836" spans="1:15" x14ac:dyDescent="0.3">
      <c r="A1836" s="340" t="s">
        <v>891</v>
      </c>
      <c r="B1836" s="350">
        <v>46113</v>
      </c>
      <c r="C1836" s="350">
        <v>46136</v>
      </c>
      <c r="D1836" s="351">
        <v>46113</v>
      </c>
      <c r="E1836" s="340" t="s">
        <v>2564</v>
      </c>
      <c r="F1836" s="340" t="s">
        <v>894</v>
      </c>
      <c r="G1836" s="340" t="s">
        <v>2565</v>
      </c>
      <c r="H1836" s="340"/>
      <c r="I1836" s="340" t="s">
        <v>771</v>
      </c>
      <c r="K1836" s="343">
        <v>0</v>
      </c>
      <c r="L1836" s="343">
        <v>-4.6100000000000003</v>
      </c>
      <c r="M1836" s="343">
        <v>-1254454.28</v>
      </c>
      <c r="O1836" s="343">
        <v>0</v>
      </c>
    </row>
    <row r="1837" spans="1:15" x14ac:dyDescent="0.3">
      <c r="A1837" s="340" t="s">
        <v>891</v>
      </c>
      <c r="B1837" s="350">
        <v>46113</v>
      </c>
      <c r="C1837" s="350">
        <v>46136</v>
      </c>
      <c r="D1837" s="351">
        <v>46113</v>
      </c>
      <c r="E1837" s="340" t="s">
        <v>2564</v>
      </c>
      <c r="F1837" s="340" t="s">
        <v>894</v>
      </c>
      <c r="G1837" s="340" t="s">
        <v>2441</v>
      </c>
      <c r="H1837" s="340"/>
      <c r="I1837" s="340" t="s">
        <v>771</v>
      </c>
      <c r="K1837" s="343">
        <v>0</v>
      </c>
      <c r="L1837" s="343">
        <v>-1.99</v>
      </c>
      <c r="M1837" s="343">
        <v>-1254456.27</v>
      </c>
      <c r="O1837" s="343">
        <v>0</v>
      </c>
    </row>
    <row r="1838" spans="1:15" x14ac:dyDescent="0.3">
      <c r="A1838" s="340" t="s">
        <v>891</v>
      </c>
      <c r="B1838" s="350">
        <v>46113</v>
      </c>
      <c r="C1838" s="350">
        <v>46136</v>
      </c>
      <c r="D1838" s="351">
        <v>46113</v>
      </c>
      <c r="E1838" s="340" t="s">
        <v>2564</v>
      </c>
      <c r="F1838" s="340" t="s">
        <v>894</v>
      </c>
      <c r="G1838" s="340" t="s">
        <v>2442</v>
      </c>
      <c r="H1838" s="340"/>
      <c r="I1838" s="340" t="s">
        <v>771</v>
      </c>
      <c r="K1838" s="343">
        <v>0</v>
      </c>
      <c r="L1838" s="343">
        <v>-2.2599999999999998</v>
      </c>
      <c r="M1838" s="343">
        <v>-1254458.53</v>
      </c>
      <c r="O1838" s="343">
        <v>0</v>
      </c>
    </row>
    <row r="1839" spans="1:15" x14ac:dyDescent="0.3">
      <c r="A1839" s="340" t="s">
        <v>891</v>
      </c>
      <c r="B1839" s="350">
        <v>46113</v>
      </c>
      <c r="C1839" s="350">
        <v>46136</v>
      </c>
      <c r="D1839" s="351">
        <v>46113</v>
      </c>
      <c r="E1839" s="340" t="s">
        <v>2564</v>
      </c>
      <c r="F1839" s="340" t="s">
        <v>894</v>
      </c>
      <c r="G1839" s="340" t="s">
        <v>2441</v>
      </c>
      <c r="H1839" s="340"/>
      <c r="I1839" s="340" t="s">
        <v>771</v>
      </c>
      <c r="K1839" s="343">
        <v>0</v>
      </c>
      <c r="L1839" s="343">
        <v>-2.99</v>
      </c>
      <c r="M1839" s="343">
        <v>-1254461.52</v>
      </c>
      <c r="O1839" s="343">
        <v>0</v>
      </c>
    </row>
    <row r="1840" spans="1:15" x14ac:dyDescent="0.3">
      <c r="A1840" s="340" t="s">
        <v>891</v>
      </c>
      <c r="B1840" s="350">
        <v>46113</v>
      </c>
      <c r="C1840" s="350">
        <v>46136</v>
      </c>
      <c r="D1840" s="351">
        <v>46113</v>
      </c>
      <c r="E1840" s="340" t="s">
        <v>2564</v>
      </c>
      <c r="F1840" s="340" t="s">
        <v>894</v>
      </c>
      <c r="G1840" s="340" t="s">
        <v>2565</v>
      </c>
      <c r="H1840" s="340"/>
      <c r="I1840" s="340" t="s">
        <v>771</v>
      </c>
      <c r="K1840" s="343">
        <v>0</v>
      </c>
      <c r="L1840" s="343">
        <v>-4.6100000000000003</v>
      </c>
      <c r="M1840" s="343">
        <v>-1254466.1299999999</v>
      </c>
      <c r="O1840" s="343">
        <v>0</v>
      </c>
    </row>
    <row r="1841" spans="1:15" x14ac:dyDescent="0.3">
      <c r="A1841" s="340" t="s">
        <v>891</v>
      </c>
      <c r="B1841" s="350">
        <v>46113</v>
      </c>
      <c r="C1841" s="350">
        <v>46136</v>
      </c>
      <c r="D1841" s="351">
        <v>46113</v>
      </c>
      <c r="E1841" s="340" t="s">
        <v>2564</v>
      </c>
      <c r="F1841" s="340" t="s">
        <v>894</v>
      </c>
      <c r="G1841" s="340" t="s">
        <v>2571</v>
      </c>
      <c r="H1841" s="340"/>
      <c r="I1841" s="340" t="s">
        <v>771</v>
      </c>
      <c r="K1841" s="343">
        <v>0</v>
      </c>
      <c r="L1841" s="343">
        <v>-12.7</v>
      </c>
      <c r="M1841" s="343">
        <v>-1254478.83</v>
      </c>
      <c r="O1841" s="343">
        <v>0</v>
      </c>
    </row>
    <row r="1842" spans="1:15" x14ac:dyDescent="0.3">
      <c r="A1842" s="340" t="s">
        <v>891</v>
      </c>
      <c r="B1842" s="350">
        <v>46113</v>
      </c>
      <c r="C1842" s="350">
        <v>46136</v>
      </c>
      <c r="D1842" s="351">
        <v>46113</v>
      </c>
      <c r="E1842" s="340" t="s">
        <v>2564</v>
      </c>
      <c r="F1842" s="340" t="s">
        <v>894</v>
      </c>
      <c r="G1842" s="340" t="s">
        <v>2572</v>
      </c>
      <c r="H1842" s="340"/>
      <c r="I1842" s="340" t="s">
        <v>771</v>
      </c>
      <c r="K1842" s="343">
        <v>0</v>
      </c>
      <c r="L1842" s="343">
        <v>-35.97</v>
      </c>
      <c r="M1842" s="343">
        <v>-1254514.8</v>
      </c>
      <c r="O1842" s="343">
        <v>0</v>
      </c>
    </row>
    <row r="1843" spans="1:15" x14ac:dyDescent="0.3">
      <c r="A1843" s="340" t="s">
        <v>891</v>
      </c>
      <c r="B1843" s="350">
        <v>46113</v>
      </c>
      <c r="C1843" s="350">
        <v>46136</v>
      </c>
      <c r="D1843" s="351">
        <v>46113</v>
      </c>
      <c r="E1843" s="340" t="s">
        <v>2564</v>
      </c>
      <c r="F1843" s="340" t="s">
        <v>894</v>
      </c>
      <c r="G1843" s="340" t="s">
        <v>2573</v>
      </c>
      <c r="H1843" s="340"/>
      <c r="I1843" s="340" t="s">
        <v>771</v>
      </c>
      <c r="K1843" s="343">
        <v>0</v>
      </c>
      <c r="L1843" s="343">
        <v>-42.1</v>
      </c>
      <c r="M1843" s="343">
        <v>-1254556.8999999999</v>
      </c>
      <c r="O1843" s="343">
        <v>0</v>
      </c>
    </row>
    <row r="1844" spans="1:15" x14ac:dyDescent="0.3">
      <c r="A1844" s="340" t="s">
        <v>891</v>
      </c>
      <c r="B1844" s="350">
        <v>46113</v>
      </c>
      <c r="C1844" s="350">
        <v>46136</v>
      </c>
      <c r="D1844" s="351">
        <v>46113</v>
      </c>
      <c r="E1844" s="340" t="s">
        <v>2564</v>
      </c>
      <c r="F1844" s="340" t="s">
        <v>894</v>
      </c>
      <c r="G1844" s="340" t="s">
        <v>2566</v>
      </c>
      <c r="H1844" s="340"/>
      <c r="I1844" s="340" t="s">
        <v>771</v>
      </c>
      <c r="K1844" s="343">
        <v>0</v>
      </c>
      <c r="L1844" s="343">
        <v>-144.02000000000001</v>
      </c>
      <c r="M1844" s="343">
        <v>-1254700.92</v>
      </c>
      <c r="O1844" s="343">
        <v>0</v>
      </c>
    </row>
    <row r="1845" spans="1:15" x14ac:dyDescent="0.3">
      <c r="A1845" s="340" t="s">
        <v>891</v>
      </c>
      <c r="B1845" s="350">
        <v>46113</v>
      </c>
      <c r="C1845" s="350">
        <v>46136</v>
      </c>
      <c r="D1845" s="351">
        <v>46113</v>
      </c>
      <c r="E1845" s="340" t="s">
        <v>2564</v>
      </c>
      <c r="F1845" s="340" t="s">
        <v>894</v>
      </c>
      <c r="G1845" s="340" t="s">
        <v>2568</v>
      </c>
      <c r="H1845" s="340"/>
      <c r="I1845" s="340" t="s">
        <v>771</v>
      </c>
      <c r="K1845" s="343">
        <v>0</v>
      </c>
      <c r="L1845" s="343">
        <v>-0.01</v>
      </c>
      <c r="M1845" s="343">
        <v>-1254700.93</v>
      </c>
      <c r="O1845" s="343">
        <v>0</v>
      </c>
    </row>
    <row r="1846" spans="1:15" x14ac:dyDescent="0.3">
      <c r="A1846" s="340" t="s">
        <v>891</v>
      </c>
      <c r="B1846" s="350">
        <v>46113</v>
      </c>
      <c r="C1846" s="350">
        <v>46136</v>
      </c>
      <c r="D1846" s="351">
        <v>46113</v>
      </c>
      <c r="E1846" s="340" t="s">
        <v>2564</v>
      </c>
      <c r="F1846" s="340" t="s">
        <v>894</v>
      </c>
      <c r="G1846" s="340" t="s">
        <v>2568</v>
      </c>
      <c r="H1846" s="340"/>
      <c r="I1846" s="340" t="s">
        <v>771</v>
      </c>
      <c r="K1846" s="343">
        <v>0</v>
      </c>
      <c r="L1846" s="343">
        <v>-0.02</v>
      </c>
      <c r="M1846" s="343">
        <v>-1254700.95</v>
      </c>
      <c r="O1846" s="343">
        <v>0</v>
      </c>
    </row>
    <row r="1847" spans="1:15" x14ac:dyDescent="0.3">
      <c r="A1847" s="340" t="s">
        <v>891</v>
      </c>
      <c r="B1847" s="350">
        <v>46113</v>
      </c>
      <c r="C1847" s="350">
        <v>46136</v>
      </c>
      <c r="D1847" s="351">
        <v>46113</v>
      </c>
      <c r="E1847" s="340" t="s">
        <v>2564</v>
      </c>
      <c r="F1847" s="340" t="s">
        <v>894</v>
      </c>
      <c r="G1847" s="340" t="s">
        <v>2569</v>
      </c>
      <c r="H1847" s="340"/>
      <c r="I1847" s="340" t="s">
        <v>771</v>
      </c>
      <c r="K1847" s="343">
        <v>0</v>
      </c>
      <c r="L1847" s="343">
        <v>-0.03</v>
      </c>
      <c r="M1847" s="343">
        <v>-1254700.98</v>
      </c>
      <c r="O1847" s="343">
        <v>0</v>
      </c>
    </row>
    <row r="1848" spans="1:15" x14ac:dyDescent="0.3">
      <c r="A1848" s="340" t="s">
        <v>891</v>
      </c>
      <c r="B1848" s="350">
        <v>46113</v>
      </c>
      <c r="C1848" s="350">
        <v>46136</v>
      </c>
      <c r="D1848" s="351">
        <v>46113</v>
      </c>
      <c r="E1848" s="340" t="s">
        <v>2564</v>
      </c>
      <c r="F1848" s="340" t="s">
        <v>894</v>
      </c>
      <c r="G1848" s="340" t="s">
        <v>2439</v>
      </c>
      <c r="H1848" s="340"/>
      <c r="I1848" s="340" t="s">
        <v>771</v>
      </c>
      <c r="K1848" s="343">
        <v>0</v>
      </c>
      <c r="L1848" s="343">
        <v>-0.04</v>
      </c>
      <c r="M1848" s="343">
        <v>-1254701.02</v>
      </c>
      <c r="O1848" s="343">
        <v>0</v>
      </c>
    </row>
    <row r="1849" spans="1:15" x14ac:dyDescent="0.3">
      <c r="A1849" s="340" t="s">
        <v>891</v>
      </c>
      <c r="B1849" s="350">
        <v>46113</v>
      </c>
      <c r="C1849" s="350">
        <v>46136</v>
      </c>
      <c r="D1849" s="351">
        <v>46113</v>
      </c>
      <c r="E1849" s="340" t="s">
        <v>2564</v>
      </c>
      <c r="F1849" s="340" t="s">
        <v>894</v>
      </c>
      <c r="G1849" s="340" t="s">
        <v>2570</v>
      </c>
      <c r="H1849" s="340"/>
      <c r="I1849" s="340" t="s">
        <v>771</v>
      </c>
      <c r="K1849" s="343">
        <v>0</v>
      </c>
      <c r="L1849" s="343">
        <v>-0.04</v>
      </c>
      <c r="M1849" s="343">
        <v>-1254701.06</v>
      </c>
      <c r="O1849" s="343">
        <v>0</v>
      </c>
    </row>
    <row r="1850" spans="1:15" x14ac:dyDescent="0.3">
      <c r="A1850" s="340" t="s">
        <v>891</v>
      </c>
      <c r="B1850" s="350">
        <v>46113</v>
      </c>
      <c r="C1850" s="350">
        <v>46136</v>
      </c>
      <c r="D1850" s="351">
        <v>46113</v>
      </c>
      <c r="E1850" s="340" t="s">
        <v>2564</v>
      </c>
      <c r="F1850" s="340" t="s">
        <v>894</v>
      </c>
      <c r="G1850" s="340" t="s">
        <v>2441</v>
      </c>
      <c r="H1850" s="340"/>
      <c r="I1850" s="340" t="s">
        <v>771</v>
      </c>
      <c r="K1850" s="343">
        <v>0</v>
      </c>
      <c r="L1850" s="343">
        <v>-0.08</v>
      </c>
      <c r="M1850" s="343">
        <v>-1254701.1399999999</v>
      </c>
      <c r="O1850" s="343">
        <v>0</v>
      </c>
    </row>
    <row r="1851" spans="1:15" x14ac:dyDescent="0.3">
      <c r="A1851" s="340" t="s">
        <v>891</v>
      </c>
      <c r="B1851" s="350">
        <v>46113</v>
      </c>
      <c r="C1851" s="350">
        <v>46136</v>
      </c>
      <c r="D1851" s="351">
        <v>46113</v>
      </c>
      <c r="E1851" s="340" t="s">
        <v>2564</v>
      </c>
      <c r="F1851" s="340" t="s">
        <v>894</v>
      </c>
      <c r="G1851" s="340" t="s">
        <v>2439</v>
      </c>
      <c r="H1851" s="340"/>
      <c r="I1851" s="340" t="s">
        <v>771</v>
      </c>
      <c r="K1851" s="343">
        <v>0</v>
      </c>
      <c r="L1851" s="343">
        <v>-0.09</v>
      </c>
      <c r="M1851" s="343">
        <v>-1254701.23</v>
      </c>
      <c r="O1851" s="343">
        <v>0</v>
      </c>
    </row>
    <row r="1852" spans="1:15" x14ac:dyDescent="0.3">
      <c r="A1852" s="340" t="s">
        <v>891</v>
      </c>
      <c r="B1852" s="350">
        <v>46113</v>
      </c>
      <c r="C1852" s="350">
        <v>46136</v>
      </c>
      <c r="D1852" s="351">
        <v>46113</v>
      </c>
      <c r="E1852" s="340" t="s">
        <v>2564</v>
      </c>
      <c r="F1852" s="340" t="s">
        <v>894</v>
      </c>
      <c r="G1852" s="340" t="s">
        <v>2441</v>
      </c>
      <c r="H1852" s="340"/>
      <c r="I1852" s="340" t="s">
        <v>771</v>
      </c>
      <c r="K1852" s="343">
        <v>0</v>
      </c>
      <c r="L1852" s="343">
        <v>-0.19</v>
      </c>
      <c r="M1852" s="343">
        <v>-1254701.42</v>
      </c>
      <c r="O1852" s="343">
        <v>0</v>
      </c>
    </row>
    <row r="1853" spans="1:15" x14ac:dyDescent="0.3">
      <c r="A1853" s="340" t="s">
        <v>891</v>
      </c>
      <c r="B1853" s="350">
        <v>46113</v>
      </c>
      <c r="C1853" s="350">
        <v>46136</v>
      </c>
      <c r="D1853" s="351">
        <v>46113</v>
      </c>
      <c r="E1853" s="340" t="s">
        <v>2564</v>
      </c>
      <c r="F1853" s="340" t="s">
        <v>894</v>
      </c>
      <c r="G1853" s="340" t="s">
        <v>2571</v>
      </c>
      <c r="H1853" s="340"/>
      <c r="I1853" s="340" t="s">
        <v>771</v>
      </c>
      <c r="K1853" s="343">
        <v>0</v>
      </c>
      <c r="L1853" s="343">
        <v>-0.33</v>
      </c>
      <c r="M1853" s="343">
        <v>-1254701.75</v>
      </c>
      <c r="O1853" s="343">
        <v>0</v>
      </c>
    </row>
    <row r="1854" spans="1:15" x14ac:dyDescent="0.3">
      <c r="A1854" s="340" t="s">
        <v>891</v>
      </c>
      <c r="B1854" s="350">
        <v>46113</v>
      </c>
      <c r="C1854" s="350">
        <v>46136</v>
      </c>
      <c r="D1854" s="351">
        <v>46113</v>
      </c>
      <c r="E1854" s="340" t="s">
        <v>2564</v>
      </c>
      <c r="F1854" s="340" t="s">
        <v>894</v>
      </c>
      <c r="G1854" s="340" t="s">
        <v>2572</v>
      </c>
      <c r="H1854" s="340"/>
      <c r="I1854" s="340" t="s">
        <v>771</v>
      </c>
      <c r="K1854" s="343">
        <v>0</v>
      </c>
      <c r="L1854" s="343">
        <v>-0.94</v>
      </c>
      <c r="M1854" s="343">
        <v>-1254702.69</v>
      </c>
      <c r="O1854" s="343">
        <v>0</v>
      </c>
    </row>
    <row r="1855" spans="1:15" x14ac:dyDescent="0.3">
      <c r="A1855" s="340" t="s">
        <v>891</v>
      </c>
      <c r="B1855" s="350">
        <v>46113</v>
      </c>
      <c r="C1855" s="350">
        <v>46136</v>
      </c>
      <c r="D1855" s="351">
        <v>46113</v>
      </c>
      <c r="E1855" s="340" t="s">
        <v>2564</v>
      </c>
      <c r="F1855" s="340" t="s">
        <v>894</v>
      </c>
      <c r="G1855" s="340" t="s">
        <v>2573</v>
      </c>
      <c r="H1855" s="340"/>
      <c r="I1855" s="340" t="s">
        <v>771</v>
      </c>
      <c r="K1855" s="343">
        <v>0</v>
      </c>
      <c r="L1855" s="343">
        <v>-1.1100000000000001</v>
      </c>
      <c r="M1855" s="343">
        <v>-1254703.8</v>
      </c>
      <c r="O1855" s="343">
        <v>0</v>
      </c>
    </row>
    <row r="1856" spans="1:15" x14ac:dyDescent="0.3">
      <c r="A1856" s="340" t="s">
        <v>891</v>
      </c>
      <c r="B1856" s="350">
        <v>46113</v>
      </c>
      <c r="C1856" s="350">
        <v>46136</v>
      </c>
      <c r="D1856" s="351">
        <v>46113</v>
      </c>
      <c r="E1856" s="340" t="s">
        <v>2564</v>
      </c>
      <c r="F1856" s="340" t="s">
        <v>894</v>
      </c>
      <c r="G1856" s="340" t="s">
        <v>2442</v>
      </c>
      <c r="H1856" s="340"/>
      <c r="I1856" s="340" t="s">
        <v>771</v>
      </c>
      <c r="K1856" s="343">
        <v>0</v>
      </c>
      <c r="L1856" s="343">
        <v>-2.2599999999999998</v>
      </c>
      <c r="M1856" s="343">
        <v>-1254706.06</v>
      </c>
      <c r="O1856" s="343">
        <v>0</v>
      </c>
    </row>
    <row r="1857" spans="1:15" x14ac:dyDescent="0.3">
      <c r="A1857" s="340" t="s">
        <v>891</v>
      </c>
      <c r="B1857" s="350">
        <v>46113</v>
      </c>
      <c r="C1857" s="350">
        <v>46136</v>
      </c>
      <c r="D1857" s="351">
        <v>46113</v>
      </c>
      <c r="E1857" s="340" t="s">
        <v>2564</v>
      </c>
      <c r="F1857" s="340" t="s">
        <v>894</v>
      </c>
      <c r="G1857" s="340" t="s">
        <v>2566</v>
      </c>
      <c r="H1857" s="340"/>
      <c r="I1857" s="340" t="s">
        <v>771</v>
      </c>
      <c r="K1857" s="343">
        <v>0</v>
      </c>
      <c r="L1857" s="343">
        <v>-3.78</v>
      </c>
      <c r="M1857" s="343">
        <v>-1254709.8400000001</v>
      </c>
      <c r="O1857" s="343">
        <v>0</v>
      </c>
    </row>
    <row r="1858" spans="1:15" x14ac:dyDescent="0.3">
      <c r="A1858" s="340" t="s">
        <v>891</v>
      </c>
      <c r="B1858" s="350">
        <v>46113</v>
      </c>
      <c r="C1858" s="350">
        <v>46136</v>
      </c>
      <c r="D1858" s="351">
        <v>46113</v>
      </c>
      <c r="E1858" s="340" t="s">
        <v>2564</v>
      </c>
      <c r="F1858" s="340" t="s">
        <v>894</v>
      </c>
      <c r="G1858" s="340" t="s">
        <v>2565</v>
      </c>
      <c r="H1858" s="340"/>
      <c r="I1858" s="340" t="s">
        <v>771</v>
      </c>
      <c r="K1858" s="343">
        <v>0</v>
      </c>
      <c r="L1858" s="343">
        <v>-4.6100000000000003</v>
      </c>
      <c r="M1858" s="343">
        <v>-1254714.45</v>
      </c>
      <c r="O1858" s="343">
        <v>0</v>
      </c>
    </row>
    <row r="1859" spans="1:15" x14ac:dyDescent="0.3">
      <c r="A1859" s="340" t="s">
        <v>891</v>
      </c>
      <c r="B1859" s="350">
        <v>46113</v>
      </c>
      <c r="C1859" s="350">
        <v>46136</v>
      </c>
      <c r="D1859" s="351">
        <v>46113</v>
      </c>
      <c r="E1859" s="340" t="s">
        <v>2564</v>
      </c>
      <c r="F1859" s="340" t="s">
        <v>894</v>
      </c>
      <c r="G1859" s="340" t="s">
        <v>2568</v>
      </c>
      <c r="H1859" s="340"/>
      <c r="I1859" s="340" t="s">
        <v>771</v>
      </c>
      <c r="K1859" s="343">
        <v>0</v>
      </c>
      <c r="L1859" s="343">
        <v>-0.01</v>
      </c>
      <c r="M1859" s="343">
        <v>-1254714.46</v>
      </c>
      <c r="O1859" s="343">
        <v>0</v>
      </c>
    </row>
    <row r="1860" spans="1:15" x14ac:dyDescent="0.3">
      <c r="A1860" s="340" t="s">
        <v>891</v>
      </c>
      <c r="B1860" s="350">
        <v>46113</v>
      </c>
      <c r="C1860" s="350">
        <v>46136</v>
      </c>
      <c r="D1860" s="351">
        <v>46113</v>
      </c>
      <c r="E1860" s="340" t="s">
        <v>2564</v>
      </c>
      <c r="F1860" s="340" t="s">
        <v>894</v>
      </c>
      <c r="G1860" s="340" t="s">
        <v>2439</v>
      </c>
      <c r="H1860" s="340"/>
      <c r="I1860" s="340" t="s">
        <v>771</v>
      </c>
      <c r="K1860" s="343">
        <v>0</v>
      </c>
      <c r="L1860" s="343">
        <v>-7.0000000000000007E-2</v>
      </c>
      <c r="M1860" s="343">
        <v>-1254714.53</v>
      </c>
      <c r="O1860" s="343">
        <v>0</v>
      </c>
    </row>
    <row r="1861" spans="1:15" x14ac:dyDescent="0.3">
      <c r="A1861" s="340" t="s">
        <v>891</v>
      </c>
      <c r="B1861" s="350">
        <v>46113</v>
      </c>
      <c r="C1861" s="350">
        <v>46136</v>
      </c>
      <c r="D1861" s="351">
        <v>46113</v>
      </c>
      <c r="E1861" s="340" t="s">
        <v>2564</v>
      </c>
      <c r="F1861" s="340" t="s">
        <v>894</v>
      </c>
      <c r="G1861" s="340" t="s">
        <v>2441</v>
      </c>
      <c r="H1861" s="340"/>
      <c r="I1861" s="340" t="s">
        <v>771</v>
      </c>
      <c r="K1861" s="343">
        <v>0</v>
      </c>
      <c r="L1861" s="343">
        <v>-0.14000000000000001</v>
      </c>
      <c r="M1861" s="343">
        <v>-1254714.67</v>
      </c>
      <c r="O1861" s="343">
        <v>0</v>
      </c>
    </row>
    <row r="1862" spans="1:15" x14ac:dyDescent="0.3">
      <c r="A1862" s="340" t="s">
        <v>891</v>
      </c>
      <c r="B1862" s="350">
        <v>46113</v>
      </c>
      <c r="C1862" s="350">
        <v>46136</v>
      </c>
      <c r="D1862" s="351">
        <v>46113</v>
      </c>
      <c r="E1862" s="340" t="s">
        <v>2564</v>
      </c>
      <c r="F1862" s="340" t="s">
        <v>894</v>
      </c>
      <c r="G1862" s="340" t="s">
        <v>2442</v>
      </c>
      <c r="H1862" s="340"/>
      <c r="I1862" s="340" t="s">
        <v>771</v>
      </c>
      <c r="K1862" s="343">
        <v>0</v>
      </c>
      <c r="L1862" s="343">
        <v>-2.2599999999999998</v>
      </c>
      <c r="M1862" s="343">
        <v>-1254716.93</v>
      </c>
      <c r="O1862" s="343">
        <v>0</v>
      </c>
    </row>
    <row r="1863" spans="1:15" x14ac:dyDescent="0.3">
      <c r="A1863" s="340" t="s">
        <v>891</v>
      </c>
      <c r="B1863" s="350">
        <v>46113</v>
      </c>
      <c r="C1863" s="350">
        <v>46136</v>
      </c>
      <c r="D1863" s="351">
        <v>46113</v>
      </c>
      <c r="E1863" s="340" t="s">
        <v>2564</v>
      </c>
      <c r="F1863" s="340" t="s">
        <v>894</v>
      </c>
      <c r="G1863" s="340" t="s">
        <v>2565</v>
      </c>
      <c r="H1863" s="340"/>
      <c r="I1863" s="340" t="s">
        <v>771</v>
      </c>
      <c r="K1863" s="343">
        <v>0</v>
      </c>
      <c r="L1863" s="343">
        <v>-4.6100000000000003</v>
      </c>
      <c r="M1863" s="343">
        <v>-1254721.54</v>
      </c>
      <c r="O1863" s="343">
        <v>0</v>
      </c>
    </row>
    <row r="1864" spans="1:15" x14ac:dyDescent="0.3">
      <c r="A1864" s="340" t="s">
        <v>891</v>
      </c>
      <c r="B1864" s="350">
        <v>46113</v>
      </c>
      <c r="C1864" s="350">
        <v>46136</v>
      </c>
      <c r="D1864" s="351">
        <v>46113</v>
      </c>
      <c r="E1864" s="340" t="s">
        <v>2564</v>
      </c>
      <c r="F1864" s="340" t="s">
        <v>894</v>
      </c>
      <c r="G1864" s="340" t="s">
        <v>2568</v>
      </c>
      <c r="H1864" s="340"/>
      <c r="I1864" s="340" t="s">
        <v>771</v>
      </c>
      <c r="K1864" s="343">
        <v>0</v>
      </c>
      <c r="L1864" s="343">
        <v>-0.01</v>
      </c>
      <c r="M1864" s="343">
        <v>-1254721.55</v>
      </c>
      <c r="O1864" s="343">
        <v>0</v>
      </c>
    </row>
    <row r="1865" spans="1:15" x14ac:dyDescent="0.3">
      <c r="A1865" s="340" t="s">
        <v>891</v>
      </c>
      <c r="B1865" s="350">
        <v>46113</v>
      </c>
      <c r="C1865" s="350">
        <v>46136</v>
      </c>
      <c r="D1865" s="351">
        <v>46113</v>
      </c>
      <c r="E1865" s="340" t="s">
        <v>2564</v>
      </c>
      <c r="F1865" s="340" t="s">
        <v>894</v>
      </c>
      <c r="G1865" s="340" t="s">
        <v>2439</v>
      </c>
      <c r="H1865" s="340"/>
      <c r="I1865" s="340" t="s">
        <v>771</v>
      </c>
      <c r="K1865" s="343">
        <v>0</v>
      </c>
      <c r="L1865" s="343">
        <v>-0.02</v>
      </c>
      <c r="M1865" s="343">
        <v>-1254721.57</v>
      </c>
      <c r="O1865" s="343">
        <v>0</v>
      </c>
    </row>
    <row r="1866" spans="1:15" x14ac:dyDescent="0.3">
      <c r="A1866" s="340" t="s">
        <v>891</v>
      </c>
      <c r="B1866" s="350">
        <v>46113</v>
      </c>
      <c r="C1866" s="350">
        <v>46136</v>
      </c>
      <c r="D1866" s="351">
        <v>46113</v>
      </c>
      <c r="E1866" s="340" t="s">
        <v>2564</v>
      </c>
      <c r="F1866" s="340" t="s">
        <v>894</v>
      </c>
      <c r="G1866" s="340" t="s">
        <v>2570</v>
      </c>
      <c r="H1866" s="340"/>
      <c r="I1866" s="340" t="s">
        <v>771</v>
      </c>
      <c r="K1866" s="343">
        <v>0</v>
      </c>
      <c r="L1866" s="343">
        <v>-0.02</v>
      </c>
      <c r="M1866" s="343">
        <v>-1254721.5900000001</v>
      </c>
      <c r="O1866" s="343">
        <v>0</v>
      </c>
    </row>
    <row r="1867" spans="1:15" x14ac:dyDescent="0.3">
      <c r="A1867" s="340" t="s">
        <v>891</v>
      </c>
      <c r="B1867" s="350">
        <v>46113</v>
      </c>
      <c r="C1867" s="350">
        <v>46136</v>
      </c>
      <c r="D1867" s="351">
        <v>46113</v>
      </c>
      <c r="E1867" s="340" t="s">
        <v>2564</v>
      </c>
      <c r="F1867" s="340" t="s">
        <v>894</v>
      </c>
      <c r="G1867" s="340" t="s">
        <v>2569</v>
      </c>
      <c r="H1867" s="340"/>
      <c r="I1867" s="340" t="s">
        <v>771</v>
      </c>
      <c r="K1867" s="343">
        <v>0</v>
      </c>
      <c r="L1867" s="343">
        <v>-0.02</v>
      </c>
      <c r="M1867" s="343">
        <v>-1254721.6100000001</v>
      </c>
      <c r="O1867" s="343">
        <v>0</v>
      </c>
    </row>
    <row r="1868" spans="1:15" x14ac:dyDescent="0.3">
      <c r="A1868" s="340" t="s">
        <v>891</v>
      </c>
      <c r="B1868" s="350">
        <v>46113</v>
      </c>
      <c r="C1868" s="350">
        <v>46136</v>
      </c>
      <c r="D1868" s="351">
        <v>46113</v>
      </c>
      <c r="E1868" s="340" t="s">
        <v>2564</v>
      </c>
      <c r="F1868" s="340" t="s">
        <v>894</v>
      </c>
      <c r="G1868" s="340" t="s">
        <v>2441</v>
      </c>
      <c r="H1868" s="340"/>
      <c r="I1868" s="340" t="s">
        <v>771</v>
      </c>
      <c r="K1868" s="343">
        <v>0</v>
      </c>
      <c r="L1868" s="343">
        <v>-0.04</v>
      </c>
      <c r="M1868" s="343">
        <v>-1254721.6499999999</v>
      </c>
      <c r="O1868" s="343">
        <v>0</v>
      </c>
    </row>
    <row r="1869" spans="1:15" x14ac:dyDescent="0.3">
      <c r="A1869" s="340" t="s">
        <v>891</v>
      </c>
      <c r="B1869" s="350">
        <v>46113</v>
      </c>
      <c r="C1869" s="350">
        <v>46136</v>
      </c>
      <c r="D1869" s="351">
        <v>46113</v>
      </c>
      <c r="E1869" s="340" t="s">
        <v>2564</v>
      </c>
      <c r="F1869" s="340" t="s">
        <v>894</v>
      </c>
      <c r="G1869" s="340" t="s">
        <v>2439</v>
      </c>
      <c r="H1869" s="340"/>
      <c r="I1869" s="340" t="s">
        <v>771</v>
      </c>
      <c r="K1869" s="343">
        <v>0</v>
      </c>
      <c r="L1869" s="343">
        <v>-0.08</v>
      </c>
      <c r="M1869" s="343">
        <v>-1254721.73</v>
      </c>
      <c r="O1869" s="343">
        <v>0</v>
      </c>
    </row>
    <row r="1870" spans="1:15" x14ac:dyDescent="0.3">
      <c r="A1870" s="340" t="s">
        <v>891</v>
      </c>
      <c r="B1870" s="350">
        <v>46113</v>
      </c>
      <c r="C1870" s="350">
        <v>46136</v>
      </c>
      <c r="D1870" s="351">
        <v>46113</v>
      </c>
      <c r="E1870" s="340" t="s">
        <v>2564</v>
      </c>
      <c r="F1870" s="340" t="s">
        <v>894</v>
      </c>
      <c r="G1870" s="340" t="s">
        <v>2571</v>
      </c>
      <c r="H1870" s="340"/>
      <c r="I1870" s="340" t="s">
        <v>771</v>
      </c>
      <c r="K1870" s="343">
        <v>0</v>
      </c>
      <c r="L1870" s="343">
        <v>-0.16</v>
      </c>
      <c r="M1870" s="343">
        <v>-1254721.8899999999</v>
      </c>
      <c r="O1870" s="343">
        <v>0</v>
      </c>
    </row>
    <row r="1871" spans="1:15" x14ac:dyDescent="0.3">
      <c r="A1871" s="340" t="s">
        <v>891</v>
      </c>
      <c r="B1871" s="350">
        <v>46113</v>
      </c>
      <c r="C1871" s="350">
        <v>46136</v>
      </c>
      <c r="D1871" s="351">
        <v>46113</v>
      </c>
      <c r="E1871" s="340" t="s">
        <v>2564</v>
      </c>
      <c r="F1871" s="340" t="s">
        <v>894</v>
      </c>
      <c r="G1871" s="340" t="s">
        <v>2441</v>
      </c>
      <c r="H1871" s="340"/>
      <c r="I1871" s="340" t="s">
        <v>771</v>
      </c>
      <c r="K1871" s="343">
        <v>0</v>
      </c>
      <c r="L1871" s="343">
        <v>-0.16</v>
      </c>
      <c r="M1871" s="343">
        <v>-1254722.05</v>
      </c>
      <c r="O1871" s="343">
        <v>0</v>
      </c>
    </row>
    <row r="1872" spans="1:15" x14ac:dyDescent="0.3">
      <c r="A1872" s="340" t="s">
        <v>891</v>
      </c>
      <c r="B1872" s="350">
        <v>46113</v>
      </c>
      <c r="C1872" s="350">
        <v>46136</v>
      </c>
      <c r="D1872" s="351">
        <v>46113</v>
      </c>
      <c r="E1872" s="340" t="s">
        <v>2564</v>
      </c>
      <c r="F1872" s="340" t="s">
        <v>894</v>
      </c>
      <c r="G1872" s="340" t="s">
        <v>2572</v>
      </c>
      <c r="H1872" s="340"/>
      <c r="I1872" s="340" t="s">
        <v>771</v>
      </c>
      <c r="K1872" s="343">
        <v>0</v>
      </c>
      <c r="L1872" s="343">
        <v>-0.45</v>
      </c>
      <c r="M1872" s="343">
        <v>-1254722.5</v>
      </c>
      <c r="O1872" s="343">
        <v>0</v>
      </c>
    </row>
    <row r="1873" spans="1:15" x14ac:dyDescent="0.3">
      <c r="A1873" s="340" t="s">
        <v>891</v>
      </c>
      <c r="B1873" s="350">
        <v>46113</v>
      </c>
      <c r="C1873" s="350">
        <v>46136</v>
      </c>
      <c r="D1873" s="351">
        <v>46113</v>
      </c>
      <c r="E1873" s="340" t="s">
        <v>2564</v>
      </c>
      <c r="F1873" s="340" t="s">
        <v>894</v>
      </c>
      <c r="G1873" s="340" t="s">
        <v>2573</v>
      </c>
      <c r="H1873" s="340"/>
      <c r="I1873" s="340" t="s">
        <v>771</v>
      </c>
      <c r="K1873" s="343">
        <v>0</v>
      </c>
      <c r="L1873" s="343">
        <v>-0.53</v>
      </c>
      <c r="M1873" s="343">
        <v>-1254723.03</v>
      </c>
      <c r="O1873" s="343">
        <v>0</v>
      </c>
    </row>
    <row r="1874" spans="1:15" x14ac:dyDescent="0.3">
      <c r="A1874" s="340" t="s">
        <v>891</v>
      </c>
      <c r="B1874" s="350">
        <v>46113</v>
      </c>
      <c r="C1874" s="350">
        <v>46136</v>
      </c>
      <c r="D1874" s="351">
        <v>46113</v>
      </c>
      <c r="E1874" s="340" t="s">
        <v>2564</v>
      </c>
      <c r="F1874" s="340" t="s">
        <v>894</v>
      </c>
      <c r="G1874" s="340" t="s">
        <v>2566</v>
      </c>
      <c r="H1874" s="340"/>
      <c r="I1874" s="340" t="s">
        <v>771</v>
      </c>
      <c r="K1874" s="343">
        <v>0</v>
      </c>
      <c r="L1874" s="343">
        <v>-1.82</v>
      </c>
      <c r="M1874" s="343">
        <v>-1254724.8500000001</v>
      </c>
      <c r="O1874" s="343">
        <v>0</v>
      </c>
    </row>
    <row r="1875" spans="1:15" x14ac:dyDescent="0.3">
      <c r="A1875" s="340" t="s">
        <v>891</v>
      </c>
      <c r="B1875" s="350">
        <v>46113</v>
      </c>
      <c r="C1875" s="350">
        <v>46136</v>
      </c>
      <c r="D1875" s="351">
        <v>46113</v>
      </c>
      <c r="E1875" s="340" t="s">
        <v>2564</v>
      </c>
      <c r="F1875" s="340" t="s">
        <v>894</v>
      </c>
      <c r="G1875" s="340" t="s">
        <v>2442</v>
      </c>
      <c r="H1875" s="340"/>
      <c r="I1875" s="340" t="s">
        <v>771</v>
      </c>
      <c r="K1875" s="343">
        <v>0</v>
      </c>
      <c r="L1875" s="343">
        <v>-2.2599999999999998</v>
      </c>
      <c r="M1875" s="343">
        <v>-1254727.1100000001</v>
      </c>
      <c r="O1875" s="343">
        <v>0</v>
      </c>
    </row>
    <row r="1876" spans="1:15" x14ac:dyDescent="0.3">
      <c r="A1876" s="340" t="s">
        <v>891</v>
      </c>
      <c r="B1876" s="350">
        <v>46113</v>
      </c>
      <c r="C1876" s="350">
        <v>46136</v>
      </c>
      <c r="D1876" s="351">
        <v>46113</v>
      </c>
      <c r="E1876" s="340" t="s">
        <v>2564</v>
      </c>
      <c r="F1876" s="340" t="s">
        <v>894</v>
      </c>
      <c r="G1876" s="340" t="s">
        <v>2565</v>
      </c>
      <c r="H1876" s="340"/>
      <c r="I1876" s="340" t="s">
        <v>771</v>
      </c>
      <c r="K1876" s="343">
        <v>0</v>
      </c>
      <c r="L1876" s="343">
        <v>-4.6100000000000003</v>
      </c>
      <c r="M1876" s="343">
        <v>-1254731.72</v>
      </c>
      <c r="O1876" s="343">
        <v>0</v>
      </c>
    </row>
    <row r="1877" spans="1:15" x14ac:dyDescent="0.3">
      <c r="A1877" s="340" t="s">
        <v>891</v>
      </c>
      <c r="B1877" s="350">
        <v>46113</v>
      </c>
      <c r="C1877" s="350">
        <v>46136</v>
      </c>
      <c r="D1877" s="351">
        <v>46113</v>
      </c>
      <c r="E1877" s="340" t="s">
        <v>2564</v>
      </c>
      <c r="F1877" s="340" t="s">
        <v>894</v>
      </c>
      <c r="G1877" s="340" t="s">
        <v>2568</v>
      </c>
      <c r="H1877" s="340"/>
      <c r="I1877" s="340" t="s">
        <v>771</v>
      </c>
      <c r="K1877" s="343">
        <v>0</v>
      </c>
      <c r="L1877" s="343">
        <v>-0.01</v>
      </c>
      <c r="M1877" s="343">
        <v>-1254731.73</v>
      </c>
      <c r="O1877" s="343">
        <v>0</v>
      </c>
    </row>
    <row r="1878" spans="1:15" x14ac:dyDescent="0.3">
      <c r="A1878" s="340" t="s">
        <v>891</v>
      </c>
      <c r="B1878" s="350">
        <v>46113</v>
      </c>
      <c r="C1878" s="350">
        <v>46136</v>
      </c>
      <c r="D1878" s="351">
        <v>46113</v>
      </c>
      <c r="E1878" s="340" t="s">
        <v>2564</v>
      </c>
      <c r="F1878" s="340" t="s">
        <v>894</v>
      </c>
      <c r="G1878" s="340" t="s">
        <v>2568</v>
      </c>
      <c r="H1878" s="340"/>
      <c r="I1878" s="340" t="s">
        <v>771</v>
      </c>
      <c r="K1878" s="343">
        <v>0</v>
      </c>
      <c r="L1878" s="343">
        <v>-0.02</v>
      </c>
      <c r="M1878" s="343">
        <v>-1254731.75</v>
      </c>
      <c r="O1878" s="343">
        <v>0</v>
      </c>
    </row>
    <row r="1879" spans="1:15" x14ac:dyDescent="0.3">
      <c r="A1879" s="340" t="s">
        <v>891</v>
      </c>
      <c r="B1879" s="350">
        <v>46113</v>
      </c>
      <c r="C1879" s="350">
        <v>46136</v>
      </c>
      <c r="D1879" s="351">
        <v>46113</v>
      </c>
      <c r="E1879" s="340" t="s">
        <v>2564</v>
      </c>
      <c r="F1879" s="340" t="s">
        <v>894</v>
      </c>
      <c r="G1879" s="340" t="s">
        <v>2569</v>
      </c>
      <c r="H1879" s="340"/>
      <c r="I1879" s="340" t="s">
        <v>771</v>
      </c>
      <c r="K1879" s="343">
        <v>0</v>
      </c>
      <c r="L1879" s="343">
        <v>-0.04</v>
      </c>
      <c r="M1879" s="343">
        <v>-1254731.79</v>
      </c>
      <c r="O1879" s="343">
        <v>0</v>
      </c>
    </row>
    <row r="1880" spans="1:15" x14ac:dyDescent="0.3">
      <c r="A1880" s="340" t="s">
        <v>891</v>
      </c>
      <c r="B1880" s="350">
        <v>46113</v>
      </c>
      <c r="C1880" s="350">
        <v>46136</v>
      </c>
      <c r="D1880" s="351">
        <v>46113</v>
      </c>
      <c r="E1880" s="340" t="s">
        <v>2564</v>
      </c>
      <c r="F1880" s="340" t="s">
        <v>894</v>
      </c>
      <c r="G1880" s="340" t="s">
        <v>2439</v>
      </c>
      <c r="H1880" s="340"/>
      <c r="I1880" s="340" t="s">
        <v>771</v>
      </c>
      <c r="K1880" s="343">
        <v>0</v>
      </c>
      <c r="L1880" s="343">
        <v>-0.05</v>
      </c>
      <c r="M1880" s="343">
        <v>-1254731.8400000001</v>
      </c>
      <c r="O1880" s="343">
        <v>0</v>
      </c>
    </row>
    <row r="1881" spans="1:15" x14ac:dyDescent="0.3">
      <c r="A1881" s="340" t="s">
        <v>891</v>
      </c>
      <c r="B1881" s="350">
        <v>46113</v>
      </c>
      <c r="C1881" s="350">
        <v>46136</v>
      </c>
      <c r="D1881" s="351">
        <v>46113</v>
      </c>
      <c r="E1881" s="340" t="s">
        <v>2564</v>
      </c>
      <c r="F1881" s="340" t="s">
        <v>894</v>
      </c>
      <c r="G1881" s="340" t="s">
        <v>2570</v>
      </c>
      <c r="H1881" s="340"/>
      <c r="I1881" s="340" t="s">
        <v>771</v>
      </c>
      <c r="K1881" s="343">
        <v>0</v>
      </c>
      <c r="L1881" s="343">
        <v>-0.05</v>
      </c>
      <c r="M1881" s="343">
        <v>-1254731.8899999999</v>
      </c>
      <c r="O1881" s="343">
        <v>0</v>
      </c>
    </row>
    <row r="1882" spans="1:15" x14ac:dyDescent="0.3">
      <c r="A1882" s="340" t="s">
        <v>891</v>
      </c>
      <c r="B1882" s="350">
        <v>46113</v>
      </c>
      <c r="C1882" s="350">
        <v>46136</v>
      </c>
      <c r="D1882" s="351">
        <v>46113</v>
      </c>
      <c r="E1882" s="340" t="s">
        <v>2564</v>
      </c>
      <c r="F1882" s="340" t="s">
        <v>894</v>
      </c>
      <c r="G1882" s="340" t="s">
        <v>2439</v>
      </c>
      <c r="H1882" s="340"/>
      <c r="I1882" s="340" t="s">
        <v>771</v>
      </c>
      <c r="K1882" s="343">
        <v>0</v>
      </c>
      <c r="L1882" s="343">
        <v>-0.1</v>
      </c>
      <c r="M1882" s="343">
        <v>-1254731.99</v>
      </c>
      <c r="O1882" s="343">
        <v>0</v>
      </c>
    </row>
    <row r="1883" spans="1:15" x14ac:dyDescent="0.3">
      <c r="A1883" s="340" t="s">
        <v>891</v>
      </c>
      <c r="B1883" s="350">
        <v>46113</v>
      </c>
      <c r="C1883" s="350">
        <v>46136</v>
      </c>
      <c r="D1883" s="351">
        <v>46113</v>
      </c>
      <c r="E1883" s="340" t="s">
        <v>2564</v>
      </c>
      <c r="F1883" s="340" t="s">
        <v>894</v>
      </c>
      <c r="G1883" s="340" t="s">
        <v>2441</v>
      </c>
      <c r="H1883" s="340"/>
      <c r="I1883" s="340" t="s">
        <v>771</v>
      </c>
      <c r="K1883" s="343">
        <v>0</v>
      </c>
      <c r="L1883" s="343">
        <v>-0.1</v>
      </c>
      <c r="M1883" s="343">
        <v>-1254732.0900000001</v>
      </c>
      <c r="O1883" s="343">
        <v>0</v>
      </c>
    </row>
    <row r="1884" spans="1:15" x14ac:dyDescent="0.3">
      <c r="A1884" s="340" t="s">
        <v>891</v>
      </c>
      <c r="B1884" s="350">
        <v>46113</v>
      </c>
      <c r="C1884" s="350">
        <v>46136</v>
      </c>
      <c r="D1884" s="351">
        <v>46113</v>
      </c>
      <c r="E1884" s="340" t="s">
        <v>2564</v>
      </c>
      <c r="F1884" s="340" t="s">
        <v>894</v>
      </c>
      <c r="G1884" s="340" t="s">
        <v>2441</v>
      </c>
      <c r="H1884" s="340"/>
      <c r="I1884" s="340" t="s">
        <v>771</v>
      </c>
      <c r="K1884" s="343">
        <v>0</v>
      </c>
      <c r="L1884" s="343">
        <v>-0.2</v>
      </c>
      <c r="M1884" s="343">
        <v>-1254732.29</v>
      </c>
      <c r="O1884" s="343">
        <v>0</v>
      </c>
    </row>
    <row r="1885" spans="1:15" x14ac:dyDescent="0.3">
      <c r="A1885" s="340" t="s">
        <v>891</v>
      </c>
      <c r="B1885" s="350">
        <v>46113</v>
      </c>
      <c r="C1885" s="350">
        <v>46136</v>
      </c>
      <c r="D1885" s="351">
        <v>46113</v>
      </c>
      <c r="E1885" s="340" t="s">
        <v>2564</v>
      </c>
      <c r="F1885" s="340" t="s">
        <v>894</v>
      </c>
      <c r="G1885" s="340" t="s">
        <v>2571</v>
      </c>
      <c r="H1885" s="340"/>
      <c r="I1885" s="340" t="s">
        <v>771</v>
      </c>
      <c r="K1885" s="343">
        <v>0</v>
      </c>
      <c r="L1885" s="343">
        <v>-0.43</v>
      </c>
      <c r="M1885" s="343">
        <v>-1254732.72</v>
      </c>
      <c r="O1885" s="343">
        <v>0</v>
      </c>
    </row>
    <row r="1886" spans="1:15" x14ac:dyDescent="0.3">
      <c r="A1886" s="340" t="s">
        <v>891</v>
      </c>
      <c r="B1886" s="350">
        <v>46113</v>
      </c>
      <c r="C1886" s="350">
        <v>46136</v>
      </c>
      <c r="D1886" s="351">
        <v>46113</v>
      </c>
      <c r="E1886" s="340" t="s">
        <v>2564</v>
      </c>
      <c r="F1886" s="340" t="s">
        <v>894</v>
      </c>
      <c r="G1886" s="340" t="s">
        <v>2572</v>
      </c>
      <c r="H1886" s="340"/>
      <c r="I1886" s="340" t="s">
        <v>771</v>
      </c>
      <c r="K1886" s="343">
        <v>0</v>
      </c>
      <c r="L1886" s="343">
        <v>-1.22</v>
      </c>
      <c r="M1886" s="343">
        <v>-1254733.94</v>
      </c>
      <c r="O1886" s="343">
        <v>0</v>
      </c>
    </row>
    <row r="1887" spans="1:15" x14ac:dyDescent="0.3">
      <c r="A1887" s="340" t="s">
        <v>891</v>
      </c>
      <c r="B1887" s="350">
        <v>46113</v>
      </c>
      <c r="C1887" s="350">
        <v>46136</v>
      </c>
      <c r="D1887" s="351">
        <v>46113</v>
      </c>
      <c r="E1887" s="340" t="s">
        <v>2564</v>
      </c>
      <c r="F1887" s="340" t="s">
        <v>894</v>
      </c>
      <c r="G1887" s="340" t="s">
        <v>2573</v>
      </c>
      <c r="H1887" s="340"/>
      <c r="I1887" s="340" t="s">
        <v>771</v>
      </c>
      <c r="K1887" s="343">
        <v>0</v>
      </c>
      <c r="L1887" s="343">
        <v>-1.42</v>
      </c>
      <c r="M1887" s="343">
        <v>-1254735.3600000001</v>
      </c>
      <c r="O1887" s="343">
        <v>0</v>
      </c>
    </row>
    <row r="1888" spans="1:15" x14ac:dyDescent="0.3">
      <c r="A1888" s="340" t="s">
        <v>891</v>
      </c>
      <c r="B1888" s="350">
        <v>46113</v>
      </c>
      <c r="C1888" s="350">
        <v>46136</v>
      </c>
      <c r="D1888" s="351">
        <v>46113</v>
      </c>
      <c r="E1888" s="340" t="s">
        <v>2564</v>
      </c>
      <c r="F1888" s="340" t="s">
        <v>894</v>
      </c>
      <c r="G1888" s="340" t="s">
        <v>2442</v>
      </c>
      <c r="H1888" s="340"/>
      <c r="I1888" s="340" t="s">
        <v>771</v>
      </c>
      <c r="K1888" s="343">
        <v>0</v>
      </c>
      <c r="L1888" s="343">
        <v>-2.2599999999999998</v>
      </c>
      <c r="M1888" s="343">
        <v>-1254737.6200000001</v>
      </c>
      <c r="O1888" s="343">
        <v>0</v>
      </c>
    </row>
    <row r="1889" spans="1:15" x14ac:dyDescent="0.3">
      <c r="A1889" s="340" t="s">
        <v>891</v>
      </c>
      <c r="B1889" s="350">
        <v>46113</v>
      </c>
      <c r="C1889" s="350">
        <v>46136</v>
      </c>
      <c r="D1889" s="351">
        <v>46113</v>
      </c>
      <c r="E1889" s="340" t="s">
        <v>2564</v>
      </c>
      <c r="F1889" s="340" t="s">
        <v>894</v>
      </c>
      <c r="G1889" s="340" t="s">
        <v>2565</v>
      </c>
      <c r="H1889" s="340"/>
      <c r="I1889" s="340" t="s">
        <v>771</v>
      </c>
      <c r="K1889" s="343">
        <v>0</v>
      </c>
      <c r="L1889" s="343">
        <v>-4.6100000000000003</v>
      </c>
      <c r="M1889" s="343">
        <v>-1254742.23</v>
      </c>
      <c r="O1889" s="343">
        <v>0</v>
      </c>
    </row>
    <row r="1890" spans="1:15" x14ac:dyDescent="0.3">
      <c r="A1890" s="340" t="s">
        <v>891</v>
      </c>
      <c r="B1890" s="350">
        <v>46113</v>
      </c>
      <c r="C1890" s="350">
        <v>46136</v>
      </c>
      <c r="D1890" s="351">
        <v>46113</v>
      </c>
      <c r="E1890" s="340" t="s">
        <v>2564</v>
      </c>
      <c r="F1890" s="340" t="s">
        <v>894</v>
      </c>
      <c r="G1890" s="340" t="s">
        <v>2566</v>
      </c>
      <c r="H1890" s="340"/>
      <c r="I1890" s="340" t="s">
        <v>771</v>
      </c>
      <c r="K1890" s="343">
        <v>0</v>
      </c>
      <c r="L1890" s="343">
        <v>-4.87</v>
      </c>
      <c r="M1890" s="343">
        <v>-1254747.1000000001</v>
      </c>
      <c r="O1890" s="343">
        <v>0</v>
      </c>
    </row>
    <row r="1891" spans="1:15" x14ac:dyDescent="0.3">
      <c r="A1891" s="340" t="s">
        <v>891</v>
      </c>
      <c r="B1891" s="350">
        <v>46113</v>
      </c>
      <c r="C1891" s="350">
        <v>46136</v>
      </c>
      <c r="D1891" s="351">
        <v>46113</v>
      </c>
      <c r="E1891" s="340" t="s">
        <v>2564</v>
      </c>
      <c r="F1891" s="340" t="s">
        <v>894</v>
      </c>
      <c r="G1891" s="340" t="s">
        <v>2567</v>
      </c>
      <c r="H1891" s="340"/>
      <c r="I1891" s="340" t="s">
        <v>771</v>
      </c>
      <c r="K1891" s="343">
        <v>0</v>
      </c>
      <c r="L1891" s="343">
        <v>-0.01</v>
      </c>
      <c r="M1891" s="343">
        <v>-1254747.1100000001</v>
      </c>
      <c r="O1891" s="343">
        <v>0</v>
      </c>
    </row>
    <row r="1892" spans="1:15" x14ac:dyDescent="0.3">
      <c r="A1892" s="340" t="s">
        <v>891</v>
      </c>
      <c r="B1892" s="350">
        <v>46113</v>
      </c>
      <c r="C1892" s="350">
        <v>46136</v>
      </c>
      <c r="D1892" s="351">
        <v>46113</v>
      </c>
      <c r="E1892" s="340" t="s">
        <v>2564</v>
      </c>
      <c r="F1892" s="340" t="s">
        <v>894</v>
      </c>
      <c r="G1892" s="340" t="s">
        <v>2568</v>
      </c>
      <c r="H1892" s="340"/>
      <c r="I1892" s="340" t="s">
        <v>771</v>
      </c>
      <c r="K1892" s="343">
        <v>0</v>
      </c>
      <c r="L1892" s="343">
        <v>-0.02</v>
      </c>
      <c r="M1892" s="343">
        <v>-1254747.1299999999</v>
      </c>
      <c r="O1892" s="343">
        <v>0</v>
      </c>
    </row>
    <row r="1893" spans="1:15" x14ac:dyDescent="0.3">
      <c r="A1893" s="340" t="s">
        <v>891</v>
      </c>
      <c r="B1893" s="350">
        <v>46113</v>
      </c>
      <c r="C1893" s="350">
        <v>46136</v>
      </c>
      <c r="D1893" s="351">
        <v>46113</v>
      </c>
      <c r="E1893" s="340" t="s">
        <v>2564</v>
      </c>
      <c r="F1893" s="340" t="s">
        <v>894</v>
      </c>
      <c r="G1893" s="340" t="s">
        <v>2568</v>
      </c>
      <c r="H1893" s="340"/>
      <c r="I1893" s="340" t="s">
        <v>771</v>
      </c>
      <c r="K1893" s="343">
        <v>0</v>
      </c>
      <c r="L1893" s="343">
        <v>-0.02</v>
      </c>
      <c r="M1893" s="343">
        <v>-1254747.1499999999</v>
      </c>
      <c r="O1893" s="343">
        <v>0</v>
      </c>
    </row>
    <row r="1894" spans="1:15" x14ac:dyDescent="0.3">
      <c r="A1894" s="340" t="s">
        <v>891</v>
      </c>
      <c r="B1894" s="350">
        <v>46113</v>
      </c>
      <c r="C1894" s="350">
        <v>46136</v>
      </c>
      <c r="D1894" s="351">
        <v>46113</v>
      </c>
      <c r="E1894" s="340" t="s">
        <v>2564</v>
      </c>
      <c r="F1894" s="340" t="s">
        <v>894</v>
      </c>
      <c r="G1894" s="340" t="s">
        <v>2569</v>
      </c>
      <c r="H1894" s="340"/>
      <c r="I1894" s="340" t="s">
        <v>771</v>
      </c>
      <c r="K1894" s="343">
        <v>0</v>
      </c>
      <c r="L1894" s="343">
        <v>-0.08</v>
      </c>
      <c r="M1894" s="343">
        <v>-1254747.23</v>
      </c>
      <c r="O1894" s="343">
        <v>0</v>
      </c>
    </row>
    <row r="1895" spans="1:15" x14ac:dyDescent="0.3">
      <c r="A1895" s="340" t="s">
        <v>891</v>
      </c>
      <c r="B1895" s="350">
        <v>46113</v>
      </c>
      <c r="C1895" s="350">
        <v>46136</v>
      </c>
      <c r="D1895" s="351">
        <v>46113</v>
      </c>
      <c r="E1895" s="340" t="s">
        <v>2564</v>
      </c>
      <c r="F1895" s="340" t="s">
        <v>894</v>
      </c>
      <c r="G1895" s="340" t="s">
        <v>2570</v>
      </c>
      <c r="H1895" s="340"/>
      <c r="I1895" s="340" t="s">
        <v>771</v>
      </c>
      <c r="K1895" s="343">
        <v>0</v>
      </c>
      <c r="L1895" s="343">
        <v>-0.09</v>
      </c>
      <c r="M1895" s="343">
        <v>-1254747.32</v>
      </c>
      <c r="O1895" s="343">
        <v>0</v>
      </c>
    </row>
    <row r="1896" spans="1:15" x14ac:dyDescent="0.3">
      <c r="A1896" s="340" t="s">
        <v>891</v>
      </c>
      <c r="B1896" s="350">
        <v>46113</v>
      </c>
      <c r="C1896" s="350">
        <v>46136</v>
      </c>
      <c r="D1896" s="351">
        <v>46113</v>
      </c>
      <c r="E1896" s="340" t="s">
        <v>2564</v>
      </c>
      <c r="F1896" s="340" t="s">
        <v>894</v>
      </c>
      <c r="G1896" s="340" t="s">
        <v>2439</v>
      </c>
      <c r="H1896" s="340"/>
      <c r="I1896" s="340" t="s">
        <v>771</v>
      </c>
      <c r="K1896" s="343">
        <v>0</v>
      </c>
      <c r="L1896" s="343">
        <v>-0.13</v>
      </c>
      <c r="M1896" s="343">
        <v>-1254747.45</v>
      </c>
      <c r="O1896" s="343">
        <v>0</v>
      </c>
    </row>
    <row r="1897" spans="1:15" x14ac:dyDescent="0.3">
      <c r="A1897" s="340" t="s">
        <v>891</v>
      </c>
      <c r="B1897" s="350">
        <v>46113</v>
      </c>
      <c r="C1897" s="350">
        <v>46136</v>
      </c>
      <c r="D1897" s="351">
        <v>46113</v>
      </c>
      <c r="E1897" s="340" t="s">
        <v>2564</v>
      </c>
      <c r="F1897" s="340" t="s">
        <v>894</v>
      </c>
      <c r="G1897" s="340" t="s">
        <v>2441</v>
      </c>
      <c r="H1897" s="340"/>
      <c r="I1897" s="340" t="s">
        <v>771</v>
      </c>
      <c r="K1897" s="343">
        <v>0</v>
      </c>
      <c r="L1897" s="343">
        <v>-0.19</v>
      </c>
      <c r="M1897" s="343">
        <v>-1254747.6399999999</v>
      </c>
      <c r="O1897" s="343">
        <v>0</v>
      </c>
    </row>
    <row r="1898" spans="1:15" x14ac:dyDescent="0.3">
      <c r="A1898" s="340" t="s">
        <v>891</v>
      </c>
      <c r="B1898" s="350">
        <v>46113</v>
      </c>
      <c r="C1898" s="350">
        <v>46136</v>
      </c>
      <c r="D1898" s="351">
        <v>46113</v>
      </c>
      <c r="E1898" s="340" t="s">
        <v>2564</v>
      </c>
      <c r="F1898" s="340" t="s">
        <v>894</v>
      </c>
      <c r="G1898" s="340" t="s">
        <v>2441</v>
      </c>
      <c r="H1898" s="340"/>
      <c r="I1898" s="340" t="s">
        <v>771</v>
      </c>
      <c r="K1898" s="343">
        <v>0</v>
      </c>
      <c r="L1898" s="343">
        <v>-0.26</v>
      </c>
      <c r="M1898" s="343">
        <v>-1254747.8999999999</v>
      </c>
      <c r="O1898" s="343">
        <v>0</v>
      </c>
    </row>
    <row r="1899" spans="1:15" x14ac:dyDescent="0.3">
      <c r="A1899" s="340" t="s">
        <v>891</v>
      </c>
      <c r="B1899" s="350">
        <v>46113</v>
      </c>
      <c r="C1899" s="350">
        <v>46136</v>
      </c>
      <c r="D1899" s="351">
        <v>46113</v>
      </c>
      <c r="E1899" s="340" t="s">
        <v>2564</v>
      </c>
      <c r="F1899" s="340" t="s">
        <v>894</v>
      </c>
      <c r="G1899" s="340" t="s">
        <v>2571</v>
      </c>
      <c r="H1899" s="340"/>
      <c r="I1899" s="340" t="s">
        <v>771</v>
      </c>
      <c r="K1899" s="343">
        <v>0</v>
      </c>
      <c r="L1899" s="343">
        <v>-0.82</v>
      </c>
      <c r="M1899" s="343">
        <v>-1254748.72</v>
      </c>
      <c r="O1899" s="343">
        <v>0</v>
      </c>
    </row>
    <row r="1900" spans="1:15" x14ac:dyDescent="0.3">
      <c r="A1900" s="340" t="s">
        <v>891</v>
      </c>
      <c r="B1900" s="350">
        <v>46113</v>
      </c>
      <c r="C1900" s="350">
        <v>46136</v>
      </c>
      <c r="D1900" s="351">
        <v>46113</v>
      </c>
      <c r="E1900" s="340" t="s">
        <v>2564</v>
      </c>
      <c r="F1900" s="340" t="s">
        <v>894</v>
      </c>
      <c r="G1900" s="340" t="s">
        <v>2442</v>
      </c>
      <c r="H1900" s="340"/>
      <c r="I1900" s="340" t="s">
        <v>771</v>
      </c>
      <c r="K1900" s="343">
        <v>0</v>
      </c>
      <c r="L1900" s="343">
        <v>-2.2599999999999998</v>
      </c>
      <c r="M1900" s="343">
        <v>-1254750.98</v>
      </c>
      <c r="O1900" s="343">
        <v>0</v>
      </c>
    </row>
    <row r="1901" spans="1:15" x14ac:dyDescent="0.3">
      <c r="A1901" s="340" t="s">
        <v>891</v>
      </c>
      <c r="B1901" s="350">
        <v>46113</v>
      </c>
      <c r="C1901" s="350">
        <v>46136</v>
      </c>
      <c r="D1901" s="351">
        <v>46113</v>
      </c>
      <c r="E1901" s="340" t="s">
        <v>2564</v>
      </c>
      <c r="F1901" s="340" t="s">
        <v>894</v>
      </c>
      <c r="G1901" s="340" t="s">
        <v>2572</v>
      </c>
      <c r="H1901" s="340"/>
      <c r="I1901" s="340" t="s">
        <v>771</v>
      </c>
      <c r="K1901" s="343">
        <v>0</v>
      </c>
      <c r="L1901" s="343">
        <v>-2.3199999999999998</v>
      </c>
      <c r="M1901" s="343">
        <v>-1254753.3</v>
      </c>
      <c r="O1901" s="343">
        <v>0</v>
      </c>
    </row>
    <row r="1902" spans="1:15" x14ac:dyDescent="0.3">
      <c r="A1902" s="340" t="s">
        <v>891</v>
      </c>
      <c r="B1902" s="350">
        <v>46113</v>
      </c>
      <c r="C1902" s="350">
        <v>46136</v>
      </c>
      <c r="D1902" s="351">
        <v>46113</v>
      </c>
      <c r="E1902" s="340" t="s">
        <v>2564</v>
      </c>
      <c r="F1902" s="340" t="s">
        <v>894</v>
      </c>
      <c r="G1902" s="340" t="s">
        <v>2573</v>
      </c>
      <c r="H1902" s="340"/>
      <c r="I1902" s="340" t="s">
        <v>771</v>
      </c>
      <c r="K1902" s="343">
        <v>0</v>
      </c>
      <c r="L1902" s="343">
        <v>-2.72</v>
      </c>
      <c r="M1902" s="343">
        <v>-1254756.02</v>
      </c>
      <c r="O1902" s="343">
        <v>0</v>
      </c>
    </row>
    <row r="1903" spans="1:15" x14ac:dyDescent="0.3">
      <c r="A1903" s="340" t="s">
        <v>891</v>
      </c>
      <c r="B1903" s="350">
        <v>46113</v>
      </c>
      <c r="C1903" s="350">
        <v>46136</v>
      </c>
      <c r="D1903" s="351">
        <v>46113</v>
      </c>
      <c r="E1903" s="340" t="s">
        <v>2564</v>
      </c>
      <c r="F1903" s="340" t="s">
        <v>894</v>
      </c>
      <c r="G1903" s="340" t="s">
        <v>2565</v>
      </c>
      <c r="H1903" s="340"/>
      <c r="I1903" s="340" t="s">
        <v>771</v>
      </c>
      <c r="K1903" s="343">
        <v>0</v>
      </c>
      <c r="L1903" s="343">
        <v>-4.6100000000000003</v>
      </c>
      <c r="M1903" s="343">
        <v>-1254760.6299999999</v>
      </c>
      <c r="O1903" s="343">
        <v>0</v>
      </c>
    </row>
    <row r="1904" spans="1:15" x14ac:dyDescent="0.3">
      <c r="A1904" s="340" t="s">
        <v>891</v>
      </c>
      <c r="B1904" s="350">
        <v>46113</v>
      </c>
      <c r="C1904" s="350">
        <v>46136</v>
      </c>
      <c r="D1904" s="351">
        <v>46113</v>
      </c>
      <c r="E1904" s="340" t="s">
        <v>2564</v>
      </c>
      <c r="F1904" s="340" t="s">
        <v>894</v>
      </c>
      <c r="G1904" s="340" t="s">
        <v>2566</v>
      </c>
      <c r="H1904" s="340"/>
      <c r="I1904" s="340" t="s">
        <v>771</v>
      </c>
      <c r="K1904" s="343">
        <v>0</v>
      </c>
      <c r="L1904" s="343">
        <v>-9.31</v>
      </c>
      <c r="M1904" s="343">
        <v>-1254769.94</v>
      </c>
      <c r="O1904" s="343">
        <v>0</v>
      </c>
    </row>
    <row r="1905" spans="1:15" x14ac:dyDescent="0.3">
      <c r="A1905" s="340" t="s">
        <v>891</v>
      </c>
      <c r="B1905" s="350">
        <v>46113</v>
      </c>
      <c r="C1905" s="350">
        <v>46136</v>
      </c>
      <c r="D1905" s="351">
        <v>46113</v>
      </c>
      <c r="E1905" s="340" t="s">
        <v>2564</v>
      </c>
      <c r="F1905" s="340" t="s">
        <v>894</v>
      </c>
      <c r="G1905" s="340" t="s">
        <v>2568</v>
      </c>
      <c r="H1905" s="340"/>
      <c r="I1905" s="340" t="s">
        <v>771</v>
      </c>
      <c r="K1905" s="343">
        <v>0</v>
      </c>
      <c r="L1905" s="343">
        <v>-0.01</v>
      </c>
      <c r="M1905" s="343">
        <v>-1254769.95</v>
      </c>
      <c r="O1905" s="343">
        <v>0</v>
      </c>
    </row>
    <row r="1906" spans="1:15" x14ac:dyDescent="0.3">
      <c r="A1906" s="340" t="s">
        <v>891</v>
      </c>
      <c r="B1906" s="350">
        <v>46113</v>
      </c>
      <c r="C1906" s="350">
        <v>46136</v>
      </c>
      <c r="D1906" s="351">
        <v>46113</v>
      </c>
      <c r="E1906" s="340" t="s">
        <v>2564</v>
      </c>
      <c r="F1906" s="340" t="s">
        <v>894</v>
      </c>
      <c r="G1906" s="340" t="s">
        <v>2568</v>
      </c>
      <c r="H1906" s="340"/>
      <c r="I1906" s="340" t="s">
        <v>771</v>
      </c>
      <c r="K1906" s="343">
        <v>0</v>
      </c>
      <c r="L1906" s="343">
        <v>-0.02</v>
      </c>
      <c r="M1906" s="343">
        <v>-1254769.97</v>
      </c>
      <c r="O1906" s="343">
        <v>0</v>
      </c>
    </row>
    <row r="1907" spans="1:15" x14ac:dyDescent="0.3">
      <c r="A1907" s="340" t="s">
        <v>891</v>
      </c>
      <c r="B1907" s="350">
        <v>46113</v>
      </c>
      <c r="C1907" s="350">
        <v>46136</v>
      </c>
      <c r="D1907" s="351">
        <v>46113</v>
      </c>
      <c r="E1907" s="340" t="s">
        <v>2564</v>
      </c>
      <c r="F1907" s="340" t="s">
        <v>894</v>
      </c>
      <c r="G1907" s="340" t="s">
        <v>2569</v>
      </c>
      <c r="H1907" s="340"/>
      <c r="I1907" s="340" t="s">
        <v>771</v>
      </c>
      <c r="K1907" s="343">
        <v>0</v>
      </c>
      <c r="L1907" s="343">
        <v>-0.04</v>
      </c>
      <c r="M1907" s="343">
        <v>-1254770.01</v>
      </c>
      <c r="O1907" s="343">
        <v>0</v>
      </c>
    </row>
    <row r="1908" spans="1:15" x14ac:dyDescent="0.3">
      <c r="A1908" s="340" t="s">
        <v>891</v>
      </c>
      <c r="B1908" s="350">
        <v>46113</v>
      </c>
      <c r="C1908" s="350">
        <v>46136</v>
      </c>
      <c r="D1908" s="351">
        <v>46113</v>
      </c>
      <c r="E1908" s="340" t="s">
        <v>2564</v>
      </c>
      <c r="F1908" s="340" t="s">
        <v>894</v>
      </c>
      <c r="G1908" s="340" t="s">
        <v>2439</v>
      </c>
      <c r="H1908" s="340"/>
      <c r="I1908" s="340" t="s">
        <v>771</v>
      </c>
      <c r="K1908" s="343">
        <v>0</v>
      </c>
      <c r="L1908" s="343">
        <v>-0.05</v>
      </c>
      <c r="M1908" s="343">
        <v>-1254770.06</v>
      </c>
      <c r="O1908" s="343">
        <v>0</v>
      </c>
    </row>
    <row r="1909" spans="1:15" x14ac:dyDescent="0.3">
      <c r="A1909" s="340" t="s">
        <v>891</v>
      </c>
      <c r="B1909" s="350">
        <v>46113</v>
      </c>
      <c r="C1909" s="350">
        <v>46136</v>
      </c>
      <c r="D1909" s="351">
        <v>46113</v>
      </c>
      <c r="E1909" s="340" t="s">
        <v>2564</v>
      </c>
      <c r="F1909" s="340" t="s">
        <v>894</v>
      </c>
      <c r="G1909" s="340" t="s">
        <v>2570</v>
      </c>
      <c r="H1909" s="340"/>
      <c r="I1909" s="340" t="s">
        <v>771</v>
      </c>
      <c r="K1909" s="343">
        <v>0</v>
      </c>
      <c r="L1909" s="343">
        <v>-0.05</v>
      </c>
      <c r="M1909" s="343">
        <v>-1254770.1100000001</v>
      </c>
      <c r="O1909" s="343">
        <v>0</v>
      </c>
    </row>
    <row r="1910" spans="1:15" x14ac:dyDescent="0.3">
      <c r="A1910" s="340" t="s">
        <v>891</v>
      </c>
      <c r="B1910" s="350">
        <v>46113</v>
      </c>
      <c r="C1910" s="350">
        <v>46136</v>
      </c>
      <c r="D1910" s="351">
        <v>46113</v>
      </c>
      <c r="E1910" s="340" t="s">
        <v>2564</v>
      </c>
      <c r="F1910" s="340" t="s">
        <v>894</v>
      </c>
      <c r="G1910" s="340" t="s">
        <v>2439</v>
      </c>
      <c r="H1910" s="340"/>
      <c r="I1910" s="340" t="s">
        <v>771</v>
      </c>
      <c r="K1910" s="343">
        <v>0</v>
      </c>
      <c r="L1910" s="343">
        <v>-0.1</v>
      </c>
      <c r="M1910" s="343">
        <v>-1254770.21</v>
      </c>
      <c r="O1910" s="343">
        <v>0</v>
      </c>
    </row>
    <row r="1911" spans="1:15" x14ac:dyDescent="0.3">
      <c r="A1911" s="340" t="s">
        <v>891</v>
      </c>
      <c r="B1911" s="350">
        <v>46113</v>
      </c>
      <c r="C1911" s="350">
        <v>46136</v>
      </c>
      <c r="D1911" s="351">
        <v>46113</v>
      </c>
      <c r="E1911" s="340" t="s">
        <v>2564</v>
      </c>
      <c r="F1911" s="340" t="s">
        <v>894</v>
      </c>
      <c r="G1911" s="340" t="s">
        <v>2441</v>
      </c>
      <c r="H1911" s="340"/>
      <c r="I1911" s="340" t="s">
        <v>771</v>
      </c>
      <c r="K1911" s="343">
        <v>0</v>
      </c>
      <c r="L1911" s="343">
        <v>-0.1</v>
      </c>
      <c r="M1911" s="343">
        <v>-1254770.31</v>
      </c>
      <c r="O1911" s="343">
        <v>0</v>
      </c>
    </row>
    <row r="1912" spans="1:15" x14ac:dyDescent="0.3">
      <c r="A1912" s="340" t="s">
        <v>891</v>
      </c>
      <c r="B1912" s="350">
        <v>46113</v>
      </c>
      <c r="C1912" s="350">
        <v>46136</v>
      </c>
      <c r="D1912" s="351">
        <v>46113</v>
      </c>
      <c r="E1912" s="340" t="s">
        <v>2564</v>
      </c>
      <c r="F1912" s="340" t="s">
        <v>894</v>
      </c>
      <c r="G1912" s="340" t="s">
        <v>2441</v>
      </c>
      <c r="H1912" s="340"/>
      <c r="I1912" s="340" t="s">
        <v>771</v>
      </c>
      <c r="K1912" s="343">
        <v>0</v>
      </c>
      <c r="L1912" s="343">
        <v>-0.2</v>
      </c>
      <c r="M1912" s="343">
        <v>-1254770.51</v>
      </c>
      <c r="O1912" s="343">
        <v>0</v>
      </c>
    </row>
    <row r="1913" spans="1:15" x14ac:dyDescent="0.3">
      <c r="A1913" s="340" t="s">
        <v>891</v>
      </c>
      <c r="B1913" s="350">
        <v>46113</v>
      </c>
      <c r="C1913" s="350">
        <v>46136</v>
      </c>
      <c r="D1913" s="351">
        <v>46113</v>
      </c>
      <c r="E1913" s="340" t="s">
        <v>2564</v>
      </c>
      <c r="F1913" s="340" t="s">
        <v>894</v>
      </c>
      <c r="G1913" s="340" t="s">
        <v>2571</v>
      </c>
      <c r="H1913" s="340"/>
      <c r="I1913" s="340" t="s">
        <v>771</v>
      </c>
      <c r="K1913" s="343">
        <v>0</v>
      </c>
      <c r="L1913" s="343">
        <v>-0.41</v>
      </c>
      <c r="M1913" s="343">
        <v>-1254770.92</v>
      </c>
      <c r="O1913" s="343">
        <v>0</v>
      </c>
    </row>
    <row r="1914" spans="1:15" x14ac:dyDescent="0.3">
      <c r="A1914" s="340" t="s">
        <v>891</v>
      </c>
      <c r="B1914" s="350">
        <v>46113</v>
      </c>
      <c r="C1914" s="350">
        <v>46136</v>
      </c>
      <c r="D1914" s="351">
        <v>46113</v>
      </c>
      <c r="E1914" s="340" t="s">
        <v>2564</v>
      </c>
      <c r="F1914" s="340" t="s">
        <v>894</v>
      </c>
      <c r="G1914" s="340" t="s">
        <v>2572</v>
      </c>
      <c r="H1914" s="340"/>
      <c r="I1914" s="340" t="s">
        <v>771</v>
      </c>
      <c r="K1914" s="343">
        <v>0</v>
      </c>
      <c r="L1914" s="343">
        <v>-1.1599999999999999</v>
      </c>
      <c r="M1914" s="343">
        <v>-1254772.08</v>
      </c>
      <c r="O1914" s="343">
        <v>0</v>
      </c>
    </row>
    <row r="1915" spans="1:15" x14ac:dyDescent="0.3">
      <c r="A1915" s="340" t="s">
        <v>891</v>
      </c>
      <c r="B1915" s="350">
        <v>46113</v>
      </c>
      <c r="C1915" s="350">
        <v>46136</v>
      </c>
      <c r="D1915" s="351">
        <v>46113</v>
      </c>
      <c r="E1915" s="340" t="s">
        <v>2564</v>
      </c>
      <c r="F1915" s="340" t="s">
        <v>894</v>
      </c>
      <c r="G1915" s="340" t="s">
        <v>2573</v>
      </c>
      <c r="H1915" s="340"/>
      <c r="I1915" s="340" t="s">
        <v>771</v>
      </c>
      <c r="K1915" s="343">
        <v>0</v>
      </c>
      <c r="L1915" s="343">
        <v>-1.36</v>
      </c>
      <c r="M1915" s="343">
        <v>-1254773.44</v>
      </c>
      <c r="O1915" s="343">
        <v>0</v>
      </c>
    </row>
    <row r="1916" spans="1:15" x14ac:dyDescent="0.3">
      <c r="A1916" s="340" t="s">
        <v>891</v>
      </c>
      <c r="B1916" s="350">
        <v>46113</v>
      </c>
      <c r="C1916" s="350">
        <v>46136</v>
      </c>
      <c r="D1916" s="351">
        <v>46113</v>
      </c>
      <c r="E1916" s="340" t="s">
        <v>2564</v>
      </c>
      <c r="F1916" s="340" t="s">
        <v>894</v>
      </c>
      <c r="G1916" s="340" t="s">
        <v>2442</v>
      </c>
      <c r="H1916" s="340"/>
      <c r="I1916" s="340" t="s">
        <v>771</v>
      </c>
      <c r="K1916" s="343">
        <v>0</v>
      </c>
      <c r="L1916" s="343">
        <v>-2.2599999999999998</v>
      </c>
      <c r="M1916" s="343">
        <v>-1254775.7</v>
      </c>
      <c r="O1916" s="343">
        <v>0</v>
      </c>
    </row>
    <row r="1917" spans="1:15" x14ac:dyDescent="0.3">
      <c r="A1917" s="340" t="s">
        <v>891</v>
      </c>
      <c r="B1917" s="350">
        <v>46113</v>
      </c>
      <c r="C1917" s="350">
        <v>46136</v>
      </c>
      <c r="D1917" s="351">
        <v>46113</v>
      </c>
      <c r="E1917" s="340" t="s">
        <v>2564</v>
      </c>
      <c r="F1917" s="340" t="s">
        <v>894</v>
      </c>
      <c r="G1917" s="340" t="s">
        <v>2565</v>
      </c>
      <c r="H1917" s="340"/>
      <c r="I1917" s="340" t="s">
        <v>771</v>
      </c>
      <c r="K1917" s="343">
        <v>0</v>
      </c>
      <c r="L1917" s="343">
        <v>-4.6100000000000003</v>
      </c>
      <c r="M1917" s="343">
        <v>-1254780.31</v>
      </c>
      <c r="O1917" s="343">
        <v>0</v>
      </c>
    </row>
    <row r="1918" spans="1:15" x14ac:dyDescent="0.3">
      <c r="A1918" s="340" t="s">
        <v>891</v>
      </c>
      <c r="B1918" s="350">
        <v>46113</v>
      </c>
      <c r="C1918" s="350">
        <v>46136</v>
      </c>
      <c r="D1918" s="351">
        <v>46113</v>
      </c>
      <c r="E1918" s="340" t="s">
        <v>2564</v>
      </c>
      <c r="F1918" s="340" t="s">
        <v>894</v>
      </c>
      <c r="G1918" s="340" t="s">
        <v>2566</v>
      </c>
      <c r="H1918" s="340"/>
      <c r="I1918" s="340" t="s">
        <v>771</v>
      </c>
      <c r="K1918" s="343">
        <v>0</v>
      </c>
      <c r="L1918" s="343">
        <v>-4.6500000000000004</v>
      </c>
      <c r="M1918" s="343">
        <v>-1254784.96</v>
      </c>
      <c r="O1918" s="343">
        <v>0</v>
      </c>
    </row>
    <row r="1919" spans="1:15" x14ac:dyDescent="0.3">
      <c r="A1919" s="340" t="s">
        <v>891</v>
      </c>
      <c r="B1919" s="350">
        <v>46113</v>
      </c>
      <c r="C1919" s="350">
        <v>46136</v>
      </c>
      <c r="D1919" s="351">
        <v>46113</v>
      </c>
      <c r="E1919" s="340" t="s">
        <v>2564</v>
      </c>
      <c r="F1919" s="340" t="s">
        <v>894</v>
      </c>
      <c r="G1919" s="340" t="s">
        <v>2568</v>
      </c>
      <c r="H1919" s="340"/>
      <c r="I1919" s="340" t="s">
        <v>771</v>
      </c>
      <c r="K1919" s="343">
        <v>0</v>
      </c>
      <c r="L1919" s="343">
        <v>-0.01</v>
      </c>
      <c r="M1919" s="343">
        <v>-1254784.97</v>
      </c>
      <c r="O1919" s="343">
        <v>0</v>
      </c>
    </row>
    <row r="1920" spans="1:15" x14ac:dyDescent="0.3">
      <c r="A1920" s="340" t="s">
        <v>891</v>
      </c>
      <c r="B1920" s="350">
        <v>46113</v>
      </c>
      <c r="C1920" s="350">
        <v>46136</v>
      </c>
      <c r="D1920" s="351">
        <v>46113</v>
      </c>
      <c r="E1920" s="340" t="s">
        <v>2564</v>
      </c>
      <c r="F1920" s="340" t="s">
        <v>894</v>
      </c>
      <c r="G1920" s="340" t="s">
        <v>2568</v>
      </c>
      <c r="H1920" s="340"/>
      <c r="I1920" s="340" t="s">
        <v>771</v>
      </c>
      <c r="K1920" s="343">
        <v>0</v>
      </c>
      <c r="L1920" s="343">
        <v>-0.02</v>
      </c>
      <c r="M1920" s="343">
        <v>-1254784.99</v>
      </c>
      <c r="O1920" s="343">
        <v>0</v>
      </c>
    </row>
    <row r="1921" spans="1:15" x14ac:dyDescent="0.3">
      <c r="A1921" s="340" t="s">
        <v>891</v>
      </c>
      <c r="B1921" s="350">
        <v>46113</v>
      </c>
      <c r="C1921" s="350">
        <v>46136</v>
      </c>
      <c r="D1921" s="351">
        <v>46113</v>
      </c>
      <c r="E1921" s="340" t="s">
        <v>2564</v>
      </c>
      <c r="F1921" s="340" t="s">
        <v>894</v>
      </c>
      <c r="G1921" s="340" t="s">
        <v>2570</v>
      </c>
      <c r="H1921" s="340"/>
      <c r="I1921" s="340" t="s">
        <v>771</v>
      </c>
      <c r="K1921" s="343">
        <v>0</v>
      </c>
      <c r="L1921" s="343">
        <v>-0.06</v>
      </c>
      <c r="M1921" s="343">
        <v>-1254785.05</v>
      </c>
      <c r="O1921" s="343">
        <v>0</v>
      </c>
    </row>
    <row r="1922" spans="1:15" x14ac:dyDescent="0.3">
      <c r="A1922" s="340" t="s">
        <v>891</v>
      </c>
      <c r="B1922" s="350">
        <v>46113</v>
      </c>
      <c r="C1922" s="350">
        <v>46136</v>
      </c>
      <c r="D1922" s="351">
        <v>46113</v>
      </c>
      <c r="E1922" s="340" t="s">
        <v>2564</v>
      </c>
      <c r="F1922" s="340" t="s">
        <v>894</v>
      </c>
      <c r="G1922" s="340" t="s">
        <v>2569</v>
      </c>
      <c r="H1922" s="340"/>
      <c r="I1922" s="340" t="s">
        <v>771</v>
      </c>
      <c r="K1922" s="343">
        <v>0</v>
      </c>
      <c r="L1922" s="343">
        <v>-0.06</v>
      </c>
      <c r="M1922" s="343">
        <v>-1254785.1100000001</v>
      </c>
      <c r="O1922" s="343">
        <v>0</v>
      </c>
    </row>
    <row r="1923" spans="1:15" x14ac:dyDescent="0.3">
      <c r="A1923" s="340" t="s">
        <v>891</v>
      </c>
      <c r="B1923" s="350">
        <v>46113</v>
      </c>
      <c r="C1923" s="350">
        <v>46136</v>
      </c>
      <c r="D1923" s="351">
        <v>46113</v>
      </c>
      <c r="E1923" s="340" t="s">
        <v>2564</v>
      </c>
      <c r="F1923" s="340" t="s">
        <v>894</v>
      </c>
      <c r="G1923" s="340" t="s">
        <v>2439</v>
      </c>
      <c r="H1923" s="340"/>
      <c r="I1923" s="340" t="s">
        <v>771</v>
      </c>
      <c r="K1923" s="343">
        <v>0</v>
      </c>
      <c r="L1923" s="343">
        <v>-7.0000000000000007E-2</v>
      </c>
      <c r="M1923" s="343">
        <v>-1254785.18</v>
      </c>
      <c r="O1923" s="343">
        <v>0</v>
      </c>
    </row>
    <row r="1924" spans="1:15" x14ac:dyDescent="0.3">
      <c r="A1924" s="340" t="s">
        <v>891</v>
      </c>
      <c r="B1924" s="350">
        <v>46113</v>
      </c>
      <c r="C1924" s="350">
        <v>46136</v>
      </c>
      <c r="D1924" s="351">
        <v>46113</v>
      </c>
      <c r="E1924" s="340" t="s">
        <v>2564</v>
      </c>
      <c r="F1924" s="340" t="s">
        <v>894</v>
      </c>
      <c r="G1924" s="340" t="s">
        <v>2439</v>
      </c>
      <c r="H1924" s="340"/>
      <c r="I1924" s="340" t="s">
        <v>771</v>
      </c>
      <c r="K1924" s="343">
        <v>0</v>
      </c>
      <c r="L1924" s="343">
        <v>-0.11</v>
      </c>
      <c r="M1924" s="343">
        <v>-1254785.29</v>
      </c>
      <c r="O1924" s="343">
        <v>0</v>
      </c>
    </row>
    <row r="1925" spans="1:15" x14ac:dyDescent="0.3">
      <c r="A1925" s="340" t="s">
        <v>891</v>
      </c>
      <c r="B1925" s="350">
        <v>46113</v>
      </c>
      <c r="C1925" s="350">
        <v>46136</v>
      </c>
      <c r="D1925" s="351">
        <v>46113</v>
      </c>
      <c r="E1925" s="340" t="s">
        <v>2564</v>
      </c>
      <c r="F1925" s="340" t="s">
        <v>894</v>
      </c>
      <c r="G1925" s="340" t="s">
        <v>2441</v>
      </c>
      <c r="H1925" s="340"/>
      <c r="I1925" s="340" t="s">
        <v>771</v>
      </c>
      <c r="K1925" s="343">
        <v>0</v>
      </c>
      <c r="L1925" s="343">
        <v>-0.13</v>
      </c>
      <c r="M1925" s="343">
        <v>-1254785.42</v>
      </c>
      <c r="O1925" s="343">
        <v>0</v>
      </c>
    </row>
    <row r="1926" spans="1:15" x14ac:dyDescent="0.3">
      <c r="A1926" s="340" t="s">
        <v>891</v>
      </c>
      <c r="B1926" s="350">
        <v>46113</v>
      </c>
      <c r="C1926" s="350">
        <v>46136</v>
      </c>
      <c r="D1926" s="351">
        <v>46113</v>
      </c>
      <c r="E1926" s="340" t="s">
        <v>2564</v>
      </c>
      <c r="F1926" s="340" t="s">
        <v>894</v>
      </c>
      <c r="G1926" s="340" t="s">
        <v>2441</v>
      </c>
      <c r="H1926" s="340"/>
      <c r="I1926" s="340" t="s">
        <v>771</v>
      </c>
      <c r="K1926" s="343">
        <v>0</v>
      </c>
      <c r="L1926" s="343">
        <v>-0.22</v>
      </c>
      <c r="M1926" s="343">
        <v>-1254785.6399999999</v>
      </c>
      <c r="O1926" s="343">
        <v>0</v>
      </c>
    </row>
    <row r="1927" spans="1:15" x14ac:dyDescent="0.3">
      <c r="A1927" s="340" t="s">
        <v>891</v>
      </c>
      <c r="B1927" s="350">
        <v>46113</v>
      </c>
      <c r="C1927" s="350">
        <v>46136</v>
      </c>
      <c r="D1927" s="351">
        <v>46113</v>
      </c>
      <c r="E1927" s="340" t="s">
        <v>2564</v>
      </c>
      <c r="F1927" s="340" t="s">
        <v>894</v>
      </c>
      <c r="G1927" s="340" t="s">
        <v>2571</v>
      </c>
      <c r="H1927" s="340"/>
      <c r="I1927" s="340" t="s">
        <v>771</v>
      </c>
      <c r="K1927" s="343">
        <v>0</v>
      </c>
      <c r="L1927" s="343">
        <v>-0.56000000000000005</v>
      </c>
      <c r="M1927" s="343">
        <v>-1254786.2</v>
      </c>
      <c r="O1927" s="343">
        <v>0</v>
      </c>
    </row>
    <row r="1928" spans="1:15" x14ac:dyDescent="0.3">
      <c r="A1928" s="340" t="s">
        <v>891</v>
      </c>
      <c r="B1928" s="350">
        <v>46113</v>
      </c>
      <c r="C1928" s="350">
        <v>46136</v>
      </c>
      <c r="D1928" s="351">
        <v>46113</v>
      </c>
      <c r="E1928" s="340" t="s">
        <v>2564</v>
      </c>
      <c r="F1928" s="340" t="s">
        <v>894</v>
      </c>
      <c r="G1928" s="340" t="s">
        <v>2572</v>
      </c>
      <c r="H1928" s="340"/>
      <c r="I1928" s="340" t="s">
        <v>771</v>
      </c>
      <c r="K1928" s="343">
        <v>0</v>
      </c>
      <c r="L1928" s="343">
        <v>-1.6</v>
      </c>
      <c r="M1928" s="343">
        <v>-1254787.8</v>
      </c>
      <c r="O1928" s="343">
        <v>0</v>
      </c>
    </row>
    <row r="1929" spans="1:15" x14ac:dyDescent="0.3">
      <c r="A1929" s="340" t="s">
        <v>891</v>
      </c>
      <c r="B1929" s="350">
        <v>46113</v>
      </c>
      <c r="C1929" s="350">
        <v>46136</v>
      </c>
      <c r="D1929" s="351">
        <v>46113</v>
      </c>
      <c r="E1929" s="340" t="s">
        <v>2564</v>
      </c>
      <c r="F1929" s="340" t="s">
        <v>894</v>
      </c>
      <c r="G1929" s="340" t="s">
        <v>2573</v>
      </c>
      <c r="H1929" s="340"/>
      <c r="I1929" s="340" t="s">
        <v>771</v>
      </c>
      <c r="K1929" s="343">
        <v>0</v>
      </c>
      <c r="L1929" s="343">
        <v>-1.87</v>
      </c>
      <c r="M1929" s="343">
        <v>-1254789.67</v>
      </c>
      <c r="O1929" s="343">
        <v>0</v>
      </c>
    </row>
    <row r="1930" spans="1:15" x14ac:dyDescent="0.3">
      <c r="A1930" s="340" t="s">
        <v>891</v>
      </c>
      <c r="B1930" s="350">
        <v>46113</v>
      </c>
      <c r="C1930" s="350">
        <v>46136</v>
      </c>
      <c r="D1930" s="351">
        <v>46113</v>
      </c>
      <c r="E1930" s="340" t="s">
        <v>2564</v>
      </c>
      <c r="F1930" s="340" t="s">
        <v>894</v>
      </c>
      <c r="G1930" s="340" t="s">
        <v>2442</v>
      </c>
      <c r="H1930" s="340"/>
      <c r="I1930" s="340" t="s">
        <v>771</v>
      </c>
      <c r="K1930" s="343">
        <v>0</v>
      </c>
      <c r="L1930" s="343">
        <v>-2.2599999999999998</v>
      </c>
      <c r="M1930" s="343">
        <v>-1254791.93</v>
      </c>
      <c r="O1930" s="343">
        <v>0</v>
      </c>
    </row>
    <row r="1931" spans="1:15" x14ac:dyDescent="0.3">
      <c r="A1931" s="340" t="s">
        <v>891</v>
      </c>
      <c r="B1931" s="350">
        <v>46113</v>
      </c>
      <c r="C1931" s="350">
        <v>46136</v>
      </c>
      <c r="D1931" s="351">
        <v>46113</v>
      </c>
      <c r="E1931" s="340" t="s">
        <v>2564</v>
      </c>
      <c r="F1931" s="340" t="s">
        <v>894</v>
      </c>
      <c r="G1931" s="340" t="s">
        <v>2565</v>
      </c>
      <c r="H1931" s="340"/>
      <c r="I1931" s="340" t="s">
        <v>771</v>
      </c>
      <c r="K1931" s="343">
        <v>0</v>
      </c>
      <c r="L1931" s="343">
        <v>-4.6100000000000003</v>
      </c>
      <c r="M1931" s="343">
        <v>-1254796.54</v>
      </c>
      <c r="O1931" s="343">
        <v>0</v>
      </c>
    </row>
    <row r="1932" spans="1:15" x14ac:dyDescent="0.3">
      <c r="A1932" s="340" t="s">
        <v>891</v>
      </c>
      <c r="B1932" s="350">
        <v>46113</v>
      </c>
      <c r="C1932" s="350">
        <v>46136</v>
      </c>
      <c r="D1932" s="351">
        <v>46113</v>
      </c>
      <c r="E1932" s="340" t="s">
        <v>2564</v>
      </c>
      <c r="F1932" s="340" t="s">
        <v>894</v>
      </c>
      <c r="G1932" s="340" t="s">
        <v>2566</v>
      </c>
      <c r="H1932" s="340"/>
      <c r="I1932" s="340" t="s">
        <v>771</v>
      </c>
      <c r="K1932" s="343">
        <v>0</v>
      </c>
      <c r="L1932" s="343">
        <v>-6.4</v>
      </c>
      <c r="M1932" s="343">
        <v>-1254802.94</v>
      </c>
      <c r="O1932" s="343">
        <v>0</v>
      </c>
    </row>
    <row r="1933" spans="1:15" x14ac:dyDescent="0.3">
      <c r="A1933" s="340" t="s">
        <v>891</v>
      </c>
      <c r="B1933" s="350">
        <v>46113</v>
      </c>
      <c r="C1933" s="350">
        <v>46136</v>
      </c>
      <c r="D1933" s="351">
        <v>46113</v>
      </c>
      <c r="E1933" s="340" t="s">
        <v>2564</v>
      </c>
      <c r="F1933" s="340" t="s">
        <v>894</v>
      </c>
      <c r="G1933" s="340" t="s">
        <v>2567</v>
      </c>
      <c r="H1933" s="340"/>
      <c r="I1933" s="340" t="s">
        <v>771</v>
      </c>
      <c r="K1933" s="343">
        <v>0</v>
      </c>
      <c r="L1933" s="343">
        <v>-0.01</v>
      </c>
      <c r="M1933" s="343">
        <v>-1254802.95</v>
      </c>
      <c r="O1933" s="343">
        <v>0</v>
      </c>
    </row>
    <row r="1934" spans="1:15" x14ac:dyDescent="0.3">
      <c r="A1934" s="340" t="s">
        <v>891</v>
      </c>
      <c r="B1934" s="350">
        <v>46113</v>
      </c>
      <c r="C1934" s="350">
        <v>46136</v>
      </c>
      <c r="D1934" s="351">
        <v>46113</v>
      </c>
      <c r="E1934" s="340" t="s">
        <v>2564</v>
      </c>
      <c r="F1934" s="340" t="s">
        <v>894</v>
      </c>
      <c r="G1934" s="340" t="s">
        <v>2568</v>
      </c>
      <c r="H1934" s="340"/>
      <c r="I1934" s="340" t="s">
        <v>771</v>
      </c>
      <c r="K1934" s="343">
        <v>0</v>
      </c>
      <c r="L1934" s="343">
        <v>-0.02</v>
      </c>
      <c r="M1934" s="343">
        <v>-1254802.97</v>
      </c>
      <c r="O1934" s="343">
        <v>0</v>
      </c>
    </row>
    <row r="1935" spans="1:15" x14ac:dyDescent="0.3">
      <c r="A1935" s="340" t="s">
        <v>891</v>
      </c>
      <c r="B1935" s="350">
        <v>46113</v>
      </c>
      <c r="C1935" s="350">
        <v>46136</v>
      </c>
      <c r="D1935" s="351">
        <v>46113</v>
      </c>
      <c r="E1935" s="340" t="s">
        <v>2564</v>
      </c>
      <c r="F1935" s="340" t="s">
        <v>894</v>
      </c>
      <c r="G1935" s="340" t="s">
        <v>2568</v>
      </c>
      <c r="H1935" s="340"/>
      <c r="I1935" s="340" t="s">
        <v>771</v>
      </c>
      <c r="K1935" s="343">
        <v>0</v>
      </c>
      <c r="L1935" s="343">
        <v>-0.02</v>
      </c>
      <c r="M1935" s="343">
        <v>-1254802.99</v>
      </c>
      <c r="O1935" s="343">
        <v>0</v>
      </c>
    </row>
    <row r="1936" spans="1:15" x14ac:dyDescent="0.3">
      <c r="A1936" s="340" t="s">
        <v>891</v>
      </c>
      <c r="B1936" s="350">
        <v>46113</v>
      </c>
      <c r="C1936" s="350">
        <v>46136</v>
      </c>
      <c r="D1936" s="351">
        <v>46113</v>
      </c>
      <c r="E1936" s="340" t="s">
        <v>2564</v>
      </c>
      <c r="F1936" s="340" t="s">
        <v>894</v>
      </c>
      <c r="G1936" s="340" t="s">
        <v>2569</v>
      </c>
      <c r="H1936" s="340"/>
      <c r="I1936" s="340" t="s">
        <v>771</v>
      </c>
      <c r="K1936" s="343">
        <v>0</v>
      </c>
      <c r="L1936" s="343">
        <v>-0.1</v>
      </c>
      <c r="M1936" s="343">
        <v>-1254803.0900000001</v>
      </c>
      <c r="O1936" s="343">
        <v>0</v>
      </c>
    </row>
    <row r="1937" spans="1:15" x14ac:dyDescent="0.3">
      <c r="A1937" s="340" t="s">
        <v>891</v>
      </c>
      <c r="B1937" s="350">
        <v>46113</v>
      </c>
      <c r="C1937" s="350">
        <v>46136</v>
      </c>
      <c r="D1937" s="351">
        <v>46113</v>
      </c>
      <c r="E1937" s="340" t="s">
        <v>2564</v>
      </c>
      <c r="F1937" s="340" t="s">
        <v>894</v>
      </c>
      <c r="G1937" s="340" t="s">
        <v>2570</v>
      </c>
      <c r="H1937" s="340"/>
      <c r="I1937" s="340" t="s">
        <v>771</v>
      </c>
      <c r="K1937" s="343">
        <v>0</v>
      </c>
      <c r="L1937" s="343">
        <v>-0.11</v>
      </c>
      <c r="M1937" s="343">
        <v>-1254803.2</v>
      </c>
      <c r="O1937" s="343">
        <v>0</v>
      </c>
    </row>
    <row r="1938" spans="1:15" x14ac:dyDescent="0.3">
      <c r="A1938" s="340" t="s">
        <v>891</v>
      </c>
      <c r="B1938" s="350">
        <v>46113</v>
      </c>
      <c r="C1938" s="350">
        <v>46136</v>
      </c>
      <c r="D1938" s="351">
        <v>46113</v>
      </c>
      <c r="E1938" s="340" t="s">
        <v>2564</v>
      </c>
      <c r="F1938" s="340" t="s">
        <v>894</v>
      </c>
      <c r="G1938" s="340" t="s">
        <v>2439</v>
      </c>
      <c r="H1938" s="340"/>
      <c r="I1938" s="340" t="s">
        <v>771</v>
      </c>
      <c r="K1938" s="343">
        <v>0</v>
      </c>
      <c r="L1938" s="343">
        <v>-0.12</v>
      </c>
      <c r="M1938" s="343">
        <v>-1254803.32</v>
      </c>
      <c r="O1938" s="343">
        <v>0</v>
      </c>
    </row>
    <row r="1939" spans="1:15" x14ac:dyDescent="0.3">
      <c r="A1939" s="340" t="s">
        <v>891</v>
      </c>
      <c r="B1939" s="350">
        <v>46113</v>
      </c>
      <c r="C1939" s="350">
        <v>46136</v>
      </c>
      <c r="D1939" s="351">
        <v>46113</v>
      </c>
      <c r="E1939" s="340" t="s">
        <v>2564</v>
      </c>
      <c r="F1939" s="340" t="s">
        <v>894</v>
      </c>
      <c r="G1939" s="340" t="s">
        <v>2439</v>
      </c>
      <c r="H1939" s="340"/>
      <c r="I1939" s="340" t="s">
        <v>771</v>
      </c>
      <c r="K1939" s="343">
        <v>0</v>
      </c>
      <c r="L1939" s="343">
        <v>-0.14000000000000001</v>
      </c>
      <c r="M1939" s="343">
        <v>-1254803.46</v>
      </c>
      <c r="O1939" s="343">
        <v>0</v>
      </c>
    </row>
    <row r="1940" spans="1:15" x14ac:dyDescent="0.3">
      <c r="A1940" s="340" t="s">
        <v>891</v>
      </c>
      <c r="B1940" s="350">
        <v>46113</v>
      </c>
      <c r="C1940" s="350">
        <v>46136</v>
      </c>
      <c r="D1940" s="351">
        <v>46113</v>
      </c>
      <c r="E1940" s="340" t="s">
        <v>2564</v>
      </c>
      <c r="F1940" s="340" t="s">
        <v>894</v>
      </c>
      <c r="G1940" s="340" t="s">
        <v>2441</v>
      </c>
      <c r="H1940" s="340"/>
      <c r="I1940" s="340" t="s">
        <v>771</v>
      </c>
      <c r="K1940" s="343">
        <v>0</v>
      </c>
      <c r="L1940" s="343">
        <v>-0.24</v>
      </c>
      <c r="M1940" s="343">
        <v>-1254803.7</v>
      </c>
      <c r="O1940" s="343">
        <v>0</v>
      </c>
    </row>
    <row r="1941" spans="1:15" x14ac:dyDescent="0.3">
      <c r="A1941" s="340" t="s">
        <v>891</v>
      </c>
      <c r="B1941" s="350">
        <v>46113</v>
      </c>
      <c r="C1941" s="350">
        <v>46136</v>
      </c>
      <c r="D1941" s="351">
        <v>46113</v>
      </c>
      <c r="E1941" s="340" t="s">
        <v>2564</v>
      </c>
      <c r="F1941" s="340" t="s">
        <v>894</v>
      </c>
      <c r="G1941" s="340" t="s">
        <v>2441</v>
      </c>
      <c r="H1941" s="340"/>
      <c r="I1941" s="340" t="s">
        <v>771</v>
      </c>
      <c r="K1941" s="343">
        <v>0</v>
      </c>
      <c r="L1941" s="343">
        <v>-0.28999999999999998</v>
      </c>
      <c r="M1941" s="343">
        <v>-1254803.99</v>
      </c>
      <c r="O1941" s="343">
        <v>0</v>
      </c>
    </row>
    <row r="1942" spans="1:15" x14ac:dyDescent="0.3">
      <c r="A1942" s="340" t="s">
        <v>891</v>
      </c>
      <c r="B1942" s="350">
        <v>46113</v>
      </c>
      <c r="C1942" s="350">
        <v>46136</v>
      </c>
      <c r="D1942" s="351">
        <v>46113</v>
      </c>
      <c r="E1942" s="340" t="s">
        <v>2564</v>
      </c>
      <c r="F1942" s="340" t="s">
        <v>894</v>
      </c>
      <c r="G1942" s="340" t="s">
        <v>2571</v>
      </c>
      <c r="H1942" s="340"/>
      <c r="I1942" s="340" t="s">
        <v>771</v>
      </c>
      <c r="K1942" s="343">
        <v>0</v>
      </c>
      <c r="L1942" s="343">
        <v>-1</v>
      </c>
      <c r="M1942" s="343">
        <v>-1254804.99</v>
      </c>
      <c r="O1942" s="343">
        <v>0</v>
      </c>
    </row>
    <row r="1943" spans="1:15" x14ac:dyDescent="0.3">
      <c r="A1943" s="340" t="s">
        <v>891</v>
      </c>
      <c r="B1943" s="350">
        <v>46113</v>
      </c>
      <c r="C1943" s="350">
        <v>46136</v>
      </c>
      <c r="D1943" s="351">
        <v>46113</v>
      </c>
      <c r="E1943" s="340" t="s">
        <v>2564</v>
      </c>
      <c r="F1943" s="340" t="s">
        <v>894</v>
      </c>
      <c r="G1943" s="340" t="s">
        <v>2442</v>
      </c>
      <c r="H1943" s="340"/>
      <c r="I1943" s="340" t="s">
        <v>771</v>
      </c>
      <c r="K1943" s="343">
        <v>0</v>
      </c>
      <c r="L1943" s="343">
        <v>-2.2599999999999998</v>
      </c>
      <c r="M1943" s="343">
        <v>-1254807.25</v>
      </c>
      <c r="O1943" s="343">
        <v>0</v>
      </c>
    </row>
    <row r="1944" spans="1:15" x14ac:dyDescent="0.3">
      <c r="A1944" s="340" t="s">
        <v>891</v>
      </c>
      <c r="B1944" s="350">
        <v>46113</v>
      </c>
      <c r="C1944" s="350">
        <v>46136</v>
      </c>
      <c r="D1944" s="351">
        <v>46113</v>
      </c>
      <c r="E1944" s="340" t="s">
        <v>2564</v>
      </c>
      <c r="F1944" s="340" t="s">
        <v>894</v>
      </c>
      <c r="G1944" s="340" t="s">
        <v>2572</v>
      </c>
      <c r="H1944" s="340"/>
      <c r="I1944" s="340" t="s">
        <v>771</v>
      </c>
      <c r="K1944" s="343">
        <v>0</v>
      </c>
      <c r="L1944" s="343">
        <v>-2.83</v>
      </c>
      <c r="M1944" s="343">
        <v>-1254810.08</v>
      </c>
      <c r="O1944" s="343">
        <v>0</v>
      </c>
    </row>
    <row r="1945" spans="1:15" x14ac:dyDescent="0.3">
      <c r="A1945" s="340" t="s">
        <v>891</v>
      </c>
      <c r="B1945" s="350">
        <v>46113</v>
      </c>
      <c r="C1945" s="350">
        <v>46136</v>
      </c>
      <c r="D1945" s="351">
        <v>46113</v>
      </c>
      <c r="E1945" s="340" t="s">
        <v>2564</v>
      </c>
      <c r="F1945" s="340" t="s">
        <v>894</v>
      </c>
      <c r="G1945" s="340" t="s">
        <v>2573</v>
      </c>
      <c r="H1945" s="340"/>
      <c r="I1945" s="340" t="s">
        <v>771</v>
      </c>
      <c r="K1945" s="343">
        <v>0</v>
      </c>
      <c r="L1945" s="343">
        <v>-3.32</v>
      </c>
      <c r="M1945" s="343">
        <v>-1254813.3999999999</v>
      </c>
      <c r="O1945" s="343">
        <v>0</v>
      </c>
    </row>
    <row r="1946" spans="1:15" x14ac:dyDescent="0.3">
      <c r="A1946" s="340" t="s">
        <v>891</v>
      </c>
      <c r="B1946" s="350">
        <v>46113</v>
      </c>
      <c r="C1946" s="350">
        <v>46136</v>
      </c>
      <c r="D1946" s="351">
        <v>46113</v>
      </c>
      <c r="E1946" s="340" t="s">
        <v>2564</v>
      </c>
      <c r="F1946" s="340" t="s">
        <v>894</v>
      </c>
      <c r="G1946" s="340" t="s">
        <v>2565</v>
      </c>
      <c r="H1946" s="340"/>
      <c r="I1946" s="340" t="s">
        <v>771</v>
      </c>
      <c r="K1946" s="343">
        <v>0</v>
      </c>
      <c r="L1946" s="343">
        <v>-4.6100000000000003</v>
      </c>
      <c r="M1946" s="343">
        <v>-1254818.01</v>
      </c>
      <c r="O1946" s="343">
        <v>0</v>
      </c>
    </row>
    <row r="1947" spans="1:15" x14ac:dyDescent="0.3">
      <c r="A1947" s="340" t="s">
        <v>891</v>
      </c>
      <c r="B1947" s="350">
        <v>46113</v>
      </c>
      <c r="C1947" s="350">
        <v>46136</v>
      </c>
      <c r="D1947" s="351">
        <v>46113</v>
      </c>
      <c r="E1947" s="340" t="s">
        <v>2564</v>
      </c>
      <c r="F1947" s="340" t="s">
        <v>894</v>
      </c>
      <c r="G1947" s="340" t="s">
        <v>2566</v>
      </c>
      <c r="H1947" s="340"/>
      <c r="I1947" s="340" t="s">
        <v>771</v>
      </c>
      <c r="K1947" s="343">
        <v>0</v>
      </c>
      <c r="L1947" s="343">
        <v>-11.34</v>
      </c>
      <c r="M1947" s="343">
        <v>-1254829.3500000001</v>
      </c>
      <c r="O1947" s="343">
        <v>0</v>
      </c>
    </row>
    <row r="1948" spans="1:15" x14ac:dyDescent="0.3">
      <c r="A1948" s="340" t="s">
        <v>891</v>
      </c>
      <c r="B1948" s="350">
        <v>46113</v>
      </c>
      <c r="C1948" s="350">
        <v>46136</v>
      </c>
      <c r="D1948" s="351">
        <v>46113</v>
      </c>
      <c r="E1948" s="340" t="s">
        <v>2564</v>
      </c>
      <c r="F1948" s="340" t="s">
        <v>894</v>
      </c>
      <c r="G1948" s="340" t="s">
        <v>2568</v>
      </c>
      <c r="H1948" s="340"/>
      <c r="I1948" s="340" t="s">
        <v>771</v>
      </c>
      <c r="K1948" s="343">
        <v>0</v>
      </c>
      <c r="L1948" s="343">
        <v>-0.01</v>
      </c>
      <c r="M1948" s="343">
        <v>-1254829.3600000001</v>
      </c>
      <c r="O1948" s="343">
        <v>0</v>
      </c>
    </row>
    <row r="1949" spans="1:15" x14ac:dyDescent="0.3">
      <c r="A1949" s="340" t="s">
        <v>891</v>
      </c>
      <c r="B1949" s="350">
        <v>46113</v>
      </c>
      <c r="C1949" s="350">
        <v>46136</v>
      </c>
      <c r="D1949" s="351">
        <v>46113</v>
      </c>
      <c r="E1949" s="340" t="s">
        <v>2564</v>
      </c>
      <c r="F1949" s="340" t="s">
        <v>894</v>
      </c>
      <c r="G1949" s="340" t="s">
        <v>2439</v>
      </c>
      <c r="H1949" s="340"/>
      <c r="I1949" s="340" t="s">
        <v>771</v>
      </c>
      <c r="K1949" s="343">
        <v>0</v>
      </c>
      <c r="L1949" s="343">
        <v>-0.03</v>
      </c>
      <c r="M1949" s="343">
        <v>-1254829.3899999999</v>
      </c>
      <c r="O1949" s="343">
        <v>0</v>
      </c>
    </row>
    <row r="1950" spans="1:15" x14ac:dyDescent="0.3">
      <c r="A1950" s="340" t="s">
        <v>891</v>
      </c>
      <c r="B1950" s="350">
        <v>46113</v>
      </c>
      <c r="C1950" s="350">
        <v>46136</v>
      </c>
      <c r="D1950" s="351">
        <v>46113</v>
      </c>
      <c r="E1950" s="340" t="s">
        <v>2564</v>
      </c>
      <c r="F1950" s="340" t="s">
        <v>894</v>
      </c>
      <c r="G1950" s="340" t="s">
        <v>2570</v>
      </c>
      <c r="H1950" s="340"/>
      <c r="I1950" s="340" t="s">
        <v>771</v>
      </c>
      <c r="K1950" s="343">
        <v>0</v>
      </c>
      <c r="L1950" s="343">
        <v>-0.03</v>
      </c>
      <c r="M1950" s="343">
        <v>-1254829.42</v>
      </c>
      <c r="O1950" s="343">
        <v>0</v>
      </c>
    </row>
    <row r="1951" spans="1:15" x14ac:dyDescent="0.3">
      <c r="A1951" s="340" t="s">
        <v>891</v>
      </c>
      <c r="B1951" s="350">
        <v>46113</v>
      </c>
      <c r="C1951" s="350">
        <v>46136</v>
      </c>
      <c r="D1951" s="351">
        <v>46113</v>
      </c>
      <c r="E1951" s="340" t="s">
        <v>2564</v>
      </c>
      <c r="F1951" s="340" t="s">
        <v>894</v>
      </c>
      <c r="G1951" s="340" t="s">
        <v>2569</v>
      </c>
      <c r="H1951" s="340"/>
      <c r="I1951" s="340" t="s">
        <v>771</v>
      </c>
      <c r="K1951" s="343">
        <v>0</v>
      </c>
      <c r="L1951" s="343">
        <v>-0.03</v>
      </c>
      <c r="M1951" s="343">
        <v>-1254829.45</v>
      </c>
      <c r="O1951" s="343">
        <v>0</v>
      </c>
    </row>
    <row r="1952" spans="1:15" x14ac:dyDescent="0.3">
      <c r="A1952" s="340" t="s">
        <v>891</v>
      </c>
      <c r="B1952" s="350">
        <v>46113</v>
      </c>
      <c r="C1952" s="350">
        <v>46136</v>
      </c>
      <c r="D1952" s="351">
        <v>46113</v>
      </c>
      <c r="E1952" s="340" t="s">
        <v>2564</v>
      </c>
      <c r="F1952" s="340" t="s">
        <v>894</v>
      </c>
      <c r="G1952" s="340" t="s">
        <v>2441</v>
      </c>
      <c r="H1952" s="340"/>
      <c r="I1952" s="340" t="s">
        <v>771</v>
      </c>
      <c r="K1952" s="343">
        <v>0</v>
      </c>
      <c r="L1952" s="343">
        <v>-0.06</v>
      </c>
      <c r="M1952" s="343">
        <v>-1254829.51</v>
      </c>
      <c r="O1952" s="343">
        <v>0</v>
      </c>
    </row>
    <row r="1953" spans="1:15" x14ac:dyDescent="0.3">
      <c r="A1953" s="340" t="s">
        <v>891</v>
      </c>
      <c r="B1953" s="350">
        <v>46113</v>
      </c>
      <c r="C1953" s="350">
        <v>46136</v>
      </c>
      <c r="D1953" s="351">
        <v>46113</v>
      </c>
      <c r="E1953" s="340" t="s">
        <v>2564</v>
      </c>
      <c r="F1953" s="340" t="s">
        <v>894</v>
      </c>
      <c r="G1953" s="340" t="s">
        <v>2439</v>
      </c>
      <c r="H1953" s="340"/>
      <c r="I1953" s="340" t="s">
        <v>771</v>
      </c>
      <c r="K1953" s="343">
        <v>0</v>
      </c>
      <c r="L1953" s="343">
        <v>-0.09</v>
      </c>
      <c r="M1953" s="343">
        <v>-1254829.6000000001</v>
      </c>
      <c r="O1953" s="343">
        <v>0</v>
      </c>
    </row>
    <row r="1954" spans="1:15" x14ac:dyDescent="0.3">
      <c r="A1954" s="340" t="s">
        <v>891</v>
      </c>
      <c r="B1954" s="350">
        <v>46113</v>
      </c>
      <c r="C1954" s="350">
        <v>46136</v>
      </c>
      <c r="D1954" s="351">
        <v>46113</v>
      </c>
      <c r="E1954" s="340" t="s">
        <v>2564</v>
      </c>
      <c r="F1954" s="340" t="s">
        <v>894</v>
      </c>
      <c r="G1954" s="340" t="s">
        <v>2441</v>
      </c>
      <c r="H1954" s="340"/>
      <c r="I1954" s="340" t="s">
        <v>771</v>
      </c>
      <c r="K1954" s="343">
        <v>0</v>
      </c>
      <c r="L1954" s="343">
        <v>-0.18</v>
      </c>
      <c r="M1954" s="343">
        <v>-1254829.78</v>
      </c>
      <c r="O1954" s="343">
        <v>0</v>
      </c>
    </row>
    <row r="1955" spans="1:15" x14ac:dyDescent="0.3">
      <c r="A1955" s="340" t="s">
        <v>891</v>
      </c>
      <c r="B1955" s="350">
        <v>46113</v>
      </c>
      <c r="C1955" s="350">
        <v>46136</v>
      </c>
      <c r="D1955" s="351">
        <v>46113</v>
      </c>
      <c r="E1955" s="340" t="s">
        <v>2564</v>
      </c>
      <c r="F1955" s="340" t="s">
        <v>894</v>
      </c>
      <c r="G1955" s="340" t="s">
        <v>2571</v>
      </c>
      <c r="H1955" s="340"/>
      <c r="I1955" s="340" t="s">
        <v>771</v>
      </c>
      <c r="K1955" s="343">
        <v>0</v>
      </c>
      <c r="L1955" s="343">
        <v>-0.26</v>
      </c>
      <c r="M1955" s="343">
        <v>-1254830.04</v>
      </c>
      <c r="O1955" s="343">
        <v>0</v>
      </c>
    </row>
    <row r="1956" spans="1:15" x14ac:dyDescent="0.3">
      <c r="A1956" s="340" t="s">
        <v>891</v>
      </c>
      <c r="B1956" s="350">
        <v>46113</v>
      </c>
      <c r="C1956" s="350">
        <v>46136</v>
      </c>
      <c r="D1956" s="351">
        <v>46113</v>
      </c>
      <c r="E1956" s="340" t="s">
        <v>2564</v>
      </c>
      <c r="F1956" s="340" t="s">
        <v>894</v>
      </c>
      <c r="G1956" s="340" t="s">
        <v>2572</v>
      </c>
      <c r="H1956" s="340"/>
      <c r="I1956" s="340" t="s">
        <v>771</v>
      </c>
      <c r="K1956" s="343">
        <v>0</v>
      </c>
      <c r="L1956" s="343">
        <v>-0.73</v>
      </c>
      <c r="M1956" s="343">
        <v>-1254830.77</v>
      </c>
      <c r="O1956" s="343">
        <v>0</v>
      </c>
    </row>
    <row r="1957" spans="1:15" x14ac:dyDescent="0.3">
      <c r="A1957" s="340" t="s">
        <v>891</v>
      </c>
      <c r="B1957" s="350">
        <v>46113</v>
      </c>
      <c r="C1957" s="350">
        <v>46136</v>
      </c>
      <c r="D1957" s="351">
        <v>46113</v>
      </c>
      <c r="E1957" s="340" t="s">
        <v>2564</v>
      </c>
      <c r="F1957" s="340" t="s">
        <v>894</v>
      </c>
      <c r="G1957" s="340" t="s">
        <v>2573</v>
      </c>
      <c r="H1957" s="340"/>
      <c r="I1957" s="340" t="s">
        <v>771</v>
      </c>
      <c r="K1957" s="343">
        <v>0</v>
      </c>
      <c r="L1957" s="343">
        <v>-0.85</v>
      </c>
      <c r="M1957" s="343">
        <v>-1254831.6200000001</v>
      </c>
      <c r="O1957" s="343">
        <v>0</v>
      </c>
    </row>
    <row r="1958" spans="1:15" x14ac:dyDescent="0.3">
      <c r="A1958" s="340" t="s">
        <v>891</v>
      </c>
      <c r="B1958" s="350">
        <v>46113</v>
      </c>
      <c r="C1958" s="350">
        <v>46136</v>
      </c>
      <c r="D1958" s="351">
        <v>46113</v>
      </c>
      <c r="E1958" s="340" t="s">
        <v>2564</v>
      </c>
      <c r="F1958" s="340" t="s">
        <v>894</v>
      </c>
      <c r="G1958" s="340" t="s">
        <v>2442</v>
      </c>
      <c r="H1958" s="340"/>
      <c r="I1958" s="340" t="s">
        <v>771</v>
      </c>
      <c r="K1958" s="343">
        <v>0</v>
      </c>
      <c r="L1958" s="343">
        <v>-2.2599999999999998</v>
      </c>
      <c r="M1958" s="343">
        <v>-1254833.8799999999</v>
      </c>
      <c r="O1958" s="343">
        <v>0</v>
      </c>
    </row>
    <row r="1959" spans="1:15" x14ac:dyDescent="0.3">
      <c r="A1959" s="340" t="s">
        <v>891</v>
      </c>
      <c r="B1959" s="350">
        <v>46113</v>
      </c>
      <c r="C1959" s="350">
        <v>46136</v>
      </c>
      <c r="D1959" s="351">
        <v>46113</v>
      </c>
      <c r="E1959" s="340" t="s">
        <v>2564</v>
      </c>
      <c r="F1959" s="340" t="s">
        <v>894</v>
      </c>
      <c r="G1959" s="340" t="s">
        <v>2566</v>
      </c>
      <c r="H1959" s="340"/>
      <c r="I1959" s="340" t="s">
        <v>771</v>
      </c>
      <c r="K1959" s="343">
        <v>0</v>
      </c>
      <c r="L1959" s="343">
        <v>-2.91</v>
      </c>
      <c r="M1959" s="343">
        <v>-1254836.79</v>
      </c>
      <c r="O1959" s="343">
        <v>0</v>
      </c>
    </row>
    <row r="1960" spans="1:15" x14ac:dyDescent="0.3">
      <c r="A1960" s="340" t="s">
        <v>891</v>
      </c>
      <c r="B1960" s="350">
        <v>46113</v>
      </c>
      <c r="C1960" s="350">
        <v>46136</v>
      </c>
      <c r="D1960" s="351">
        <v>46113</v>
      </c>
      <c r="E1960" s="340" t="s">
        <v>2564</v>
      </c>
      <c r="F1960" s="340" t="s">
        <v>894</v>
      </c>
      <c r="G1960" s="340" t="s">
        <v>2565</v>
      </c>
      <c r="H1960" s="340"/>
      <c r="I1960" s="340" t="s">
        <v>771</v>
      </c>
      <c r="K1960" s="343">
        <v>0</v>
      </c>
      <c r="L1960" s="343">
        <v>-4.6100000000000003</v>
      </c>
      <c r="M1960" s="343">
        <v>-1254841.3999999999</v>
      </c>
      <c r="O1960" s="343">
        <v>0</v>
      </c>
    </row>
    <row r="1961" spans="1:15" x14ac:dyDescent="0.3">
      <c r="A1961" s="340" t="s">
        <v>891</v>
      </c>
      <c r="B1961" s="350">
        <v>46113</v>
      </c>
      <c r="C1961" s="350">
        <v>46136</v>
      </c>
      <c r="D1961" s="351">
        <v>46113</v>
      </c>
      <c r="E1961" s="340" t="s">
        <v>2564</v>
      </c>
      <c r="F1961" s="340" t="s">
        <v>894</v>
      </c>
      <c r="G1961" s="340" t="s">
        <v>2567</v>
      </c>
      <c r="H1961" s="340"/>
      <c r="I1961" s="340" t="s">
        <v>771</v>
      </c>
      <c r="K1961" s="343">
        <v>0</v>
      </c>
      <c r="L1961" s="343">
        <v>-0.01</v>
      </c>
      <c r="M1961" s="343">
        <v>-1254841.4099999999</v>
      </c>
      <c r="O1961" s="343">
        <v>0</v>
      </c>
    </row>
    <row r="1962" spans="1:15" x14ac:dyDescent="0.3">
      <c r="A1962" s="340" t="s">
        <v>891</v>
      </c>
      <c r="B1962" s="350">
        <v>46113</v>
      </c>
      <c r="C1962" s="350">
        <v>46136</v>
      </c>
      <c r="D1962" s="351">
        <v>46113</v>
      </c>
      <c r="E1962" s="340" t="s">
        <v>2564</v>
      </c>
      <c r="F1962" s="340" t="s">
        <v>894</v>
      </c>
      <c r="G1962" s="340" t="s">
        <v>2568</v>
      </c>
      <c r="H1962" s="340"/>
      <c r="I1962" s="340" t="s">
        <v>771</v>
      </c>
      <c r="K1962" s="343">
        <v>0</v>
      </c>
      <c r="L1962" s="343">
        <v>-0.01</v>
      </c>
      <c r="M1962" s="343">
        <v>-1254841.42</v>
      </c>
      <c r="O1962" s="343">
        <v>0</v>
      </c>
    </row>
    <row r="1963" spans="1:15" x14ac:dyDescent="0.3">
      <c r="A1963" s="340" t="s">
        <v>891</v>
      </c>
      <c r="B1963" s="350">
        <v>46113</v>
      </c>
      <c r="C1963" s="350">
        <v>46136</v>
      </c>
      <c r="D1963" s="351">
        <v>46113</v>
      </c>
      <c r="E1963" s="340" t="s">
        <v>2564</v>
      </c>
      <c r="F1963" s="340" t="s">
        <v>894</v>
      </c>
      <c r="G1963" s="340" t="s">
        <v>2568</v>
      </c>
      <c r="H1963" s="340"/>
      <c r="I1963" s="340" t="s">
        <v>771</v>
      </c>
      <c r="K1963" s="343">
        <v>0</v>
      </c>
      <c r="L1963" s="343">
        <v>-0.02</v>
      </c>
      <c r="M1963" s="343">
        <v>-1254841.44</v>
      </c>
      <c r="O1963" s="343">
        <v>0</v>
      </c>
    </row>
    <row r="1964" spans="1:15" x14ac:dyDescent="0.3">
      <c r="A1964" s="340" t="s">
        <v>891</v>
      </c>
      <c r="B1964" s="350">
        <v>46113</v>
      </c>
      <c r="C1964" s="350">
        <v>46136</v>
      </c>
      <c r="D1964" s="351">
        <v>46113</v>
      </c>
      <c r="E1964" s="340" t="s">
        <v>2564</v>
      </c>
      <c r="F1964" s="340" t="s">
        <v>894</v>
      </c>
      <c r="G1964" s="340" t="s">
        <v>2569</v>
      </c>
      <c r="H1964" s="340"/>
      <c r="I1964" s="340" t="s">
        <v>771</v>
      </c>
      <c r="K1964" s="343">
        <v>0</v>
      </c>
      <c r="L1964" s="343">
        <v>-0.06</v>
      </c>
      <c r="M1964" s="343">
        <v>-1254841.5</v>
      </c>
      <c r="O1964" s="343">
        <v>0</v>
      </c>
    </row>
    <row r="1965" spans="1:15" x14ac:dyDescent="0.3">
      <c r="A1965" s="340" t="s">
        <v>891</v>
      </c>
      <c r="B1965" s="350">
        <v>46113</v>
      </c>
      <c r="C1965" s="350">
        <v>46136</v>
      </c>
      <c r="D1965" s="351">
        <v>46113</v>
      </c>
      <c r="E1965" s="340" t="s">
        <v>2564</v>
      </c>
      <c r="F1965" s="340" t="s">
        <v>894</v>
      </c>
      <c r="G1965" s="340" t="s">
        <v>2439</v>
      </c>
      <c r="H1965" s="340"/>
      <c r="I1965" s="340" t="s">
        <v>771</v>
      </c>
      <c r="K1965" s="343">
        <v>0</v>
      </c>
      <c r="L1965" s="343">
        <v>-7.0000000000000007E-2</v>
      </c>
      <c r="M1965" s="343">
        <v>-1254841.57</v>
      </c>
      <c r="O1965" s="343">
        <v>0</v>
      </c>
    </row>
    <row r="1966" spans="1:15" x14ac:dyDescent="0.3">
      <c r="A1966" s="340" t="s">
        <v>891</v>
      </c>
      <c r="B1966" s="350">
        <v>46113</v>
      </c>
      <c r="C1966" s="350">
        <v>46136</v>
      </c>
      <c r="D1966" s="351">
        <v>46113</v>
      </c>
      <c r="E1966" s="340" t="s">
        <v>2564</v>
      </c>
      <c r="F1966" s="340" t="s">
        <v>894</v>
      </c>
      <c r="G1966" s="340" t="s">
        <v>2570</v>
      </c>
      <c r="H1966" s="340"/>
      <c r="I1966" s="340" t="s">
        <v>771</v>
      </c>
      <c r="K1966" s="343">
        <v>0</v>
      </c>
      <c r="L1966" s="343">
        <v>-7.0000000000000007E-2</v>
      </c>
      <c r="M1966" s="343">
        <v>-1254841.6399999999</v>
      </c>
      <c r="O1966" s="343">
        <v>0</v>
      </c>
    </row>
    <row r="1967" spans="1:15" x14ac:dyDescent="0.3">
      <c r="A1967" s="340" t="s">
        <v>891</v>
      </c>
      <c r="B1967" s="350">
        <v>46113</v>
      </c>
      <c r="C1967" s="350">
        <v>46136</v>
      </c>
      <c r="D1967" s="351">
        <v>46113</v>
      </c>
      <c r="E1967" s="340" t="s">
        <v>2564</v>
      </c>
      <c r="F1967" s="340" t="s">
        <v>894</v>
      </c>
      <c r="G1967" s="340" t="s">
        <v>2439</v>
      </c>
      <c r="H1967" s="340"/>
      <c r="I1967" s="340" t="s">
        <v>771</v>
      </c>
      <c r="K1967" s="343">
        <v>0</v>
      </c>
      <c r="L1967" s="343">
        <v>-0.11</v>
      </c>
      <c r="M1967" s="343">
        <v>-1254841.75</v>
      </c>
      <c r="O1967" s="343">
        <v>0</v>
      </c>
    </row>
    <row r="1968" spans="1:15" x14ac:dyDescent="0.3">
      <c r="A1968" s="340" t="s">
        <v>891</v>
      </c>
      <c r="B1968" s="350">
        <v>46113</v>
      </c>
      <c r="C1968" s="350">
        <v>46136</v>
      </c>
      <c r="D1968" s="351">
        <v>46113</v>
      </c>
      <c r="E1968" s="340" t="s">
        <v>2564</v>
      </c>
      <c r="F1968" s="340" t="s">
        <v>894</v>
      </c>
      <c r="G1968" s="340" t="s">
        <v>2441</v>
      </c>
      <c r="H1968" s="340"/>
      <c r="I1968" s="340" t="s">
        <v>771</v>
      </c>
      <c r="K1968" s="343">
        <v>0</v>
      </c>
      <c r="L1968" s="343">
        <v>-0.14000000000000001</v>
      </c>
      <c r="M1968" s="343">
        <v>-1254841.8899999999</v>
      </c>
      <c r="O1968" s="343">
        <v>0</v>
      </c>
    </row>
    <row r="1969" spans="1:15" x14ac:dyDescent="0.3">
      <c r="A1969" s="340" t="s">
        <v>891</v>
      </c>
      <c r="B1969" s="350">
        <v>46113</v>
      </c>
      <c r="C1969" s="350">
        <v>46136</v>
      </c>
      <c r="D1969" s="351">
        <v>46113</v>
      </c>
      <c r="E1969" s="340" t="s">
        <v>2564</v>
      </c>
      <c r="F1969" s="340" t="s">
        <v>894</v>
      </c>
      <c r="G1969" s="340" t="s">
        <v>2441</v>
      </c>
      <c r="H1969" s="340"/>
      <c r="I1969" s="340" t="s">
        <v>771</v>
      </c>
      <c r="K1969" s="343">
        <v>0</v>
      </c>
      <c r="L1969" s="343">
        <v>-0.23</v>
      </c>
      <c r="M1969" s="343">
        <v>-1254842.1200000001</v>
      </c>
      <c r="O1969" s="343">
        <v>0</v>
      </c>
    </row>
    <row r="1970" spans="1:15" x14ac:dyDescent="0.3">
      <c r="A1970" s="340" t="s">
        <v>891</v>
      </c>
      <c r="B1970" s="350">
        <v>46113</v>
      </c>
      <c r="C1970" s="350">
        <v>46136</v>
      </c>
      <c r="D1970" s="351">
        <v>46113</v>
      </c>
      <c r="E1970" s="340" t="s">
        <v>2564</v>
      </c>
      <c r="F1970" s="340" t="s">
        <v>894</v>
      </c>
      <c r="G1970" s="340" t="s">
        <v>2571</v>
      </c>
      <c r="H1970" s="340"/>
      <c r="I1970" s="340" t="s">
        <v>771</v>
      </c>
      <c r="K1970" s="343">
        <v>0</v>
      </c>
      <c r="L1970" s="343">
        <v>-0.6</v>
      </c>
      <c r="M1970" s="343">
        <v>-1254842.72</v>
      </c>
      <c r="O1970" s="343">
        <v>0</v>
      </c>
    </row>
    <row r="1971" spans="1:15" x14ac:dyDescent="0.3">
      <c r="A1971" s="340" t="s">
        <v>891</v>
      </c>
      <c r="B1971" s="350">
        <v>46113</v>
      </c>
      <c r="C1971" s="350">
        <v>46136</v>
      </c>
      <c r="D1971" s="351">
        <v>46113</v>
      </c>
      <c r="E1971" s="340" t="s">
        <v>2564</v>
      </c>
      <c r="F1971" s="340" t="s">
        <v>894</v>
      </c>
      <c r="G1971" s="340" t="s">
        <v>2572</v>
      </c>
      <c r="H1971" s="340"/>
      <c r="I1971" s="340" t="s">
        <v>771</v>
      </c>
      <c r="K1971" s="343">
        <v>0</v>
      </c>
      <c r="L1971" s="343">
        <v>-1.71</v>
      </c>
      <c r="M1971" s="343">
        <v>-1254844.43</v>
      </c>
      <c r="O1971" s="343">
        <v>0</v>
      </c>
    </row>
    <row r="1972" spans="1:15" x14ac:dyDescent="0.3">
      <c r="A1972" s="340" t="s">
        <v>891</v>
      </c>
      <c r="B1972" s="350">
        <v>46113</v>
      </c>
      <c r="C1972" s="350">
        <v>46136</v>
      </c>
      <c r="D1972" s="351">
        <v>46113</v>
      </c>
      <c r="E1972" s="340" t="s">
        <v>2564</v>
      </c>
      <c r="F1972" s="340" t="s">
        <v>894</v>
      </c>
      <c r="G1972" s="340" t="s">
        <v>2573</v>
      </c>
      <c r="H1972" s="340"/>
      <c r="I1972" s="340" t="s">
        <v>771</v>
      </c>
      <c r="K1972" s="343">
        <v>0</v>
      </c>
      <c r="L1972" s="343">
        <v>-2</v>
      </c>
      <c r="M1972" s="343">
        <v>-1254846.43</v>
      </c>
      <c r="O1972" s="343">
        <v>0</v>
      </c>
    </row>
    <row r="1973" spans="1:15" x14ac:dyDescent="0.3">
      <c r="A1973" s="340" t="s">
        <v>891</v>
      </c>
      <c r="B1973" s="350">
        <v>46113</v>
      </c>
      <c r="C1973" s="350">
        <v>46136</v>
      </c>
      <c r="D1973" s="351">
        <v>46113</v>
      </c>
      <c r="E1973" s="340" t="s">
        <v>2564</v>
      </c>
      <c r="F1973" s="340" t="s">
        <v>894</v>
      </c>
      <c r="G1973" s="340" t="s">
        <v>2442</v>
      </c>
      <c r="H1973" s="340"/>
      <c r="I1973" s="340" t="s">
        <v>771</v>
      </c>
      <c r="K1973" s="343">
        <v>0</v>
      </c>
      <c r="L1973" s="343">
        <v>-2.2599999999999998</v>
      </c>
      <c r="M1973" s="343">
        <v>-1254848.69</v>
      </c>
      <c r="O1973" s="343">
        <v>0</v>
      </c>
    </row>
    <row r="1974" spans="1:15" x14ac:dyDescent="0.3">
      <c r="A1974" s="340" t="s">
        <v>891</v>
      </c>
      <c r="B1974" s="350">
        <v>46113</v>
      </c>
      <c r="C1974" s="350">
        <v>46136</v>
      </c>
      <c r="D1974" s="351">
        <v>46113</v>
      </c>
      <c r="E1974" s="340" t="s">
        <v>2564</v>
      </c>
      <c r="F1974" s="340" t="s">
        <v>894</v>
      </c>
      <c r="G1974" s="340" t="s">
        <v>2565</v>
      </c>
      <c r="H1974" s="340"/>
      <c r="I1974" s="340" t="s">
        <v>771</v>
      </c>
      <c r="K1974" s="343">
        <v>0</v>
      </c>
      <c r="L1974" s="343">
        <v>-4.6100000000000003</v>
      </c>
      <c r="M1974" s="343">
        <v>-1254853.3</v>
      </c>
      <c r="O1974" s="343">
        <v>0</v>
      </c>
    </row>
    <row r="1975" spans="1:15" x14ac:dyDescent="0.3">
      <c r="A1975" s="340" t="s">
        <v>891</v>
      </c>
      <c r="B1975" s="350">
        <v>46113</v>
      </c>
      <c r="C1975" s="350">
        <v>46136</v>
      </c>
      <c r="D1975" s="351">
        <v>46113</v>
      </c>
      <c r="E1975" s="340" t="s">
        <v>2564</v>
      </c>
      <c r="F1975" s="340" t="s">
        <v>894</v>
      </c>
      <c r="G1975" s="340" t="s">
        <v>2566</v>
      </c>
      <c r="H1975" s="340"/>
      <c r="I1975" s="340" t="s">
        <v>771</v>
      </c>
      <c r="K1975" s="343">
        <v>0</v>
      </c>
      <c r="L1975" s="343">
        <v>-6.83</v>
      </c>
      <c r="M1975" s="343">
        <v>-1254860.1299999999</v>
      </c>
      <c r="O1975" s="343">
        <v>0</v>
      </c>
    </row>
    <row r="1976" spans="1:15" x14ac:dyDescent="0.3">
      <c r="A1976" s="340" t="s">
        <v>891</v>
      </c>
      <c r="B1976" s="350">
        <v>46113</v>
      </c>
      <c r="C1976" s="350">
        <v>46136</v>
      </c>
      <c r="D1976" s="351">
        <v>46113</v>
      </c>
      <c r="E1976" s="340" t="s">
        <v>2564</v>
      </c>
      <c r="F1976" s="340" t="s">
        <v>894</v>
      </c>
      <c r="G1976" s="340" t="s">
        <v>2568</v>
      </c>
      <c r="H1976" s="340"/>
      <c r="I1976" s="340" t="s">
        <v>771</v>
      </c>
      <c r="K1976" s="343">
        <v>0</v>
      </c>
      <c r="L1976" s="343">
        <v>-0.01</v>
      </c>
      <c r="M1976" s="343">
        <v>-1254860.1399999999</v>
      </c>
      <c r="O1976" s="343">
        <v>0</v>
      </c>
    </row>
    <row r="1977" spans="1:15" x14ac:dyDescent="0.3">
      <c r="A1977" s="340" t="s">
        <v>891</v>
      </c>
      <c r="B1977" s="350">
        <v>46113</v>
      </c>
      <c r="C1977" s="350">
        <v>46136</v>
      </c>
      <c r="D1977" s="351">
        <v>46113</v>
      </c>
      <c r="E1977" s="340" t="s">
        <v>2564</v>
      </c>
      <c r="F1977" s="340" t="s">
        <v>894</v>
      </c>
      <c r="G1977" s="340" t="s">
        <v>2568</v>
      </c>
      <c r="H1977" s="340"/>
      <c r="I1977" s="340" t="s">
        <v>771</v>
      </c>
      <c r="K1977" s="343">
        <v>0</v>
      </c>
      <c r="L1977" s="343">
        <v>-0.02</v>
      </c>
      <c r="M1977" s="343">
        <v>-1254860.1599999999</v>
      </c>
      <c r="O1977" s="343">
        <v>0</v>
      </c>
    </row>
    <row r="1978" spans="1:15" x14ac:dyDescent="0.3">
      <c r="A1978" s="340" t="s">
        <v>891</v>
      </c>
      <c r="B1978" s="350">
        <v>46113</v>
      </c>
      <c r="C1978" s="350">
        <v>46136</v>
      </c>
      <c r="D1978" s="351">
        <v>46113</v>
      </c>
      <c r="E1978" s="340" t="s">
        <v>2564</v>
      </c>
      <c r="F1978" s="340" t="s">
        <v>894</v>
      </c>
      <c r="G1978" s="340" t="s">
        <v>2569</v>
      </c>
      <c r="H1978" s="340"/>
      <c r="I1978" s="340" t="s">
        <v>771</v>
      </c>
      <c r="K1978" s="343">
        <v>0</v>
      </c>
      <c r="L1978" s="343">
        <v>-0.05</v>
      </c>
      <c r="M1978" s="343">
        <v>-1254860.21</v>
      </c>
      <c r="O1978" s="343">
        <v>0</v>
      </c>
    </row>
    <row r="1979" spans="1:15" x14ac:dyDescent="0.3">
      <c r="A1979" s="340" t="s">
        <v>891</v>
      </c>
      <c r="B1979" s="350">
        <v>46113</v>
      </c>
      <c r="C1979" s="350">
        <v>46136</v>
      </c>
      <c r="D1979" s="351">
        <v>46113</v>
      </c>
      <c r="E1979" s="340" t="s">
        <v>2564</v>
      </c>
      <c r="F1979" s="340" t="s">
        <v>894</v>
      </c>
      <c r="G1979" s="340" t="s">
        <v>2439</v>
      </c>
      <c r="H1979" s="340"/>
      <c r="I1979" s="340" t="s">
        <v>771</v>
      </c>
      <c r="K1979" s="343">
        <v>0</v>
      </c>
      <c r="L1979" s="343">
        <v>-0.06</v>
      </c>
      <c r="M1979" s="343">
        <v>-1254860.27</v>
      </c>
      <c r="O1979" s="343">
        <v>0</v>
      </c>
    </row>
    <row r="1980" spans="1:15" x14ac:dyDescent="0.3">
      <c r="A1980" s="340" t="s">
        <v>891</v>
      </c>
      <c r="B1980" s="350">
        <v>46113</v>
      </c>
      <c r="C1980" s="350">
        <v>46136</v>
      </c>
      <c r="D1980" s="351">
        <v>46113</v>
      </c>
      <c r="E1980" s="340" t="s">
        <v>2564</v>
      </c>
      <c r="F1980" s="340" t="s">
        <v>894</v>
      </c>
      <c r="G1980" s="340" t="s">
        <v>2570</v>
      </c>
      <c r="H1980" s="340"/>
      <c r="I1980" s="340" t="s">
        <v>771</v>
      </c>
      <c r="K1980" s="343">
        <v>0</v>
      </c>
      <c r="L1980" s="343">
        <v>-0.06</v>
      </c>
      <c r="M1980" s="343">
        <v>-1254860.33</v>
      </c>
      <c r="O1980" s="343">
        <v>0</v>
      </c>
    </row>
    <row r="1981" spans="1:15" x14ac:dyDescent="0.3">
      <c r="A1981" s="340" t="s">
        <v>891</v>
      </c>
      <c r="B1981" s="350">
        <v>46113</v>
      </c>
      <c r="C1981" s="350">
        <v>46136</v>
      </c>
      <c r="D1981" s="351">
        <v>46113</v>
      </c>
      <c r="E1981" s="340" t="s">
        <v>2564</v>
      </c>
      <c r="F1981" s="340" t="s">
        <v>894</v>
      </c>
      <c r="G1981" s="340" t="s">
        <v>2439</v>
      </c>
      <c r="H1981" s="340"/>
      <c r="I1981" s="340" t="s">
        <v>771</v>
      </c>
      <c r="K1981" s="343">
        <v>0</v>
      </c>
      <c r="L1981" s="343">
        <v>-0.11</v>
      </c>
      <c r="M1981" s="343">
        <v>-1254860.44</v>
      </c>
      <c r="O1981" s="343">
        <v>0</v>
      </c>
    </row>
    <row r="1982" spans="1:15" x14ac:dyDescent="0.3">
      <c r="A1982" s="340" t="s">
        <v>891</v>
      </c>
      <c r="B1982" s="350">
        <v>46113</v>
      </c>
      <c r="C1982" s="350">
        <v>46136</v>
      </c>
      <c r="D1982" s="351">
        <v>46113</v>
      </c>
      <c r="E1982" s="340" t="s">
        <v>2564</v>
      </c>
      <c r="F1982" s="340" t="s">
        <v>894</v>
      </c>
      <c r="G1982" s="340" t="s">
        <v>2441</v>
      </c>
      <c r="H1982" s="340"/>
      <c r="I1982" s="340" t="s">
        <v>771</v>
      </c>
      <c r="K1982" s="343">
        <v>0</v>
      </c>
      <c r="L1982" s="343">
        <v>-0.11</v>
      </c>
      <c r="M1982" s="343">
        <v>-1254860.55</v>
      </c>
      <c r="O1982" s="343">
        <v>0</v>
      </c>
    </row>
    <row r="1983" spans="1:15" x14ac:dyDescent="0.3">
      <c r="A1983" s="340" t="s">
        <v>891</v>
      </c>
      <c r="B1983" s="350">
        <v>46113</v>
      </c>
      <c r="C1983" s="350">
        <v>46136</v>
      </c>
      <c r="D1983" s="351">
        <v>46113</v>
      </c>
      <c r="E1983" s="340" t="s">
        <v>2564</v>
      </c>
      <c r="F1983" s="340" t="s">
        <v>894</v>
      </c>
      <c r="G1983" s="340" t="s">
        <v>2441</v>
      </c>
      <c r="H1983" s="340"/>
      <c r="I1983" s="340" t="s">
        <v>771</v>
      </c>
      <c r="K1983" s="343">
        <v>0</v>
      </c>
      <c r="L1983" s="343">
        <v>-0.21</v>
      </c>
      <c r="M1983" s="343">
        <v>-1254860.76</v>
      </c>
      <c r="O1983" s="343">
        <v>0</v>
      </c>
    </row>
    <row r="1984" spans="1:15" x14ac:dyDescent="0.3">
      <c r="A1984" s="340" t="s">
        <v>891</v>
      </c>
      <c r="B1984" s="350">
        <v>46113</v>
      </c>
      <c r="C1984" s="350">
        <v>46136</v>
      </c>
      <c r="D1984" s="351">
        <v>46113</v>
      </c>
      <c r="E1984" s="340" t="s">
        <v>2564</v>
      </c>
      <c r="F1984" s="340" t="s">
        <v>894</v>
      </c>
      <c r="G1984" s="340" t="s">
        <v>2571</v>
      </c>
      <c r="H1984" s="340"/>
      <c r="I1984" s="340" t="s">
        <v>771</v>
      </c>
      <c r="K1984" s="343">
        <v>0</v>
      </c>
      <c r="L1984" s="343">
        <v>-0.49</v>
      </c>
      <c r="M1984" s="343">
        <v>-1254861.25</v>
      </c>
      <c r="O1984" s="343">
        <v>0</v>
      </c>
    </row>
    <row r="1985" spans="1:15" x14ac:dyDescent="0.3">
      <c r="A1985" s="340" t="s">
        <v>891</v>
      </c>
      <c r="B1985" s="350">
        <v>46113</v>
      </c>
      <c r="C1985" s="350">
        <v>46136</v>
      </c>
      <c r="D1985" s="351">
        <v>46113</v>
      </c>
      <c r="E1985" s="340" t="s">
        <v>2564</v>
      </c>
      <c r="F1985" s="340" t="s">
        <v>894</v>
      </c>
      <c r="G1985" s="340" t="s">
        <v>2572</v>
      </c>
      <c r="H1985" s="340"/>
      <c r="I1985" s="340" t="s">
        <v>771</v>
      </c>
      <c r="K1985" s="343">
        <v>0</v>
      </c>
      <c r="L1985" s="343">
        <v>-1.38</v>
      </c>
      <c r="M1985" s="343">
        <v>-1254862.6299999999</v>
      </c>
      <c r="O1985" s="343">
        <v>0</v>
      </c>
    </row>
    <row r="1986" spans="1:15" x14ac:dyDescent="0.3">
      <c r="A1986" s="340" t="s">
        <v>891</v>
      </c>
      <c r="B1986" s="350">
        <v>46113</v>
      </c>
      <c r="C1986" s="350">
        <v>46136</v>
      </c>
      <c r="D1986" s="351">
        <v>46113</v>
      </c>
      <c r="E1986" s="340" t="s">
        <v>2564</v>
      </c>
      <c r="F1986" s="340" t="s">
        <v>894</v>
      </c>
      <c r="G1986" s="340" t="s">
        <v>2573</v>
      </c>
      <c r="H1986" s="340"/>
      <c r="I1986" s="340" t="s">
        <v>771</v>
      </c>
      <c r="K1986" s="343">
        <v>0</v>
      </c>
      <c r="L1986" s="343">
        <v>-1.62</v>
      </c>
      <c r="M1986" s="343">
        <v>-1254864.25</v>
      </c>
      <c r="O1986" s="343">
        <v>0</v>
      </c>
    </row>
    <row r="1987" spans="1:15" x14ac:dyDescent="0.3">
      <c r="A1987" s="340" t="s">
        <v>891</v>
      </c>
      <c r="B1987" s="350">
        <v>46113</v>
      </c>
      <c r="C1987" s="350">
        <v>46136</v>
      </c>
      <c r="D1987" s="351">
        <v>46113</v>
      </c>
      <c r="E1987" s="340" t="s">
        <v>2564</v>
      </c>
      <c r="F1987" s="340" t="s">
        <v>894</v>
      </c>
      <c r="G1987" s="340" t="s">
        <v>2442</v>
      </c>
      <c r="H1987" s="340"/>
      <c r="I1987" s="340" t="s">
        <v>771</v>
      </c>
      <c r="K1987" s="343">
        <v>0</v>
      </c>
      <c r="L1987" s="343">
        <v>-2.2599999999999998</v>
      </c>
      <c r="M1987" s="343">
        <v>-1254866.51</v>
      </c>
      <c r="O1987" s="343">
        <v>0</v>
      </c>
    </row>
    <row r="1988" spans="1:15" x14ac:dyDescent="0.3">
      <c r="A1988" s="340" t="s">
        <v>891</v>
      </c>
      <c r="B1988" s="350">
        <v>46113</v>
      </c>
      <c r="C1988" s="350">
        <v>46136</v>
      </c>
      <c r="D1988" s="351">
        <v>46113</v>
      </c>
      <c r="E1988" s="340" t="s">
        <v>2564</v>
      </c>
      <c r="F1988" s="340" t="s">
        <v>894</v>
      </c>
      <c r="G1988" s="340" t="s">
        <v>2565</v>
      </c>
      <c r="H1988" s="340"/>
      <c r="I1988" s="340" t="s">
        <v>771</v>
      </c>
      <c r="K1988" s="343">
        <v>0</v>
      </c>
      <c r="L1988" s="343">
        <v>-4.6100000000000003</v>
      </c>
      <c r="M1988" s="343">
        <v>-1254871.1200000001</v>
      </c>
      <c r="O1988" s="343">
        <v>0</v>
      </c>
    </row>
    <row r="1989" spans="1:15" x14ac:dyDescent="0.3">
      <c r="A1989" s="340" t="s">
        <v>891</v>
      </c>
      <c r="B1989" s="350">
        <v>46113</v>
      </c>
      <c r="C1989" s="350">
        <v>46136</v>
      </c>
      <c r="D1989" s="351">
        <v>46113</v>
      </c>
      <c r="E1989" s="340" t="s">
        <v>2564</v>
      </c>
      <c r="F1989" s="340" t="s">
        <v>894</v>
      </c>
      <c r="G1989" s="340" t="s">
        <v>2566</v>
      </c>
      <c r="H1989" s="340"/>
      <c r="I1989" s="340" t="s">
        <v>771</v>
      </c>
      <c r="K1989" s="343">
        <v>0</v>
      </c>
      <c r="L1989" s="343">
        <v>-5.53</v>
      </c>
      <c r="M1989" s="343">
        <v>-1254876.6499999999</v>
      </c>
      <c r="O1989" s="343">
        <v>0</v>
      </c>
    </row>
    <row r="1990" spans="1:15" x14ac:dyDescent="0.3">
      <c r="A1990" s="340" t="s">
        <v>891</v>
      </c>
      <c r="B1990" s="350">
        <v>46113</v>
      </c>
      <c r="C1990" s="350">
        <v>46136</v>
      </c>
      <c r="D1990" s="351">
        <v>46113</v>
      </c>
      <c r="E1990" s="340" t="s">
        <v>2564</v>
      </c>
      <c r="F1990" s="340" t="s">
        <v>894</v>
      </c>
      <c r="G1990" s="340" t="s">
        <v>2568</v>
      </c>
      <c r="H1990" s="340"/>
      <c r="I1990" s="340" t="s">
        <v>771</v>
      </c>
      <c r="K1990" s="343">
        <v>0</v>
      </c>
      <c r="L1990" s="343">
        <v>-0.01</v>
      </c>
      <c r="M1990" s="343">
        <v>-1254876.6599999999</v>
      </c>
      <c r="O1990" s="343">
        <v>0</v>
      </c>
    </row>
    <row r="1991" spans="1:15" x14ac:dyDescent="0.3">
      <c r="A1991" s="340" t="s">
        <v>891</v>
      </c>
      <c r="B1991" s="350">
        <v>46113</v>
      </c>
      <c r="C1991" s="350">
        <v>46136</v>
      </c>
      <c r="D1991" s="351">
        <v>46113</v>
      </c>
      <c r="E1991" s="340" t="s">
        <v>2564</v>
      </c>
      <c r="F1991" s="340" t="s">
        <v>894</v>
      </c>
      <c r="G1991" s="340" t="s">
        <v>2568</v>
      </c>
      <c r="H1991" s="340"/>
      <c r="I1991" s="340" t="s">
        <v>771</v>
      </c>
      <c r="K1991" s="343">
        <v>0</v>
      </c>
      <c r="L1991" s="343">
        <v>-0.02</v>
      </c>
      <c r="M1991" s="343">
        <v>-1254876.68</v>
      </c>
      <c r="O1991" s="343">
        <v>0</v>
      </c>
    </row>
    <row r="1992" spans="1:15" x14ac:dyDescent="0.3">
      <c r="A1992" s="340" t="s">
        <v>891</v>
      </c>
      <c r="B1992" s="350">
        <v>46113</v>
      </c>
      <c r="C1992" s="350">
        <v>46136</v>
      </c>
      <c r="D1992" s="351">
        <v>46113</v>
      </c>
      <c r="E1992" s="340" t="s">
        <v>2564</v>
      </c>
      <c r="F1992" s="340" t="s">
        <v>894</v>
      </c>
      <c r="G1992" s="340" t="s">
        <v>2570</v>
      </c>
      <c r="H1992" s="340"/>
      <c r="I1992" s="340" t="s">
        <v>771</v>
      </c>
      <c r="K1992" s="343">
        <v>0</v>
      </c>
      <c r="L1992" s="343">
        <v>-0.05</v>
      </c>
      <c r="M1992" s="343">
        <v>-1254876.73</v>
      </c>
      <c r="O1992" s="343">
        <v>0</v>
      </c>
    </row>
    <row r="1993" spans="1:15" x14ac:dyDescent="0.3">
      <c r="A1993" s="340" t="s">
        <v>891</v>
      </c>
      <c r="B1993" s="350">
        <v>46113</v>
      </c>
      <c r="C1993" s="350">
        <v>46136</v>
      </c>
      <c r="D1993" s="351">
        <v>46113</v>
      </c>
      <c r="E1993" s="340" t="s">
        <v>2564</v>
      </c>
      <c r="F1993" s="340" t="s">
        <v>894</v>
      </c>
      <c r="G1993" s="340" t="s">
        <v>2569</v>
      </c>
      <c r="H1993" s="340"/>
      <c r="I1993" s="340" t="s">
        <v>771</v>
      </c>
      <c r="K1993" s="343">
        <v>0</v>
      </c>
      <c r="L1993" s="343">
        <v>-0.05</v>
      </c>
      <c r="M1993" s="343">
        <v>-1254876.78</v>
      </c>
      <c r="O1993" s="343">
        <v>0</v>
      </c>
    </row>
    <row r="1994" spans="1:15" x14ac:dyDescent="0.3">
      <c r="A1994" s="340" t="s">
        <v>891</v>
      </c>
      <c r="B1994" s="350">
        <v>46113</v>
      </c>
      <c r="C1994" s="350">
        <v>46136</v>
      </c>
      <c r="D1994" s="351">
        <v>46113</v>
      </c>
      <c r="E1994" s="340" t="s">
        <v>2564</v>
      </c>
      <c r="F1994" s="340" t="s">
        <v>894</v>
      </c>
      <c r="G1994" s="340" t="s">
        <v>2439</v>
      </c>
      <c r="H1994" s="340"/>
      <c r="I1994" s="340" t="s">
        <v>771</v>
      </c>
      <c r="K1994" s="343">
        <v>0</v>
      </c>
      <c r="L1994" s="343">
        <v>-0.06</v>
      </c>
      <c r="M1994" s="343">
        <v>-1254876.8400000001</v>
      </c>
      <c r="O1994" s="343">
        <v>0</v>
      </c>
    </row>
    <row r="1995" spans="1:15" x14ac:dyDescent="0.3">
      <c r="A1995" s="340" t="s">
        <v>891</v>
      </c>
      <c r="B1995" s="350">
        <v>46113</v>
      </c>
      <c r="C1995" s="350">
        <v>46136</v>
      </c>
      <c r="D1995" s="351">
        <v>46113</v>
      </c>
      <c r="E1995" s="340" t="s">
        <v>2564</v>
      </c>
      <c r="F1995" s="340" t="s">
        <v>894</v>
      </c>
      <c r="G1995" s="340" t="s">
        <v>2439</v>
      </c>
      <c r="H1995" s="340"/>
      <c r="I1995" s="340" t="s">
        <v>771</v>
      </c>
      <c r="K1995" s="343">
        <v>0</v>
      </c>
      <c r="L1995" s="343">
        <v>-0.1</v>
      </c>
      <c r="M1995" s="343">
        <v>-1254876.94</v>
      </c>
      <c r="O1995" s="343">
        <v>0</v>
      </c>
    </row>
    <row r="1996" spans="1:15" x14ac:dyDescent="0.3">
      <c r="A1996" s="340" t="s">
        <v>891</v>
      </c>
      <c r="B1996" s="350">
        <v>46113</v>
      </c>
      <c r="C1996" s="350">
        <v>46136</v>
      </c>
      <c r="D1996" s="351">
        <v>46113</v>
      </c>
      <c r="E1996" s="340" t="s">
        <v>2564</v>
      </c>
      <c r="F1996" s="340" t="s">
        <v>894</v>
      </c>
      <c r="G1996" s="340" t="s">
        <v>2441</v>
      </c>
      <c r="H1996" s="340"/>
      <c r="I1996" s="340" t="s">
        <v>771</v>
      </c>
      <c r="K1996" s="343">
        <v>0</v>
      </c>
      <c r="L1996" s="343">
        <v>-0.11</v>
      </c>
      <c r="M1996" s="343">
        <v>-1254877.05</v>
      </c>
      <c r="O1996" s="343">
        <v>0</v>
      </c>
    </row>
    <row r="1997" spans="1:15" x14ac:dyDescent="0.3">
      <c r="A1997" s="340" t="s">
        <v>891</v>
      </c>
      <c r="B1997" s="350">
        <v>46113</v>
      </c>
      <c r="C1997" s="350">
        <v>46136</v>
      </c>
      <c r="D1997" s="351">
        <v>46113</v>
      </c>
      <c r="E1997" s="340" t="s">
        <v>2564</v>
      </c>
      <c r="F1997" s="340" t="s">
        <v>894</v>
      </c>
      <c r="G1997" s="340" t="s">
        <v>2441</v>
      </c>
      <c r="H1997" s="340"/>
      <c r="I1997" s="340" t="s">
        <v>771</v>
      </c>
      <c r="K1997" s="343">
        <v>0</v>
      </c>
      <c r="L1997" s="343">
        <v>-0.21</v>
      </c>
      <c r="M1997" s="343">
        <v>-1254877.26</v>
      </c>
      <c r="O1997" s="343">
        <v>0</v>
      </c>
    </row>
    <row r="1998" spans="1:15" x14ac:dyDescent="0.3">
      <c r="A1998" s="340" t="s">
        <v>891</v>
      </c>
      <c r="B1998" s="350">
        <v>46113</v>
      </c>
      <c r="C1998" s="350">
        <v>46136</v>
      </c>
      <c r="D1998" s="351">
        <v>46113</v>
      </c>
      <c r="E1998" s="340" t="s">
        <v>2564</v>
      </c>
      <c r="F1998" s="340" t="s">
        <v>894</v>
      </c>
      <c r="G1998" s="340" t="s">
        <v>2571</v>
      </c>
      <c r="H1998" s="340"/>
      <c r="I1998" s="340" t="s">
        <v>771</v>
      </c>
      <c r="K1998" s="343">
        <v>0</v>
      </c>
      <c r="L1998" s="343">
        <v>-0.47</v>
      </c>
      <c r="M1998" s="343">
        <v>-1254877.73</v>
      </c>
      <c r="O1998" s="343">
        <v>0</v>
      </c>
    </row>
    <row r="1999" spans="1:15" x14ac:dyDescent="0.3">
      <c r="A1999" s="340" t="s">
        <v>891</v>
      </c>
      <c r="B1999" s="350">
        <v>46113</v>
      </c>
      <c r="C1999" s="350">
        <v>46136</v>
      </c>
      <c r="D1999" s="351">
        <v>46113</v>
      </c>
      <c r="E1999" s="340" t="s">
        <v>2564</v>
      </c>
      <c r="F1999" s="340" t="s">
        <v>894</v>
      </c>
      <c r="G1999" s="340" t="s">
        <v>2572</v>
      </c>
      <c r="H1999" s="340"/>
      <c r="I1999" s="340" t="s">
        <v>771</v>
      </c>
      <c r="K1999" s="343">
        <v>0</v>
      </c>
      <c r="L1999" s="343">
        <v>-1.33</v>
      </c>
      <c r="M1999" s="343">
        <v>-1254879.06</v>
      </c>
      <c r="O1999" s="343">
        <v>0</v>
      </c>
    </row>
    <row r="2000" spans="1:15" x14ac:dyDescent="0.3">
      <c r="A2000" s="340" t="s">
        <v>891</v>
      </c>
      <c r="B2000" s="350">
        <v>46113</v>
      </c>
      <c r="C2000" s="350">
        <v>46136</v>
      </c>
      <c r="D2000" s="351">
        <v>46113</v>
      </c>
      <c r="E2000" s="340" t="s">
        <v>2564</v>
      </c>
      <c r="F2000" s="340" t="s">
        <v>894</v>
      </c>
      <c r="G2000" s="340" t="s">
        <v>2573</v>
      </c>
      <c r="H2000" s="340"/>
      <c r="I2000" s="340" t="s">
        <v>771</v>
      </c>
      <c r="K2000" s="343">
        <v>0</v>
      </c>
      <c r="L2000" s="343">
        <v>-1.55</v>
      </c>
      <c r="M2000" s="343">
        <v>-1254880.6100000001</v>
      </c>
      <c r="O2000" s="343">
        <v>0</v>
      </c>
    </row>
    <row r="2001" spans="1:15" x14ac:dyDescent="0.3">
      <c r="A2001" s="340" t="s">
        <v>891</v>
      </c>
      <c r="B2001" s="350">
        <v>46113</v>
      </c>
      <c r="C2001" s="350">
        <v>46136</v>
      </c>
      <c r="D2001" s="351">
        <v>46113</v>
      </c>
      <c r="E2001" s="340" t="s">
        <v>2564</v>
      </c>
      <c r="F2001" s="340" t="s">
        <v>894</v>
      </c>
      <c r="G2001" s="340" t="s">
        <v>2442</v>
      </c>
      <c r="H2001" s="340"/>
      <c r="I2001" s="340" t="s">
        <v>771</v>
      </c>
      <c r="K2001" s="343">
        <v>0</v>
      </c>
      <c r="L2001" s="343">
        <v>-2.2599999999999998</v>
      </c>
      <c r="M2001" s="343">
        <v>-1254882.8700000001</v>
      </c>
      <c r="O2001" s="343">
        <v>0</v>
      </c>
    </row>
    <row r="2002" spans="1:15" x14ac:dyDescent="0.3">
      <c r="A2002" s="340" t="s">
        <v>891</v>
      </c>
      <c r="B2002" s="350">
        <v>46113</v>
      </c>
      <c r="C2002" s="350">
        <v>46136</v>
      </c>
      <c r="D2002" s="351">
        <v>46113</v>
      </c>
      <c r="E2002" s="340" t="s">
        <v>2564</v>
      </c>
      <c r="F2002" s="340" t="s">
        <v>894</v>
      </c>
      <c r="G2002" s="340" t="s">
        <v>2565</v>
      </c>
      <c r="H2002" s="340"/>
      <c r="I2002" s="340" t="s">
        <v>771</v>
      </c>
      <c r="K2002" s="343">
        <v>0</v>
      </c>
      <c r="L2002" s="343">
        <v>-4.6100000000000003</v>
      </c>
      <c r="M2002" s="343">
        <v>-1254887.48</v>
      </c>
      <c r="O2002" s="343">
        <v>0</v>
      </c>
    </row>
    <row r="2003" spans="1:15" x14ac:dyDescent="0.3">
      <c r="A2003" s="340" t="s">
        <v>891</v>
      </c>
      <c r="B2003" s="350">
        <v>46113</v>
      </c>
      <c r="C2003" s="350">
        <v>46136</v>
      </c>
      <c r="D2003" s="351">
        <v>46113</v>
      </c>
      <c r="E2003" s="340" t="s">
        <v>2564</v>
      </c>
      <c r="F2003" s="340" t="s">
        <v>894</v>
      </c>
      <c r="G2003" s="340" t="s">
        <v>2566</v>
      </c>
      <c r="H2003" s="340"/>
      <c r="I2003" s="340" t="s">
        <v>771</v>
      </c>
      <c r="K2003" s="343">
        <v>0</v>
      </c>
      <c r="L2003" s="343">
        <v>-5.31</v>
      </c>
      <c r="M2003" s="343">
        <v>-1254892.79</v>
      </c>
      <c r="O2003" s="343">
        <v>0</v>
      </c>
    </row>
    <row r="2004" spans="1:15" x14ac:dyDescent="0.3">
      <c r="A2004" s="340" t="s">
        <v>891</v>
      </c>
      <c r="B2004" s="350">
        <v>46113</v>
      </c>
      <c r="C2004" s="350">
        <v>46136</v>
      </c>
      <c r="D2004" s="351">
        <v>46113</v>
      </c>
      <c r="E2004" s="340" t="s">
        <v>2564</v>
      </c>
      <c r="F2004" s="340" t="s">
        <v>894</v>
      </c>
      <c r="G2004" s="340" t="s">
        <v>2568</v>
      </c>
      <c r="H2004" s="340"/>
      <c r="I2004" s="340" t="s">
        <v>771</v>
      </c>
      <c r="K2004" s="343">
        <v>0</v>
      </c>
      <c r="L2004" s="343">
        <v>-0.2</v>
      </c>
      <c r="M2004" s="343">
        <v>-1254892.99</v>
      </c>
      <c r="O2004" s="343">
        <v>0</v>
      </c>
    </row>
    <row r="2005" spans="1:15" x14ac:dyDescent="0.3">
      <c r="A2005" s="340" t="s">
        <v>891</v>
      </c>
      <c r="B2005" s="350">
        <v>46113</v>
      </c>
      <c r="C2005" s="350">
        <v>46136</v>
      </c>
      <c r="D2005" s="351">
        <v>46113</v>
      </c>
      <c r="E2005" s="340" t="s">
        <v>2564</v>
      </c>
      <c r="F2005" s="340" t="s">
        <v>894</v>
      </c>
      <c r="G2005" s="340" t="s">
        <v>2568</v>
      </c>
      <c r="H2005" s="340"/>
      <c r="I2005" s="340" t="s">
        <v>771</v>
      </c>
      <c r="K2005" s="343">
        <v>0</v>
      </c>
      <c r="L2005" s="343">
        <v>-0.32</v>
      </c>
      <c r="M2005" s="343">
        <v>-1254893.31</v>
      </c>
      <c r="O2005" s="343">
        <v>0</v>
      </c>
    </row>
    <row r="2006" spans="1:15" x14ac:dyDescent="0.3">
      <c r="A2006" s="340" t="s">
        <v>891</v>
      </c>
      <c r="B2006" s="350">
        <v>46113</v>
      </c>
      <c r="C2006" s="350">
        <v>46136</v>
      </c>
      <c r="D2006" s="351">
        <v>46113</v>
      </c>
      <c r="E2006" s="340" t="s">
        <v>2564</v>
      </c>
      <c r="F2006" s="340" t="s">
        <v>894</v>
      </c>
      <c r="G2006" s="340" t="s">
        <v>2570</v>
      </c>
      <c r="H2006" s="340"/>
      <c r="I2006" s="340" t="s">
        <v>771</v>
      </c>
      <c r="K2006" s="343">
        <v>0</v>
      </c>
      <c r="L2006" s="343">
        <v>-0.84</v>
      </c>
      <c r="M2006" s="343">
        <v>-1254894.1499999999</v>
      </c>
      <c r="O2006" s="343">
        <v>0</v>
      </c>
    </row>
    <row r="2007" spans="1:15" x14ac:dyDescent="0.3">
      <c r="A2007" s="340" t="s">
        <v>891</v>
      </c>
      <c r="B2007" s="350">
        <v>46113</v>
      </c>
      <c r="C2007" s="350">
        <v>46136</v>
      </c>
      <c r="D2007" s="351">
        <v>46113</v>
      </c>
      <c r="E2007" s="340" t="s">
        <v>2564</v>
      </c>
      <c r="F2007" s="340" t="s">
        <v>894</v>
      </c>
      <c r="G2007" s="340" t="s">
        <v>2567</v>
      </c>
      <c r="H2007" s="340"/>
      <c r="I2007" s="340" t="s">
        <v>771</v>
      </c>
      <c r="K2007" s="343">
        <v>0</v>
      </c>
      <c r="L2007" s="343">
        <v>-0.87</v>
      </c>
      <c r="M2007" s="343">
        <v>-1254895.02</v>
      </c>
      <c r="O2007" s="343">
        <v>0</v>
      </c>
    </row>
    <row r="2008" spans="1:15" x14ac:dyDescent="0.3">
      <c r="A2008" s="340" t="s">
        <v>891</v>
      </c>
      <c r="B2008" s="350">
        <v>46113</v>
      </c>
      <c r="C2008" s="350">
        <v>46136</v>
      </c>
      <c r="D2008" s="351">
        <v>46113</v>
      </c>
      <c r="E2008" s="340" t="s">
        <v>2564</v>
      </c>
      <c r="F2008" s="340" t="s">
        <v>894</v>
      </c>
      <c r="G2008" s="340" t="s">
        <v>2569</v>
      </c>
      <c r="H2008" s="340"/>
      <c r="I2008" s="340" t="s">
        <v>771</v>
      </c>
      <c r="K2008" s="343">
        <v>0</v>
      </c>
      <c r="L2008" s="343">
        <v>-1.03</v>
      </c>
      <c r="M2008" s="343">
        <v>-1254896.05</v>
      </c>
      <c r="O2008" s="343">
        <v>0</v>
      </c>
    </row>
    <row r="2009" spans="1:15" x14ac:dyDescent="0.3">
      <c r="A2009" s="340" t="s">
        <v>891</v>
      </c>
      <c r="B2009" s="350">
        <v>46113</v>
      </c>
      <c r="C2009" s="350">
        <v>46136</v>
      </c>
      <c r="D2009" s="351">
        <v>46113</v>
      </c>
      <c r="E2009" s="340" t="s">
        <v>2564</v>
      </c>
      <c r="F2009" s="340" t="s">
        <v>894</v>
      </c>
      <c r="G2009" s="340" t="s">
        <v>2439</v>
      </c>
      <c r="H2009" s="340"/>
      <c r="I2009" s="340" t="s">
        <v>771</v>
      </c>
      <c r="K2009" s="343">
        <v>0</v>
      </c>
      <c r="L2009" s="343">
        <v>-1.21</v>
      </c>
      <c r="M2009" s="343">
        <v>-1254897.26</v>
      </c>
      <c r="O2009" s="343">
        <v>0</v>
      </c>
    </row>
    <row r="2010" spans="1:15" x14ac:dyDescent="0.3">
      <c r="A2010" s="340" t="s">
        <v>891</v>
      </c>
      <c r="B2010" s="350">
        <v>46113</v>
      </c>
      <c r="C2010" s="350">
        <v>46136</v>
      </c>
      <c r="D2010" s="351">
        <v>46113</v>
      </c>
      <c r="E2010" s="340" t="s">
        <v>2564</v>
      </c>
      <c r="F2010" s="340" t="s">
        <v>894</v>
      </c>
      <c r="G2010" s="340" t="s">
        <v>2439</v>
      </c>
      <c r="H2010" s="340"/>
      <c r="I2010" s="340" t="s">
        <v>771</v>
      </c>
      <c r="K2010" s="343">
        <v>0</v>
      </c>
      <c r="L2010" s="343">
        <v>-1.95</v>
      </c>
      <c r="M2010" s="343">
        <v>-1254899.21</v>
      </c>
      <c r="O2010" s="343">
        <v>0</v>
      </c>
    </row>
    <row r="2011" spans="1:15" x14ac:dyDescent="0.3">
      <c r="A2011" s="340" t="s">
        <v>891</v>
      </c>
      <c r="B2011" s="350">
        <v>46113</v>
      </c>
      <c r="C2011" s="350">
        <v>46136</v>
      </c>
      <c r="D2011" s="351">
        <v>46113</v>
      </c>
      <c r="E2011" s="340" t="s">
        <v>2564</v>
      </c>
      <c r="F2011" s="340" t="s">
        <v>894</v>
      </c>
      <c r="G2011" s="340" t="s">
        <v>2441</v>
      </c>
      <c r="H2011" s="340"/>
      <c r="I2011" s="340" t="s">
        <v>771</v>
      </c>
      <c r="K2011" s="343">
        <v>0</v>
      </c>
      <c r="L2011" s="343">
        <v>-2.41</v>
      </c>
      <c r="M2011" s="343">
        <v>-1254901.6200000001</v>
      </c>
      <c r="O2011" s="343">
        <v>0</v>
      </c>
    </row>
    <row r="2012" spans="1:15" x14ac:dyDescent="0.3">
      <c r="A2012" s="340" t="s">
        <v>891</v>
      </c>
      <c r="B2012" s="350">
        <v>46113</v>
      </c>
      <c r="C2012" s="350">
        <v>46136</v>
      </c>
      <c r="D2012" s="351">
        <v>46113</v>
      </c>
      <c r="E2012" s="340" t="s">
        <v>2564</v>
      </c>
      <c r="F2012" s="340" t="s">
        <v>894</v>
      </c>
      <c r="G2012" s="340" t="s">
        <v>2441</v>
      </c>
      <c r="H2012" s="340"/>
      <c r="I2012" s="340" t="s">
        <v>771</v>
      </c>
      <c r="K2012" s="343">
        <v>0</v>
      </c>
      <c r="L2012" s="343">
        <v>-3.89</v>
      </c>
      <c r="M2012" s="343">
        <v>-1254905.51</v>
      </c>
      <c r="O2012" s="343">
        <v>0</v>
      </c>
    </row>
    <row r="2013" spans="1:15" x14ac:dyDescent="0.3">
      <c r="A2013" s="340" t="s">
        <v>891</v>
      </c>
      <c r="B2013" s="350">
        <v>46113</v>
      </c>
      <c r="C2013" s="350">
        <v>46136</v>
      </c>
      <c r="D2013" s="351">
        <v>46113</v>
      </c>
      <c r="E2013" s="340" t="s">
        <v>2564</v>
      </c>
      <c r="F2013" s="340" t="s">
        <v>894</v>
      </c>
      <c r="G2013" s="340" t="s">
        <v>2442</v>
      </c>
      <c r="H2013" s="340"/>
      <c r="I2013" s="340" t="s">
        <v>771</v>
      </c>
      <c r="K2013" s="343">
        <v>0</v>
      </c>
      <c r="L2013" s="343">
        <v>-11.13</v>
      </c>
      <c r="M2013" s="343">
        <v>-1254916.6399999999</v>
      </c>
      <c r="O2013" s="343">
        <v>0</v>
      </c>
    </row>
    <row r="2014" spans="1:15" x14ac:dyDescent="0.3">
      <c r="A2014" s="340" t="s">
        <v>891</v>
      </c>
      <c r="B2014" s="350">
        <v>46113</v>
      </c>
      <c r="C2014" s="350">
        <v>46136</v>
      </c>
      <c r="D2014" s="351">
        <v>46113</v>
      </c>
      <c r="E2014" s="340" t="s">
        <v>2564</v>
      </c>
      <c r="F2014" s="340" t="s">
        <v>894</v>
      </c>
      <c r="G2014" s="340" t="s">
        <v>2571</v>
      </c>
      <c r="H2014" s="340"/>
      <c r="I2014" s="340" t="s">
        <v>771</v>
      </c>
      <c r="K2014" s="343">
        <v>0</v>
      </c>
      <c r="L2014" s="343">
        <v>-14.52</v>
      </c>
      <c r="M2014" s="343">
        <v>-1254931.1599999999</v>
      </c>
      <c r="O2014" s="343">
        <v>0</v>
      </c>
    </row>
    <row r="2015" spans="1:15" x14ac:dyDescent="0.3">
      <c r="A2015" s="340" t="s">
        <v>891</v>
      </c>
      <c r="B2015" s="350">
        <v>46113</v>
      </c>
      <c r="C2015" s="350">
        <v>46136</v>
      </c>
      <c r="D2015" s="351">
        <v>46113</v>
      </c>
      <c r="E2015" s="340" t="s">
        <v>2564</v>
      </c>
      <c r="F2015" s="340" t="s">
        <v>894</v>
      </c>
      <c r="G2015" s="340" t="s">
        <v>2565</v>
      </c>
      <c r="H2015" s="340"/>
      <c r="I2015" s="340" t="s">
        <v>771</v>
      </c>
      <c r="K2015" s="343">
        <v>0</v>
      </c>
      <c r="L2015" s="343">
        <v>-21.3</v>
      </c>
      <c r="M2015" s="343">
        <v>-1254952.46</v>
      </c>
      <c r="O2015" s="343">
        <v>0</v>
      </c>
    </row>
    <row r="2016" spans="1:15" x14ac:dyDescent="0.3">
      <c r="A2016" s="340" t="s">
        <v>891</v>
      </c>
      <c r="B2016" s="350">
        <v>46113</v>
      </c>
      <c r="C2016" s="350">
        <v>46136</v>
      </c>
      <c r="D2016" s="351">
        <v>46113</v>
      </c>
      <c r="E2016" s="340" t="s">
        <v>2564</v>
      </c>
      <c r="F2016" s="340" t="s">
        <v>894</v>
      </c>
      <c r="G2016" s="340" t="s">
        <v>2572</v>
      </c>
      <c r="H2016" s="340"/>
      <c r="I2016" s="340" t="s">
        <v>771</v>
      </c>
      <c r="K2016" s="343">
        <v>0</v>
      </c>
      <c r="L2016" s="343">
        <v>-71.61</v>
      </c>
      <c r="M2016" s="343">
        <v>-1255024.07</v>
      </c>
      <c r="O2016" s="343">
        <v>0</v>
      </c>
    </row>
    <row r="2017" spans="1:15" x14ac:dyDescent="0.3">
      <c r="A2017" s="340" t="s">
        <v>891</v>
      </c>
      <c r="B2017" s="350">
        <v>46113</v>
      </c>
      <c r="C2017" s="350">
        <v>46136</v>
      </c>
      <c r="D2017" s="351">
        <v>46113</v>
      </c>
      <c r="E2017" s="340" t="s">
        <v>2564</v>
      </c>
      <c r="F2017" s="340" t="s">
        <v>894</v>
      </c>
      <c r="G2017" s="340" t="s">
        <v>2573</v>
      </c>
      <c r="H2017" s="340"/>
      <c r="I2017" s="340" t="s">
        <v>771</v>
      </c>
      <c r="K2017" s="343">
        <v>0</v>
      </c>
      <c r="L2017" s="343">
        <v>-71.69</v>
      </c>
      <c r="M2017" s="343">
        <v>-1255095.76</v>
      </c>
      <c r="O2017" s="343">
        <v>0</v>
      </c>
    </row>
    <row r="2018" spans="1:15" x14ac:dyDescent="0.3">
      <c r="A2018" s="340" t="s">
        <v>891</v>
      </c>
      <c r="B2018" s="350">
        <v>46113</v>
      </c>
      <c r="C2018" s="350">
        <v>46136</v>
      </c>
      <c r="D2018" s="351">
        <v>46113</v>
      </c>
      <c r="E2018" s="340" t="s">
        <v>2564</v>
      </c>
      <c r="F2018" s="340" t="s">
        <v>894</v>
      </c>
      <c r="G2018" s="340" t="s">
        <v>2566</v>
      </c>
      <c r="H2018" s="340"/>
      <c r="I2018" s="340" t="s">
        <v>771</v>
      </c>
      <c r="K2018" s="343">
        <v>0</v>
      </c>
      <c r="L2018" s="343">
        <v>-116.32</v>
      </c>
      <c r="M2018" s="343">
        <v>-1255212.08</v>
      </c>
      <c r="O2018" s="343">
        <v>0</v>
      </c>
    </row>
    <row r="2019" spans="1:15" x14ac:dyDescent="0.3">
      <c r="A2019" s="340" t="s">
        <v>891</v>
      </c>
      <c r="B2019" s="350">
        <v>46113</v>
      </c>
      <c r="C2019" s="350">
        <v>46136</v>
      </c>
      <c r="D2019" s="351">
        <v>46113</v>
      </c>
      <c r="E2019" s="340" t="s">
        <v>2564</v>
      </c>
      <c r="F2019" s="340" t="s">
        <v>894</v>
      </c>
      <c r="G2019" s="340" t="s">
        <v>2574</v>
      </c>
      <c r="H2019" s="340"/>
      <c r="I2019" s="340" t="s">
        <v>771</v>
      </c>
      <c r="K2019" s="343">
        <v>0</v>
      </c>
      <c r="L2019" s="343">
        <v>-1.34</v>
      </c>
      <c r="M2019" s="343">
        <v>-1255213.42</v>
      </c>
      <c r="O2019" s="343">
        <v>0</v>
      </c>
    </row>
    <row r="2020" spans="1:15" x14ac:dyDescent="0.3">
      <c r="A2020" s="340" t="s">
        <v>891</v>
      </c>
      <c r="B2020" s="350">
        <v>46113</v>
      </c>
      <c r="C2020" s="350">
        <v>46136</v>
      </c>
      <c r="D2020" s="351">
        <v>46113</v>
      </c>
      <c r="E2020" s="340" t="s">
        <v>2564</v>
      </c>
      <c r="F2020" s="340" t="s">
        <v>894</v>
      </c>
      <c r="G2020" s="340" t="s">
        <v>2568</v>
      </c>
      <c r="H2020" s="340"/>
      <c r="I2020" s="340" t="s">
        <v>771</v>
      </c>
      <c r="K2020" s="343">
        <v>0</v>
      </c>
      <c r="L2020" s="343">
        <v>-0.01</v>
      </c>
      <c r="M2020" s="343">
        <v>-1255213.43</v>
      </c>
      <c r="O2020" s="343">
        <v>0</v>
      </c>
    </row>
    <row r="2021" spans="1:15" x14ac:dyDescent="0.3">
      <c r="A2021" s="340" t="s">
        <v>891</v>
      </c>
      <c r="B2021" s="350">
        <v>46113</v>
      </c>
      <c r="C2021" s="350">
        <v>46136</v>
      </c>
      <c r="D2021" s="351">
        <v>46113</v>
      </c>
      <c r="E2021" s="340" t="s">
        <v>2564</v>
      </c>
      <c r="F2021" s="340" t="s">
        <v>894</v>
      </c>
      <c r="G2021" s="340" t="s">
        <v>2568</v>
      </c>
      <c r="H2021" s="340"/>
      <c r="I2021" s="340" t="s">
        <v>771</v>
      </c>
      <c r="K2021" s="343">
        <v>0</v>
      </c>
      <c r="L2021" s="343">
        <v>-0.02</v>
      </c>
      <c r="M2021" s="343">
        <v>-1255213.45</v>
      </c>
      <c r="O2021" s="343">
        <v>0</v>
      </c>
    </row>
    <row r="2022" spans="1:15" x14ac:dyDescent="0.3">
      <c r="A2022" s="340" t="s">
        <v>891</v>
      </c>
      <c r="B2022" s="350">
        <v>46113</v>
      </c>
      <c r="C2022" s="350">
        <v>46136</v>
      </c>
      <c r="D2022" s="351">
        <v>46113</v>
      </c>
      <c r="E2022" s="340" t="s">
        <v>2564</v>
      </c>
      <c r="F2022" s="340" t="s">
        <v>894</v>
      </c>
      <c r="G2022" s="340" t="s">
        <v>2569</v>
      </c>
      <c r="H2022" s="340"/>
      <c r="I2022" s="340" t="s">
        <v>771</v>
      </c>
      <c r="K2022" s="343">
        <v>0</v>
      </c>
      <c r="L2022" s="343">
        <v>-0.05</v>
      </c>
      <c r="M2022" s="343">
        <v>-1255213.5</v>
      </c>
      <c r="O2022" s="343">
        <v>0</v>
      </c>
    </row>
    <row r="2023" spans="1:15" x14ac:dyDescent="0.3">
      <c r="A2023" s="340" t="s">
        <v>891</v>
      </c>
      <c r="B2023" s="350">
        <v>46113</v>
      </c>
      <c r="C2023" s="350">
        <v>46136</v>
      </c>
      <c r="D2023" s="351">
        <v>46113</v>
      </c>
      <c r="E2023" s="340" t="s">
        <v>2564</v>
      </c>
      <c r="F2023" s="340" t="s">
        <v>894</v>
      </c>
      <c r="G2023" s="340" t="s">
        <v>2570</v>
      </c>
      <c r="H2023" s="340"/>
      <c r="I2023" s="340" t="s">
        <v>771</v>
      </c>
      <c r="K2023" s="343">
        <v>0</v>
      </c>
      <c r="L2023" s="343">
        <v>-0.06</v>
      </c>
      <c r="M2023" s="343">
        <v>-1255213.56</v>
      </c>
      <c r="O2023" s="343">
        <v>0</v>
      </c>
    </row>
    <row r="2024" spans="1:15" x14ac:dyDescent="0.3">
      <c r="A2024" s="340" t="s">
        <v>891</v>
      </c>
      <c r="B2024" s="350">
        <v>46113</v>
      </c>
      <c r="C2024" s="350">
        <v>46136</v>
      </c>
      <c r="D2024" s="351">
        <v>46113</v>
      </c>
      <c r="E2024" s="340" t="s">
        <v>2564</v>
      </c>
      <c r="F2024" s="340" t="s">
        <v>894</v>
      </c>
      <c r="G2024" s="340" t="s">
        <v>2439</v>
      </c>
      <c r="H2024" s="340"/>
      <c r="I2024" s="340" t="s">
        <v>771</v>
      </c>
      <c r="K2024" s="343">
        <v>0</v>
      </c>
      <c r="L2024" s="343">
        <v>-7.0000000000000007E-2</v>
      </c>
      <c r="M2024" s="343">
        <v>-1255213.6299999999</v>
      </c>
      <c r="O2024" s="343">
        <v>0</v>
      </c>
    </row>
    <row r="2025" spans="1:15" x14ac:dyDescent="0.3">
      <c r="A2025" s="340" t="s">
        <v>891</v>
      </c>
      <c r="B2025" s="350">
        <v>46113</v>
      </c>
      <c r="C2025" s="350">
        <v>46136</v>
      </c>
      <c r="D2025" s="351">
        <v>46113</v>
      </c>
      <c r="E2025" s="340" t="s">
        <v>2564</v>
      </c>
      <c r="F2025" s="340" t="s">
        <v>894</v>
      </c>
      <c r="G2025" s="340" t="s">
        <v>2439</v>
      </c>
      <c r="H2025" s="340"/>
      <c r="I2025" s="340" t="s">
        <v>771</v>
      </c>
      <c r="K2025" s="343">
        <v>0</v>
      </c>
      <c r="L2025" s="343">
        <v>-0.11</v>
      </c>
      <c r="M2025" s="343">
        <v>-1255213.74</v>
      </c>
      <c r="O2025" s="343">
        <v>0</v>
      </c>
    </row>
    <row r="2026" spans="1:15" x14ac:dyDescent="0.3">
      <c r="A2026" s="340" t="s">
        <v>891</v>
      </c>
      <c r="B2026" s="350">
        <v>46113</v>
      </c>
      <c r="C2026" s="350">
        <v>46136</v>
      </c>
      <c r="D2026" s="351">
        <v>46113</v>
      </c>
      <c r="E2026" s="340" t="s">
        <v>2564</v>
      </c>
      <c r="F2026" s="340" t="s">
        <v>894</v>
      </c>
      <c r="G2026" s="340" t="s">
        <v>2441</v>
      </c>
      <c r="H2026" s="340"/>
      <c r="I2026" s="340" t="s">
        <v>771</v>
      </c>
      <c r="K2026" s="343">
        <v>0</v>
      </c>
      <c r="L2026" s="343">
        <v>-0.13</v>
      </c>
      <c r="M2026" s="343">
        <v>-1255213.8700000001</v>
      </c>
      <c r="O2026" s="343">
        <v>0</v>
      </c>
    </row>
    <row r="2027" spans="1:15" x14ac:dyDescent="0.3">
      <c r="A2027" s="340" t="s">
        <v>891</v>
      </c>
      <c r="B2027" s="350">
        <v>46113</v>
      </c>
      <c r="C2027" s="350">
        <v>46136</v>
      </c>
      <c r="D2027" s="351">
        <v>46113</v>
      </c>
      <c r="E2027" s="340" t="s">
        <v>2564</v>
      </c>
      <c r="F2027" s="340" t="s">
        <v>894</v>
      </c>
      <c r="G2027" s="340" t="s">
        <v>2441</v>
      </c>
      <c r="H2027" s="340"/>
      <c r="I2027" s="340" t="s">
        <v>771</v>
      </c>
      <c r="K2027" s="343">
        <v>0</v>
      </c>
      <c r="L2027" s="343">
        <v>-0.22</v>
      </c>
      <c r="M2027" s="343">
        <v>-1255214.0900000001</v>
      </c>
      <c r="O2027" s="343">
        <v>0</v>
      </c>
    </row>
    <row r="2028" spans="1:15" x14ac:dyDescent="0.3">
      <c r="A2028" s="340" t="s">
        <v>891</v>
      </c>
      <c r="B2028" s="350">
        <v>46113</v>
      </c>
      <c r="C2028" s="350">
        <v>46136</v>
      </c>
      <c r="D2028" s="351">
        <v>46113</v>
      </c>
      <c r="E2028" s="340" t="s">
        <v>2564</v>
      </c>
      <c r="F2028" s="340" t="s">
        <v>894</v>
      </c>
      <c r="G2028" s="340" t="s">
        <v>2571</v>
      </c>
      <c r="H2028" s="340"/>
      <c r="I2028" s="340" t="s">
        <v>771</v>
      </c>
      <c r="K2028" s="343">
        <v>0</v>
      </c>
      <c r="L2028" s="343">
        <v>-0.55000000000000004</v>
      </c>
      <c r="M2028" s="343">
        <v>-1255214.6399999999</v>
      </c>
      <c r="O2028" s="343">
        <v>0</v>
      </c>
    </row>
    <row r="2029" spans="1:15" x14ac:dyDescent="0.3">
      <c r="A2029" s="340" t="s">
        <v>891</v>
      </c>
      <c r="B2029" s="350">
        <v>46113</v>
      </c>
      <c r="C2029" s="350">
        <v>46136</v>
      </c>
      <c r="D2029" s="351">
        <v>46113</v>
      </c>
      <c r="E2029" s="340" t="s">
        <v>2564</v>
      </c>
      <c r="F2029" s="340" t="s">
        <v>894</v>
      </c>
      <c r="G2029" s="340" t="s">
        <v>2572</v>
      </c>
      <c r="H2029" s="340"/>
      <c r="I2029" s="340" t="s">
        <v>771</v>
      </c>
      <c r="K2029" s="343">
        <v>0</v>
      </c>
      <c r="L2029" s="343">
        <v>-1.56</v>
      </c>
      <c r="M2029" s="343">
        <v>-1255216.2</v>
      </c>
      <c r="O2029" s="343">
        <v>0</v>
      </c>
    </row>
    <row r="2030" spans="1:15" x14ac:dyDescent="0.3">
      <c r="A2030" s="340" t="s">
        <v>891</v>
      </c>
      <c r="B2030" s="350">
        <v>46113</v>
      </c>
      <c r="C2030" s="350">
        <v>46136</v>
      </c>
      <c r="D2030" s="351">
        <v>46113</v>
      </c>
      <c r="E2030" s="340" t="s">
        <v>2564</v>
      </c>
      <c r="F2030" s="340" t="s">
        <v>894</v>
      </c>
      <c r="G2030" s="340" t="s">
        <v>2573</v>
      </c>
      <c r="H2030" s="340"/>
      <c r="I2030" s="340" t="s">
        <v>771</v>
      </c>
      <c r="K2030" s="343">
        <v>0</v>
      </c>
      <c r="L2030" s="343">
        <v>-1.83</v>
      </c>
      <c r="M2030" s="343">
        <v>-1255218.03</v>
      </c>
      <c r="O2030" s="343">
        <v>0</v>
      </c>
    </row>
    <row r="2031" spans="1:15" x14ac:dyDescent="0.3">
      <c r="A2031" s="340" t="s">
        <v>891</v>
      </c>
      <c r="B2031" s="350">
        <v>46113</v>
      </c>
      <c r="C2031" s="350">
        <v>46136</v>
      </c>
      <c r="D2031" s="351">
        <v>46113</v>
      </c>
      <c r="E2031" s="340" t="s">
        <v>2564</v>
      </c>
      <c r="F2031" s="340" t="s">
        <v>894</v>
      </c>
      <c r="G2031" s="340" t="s">
        <v>2442</v>
      </c>
      <c r="H2031" s="340"/>
      <c r="I2031" s="340" t="s">
        <v>771</v>
      </c>
      <c r="K2031" s="343">
        <v>0</v>
      </c>
      <c r="L2031" s="343">
        <v>-2.2599999999999998</v>
      </c>
      <c r="M2031" s="343">
        <v>-1255220.29</v>
      </c>
      <c r="O2031" s="343">
        <v>0</v>
      </c>
    </row>
    <row r="2032" spans="1:15" x14ac:dyDescent="0.3">
      <c r="A2032" s="340" t="s">
        <v>891</v>
      </c>
      <c r="B2032" s="350">
        <v>46113</v>
      </c>
      <c r="C2032" s="350">
        <v>46136</v>
      </c>
      <c r="D2032" s="351">
        <v>46113</v>
      </c>
      <c r="E2032" s="340" t="s">
        <v>2564</v>
      </c>
      <c r="F2032" s="340" t="s">
        <v>894</v>
      </c>
      <c r="G2032" s="340" t="s">
        <v>2565</v>
      </c>
      <c r="H2032" s="340"/>
      <c r="I2032" s="340" t="s">
        <v>771</v>
      </c>
      <c r="K2032" s="343">
        <v>0</v>
      </c>
      <c r="L2032" s="343">
        <v>-4.6100000000000003</v>
      </c>
      <c r="M2032" s="343">
        <v>-1255224.8999999999</v>
      </c>
      <c r="O2032" s="343">
        <v>0</v>
      </c>
    </row>
    <row r="2033" spans="1:15" x14ac:dyDescent="0.3">
      <c r="A2033" s="340" t="s">
        <v>891</v>
      </c>
      <c r="B2033" s="350">
        <v>46113</v>
      </c>
      <c r="C2033" s="350">
        <v>46136</v>
      </c>
      <c r="D2033" s="351">
        <v>46113</v>
      </c>
      <c r="E2033" s="340" t="s">
        <v>2564</v>
      </c>
      <c r="F2033" s="340" t="s">
        <v>894</v>
      </c>
      <c r="G2033" s="340" t="s">
        <v>2566</v>
      </c>
      <c r="H2033" s="340"/>
      <c r="I2033" s="340" t="s">
        <v>771</v>
      </c>
      <c r="K2033" s="343">
        <v>0</v>
      </c>
      <c r="L2033" s="343">
        <v>-6.25</v>
      </c>
      <c r="M2033" s="343">
        <v>-1255231.1499999999</v>
      </c>
      <c r="O2033" s="343">
        <v>0</v>
      </c>
    </row>
    <row r="2034" spans="1:15" x14ac:dyDescent="0.3">
      <c r="A2034" s="340" t="s">
        <v>891</v>
      </c>
      <c r="B2034" s="350">
        <v>46113</v>
      </c>
      <c r="C2034" s="350">
        <v>46136</v>
      </c>
      <c r="D2034" s="351">
        <v>46113</v>
      </c>
      <c r="E2034" s="340" t="s">
        <v>2564</v>
      </c>
      <c r="F2034" s="340" t="s">
        <v>894</v>
      </c>
      <c r="G2034" s="340" t="s">
        <v>2568</v>
      </c>
      <c r="H2034" s="340"/>
      <c r="I2034" s="340" t="s">
        <v>771</v>
      </c>
      <c r="K2034" s="343">
        <v>0</v>
      </c>
      <c r="L2034" s="343">
        <v>-0.01</v>
      </c>
      <c r="M2034" s="343">
        <v>-1255231.1599999999</v>
      </c>
      <c r="O2034" s="343">
        <v>0</v>
      </c>
    </row>
    <row r="2035" spans="1:15" x14ac:dyDescent="0.3">
      <c r="A2035" s="340" t="s">
        <v>891</v>
      </c>
      <c r="B2035" s="350">
        <v>46113</v>
      </c>
      <c r="C2035" s="350">
        <v>46136</v>
      </c>
      <c r="D2035" s="351">
        <v>46113</v>
      </c>
      <c r="E2035" s="340" t="s">
        <v>2564</v>
      </c>
      <c r="F2035" s="340" t="s">
        <v>894</v>
      </c>
      <c r="G2035" s="340" t="s">
        <v>2569</v>
      </c>
      <c r="H2035" s="340"/>
      <c r="I2035" s="340" t="s">
        <v>771</v>
      </c>
      <c r="K2035" s="343">
        <v>0</v>
      </c>
      <c r="L2035" s="343">
        <v>-0.05</v>
      </c>
      <c r="M2035" s="343">
        <v>-1255231.21</v>
      </c>
      <c r="O2035" s="343">
        <v>0</v>
      </c>
    </row>
    <row r="2036" spans="1:15" x14ac:dyDescent="0.3">
      <c r="A2036" s="340" t="s">
        <v>891</v>
      </c>
      <c r="B2036" s="350">
        <v>46113</v>
      </c>
      <c r="C2036" s="350">
        <v>46136</v>
      </c>
      <c r="D2036" s="351">
        <v>46113</v>
      </c>
      <c r="E2036" s="340" t="s">
        <v>2564</v>
      </c>
      <c r="F2036" s="340" t="s">
        <v>894</v>
      </c>
      <c r="G2036" s="340" t="s">
        <v>2439</v>
      </c>
      <c r="H2036" s="340"/>
      <c r="I2036" s="340" t="s">
        <v>771</v>
      </c>
      <c r="K2036" s="343">
        <v>0</v>
      </c>
      <c r="L2036" s="343">
        <v>-0.06</v>
      </c>
      <c r="M2036" s="343">
        <v>-1255231.27</v>
      </c>
      <c r="O2036" s="343">
        <v>0</v>
      </c>
    </row>
    <row r="2037" spans="1:15" x14ac:dyDescent="0.3">
      <c r="A2037" s="340" t="s">
        <v>891</v>
      </c>
      <c r="B2037" s="350">
        <v>46113</v>
      </c>
      <c r="C2037" s="350">
        <v>46136</v>
      </c>
      <c r="D2037" s="351">
        <v>46113</v>
      </c>
      <c r="E2037" s="340" t="s">
        <v>2564</v>
      </c>
      <c r="F2037" s="340" t="s">
        <v>894</v>
      </c>
      <c r="G2037" s="340" t="s">
        <v>2570</v>
      </c>
      <c r="H2037" s="340"/>
      <c r="I2037" s="340" t="s">
        <v>771</v>
      </c>
      <c r="K2037" s="343">
        <v>0</v>
      </c>
      <c r="L2037" s="343">
        <v>-0.06</v>
      </c>
      <c r="M2037" s="343">
        <v>-1255231.33</v>
      </c>
      <c r="O2037" s="343">
        <v>0</v>
      </c>
    </row>
    <row r="2038" spans="1:15" x14ac:dyDescent="0.3">
      <c r="A2038" s="340" t="s">
        <v>891</v>
      </c>
      <c r="B2038" s="350">
        <v>46113</v>
      </c>
      <c r="C2038" s="350">
        <v>46136</v>
      </c>
      <c r="D2038" s="351">
        <v>46113</v>
      </c>
      <c r="E2038" s="340" t="s">
        <v>2564</v>
      </c>
      <c r="F2038" s="340" t="s">
        <v>894</v>
      </c>
      <c r="G2038" s="340" t="s">
        <v>2439</v>
      </c>
      <c r="H2038" s="340"/>
      <c r="I2038" s="340" t="s">
        <v>771</v>
      </c>
      <c r="K2038" s="343">
        <v>0</v>
      </c>
      <c r="L2038" s="343">
        <v>-0.11</v>
      </c>
      <c r="M2038" s="343">
        <v>-1255231.44</v>
      </c>
      <c r="O2038" s="343">
        <v>0</v>
      </c>
    </row>
    <row r="2039" spans="1:15" x14ac:dyDescent="0.3">
      <c r="A2039" s="340" t="s">
        <v>891</v>
      </c>
      <c r="B2039" s="350">
        <v>46113</v>
      </c>
      <c r="C2039" s="350">
        <v>46136</v>
      </c>
      <c r="D2039" s="351">
        <v>46113</v>
      </c>
      <c r="E2039" s="340" t="s">
        <v>2564</v>
      </c>
      <c r="F2039" s="340" t="s">
        <v>894</v>
      </c>
      <c r="G2039" s="340" t="s">
        <v>2441</v>
      </c>
      <c r="H2039" s="340"/>
      <c r="I2039" s="340" t="s">
        <v>771</v>
      </c>
      <c r="K2039" s="343">
        <v>0</v>
      </c>
      <c r="L2039" s="343">
        <v>-0.13</v>
      </c>
      <c r="M2039" s="343">
        <v>-1255231.57</v>
      </c>
      <c r="O2039" s="343">
        <v>0</v>
      </c>
    </row>
    <row r="2040" spans="1:15" x14ac:dyDescent="0.3">
      <c r="A2040" s="340" t="s">
        <v>891</v>
      </c>
      <c r="B2040" s="350">
        <v>46113</v>
      </c>
      <c r="C2040" s="350">
        <v>46136</v>
      </c>
      <c r="D2040" s="351">
        <v>46113</v>
      </c>
      <c r="E2040" s="340" t="s">
        <v>2564</v>
      </c>
      <c r="F2040" s="340" t="s">
        <v>894</v>
      </c>
      <c r="G2040" s="340" t="s">
        <v>2441</v>
      </c>
      <c r="H2040" s="340"/>
      <c r="I2040" s="340" t="s">
        <v>771</v>
      </c>
      <c r="K2040" s="343">
        <v>0</v>
      </c>
      <c r="L2040" s="343">
        <v>-0.22</v>
      </c>
      <c r="M2040" s="343">
        <v>-1255231.79</v>
      </c>
      <c r="O2040" s="343">
        <v>0</v>
      </c>
    </row>
    <row r="2041" spans="1:15" x14ac:dyDescent="0.3">
      <c r="A2041" s="340" t="s">
        <v>891</v>
      </c>
      <c r="B2041" s="350">
        <v>46113</v>
      </c>
      <c r="C2041" s="350">
        <v>46136</v>
      </c>
      <c r="D2041" s="351">
        <v>46113</v>
      </c>
      <c r="E2041" s="340" t="s">
        <v>2564</v>
      </c>
      <c r="F2041" s="340" t="s">
        <v>894</v>
      </c>
      <c r="G2041" s="340" t="s">
        <v>2571</v>
      </c>
      <c r="H2041" s="340"/>
      <c r="I2041" s="340" t="s">
        <v>771</v>
      </c>
      <c r="K2041" s="343">
        <v>0</v>
      </c>
      <c r="L2041" s="343">
        <v>-0.54</v>
      </c>
      <c r="M2041" s="343">
        <v>-1255232.33</v>
      </c>
      <c r="O2041" s="343">
        <v>0</v>
      </c>
    </row>
    <row r="2042" spans="1:15" x14ac:dyDescent="0.3">
      <c r="A2042" s="340" t="s">
        <v>891</v>
      </c>
      <c r="B2042" s="350">
        <v>46113</v>
      </c>
      <c r="C2042" s="350">
        <v>46136</v>
      </c>
      <c r="D2042" s="351">
        <v>46113</v>
      </c>
      <c r="E2042" s="340" t="s">
        <v>2564</v>
      </c>
      <c r="F2042" s="340" t="s">
        <v>894</v>
      </c>
      <c r="G2042" s="340" t="s">
        <v>2572</v>
      </c>
      <c r="H2042" s="340"/>
      <c r="I2042" s="340" t="s">
        <v>771</v>
      </c>
      <c r="K2042" s="343">
        <v>0</v>
      </c>
      <c r="L2042" s="343">
        <v>-1.53</v>
      </c>
      <c r="M2042" s="343">
        <v>-1255233.8600000001</v>
      </c>
      <c r="O2042" s="343">
        <v>0</v>
      </c>
    </row>
    <row r="2043" spans="1:15" x14ac:dyDescent="0.3">
      <c r="A2043" s="340" t="s">
        <v>891</v>
      </c>
      <c r="B2043" s="350">
        <v>46113</v>
      </c>
      <c r="C2043" s="350">
        <v>46136</v>
      </c>
      <c r="D2043" s="351">
        <v>46113</v>
      </c>
      <c r="E2043" s="340" t="s">
        <v>2564</v>
      </c>
      <c r="F2043" s="340" t="s">
        <v>894</v>
      </c>
      <c r="G2043" s="340" t="s">
        <v>2573</v>
      </c>
      <c r="H2043" s="340"/>
      <c r="I2043" s="340" t="s">
        <v>771</v>
      </c>
      <c r="K2043" s="343">
        <v>0</v>
      </c>
      <c r="L2043" s="343">
        <v>-1.79</v>
      </c>
      <c r="M2043" s="343">
        <v>-1255235.6499999999</v>
      </c>
      <c r="O2043" s="343">
        <v>0</v>
      </c>
    </row>
    <row r="2044" spans="1:15" x14ac:dyDescent="0.3">
      <c r="A2044" s="340" t="s">
        <v>891</v>
      </c>
      <c r="B2044" s="350">
        <v>46113</v>
      </c>
      <c r="C2044" s="350">
        <v>46136</v>
      </c>
      <c r="D2044" s="351">
        <v>46113</v>
      </c>
      <c r="E2044" s="340" t="s">
        <v>2564</v>
      </c>
      <c r="F2044" s="340" t="s">
        <v>894</v>
      </c>
      <c r="G2044" s="340" t="s">
        <v>2442</v>
      </c>
      <c r="H2044" s="340"/>
      <c r="I2044" s="340" t="s">
        <v>771</v>
      </c>
      <c r="K2044" s="343">
        <v>0</v>
      </c>
      <c r="L2044" s="343">
        <v>-2.2599999999999998</v>
      </c>
      <c r="M2044" s="343">
        <v>-1255237.9099999999</v>
      </c>
      <c r="O2044" s="343">
        <v>0</v>
      </c>
    </row>
    <row r="2045" spans="1:15" x14ac:dyDescent="0.3">
      <c r="A2045" s="340" t="s">
        <v>891</v>
      </c>
      <c r="B2045" s="350">
        <v>46113</v>
      </c>
      <c r="C2045" s="350">
        <v>46136</v>
      </c>
      <c r="D2045" s="351">
        <v>46113</v>
      </c>
      <c r="E2045" s="340" t="s">
        <v>2564</v>
      </c>
      <c r="F2045" s="340" t="s">
        <v>894</v>
      </c>
      <c r="G2045" s="340" t="s">
        <v>2565</v>
      </c>
      <c r="H2045" s="340"/>
      <c r="I2045" s="340" t="s">
        <v>771</v>
      </c>
      <c r="K2045" s="343">
        <v>0</v>
      </c>
      <c r="L2045" s="343">
        <v>-4.6100000000000003</v>
      </c>
      <c r="M2045" s="343">
        <v>-1255242.52</v>
      </c>
      <c r="O2045" s="343">
        <v>0</v>
      </c>
    </row>
    <row r="2046" spans="1:15" x14ac:dyDescent="0.3">
      <c r="A2046" s="340" t="s">
        <v>891</v>
      </c>
      <c r="B2046" s="350">
        <v>46113</v>
      </c>
      <c r="C2046" s="350">
        <v>46136</v>
      </c>
      <c r="D2046" s="351">
        <v>46113</v>
      </c>
      <c r="E2046" s="340" t="s">
        <v>2564</v>
      </c>
      <c r="F2046" s="340" t="s">
        <v>894</v>
      </c>
      <c r="G2046" s="340" t="s">
        <v>2566</v>
      </c>
      <c r="H2046" s="340"/>
      <c r="I2046" s="340" t="s">
        <v>771</v>
      </c>
      <c r="K2046" s="343">
        <v>0</v>
      </c>
      <c r="L2046" s="343">
        <v>-6.11</v>
      </c>
      <c r="M2046" s="343">
        <v>-1255248.6299999999</v>
      </c>
      <c r="O2046" s="343">
        <v>0</v>
      </c>
    </row>
    <row r="2047" spans="1:15" x14ac:dyDescent="0.3">
      <c r="A2047" s="340" t="s">
        <v>891</v>
      </c>
      <c r="B2047" s="350">
        <v>46113</v>
      </c>
      <c r="C2047" s="350">
        <v>46136</v>
      </c>
      <c r="D2047" s="351">
        <v>46113</v>
      </c>
      <c r="E2047" s="340" t="s">
        <v>2564</v>
      </c>
      <c r="F2047" s="340" t="s">
        <v>894</v>
      </c>
      <c r="G2047" s="340" t="s">
        <v>2567</v>
      </c>
      <c r="H2047" s="340"/>
      <c r="I2047" s="340" t="s">
        <v>771</v>
      </c>
      <c r="K2047" s="343">
        <v>0</v>
      </c>
      <c r="L2047" s="343">
        <v>-0.01</v>
      </c>
      <c r="M2047" s="343">
        <v>-1255248.6399999999</v>
      </c>
      <c r="O2047" s="343">
        <v>0</v>
      </c>
    </row>
    <row r="2048" spans="1:15" x14ac:dyDescent="0.3">
      <c r="A2048" s="340" t="s">
        <v>891</v>
      </c>
      <c r="B2048" s="350">
        <v>46113</v>
      </c>
      <c r="C2048" s="350">
        <v>46136</v>
      </c>
      <c r="D2048" s="351">
        <v>46113</v>
      </c>
      <c r="E2048" s="340" t="s">
        <v>2564</v>
      </c>
      <c r="F2048" s="340" t="s">
        <v>894</v>
      </c>
      <c r="G2048" s="340" t="s">
        <v>2568</v>
      </c>
      <c r="H2048" s="340"/>
      <c r="I2048" s="340" t="s">
        <v>771</v>
      </c>
      <c r="K2048" s="343">
        <v>0</v>
      </c>
      <c r="L2048" s="343">
        <v>-0.01</v>
      </c>
      <c r="M2048" s="343">
        <v>-1255248.6499999999</v>
      </c>
      <c r="O2048" s="343">
        <v>0</v>
      </c>
    </row>
    <row r="2049" spans="1:15" x14ac:dyDescent="0.3">
      <c r="A2049" s="340" t="s">
        <v>891</v>
      </c>
      <c r="B2049" s="350">
        <v>46113</v>
      </c>
      <c r="C2049" s="350">
        <v>46136</v>
      </c>
      <c r="D2049" s="351">
        <v>46113</v>
      </c>
      <c r="E2049" s="340" t="s">
        <v>2564</v>
      </c>
      <c r="F2049" s="340" t="s">
        <v>894</v>
      </c>
      <c r="G2049" s="340" t="s">
        <v>2568</v>
      </c>
      <c r="H2049" s="340"/>
      <c r="I2049" s="340" t="s">
        <v>771</v>
      </c>
      <c r="K2049" s="343">
        <v>0</v>
      </c>
      <c r="L2049" s="343">
        <v>-0.02</v>
      </c>
      <c r="M2049" s="343">
        <v>-1255248.67</v>
      </c>
      <c r="O2049" s="343">
        <v>0</v>
      </c>
    </row>
    <row r="2050" spans="1:15" x14ac:dyDescent="0.3">
      <c r="A2050" s="340" t="s">
        <v>891</v>
      </c>
      <c r="B2050" s="350">
        <v>46113</v>
      </c>
      <c r="C2050" s="350">
        <v>46136</v>
      </c>
      <c r="D2050" s="351">
        <v>46113</v>
      </c>
      <c r="E2050" s="340" t="s">
        <v>2564</v>
      </c>
      <c r="F2050" s="340" t="s">
        <v>894</v>
      </c>
      <c r="G2050" s="340" t="s">
        <v>2569</v>
      </c>
      <c r="H2050" s="340"/>
      <c r="I2050" s="340" t="s">
        <v>771</v>
      </c>
      <c r="K2050" s="343">
        <v>0</v>
      </c>
      <c r="L2050" s="343">
        <v>-0.06</v>
      </c>
      <c r="M2050" s="343">
        <v>-1255248.73</v>
      </c>
      <c r="O2050" s="343">
        <v>0</v>
      </c>
    </row>
    <row r="2051" spans="1:15" x14ac:dyDescent="0.3">
      <c r="A2051" s="340" t="s">
        <v>891</v>
      </c>
      <c r="B2051" s="350">
        <v>46113</v>
      </c>
      <c r="C2051" s="350">
        <v>46136</v>
      </c>
      <c r="D2051" s="351">
        <v>46113</v>
      </c>
      <c r="E2051" s="340" t="s">
        <v>2564</v>
      </c>
      <c r="F2051" s="340" t="s">
        <v>894</v>
      </c>
      <c r="G2051" s="340" t="s">
        <v>2439</v>
      </c>
      <c r="H2051" s="340"/>
      <c r="I2051" s="340" t="s">
        <v>771</v>
      </c>
      <c r="K2051" s="343">
        <v>0</v>
      </c>
      <c r="L2051" s="343">
        <v>-7.0000000000000007E-2</v>
      </c>
      <c r="M2051" s="343">
        <v>-1255248.8</v>
      </c>
      <c r="O2051" s="343">
        <v>0</v>
      </c>
    </row>
    <row r="2052" spans="1:15" x14ac:dyDescent="0.3">
      <c r="A2052" s="340" t="s">
        <v>891</v>
      </c>
      <c r="B2052" s="350">
        <v>46113</v>
      </c>
      <c r="C2052" s="350">
        <v>46136</v>
      </c>
      <c r="D2052" s="351">
        <v>46113</v>
      </c>
      <c r="E2052" s="340" t="s">
        <v>2564</v>
      </c>
      <c r="F2052" s="340" t="s">
        <v>894</v>
      </c>
      <c r="G2052" s="340" t="s">
        <v>2570</v>
      </c>
      <c r="H2052" s="340"/>
      <c r="I2052" s="340" t="s">
        <v>771</v>
      </c>
      <c r="K2052" s="343">
        <v>0</v>
      </c>
      <c r="L2052" s="343">
        <v>-7.0000000000000007E-2</v>
      </c>
      <c r="M2052" s="343">
        <v>-1255248.8700000001</v>
      </c>
      <c r="O2052" s="343">
        <v>0</v>
      </c>
    </row>
    <row r="2053" spans="1:15" x14ac:dyDescent="0.3">
      <c r="A2053" s="340" t="s">
        <v>891</v>
      </c>
      <c r="B2053" s="350">
        <v>46113</v>
      </c>
      <c r="C2053" s="350">
        <v>46136</v>
      </c>
      <c r="D2053" s="351">
        <v>46113</v>
      </c>
      <c r="E2053" s="340" t="s">
        <v>2564</v>
      </c>
      <c r="F2053" s="340" t="s">
        <v>894</v>
      </c>
      <c r="G2053" s="340" t="s">
        <v>2439</v>
      </c>
      <c r="H2053" s="340"/>
      <c r="I2053" s="340" t="s">
        <v>771</v>
      </c>
      <c r="K2053" s="343">
        <v>0</v>
      </c>
      <c r="L2053" s="343">
        <v>-0.12</v>
      </c>
      <c r="M2053" s="343">
        <v>-1255248.99</v>
      </c>
      <c r="O2053" s="343">
        <v>0</v>
      </c>
    </row>
    <row r="2054" spans="1:15" x14ac:dyDescent="0.3">
      <c r="A2054" s="340" t="s">
        <v>891</v>
      </c>
      <c r="B2054" s="350">
        <v>46113</v>
      </c>
      <c r="C2054" s="350">
        <v>46136</v>
      </c>
      <c r="D2054" s="351">
        <v>46113</v>
      </c>
      <c r="E2054" s="340" t="s">
        <v>2564</v>
      </c>
      <c r="F2054" s="340" t="s">
        <v>894</v>
      </c>
      <c r="G2054" s="340" t="s">
        <v>2441</v>
      </c>
      <c r="H2054" s="340"/>
      <c r="I2054" s="340" t="s">
        <v>771</v>
      </c>
      <c r="K2054" s="343">
        <v>0</v>
      </c>
      <c r="L2054" s="343">
        <v>-0.15</v>
      </c>
      <c r="M2054" s="343">
        <v>-1255249.1399999999</v>
      </c>
      <c r="O2054" s="343">
        <v>0</v>
      </c>
    </row>
    <row r="2055" spans="1:15" x14ac:dyDescent="0.3">
      <c r="A2055" s="340" t="s">
        <v>891</v>
      </c>
      <c r="B2055" s="350">
        <v>46113</v>
      </c>
      <c r="C2055" s="350">
        <v>46136</v>
      </c>
      <c r="D2055" s="351">
        <v>46113</v>
      </c>
      <c r="E2055" s="340" t="s">
        <v>2564</v>
      </c>
      <c r="F2055" s="340" t="s">
        <v>894</v>
      </c>
      <c r="G2055" s="340" t="s">
        <v>2441</v>
      </c>
      <c r="H2055" s="340"/>
      <c r="I2055" s="340" t="s">
        <v>771</v>
      </c>
      <c r="K2055" s="343">
        <v>0</v>
      </c>
      <c r="L2055" s="343">
        <v>-0.23</v>
      </c>
      <c r="M2055" s="343">
        <v>-1255249.3700000001</v>
      </c>
      <c r="O2055" s="343">
        <v>0</v>
      </c>
    </row>
    <row r="2056" spans="1:15" x14ac:dyDescent="0.3">
      <c r="A2056" s="340" t="s">
        <v>891</v>
      </c>
      <c r="B2056" s="350">
        <v>46113</v>
      </c>
      <c r="C2056" s="350">
        <v>46136</v>
      </c>
      <c r="D2056" s="351">
        <v>46113</v>
      </c>
      <c r="E2056" s="340" t="s">
        <v>2564</v>
      </c>
      <c r="F2056" s="340" t="s">
        <v>894</v>
      </c>
      <c r="G2056" s="340" t="s">
        <v>2571</v>
      </c>
      <c r="H2056" s="340"/>
      <c r="I2056" s="340" t="s">
        <v>771</v>
      </c>
      <c r="K2056" s="343">
        <v>0</v>
      </c>
      <c r="L2056" s="343">
        <v>-0.63</v>
      </c>
      <c r="M2056" s="343">
        <v>-1255250</v>
      </c>
      <c r="O2056" s="343">
        <v>0</v>
      </c>
    </row>
    <row r="2057" spans="1:15" x14ac:dyDescent="0.3">
      <c r="A2057" s="340" t="s">
        <v>891</v>
      </c>
      <c r="B2057" s="350">
        <v>46113</v>
      </c>
      <c r="C2057" s="350">
        <v>46136</v>
      </c>
      <c r="D2057" s="351">
        <v>46113</v>
      </c>
      <c r="E2057" s="340" t="s">
        <v>2564</v>
      </c>
      <c r="F2057" s="340" t="s">
        <v>894</v>
      </c>
      <c r="G2057" s="340" t="s">
        <v>2572</v>
      </c>
      <c r="H2057" s="340"/>
      <c r="I2057" s="340" t="s">
        <v>771</v>
      </c>
      <c r="K2057" s="343">
        <v>0</v>
      </c>
      <c r="L2057" s="343">
        <v>-1.8</v>
      </c>
      <c r="M2057" s="343">
        <v>-1255251.8</v>
      </c>
      <c r="O2057" s="343">
        <v>0</v>
      </c>
    </row>
    <row r="2058" spans="1:15" x14ac:dyDescent="0.3">
      <c r="A2058" s="340" t="s">
        <v>891</v>
      </c>
      <c r="B2058" s="350">
        <v>46113</v>
      </c>
      <c r="C2058" s="350">
        <v>46136</v>
      </c>
      <c r="D2058" s="351">
        <v>46113</v>
      </c>
      <c r="E2058" s="340" t="s">
        <v>2564</v>
      </c>
      <c r="F2058" s="340" t="s">
        <v>894</v>
      </c>
      <c r="G2058" s="340" t="s">
        <v>2573</v>
      </c>
      <c r="H2058" s="340"/>
      <c r="I2058" s="340" t="s">
        <v>771</v>
      </c>
      <c r="K2058" s="343">
        <v>0</v>
      </c>
      <c r="L2058" s="343">
        <v>-2.1</v>
      </c>
      <c r="M2058" s="343">
        <v>-1255253.8999999999</v>
      </c>
      <c r="O2058" s="343">
        <v>0</v>
      </c>
    </row>
    <row r="2059" spans="1:15" x14ac:dyDescent="0.3">
      <c r="A2059" s="340" t="s">
        <v>891</v>
      </c>
      <c r="B2059" s="350">
        <v>46113</v>
      </c>
      <c r="C2059" s="350">
        <v>46136</v>
      </c>
      <c r="D2059" s="351">
        <v>46113</v>
      </c>
      <c r="E2059" s="340" t="s">
        <v>2564</v>
      </c>
      <c r="F2059" s="340" t="s">
        <v>894</v>
      </c>
      <c r="G2059" s="340" t="s">
        <v>2442</v>
      </c>
      <c r="H2059" s="340"/>
      <c r="I2059" s="340" t="s">
        <v>771</v>
      </c>
      <c r="K2059" s="343">
        <v>0</v>
      </c>
      <c r="L2059" s="343">
        <v>-2.2599999999999998</v>
      </c>
      <c r="M2059" s="343">
        <v>-1255256.1599999999</v>
      </c>
      <c r="O2059" s="343">
        <v>0</v>
      </c>
    </row>
    <row r="2060" spans="1:15" x14ac:dyDescent="0.3">
      <c r="A2060" s="340" t="s">
        <v>891</v>
      </c>
      <c r="B2060" s="350">
        <v>46113</v>
      </c>
      <c r="C2060" s="350">
        <v>46136</v>
      </c>
      <c r="D2060" s="351">
        <v>46113</v>
      </c>
      <c r="E2060" s="340" t="s">
        <v>2564</v>
      </c>
      <c r="F2060" s="340" t="s">
        <v>894</v>
      </c>
      <c r="G2060" s="340" t="s">
        <v>2565</v>
      </c>
      <c r="H2060" s="340"/>
      <c r="I2060" s="340" t="s">
        <v>771</v>
      </c>
      <c r="K2060" s="343">
        <v>0</v>
      </c>
      <c r="L2060" s="343">
        <v>-4.6100000000000003</v>
      </c>
      <c r="M2060" s="343">
        <v>-1255260.77</v>
      </c>
      <c r="O2060" s="343">
        <v>0</v>
      </c>
    </row>
    <row r="2061" spans="1:15" x14ac:dyDescent="0.3">
      <c r="A2061" s="340" t="s">
        <v>891</v>
      </c>
      <c r="B2061" s="350">
        <v>46113</v>
      </c>
      <c r="C2061" s="350">
        <v>46136</v>
      </c>
      <c r="D2061" s="351">
        <v>46113</v>
      </c>
      <c r="E2061" s="340" t="s">
        <v>2564</v>
      </c>
      <c r="F2061" s="340" t="s">
        <v>894</v>
      </c>
      <c r="G2061" s="340" t="s">
        <v>2566</v>
      </c>
      <c r="H2061" s="340"/>
      <c r="I2061" s="340" t="s">
        <v>771</v>
      </c>
      <c r="K2061" s="343">
        <v>0</v>
      </c>
      <c r="L2061" s="343">
        <v>-7.2</v>
      </c>
      <c r="M2061" s="343">
        <v>-1255267.97</v>
      </c>
      <c r="O2061" s="343">
        <v>0</v>
      </c>
    </row>
    <row r="2062" spans="1:15" x14ac:dyDescent="0.3">
      <c r="A2062" s="340" t="s">
        <v>891</v>
      </c>
      <c r="B2062" s="350">
        <v>46113</v>
      </c>
      <c r="C2062" s="350">
        <v>46136</v>
      </c>
      <c r="D2062" s="351">
        <v>46113</v>
      </c>
      <c r="E2062" s="340" t="s">
        <v>2564</v>
      </c>
      <c r="F2062" s="340" t="s">
        <v>894</v>
      </c>
      <c r="G2062" s="340" t="s">
        <v>2567</v>
      </c>
      <c r="H2062" s="340"/>
      <c r="I2062" s="340" t="s">
        <v>771</v>
      </c>
      <c r="K2062" s="343">
        <v>0</v>
      </c>
      <c r="L2062" s="343">
        <v>-0.01</v>
      </c>
      <c r="M2062" s="343">
        <v>-1255267.98</v>
      </c>
      <c r="O2062" s="343">
        <v>0</v>
      </c>
    </row>
    <row r="2063" spans="1:15" x14ac:dyDescent="0.3">
      <c r="A2063" s="340" t="s">
        <v>891</v>
      </c>
      <c r="B2063" s="350">
        <v>46113</v>
      </c>
      <c r="C2063" s="350">
        <v>46136</v>
      </c>
      <c r="D2063" s="351">
        <v>46113</v>
      </c>
      <c r="E2063" s="340" t="s">
        <v>2564</v>
      </c>
      <c r="F2063" s="340" t="s">
        <v>894</v>
      </c>
      <c r="G2063" s="340" t="s">
        <v>2568</v>
      </c>
      <c r="H2063" s="340"/>
      <c r="I2063" s="340" t="s">
        <v>771</v>
      </c>
      <c r="K2063" s="343">
        <v>0</v>
      </c>
      <c r="L2063" s="343">
        <v>-0.03</v>
      </c>
      <c r="M2063" s="343">
        <v>-1255268.01</v>
      </c>
      <c r="O2063" s="343">
        <v>0</v>
      </c>
    </row>
    <row r="2064" spans="1:15" x14ac:dyDescent="0.3">
      <c r="A2064" s="340" t="s">
        <v>891</v>
      </c>
      <c r="B2064" s="350">
        <v>46113</v>
      </c>
      <c r="C2064" s="350">
        <v>46136</v>
      </c>
      <c r="D2064" s="351">
        <v>46113</v>
      </c>
      <c r="E2064" s="340" t="s">
        <v>2564</v>
      </c>
      <c r="F2064" s="340" t="s">
        <v>894</v>
      </c>
      <c r="G2064" s="340" t="s">
        <v>2568</v>
      </c>
      <c r="H2064" s="340"/>
      <c r="I2064" s="340" t="s">
        <v>771</v>
      </c>
      <c r="K2064" s="343">
        <v>0</v>
      </c>
      <c r="L2064" s="343">
        <v>-0.03</v>
      </c>
      <c r="M2064" s="343">
        <v>-1255268.04</v>
      </c>
      <c r="O2064" s="343">
        <v>0</v>
      </c>
    </row>
    <row r="2065" spans="1:15" x14ac:dyDescent="0.3">
      <c r="A2065" s="340" t="s">
        <v>891</v>
      </c>
      <c r="B2065" s="350">
        <v>46113</v>
      </c>
      <c r="C2065" s="350">
        <v>46136</v>
      </c>
      <c r="D2065" s="351">
        <v>46113</v>
      </c>
      <c r="E2065" s="340" t="s">
        <v>2564</v>
      </c>
      <c r="F2065" s="340" t="s">
        <v>894</v>
      </c>
      <c r="G2065" s="340" t="s">
        <v>2569</v>
      </c>
      <c r="H2065" s="340"/>
      <c r="I2065" s="340" t="s">
        <v>771</v>
      </c>
      <c r="K2065" s="343">
        <v>0</v>
      </c>
      <c r="L2065" s="343">
        <v>-0.15</v>
      </c>
      <c r="M2065" s="343">
        <v>-1255268.19</v>
      </c>
      <c r="O2065" s="343">
        <v>0</v>
      </c>
    </row>
    <row r="2066" spans="1:15" x14ac:dyDescent="0.3">
      <c r="A2066" s="340" t="s">
        <v>891</v>
      </c>
      <c r="B2066" s="350">
        <v>46113</v>
      </c>
      <c r="C2066" s="350">
        <v>46136</v>
      </c>
      <c r="D2066" s="351">
        <v>46113</v>
      </c>
      <c r="E2066" s="340" t="s">
        <v>2564</v>
      </c>
      <c r="F2066" s="340" t="s">
        <v>894</v>
      </c>
      <c r="G2066" s="340" t="s">
        <v>2439</v>
      </c>
      <c r="H2066" s="340"/>
      <c r="I2066" s="340" t="s">
        <v>771</v>
      </c>
      <c r="K2066" s="343">
        <v>0</v>
      </c>
      <c r="L2066" s="343">
        <v>-0.18</v>
      </c>
      <c r="M2066" s="343">
        <v>-1255268.3700000001</v>
      </c>
      <c r="O2066" s="343">
        <v>0</v>
      </c>
    </row>
    <row r="2067" spans="1:15" x14ac:dyDescent="0.3">
      <c r="A2067" s="340" t="s">
        <v>891</v>
      </c>
      <c r="B2067" s="350">
        <v>46113</v>
      </c>
      <c r="C2067" s="350">
        <v>46136</v>
      </c>
      <c r="D2067" s="351">
        <v>46113</v>
      </c>
      <c r="E2067" s="340" t="s">
        <v>2564</v>
      </c>
      <c r="F2067" s="340" t="s">
        <v>894</v>
      </c>
      <c r="G2067" s="340" t="s">
        <v>2439</v>
      </c>
      <c r="H2067" s="340"/>
      <c r="I2067" s="340" t="s">
        <v>771</v>
      </c>
      <c r="K2067" s="343">
        <v>0</v>
      </c>
      <c r="L2067" s="343">
        <v>-0.18</v>
      </c>
      <c r="M2067" s="343">
        <v>-1255268.55</v>
      </c>
      <c r="O2067" s="343">
        <v>0</v>
      </c>
    </row>
    <row r="2068" spans="1:15" x14ac:dyDescent="0.3">
      <c r="A2068" s="340" t="s">
        <v>891</v>
      </c>
      <c r="B2068" s="350">
        <v>46113</v>
      </c>
      <c r="C2068" s="350">
        <v>46136</v>
      </c>
      <c r="D2068" s="351">
        <v>46113</v>
      </c>
      <c r="E2068" s="340" t="s">
        <v>2564</v>
      </c>
      <c r="F2068" s="340" t="s">
        <v>894</v>
      </c>
      <c r="G2068" s="340" t="s">
        <v>2570</v>
      </c>
      <c r="H2068" s="340"/>
      <c r="I2068" s="340" t="s">
        <v>771</v>
      </c>
      <c r="K2068" s="343">
        <v>0</v>
      </c>
      <c r="L2068" s="343">
        <v>-0.18</v>
      </c>
      <c r="M2068" s="343">
        <v>-1255268.73</v>
      </c>
      <c r="O2068" s="343">
        <v>0</v>
      </c>
    </row>
    <row r="2069" spans="1:15" x14ac:dyDescent="0.3">
      <c r="A2069" s="340" t="s">
        <v>891</v>
      </c>
      <c r="B2069" s="350">
        <v>46113</v>
      </c>
      <c r="C2069" s="350">
        <v>46136</v>
      </c>
      <c r="D2069" s="351">
        <v>46113</v>
      </c>
      <c r="E2069" s="340" t="s">
        <v>2564</v>
      </c>
      <c r="F2069" s="340" t="s">
        <v>894</v>
      </c>
      <c r="G2069" s="340" t="s">
        <v>2441</v>
      </c>
      <c r="H2069" s="340"/>
      <c r="I2069" s="340" t="s">
        <v>771</v>
      </c>
      <c r="K2069" s="343">
        <v>0</v>
      </c>
      <c r="L2069" s="343">
        <v>-0.36</v>
      </c>
      <c r="M2069" s="343">
        <v>-1255269.0900000001</v>
      </c>
      <c r="O2069" s="343">
        <v>0</v>
      </c>
    </row>
    <row r="2070" spans="1:15" x14ac:dyDescent="0.3">
      <c r="A2070" s="340" t="s">
        <v>891</v>
      </c>
      <c r="B2070" s="350">
        <v>46113</v>
      </c>
      <c r="C2070" s="350">
        <v>46136</v>
      </c>
      <c r="D2070" s="351">
        <v>46113</v>
      </c>
      <c r="E2070" s="340" t="s">
        <v>2564</v>
      </c>
      <c r="F2070" s="340" t="s">
        <v>894</v>
      </c>
      <c r="G2070" s="340" t="s">
        <v>2441</v>
      </c>
      <c r="H2070" s="340"/>
      <c r="I2070" s="340" t="s">
        <v>771</v>
      </c>
      <c r="K2070" s="343">
        <v>0</v>
      </c>
      <c r="L2070" s="343">
        <v>-0.36</v>
      </c>
      <c r="M2070" s="343">
        <v>-1255269.45</v>
      </c>
      <c r="O2070" s="343">
        <v>0</v>
      </c>
    </row>
    <row r="2071" spans="1:15" x14ac:dyDescent="0.3">
      <c r="A2071" s="340" t="s">
        <v>891</v>
      </c>
      <c r="B2071" s="350">
        <v>46113</v>
      </c>
      <c r="C2071" s="350">
        <v>46136</v>
      </c>
      <c r="D2071" s="351">
        <v>46113</v>
      </c>
      <c r="E2071" s="340" t="s">
        <v>2564</v>
      </c>
      <c r="F2071" s="340" t="s">
        <v>894</v>
      </c>
      <c r="G2071" s="340" t="s">
        <v>2571</v>
      </c>
      <c r="H2071" s="340"/>
      <c r="I2071" s="340" t="s">
        <v>771</v>
      </c>
      <c r="K2071" s="343">
        <v>0</v>
      </c>
      <c r="L2071" s="343">
        <v>-1.54</v>
      </c>
      <c r="M2071" s="343">
        <v>-1255270.99</v>
      </c>
      <c r="O2071" s="343">
        <v>0</v>
      </c>
    </row>
    <row r="2072" spans="1:15" x14ac:dyDescent="0.3">
      <c r="A2072" s="340" t="s">
        <v>891</v>
      </c>
      <c r="B2072" s="350">
        <v>46113</v>
      </c>
      <c r="C2072" s="350">
        <v>46136</v>
      </c>
      <c r="D2072" s="351">
        <v>46113</v>
      </c>
      <c r="E2072" s="340" t="s">
        <v>2564</v>
      </c>
      <c r="F2072" s="340" t="s">
        <v>894</v>
      </c>
      <c r="G2072" s="340" t="s">
        <v>2442</v>
      </c>
      <c r="H2072" s="340"/>
      <c r="I2072" s="340" t="s">
        <v>771</v>
      </c>
      <c r="K2072" s="343">
        <v>0</v>
      </c>
      <c r="L2072" s="343">
        <v>-2.2599999999999998</v>
      </c>
      <c r="M2072" s="343">
        <v>-1255273.25</v>
      </c>
      <c r="O2072" s="343">
        <v>0</v>
      </c>
    </row>
    <row r="2073" spans="1:15" x14ac:dyDescent="0.3">
      <c r="A2073" s="340" t="s">
        <v>891</v>
      </c>
      <c r="B2073" s="350">
        <v>46113</v>
      </c>
      <c r="C2073" s="350">
        <v>46136</v>
      </c>
      <c r="D2073" s="351">
        <v>46113</v>
      </c>
      <c r="E2073" s="340" t="s">
        <v>2564</v>
      </c>
      <c r="F2073" s="340" t="s">
        <v>894</v>
      </c>
      <c r="G2073" s="340" t="s">
        <v>2572</v>
      </c>
      <c r="H2073" s="340"/>
      <c r="I2073" s="340" t="s">
        <v>771</v>
      </c>
      <c r="K2073" s="343">
        <v>0</v>
      </c>
      <c r="L2073" s="343">
        <v>-4.3600000000000003</v>
      </c>
      <c r="M2073" s="343">
        <v>-1255277.6100000001</v>
      </c>
      <c r="O2073" s="343">
        <v>0</v>
      </c>
    </row>
    <row r="2074" spans="1:15" x14ac:dyDescent="0.3">
      <c r="A2074" s="340" t="s">
        <v>891</v>
      </c>
      <c r="B2074" s="350">
        <v>46113</v>
      </c>
      <c r="C2074" s="350">
        <v>46136</v>
      </c>
      <c r="D2074" s="351">
        <v>46113</v>
      </c>
      <c r="E2074" s="340" t="s">
        <v>2564</v>
      </c>
      <c r="F2074" s="340" t="s">
        <v>894</v>
      </c>
      <c r="G2074" s="340" t="s">
        <v>2565</v>
      </c>
      <c r="H2074" s="340"/>
      <c r="I2074" s="340" t="s">
        <v>771</v>
      </c>
      <c r="K2074" s="343">
        <v>0</v>
      </c>
      <c r="L2074" s="343">
        <v>-4.6100000000000003</v>
      </c>
      <c r="M2074" s="343">
        <v>-1255282.22</v>
      </c>
      <c r="O2074" s="343">
        <v>0</v>
      </c>
    </row>
    <row r="2075" spans="1:15" x14ac:dyDescent="0.3">
      <c r="A2075" s="340" t="s">
        <v>891</v>
      </c>
      <c r="B2075" s="350">
        <v>46113</v>
      </c>
      <c r="C2075" s="350">
        <v>46136</v>
      </c>
      <c r="D2075" s="351">
        <v>46113</v>
      </c>
      <c r="E2075" s="340" t="s">
        <v>2564</v>
      </c>
      <c r="F2075" s="340" t="s">
        <v>894</v>
      </c>
      <c r="G2075" s="340" t="s">
        <v>2573</v>
      </c>
      <c r="H2075" s="340"/>
      <c r="I2075" s="340" t="s">
        <v>771</v>
      </c>
      <c r="K2075" s="343">
        <v>0</v>
      </c>
      <c r="L2075" s="343">
        <v>-5.0999999999999996</v>
      </c>
      <c r="M2075" s="343">
        <v>-1255287.32</v>
      </c>
      <c r="O2075" s="343">
        <v>0</v>
      </c>
    </row>
    <row r="2076" spans="1:15" x14ac:dyDescent="0.3">
      <c r="A2076" s="340" t="s">
        <v>891</v>
      </c>
      <c r="B2076" s="350">
        <v>46113</v>
      </c>
      <c r="C2076" s="350">
        <v>46136</v>
      </c>
      <c r="D2076" s="351">
        <v>46113</v>
      </c>
      <c r="E2076" s="340" t="s">
        <v>2564</v>
      </c>
      <c r="F2076" s="340" t="s">
        <v>894</v>
      </c>
      <c r="G2076" s="340" t="s">
        <v>2566</v>
      </c>
      <c r="H2076" s="340"/>
      <c r="I2076" s="340" t="s">
        <v>771</v>
      </c>
      <c r="K2076" s="343">
        <v>0</v>
      </c>
      <c r="L2076" s="343">
        <v>-17.45</v>
      </c>
      <c r="M2076" s="343">
        <v>-1255304.77</v>
      </c>
      <c r="O2076" s="343">
        <v>0</v>
      </c>
    </row>
    <row r="2077" spans="1:15" x14ac:dyDescent="0.3">
      <c r="A2077" s="340" t="s">
        <v>891</v>
      </c>
      <c r="B2077" s="350">
        <v>46113</v>
      </c>
      <c r="C2077" s="350">
        <v>46136</v>
      </c>
      <c r="D2077" s="351">
        <v>46113</v>
      </c>
      <c r="E2077" s="340" t="s">
        <v>2564</v>
      </c>
      <c r="F2077" s="340" t="s">
        <v>894</v>
      </c>
      <c r="G2077" s="340" t="s">
        <v>2567</v>
      </c>
      <c r="H2077" s="340"/>
      <c r="I2077" s="340" t="s">
        <v>771</v>
      </c>
      <c r="K2077" s="343">
        <v>0</v>
      </c>
      <c r="L2077" s="343">
        <v>-0.01</v>
      </c>
      <c r="M2077" s="343">
        <v>-1255304.78</v>
      </c>
      <c r="O2077" s="343">
        <v>0</v>
      </c>
    </row>
    <row r="2078" spans="1:15" x14ac:dyDescent="0.3">
      <c r="A2078" s="340" t="s">
        <v>891</v>
      </c>
      <c r="B2078" s="350">
        <v>46113</v>
      </c>
      <c r="C2078" s="350">
        <v>46136</v>
      </c>
      <c r="D2078" s="351">
        <v>46113</v>
      </c>
      <c r="E2078" s="340" t="s">
        <v>2564</v>
      </c>
      <c r="F2078" s="340" t="s">
        <v>894</v>
      </c>
      <c r="G2078" s="340" t="s">
        <v>2568</v>
      </c>
      <c r="H2078" s="340"/>
      <c r="I2078" s="340" t="s">
        <v>771</v>
      </c>
      <c r="K2078" s="343">
        <v>0</v>
      </c>
      <c r="L2078" s="343">
        <v>-0.01</v>
      </c>
      <c r="M2078" s="343">
        <v>-1255304.79</v>
      </c>
      <c r="O2078" s="343">
        <v>0</v>
      </c>
    </row>
    <row r="2079" spans="1:15" x14ac:dyDescent="0.3">
      <c r="A2079" s="340" t="s">
        <v>891</v>
      </c>
      <c r="B2079" s="350">
        <v>46113</v>
      </c>
      <c r="C2079" s="350">
        <v>46136</v>
      </c>
      <c r="D2079" s="351">
        <v>46113</v>
      </c>
      <c r="E2079" s="340" t="s">
        <v>2564</v>
      </c>
      <c r="F2079" s="340" t="s">
        <v>894</v>
      </c>
      <c r="G2079" s="340" t="s">
        <v>2568</v>
      </c>
      <c r="H2079" s="340"/>
      <c r="I2079" s="340" t="s">
        <v>771</v>
      </c>
      <c r="K2079" s="343">
        <v>0</v>
      </c>
      <c r="L2079" s="343">
        <v>-0.02</v>
      </c>
      <c r="M2079" s="343">
        <v>-1255304.81</v>
      </c>
      <c r="O2079" s="343">
        <v>0</v>
      </c>
    </row>
    <row r="2080" spans="1:15" x14ac:dyDescent="0.3">
      <c r="A2080" s="340" t="s">
        <v>891</v>
      </c>
      <c r="B2080" s="350">
        <v>46113</v>
      </c>
      <c r="C2080" s="350">
        <v>46136</v>
      </c>
      <c r="D2080" s="351">
        <v>46113</v>
      </c>
      <c r="E2080" s="340" t="s">
        <v>2564</v>
      </c>
      <c r="F2080" s="340" t="s">
        <v>894</v>
      </c>
      <c r="G2080" s="340" t="s">
        <v>2569</v>
      </c>
      <c r="H2080" s="340"/>
      <c r="I2080" s="340" t="s">
        <v>771</v>
      </c>
      <c r="K2080" s="343">
        <v>0</v>
      </c>
      <c r="L2080" s="343">
        <v>-7.0000000000000007E-2</v>
      </c>
      <c r="M2080" s="343">
        <v>-1255304.8799999999</v>
      </c>
      <c r="O2080" s="343">
        <v>0</v>
      </c>
    </row>
    <row r="2081" spans="1:15" x14ac:dyDescent="0.3">
      <c r="A2081" s="340" t="s">
        <v>891</v>
      </c>
      <c r="B2081" s="350">
        <v>46113</v>
      </c>
      <c r="C2081" s="350">
        <v>46136</v>
      </c>
      <c r="D2081" s="351">
        <v>46113</v>
      </c>
      <c r="E2081" s="340" t="s">
        <v>2564</v>
      </c>
      <c r="F2081" s="340" t="s">
        <v>894</v>
      </c>
      <c r="G2081" s="340" t="s">
        <v>2570</v>
      </c>
      <c r="H2081" s="340"/>
      <c r="I2081" s="340" t="s">
        <v>771</v>
      </c>
      <c r="K2081" s="343">
        <v>0</v>
      </c>
      <c r="L2081" s="343">
        <v>-0.08</v>
      </c>
      <c r="M2081" s="343">
        <v>-1255304.96</v>
      </c>
      <c r="O2081" s="343">
        <v>0</v>
      </c>
    </row>
    <row r="2082" spans="1:15" x14ac:dyDescent="0.3">
      <c r="A2082" s="340" t="s">
        <v>891</v>
      </c>
      <c r="B2082" s="350">
        <v>46113</v>
      </c>
      <c r="C2082" s="350">
        <v>46136</v>
      </c>
      <c r="D2082" s="351">
        <v>46113</v>
      </c>
      <c r="E2082" s="340" t="s">
        <v>2564</v>
      </c>
      <c r="F2082" s="340" t="s">
        <v>894</v>
      </c>
      <c r="G2082" s="340" t="s">
        <v>2439</v>
      </c>
      <c r="H2082" s="340"/>
      <c r="I2082" s="340" t="s">
        <v>771</v>
      </c>
      <c r="K2082" s="343">
        <v>0</v>
      </c>
      <c r="L2082" s="343">
        <v>-0.09</v>
      </c>
      <c r="M2082" s="343">
        <v>-1255305.05</v>
      </c>
      <c r="O2082" s="343">
        <v>0</v>
      </c>
    </row>
    <row r="2083" spans="1:15" x14ac:dyDescent="0.3">
      <c r="A2083" s="340" t="s">
        <v>891</v>
      </c>
      <c r="B2083" s="350">
        <v>46113</v>
      </c>
      <c r="C2083" s="350">
        <v>46136</v>
      </c>
      <c r="D2083" s="351">
        <v>46113</v>
      </c>
      <c r="E2083" s="340" t="s">
        <v>2564</v>
      </c>
      <c r="F2083" s="340" t="s">
        <v>894</v>
      </c>
      <c r="G2083" s="340" t="s">
        <v>2439</v>
      </c>
      <c r="H2083" s="340"/>
      <c r="I2083" s="340" t="s">
        <v>771</v>
      </c>
      <c r="K2083" s="343">
        <v>0</v>
      </c>
      <c r="L2083" s="343">
        <v>-0.12</v>
      </c>
      <c r="M2083" s="343">
        <v>-1255305.17</v>
      </c>
      <c r="O2083" s="343">
        <v>0</v>
      </c>
    </row>
    <row r="2084" spans="1:15" x14ac:dyDescent="0.3">
      <c r="A2084" s="340" t="s">
        <v>891</v>
      </c>
      <c r="B2084" s="350">
        <v>46113</v>
      </c>
      <c r="C2084" s="350">
        <v>46136</v>
      </c>
      <c r="D2084" s="351">
        <v>46113</v>
      </c>
      <c r="E2084" s="340" t="s">
        <v>2564</v>
      </c>
      <c r="F2084" s="340" t="s">
        <v>894</v>
      </c>
      <c r="G2084" s="340" t="s">
        <v>2441</v>
      </c>
      <c r="H2084" s="340"/>
      <c r="I2084" s="340" t="s">
        <v>771</v>
      </c>
      <c r="K2084" s="343">
        <v>0</v>
      </c>
      <c r="L2084" s="343">
        <v>-0.17</v>
      </c>
      <c r="M2084" s="343">
        <v>-1255305.3400000001</v>
      </c>
      <c r="O2084" s="343">
        <v>0</v>
      </c>
    </row>
    <row r="2085" spans="1:15" x14ac:dyDescent="0.3">
      <c r="A2085" s="340" t="s">
        <v>891</v>
      </c>
      <c r="B2085" s="350">
        <v>46113</v>
      </c>
      <c r="C2085" s="350">
        <v>46136</v>
      </c>
      <c r="D2085" s="351">
        <v>46113</v>
      </c>
      <c r="E2085" s="340" t="s">
        <v>2564</v>
      </c>
      <c r="F2085" s="340" t="s">
        <v>894</v>
      </c>
      <c r="G2085" s="340" t="s">
        <v>2441</v>
      </c>
      <c r="H2085" s="340"/>
      <c r="I2085" s="340" t="s">
        <v>771</v>
      </c>
      <c r="K2085" s="343">
        <v>0</v>
      </c>
      <c r="L2085" s="343">
        <v>-0.25</v>
      </c>
      <c r="M2085" s="343">
        <v>-1255305.5900000001</v>
      </c>
      <c r="O2085" s="343">
        <v>0</v>
      </c>
    </row>
    <row r="2086" spans="1:15" x14ac:dyDescent="0.3">
      <c r="A2086" s="340" t="s">
        <v>891</v>
      </c>
      <c r="B2086" s="350">
        <v>46113</v>
      </c>
      <c r="C2086" s="350">
        <v>46136</v>
      </c>
      <c r="D2086" s="351">
        <v>46113</v>
      </c>
      <c r="E2086" s="340" t="s">
        <v>2564</v>
      </c>
      <c r="F2086" s="340" t="s">
        <v>894</v>
      </c>
      <c r="G2086" s="340" t="s">
        <v>2571</v>
      </c>
      <c r="H2086" s="340"/>
      <c r="I2086" s="340" t="s">
        <v>771</v>
      </c>
      <c r="K2086" s="343">
        <v>0</v>
      </c>
      <c r="L2086" s="343">
        <v>-0.73</v>
      </c>
      <c r="M2086" s="343">
        <v>-1255306.32</v>
      </c>
      <c r="O2086" s="343">
        <v>0</v>
      </c>
    </row>
    <row r="2087" spans="1:15" x14ac:dyDescent="0.3">
      <c r="A2087" s="340" t="s">
        <v>891</v>
      </c>
      <c r="B2087" s="350">
        <v>46113</v>
      </c>
      <c r="C2087" s="350">
        <v>46136</v>
      </c>
      <c r="D2087" s="351">
        <v>46113</v>
      </c>
      <c r="E2087" s="340" t="s">
        <v>2564</v>
      </c>
      <c r="F2087" s="340" t="s">
        <v>894</v>
      </c>
      <c r="G2087" s="340" t="s">
        <v>2572</v>
      </c>
      <c r="H2087" s="340"/>
      <c r="I2087" s="340" t="s">
        <v>771</v>
      </c>
      <c r="K2087" s="343">
        <v>0</v>
      </c>
      <c r="L2087" s="343">
        <v>-2.0699999999999998</v>
      </c>
      <c r="M2087" s="343">
        <v>-1255308.3899999999</v>
      </c>
      <c r="O2087" s="343">
        <v>0</v>
      </c>
    </row>
    <row r="2088" spans="1:15" x14ac:dyDescent="0.3">
      <c r="A2088" s="340" t="s">
        <v>891</v>
      </c>
      <c r="B2088" s="350">
        <v>46113</v>
      </c>
      <c r="C2088" s="350">
        <v>46136</v>
      </c>
      <c r="D2088" s="351">
        <v>46113</v>
      </c>
      <c r="E2088" s="340" t="s">
        <v>2564</v>
      </c>
      <c r="F2088" s="340" t="s">
        <v>894</v>
      </c>
      <c r="G2088" s="340" t="s">
        <v>2573</v>
      </c>
      <c r="H2088" s="340"/>
      <c r="I2088" s="340" t="s">
        <v>771</v>
      </c>
      <c r="K2088" s="343">
        <v>0</v>
      </c>
      <c r="L2088" s="343">
        <v>-2.42</v>
      </c>
      <c r="M2088" s="343">
        <v>-1255310.81</v>
      </c>
      <c r="O2088" s="343">
        <v>0</v>
      </c>
    </row>
    <row r="2089" spans="1:15" x14ac:dyDescent="0.3">
      <c r="A2089" s="340" t="s">
        <v>891</v>
      </c>
      <c r="B2089" s="350">
        <v>46113</v>
      </c>
      <c r="C2089" s="350">
        <v>46136</v>
      </c>
      <c r="D2089" s="351">
        <v>46113</v>
      </c>
      <c r="E2089" s="340" t="s">
        <v>2564</v>
      </c>
      <c r="F2089" s="340" t="s">
        <v>894</v>
      </c>
      <c r="G2089" s="340" t="s">
        <v>2565</v>
      </c>
      <c r="H2089" s="340"/>
      <c r="I2089" s="340" t="s">
        <v>771</v>
      </c>
      <c r="K2089" s="343">
        <v>0</v>
      </c>
      <c r="L2089" s="343">
        <v>-4.6100000000000003</v>
      </c>
      <c r="M2089" s="343">
        <v>-1255315.42</v>
      </c>
      <c r="O2089" s="343">
        <v>0</v>
      </c>
    </row>
    <row r="2090" spans="1:15" x14ac:dyDescent="0.3">
      <c r="A2090" s="340" t="s">
        <v>891</v>
      </c>
      <c r="B2090" s="350">
        <v>46113</v>
      </c>
      <c r="C2090" s="350">
        <v>46136</v>
      </c>
      <c r="D2090" s="351">
        <v>46113</v>
      </c>
      <c r="E2090" s="340" t="s">
        <v>2564</v>
      </c>
      <c r="F2090" s="340" t="s">
        <v>894</v>
      </c>
      <c r="G2090" s="340" t="s">
        <v>2566</v>
      </c>
      <c r="H2090" s="340"/>
      <c r="I2090" s="340" t="s">
        <v>771</v>
      </c>
      <c r="K2090" s="343">
        <v>0</v>
      </c>
      <c r="L2090" s="343">
        <v>-8.2899999999999991</v>
      </c>
      <c r="M2090" s="343">
        <v>-1255323.71</v>
      </c>
      <c r="O2090" s="343">
        <v>0</v>
      </c>
    </row>
    <row r="2091" spans="1:15" x14ac:dyDescent="0.3">
      <c r="A2091" s="340" t="s">
        <v>891</v>
      </c>
      <c r="B2091" s="350">
        <v>46113</v>
      </c>
      <c r="C2091" s="350">
        <v>46136</v>
      </c>
      <c r="D2091" s="351">
        <v>46113</v>
      </c>
      <c r="E2091" s="340" t="s">
        <v>2564</v>
      </c>
      <c r="F2091" s="340" t="s">
        <v>894</v>
      </c>
      <c r="G2091" s="340" t="s">
        <v>2567</v>
      </c>
      <c r="H2091" s="340"/>
      <c r="I2091" s="340" t="s">
        <v>771</v>
      </c>
      <c r="K2091" s="343">
        <v>0</v>
      </c>
      <c r="L2091" s="343">
        <v>-0.06</v>
      </c>
      <c r="M2091" s="343">
        <v>-1255323.77</v>
      </c>
      <c r="O2091" s="343">
        <v>0</v>
      </c>
    </row>
    <row r="2092" spans="1:15" x14ac:dyDescent="0.3">
      <c r="A2092" s="340" t="s">
        <v>891</v>
      </c>
      <c r="B2092" s="350">
        <v>46113</v>
      </c>
      <c r="C2092" s="350">
        <v>46136</v>
      </c>
      <c r="D2092" s="351">
        <v>46113</v>
      </c>
      <c r="E2092" s="340" t="s">
        <v>2564</v>
      </c>
      <c r="F2092" s="340" t="s">
        <v>894</v>
      </c>
      <c r="G2092" s="340" t="s">
        <v>2568</v>
      </c>
      <c r="H2092" s="340"/>
      <c r="I2092" s="340" t="s">
        <v>771</v>
      </c>
      <c r="K2092" s="343">
        <v>0</v>
      </c>
      <c r="L2092" s="343">
        <v>-0.09</v>
      </c>
      <c r="M2092" s="343">
        <v>-1255323.8600000001</v>
      </c>
      <c r="O2092" s="343">
        <v>0</v>
      </c>
    </row>
    <row r="2093" spans="1:15" x14ac:dyDescent="0.3">
      <c r="A2093" s="340" t="s">
        <v>891</v>
      </c>
      <c r="B2093" s="350">
        <v>46113</v>
      </c>
      <c r="C2093" s="350">
        <v>46136</v>
      </c>
      <c r="D2093" s="351">
        <v>46113</v>
      </c>
      <c r="E2093" s="340" t="s">
        <v>2564</v>
      </c>
      <c r="F2093" s="340" t="s">
        <v>894</v>
      </c>
      <c r="G2093" s="340" t="s">
        <v>2568</v>
      </c>
      <c r="H2093" s="340"/>
      <c r="I2093" s="340" t="s">
        <v>771</v>
      </c>
      <c r="K2093" s="343">
        <v>0</v>
      </c>
      <c r="L2093" s="343">
        <v>-0.13</v>
      </c>
      <c r="M2093" s="343">
        <v>-1255323.99</v>
      </c>
      <c r="O2093" s="343">
        <v>0</v>
      </c>
    </row>
    <row r="2094" spans="1:15" x14ac:dyDescent="0.3">
      <c r="A2094" s="340" t="s">
        <v>891</v>
      </c>
      <c r="B2094" s="350">
        <v>46113</v>
      </c>
      <c r="C2094" s="350">
        <v>46136</v>
      </c>
      <c r="D2094" s="351">
        <v>46113</v>
      </c>
      <c r="E2094" s="340" t="s">
        <v>2564</v>
      </c>
      <c r="F2094" s="340" t="s">
        <v>894</v>
      </c>
      <c r="G2094" s="340" t="s">
        <v>2439</v>
      </c>
      <c r="H2094" s="340"/>
      <c r="I2094" s="340" t="s">
        <v>771</v>
      </c>
      <c r="K2094" s="343">
        <v>0</v>
      </c>
      <c r="L2094" s="343">
        <v>-0.56999999999999995</v>
      </c>
      <c r="M2094" s="343">
        <v>-1255324.56</v>
      </c>
      <c r="O2094" s="343">
        <v>0</v>
      </c>
    </row>
    <row r="2095" spans="1:15" x14ac:dyDescent="0.3">
      <c r="A2095" s="340" t="s">
        <v>891</v>
      </c>
      <c r="B2095" s="350">
        <v>46113</v>
      </c>
      <c r="C2095" s="350">
        <v>46136</v>
      </c>
      <c r="D2095" s="351">
        <v>46113</v>
      </c>
      <c r="E2095" s="340" t="s">
        <v>2564</v>
      </c>
      <c r="F2095" s="340" t="s">
        <v>894</v>
      </c>
      <c r="G2095" s="340" t="s">
        <v>2569</v>
      </c>
      <c r="H2095" s="340"/>
      <c r="I2095" s="340" t="s">
        <v>771</v>
      </c>
      <c r="K2095" s="343">
        <v>0</v>
      </c>
      <c r="L2095" s="343">
        <v>-0.69</v>
      </c>
      <c r="M2095" s="343">
        <v>-1255325.25</v>
      </c>
      <c r="O2095" s="343">
        <v>0</v>
      </c>
    </row>
    <row r="2096" spans="1:15" x14ac:dyDescent="0.3">
      <c r="A2096" s="340" t="s">
        <v>891</v>
      </c>
      <c r="B2096" s="350">
        <v>46113</v>
      </c>
      <c r="C2096" s="350">
        <v>46136</v>
      </c>
      <c r="D2096" s="351">
        <v>46113</v>
      </c>
      <c r="E2096" s="340" t="s">
        <v>2564</v>
      </c>
      <c r="F2096" s="340" t="s">
        <v>894</v>
      </c>
      <c r="G2096" s="340" t="s">
        <v>2570</v>
      </c>
      <c r="H2096" s="340"/>
      <c r="I2096" s="340" t="s">
        <v>771</v>
      </c>
      <c r="K2096" s="343">
        <v>0</v>
      </c>
      <c r="L2096" s="343">
        <v>-0.78</v>
      </c>
      <c r="M2096" s="343">
        <v>-1255326.03</v>
      </c>
      <c r="O2096" s="343">
        <v>0</v>
      </c>
    </row>
    <row r="2097" spans="1:15" x14ac:dyDescent="0.3">
      <c r="A2097" s="340" t="s">
        <v>891</v>
      </c>
      <c r="B2097" s="350">
        <v>46113</v>
      </c>
      <c r="C2097" s="350">
        <v>46136</v>
      </c>
      <c r="D2097" s="351">
        <v>46113</v>
      </c>
      <c r="E2097" s="340" t="s">
        <v>2564</v>
      </c>
      <c r="F2097" s="340" t="s">
        <v>894</v>
      </c>
      <c r="G2097" s="340" t="s">
        <v>2439</v>
      </c>
      <c r="H2097" s="340"/>
      <c r="I2097" s="340" t="s">
        <v>771</v>
      </c>
      <c r="K2097" s="343">
        <v>0</v>
      </c>
      <c r="L2097" s="343">
        <v>-0.81</v>
      </c>
      <c r="M2097" s="343">
        <v>-1255326.8400000001</v>
      </c>
      <c r="O2097" s="343">
        <v>0</v>
      </c>
    </row>
    <row r="2098" spans="1:15" x14ac:dyDescent="0.3">
      <c r="A2098" s="340" t="s">
        <v>891</v>
      </c>
      <c r="B2098" s="350">
        <v>46113</v>
      </c>
      <c r="C2098" s="350">
        <v>46136</v>
      </c>
      <c r="D2098" s="351">
        <v>46113</v>
      </c>
      <c r="E2098" s="340" t="s">
        <v>2564</v>
      </c>
      <c r="F2098" s="340" t="s">
        <v>894</v>
      </c>
      <c r="G2098" s="340" t="s">
        <v>2441</v>
      </c>
      <c r="H2098" s="340"/>
      <c r="I2098" s="340" t="s">
        <v>771</v>
      </c>
      <c r="K2098" s="343">
        <v>0</v>
      </c>
      <c r="L2098" s="343">
        <v>-1.1399999999999999</v>
      </c>
      <c r="M2098" s="343">
        <v>-1255327.98</v>
      </c>
      <c r="O2098" s="343">
        <v>0</v>
      </c>
    </row>
    <row r="2099" spans="1:15" x14ac:dyDescent="0.3">
      <c r="A2099" s="340" t="s">
        <v>891</v>
      </c>
      <c r="B2099" s="350">
        <v>46113</v>
      </c>
      <c r="C2099" s="350">
        <v>46136</v>
      </c>
      <c r="D2099" s="351">
        <v>46113</v>
      </c>
      <c r="E2099" s="340" t="s">
        <v>2564</v>
      </c>
      <c r="F2099" s="340" t="s">
        <v>894</v>
      </c>
      <c r="G2099" s="340" t="s">
        <v>2441</v>
      </c>
      <c r="H2099" s="340"/>
      <c r="I2099" s="340" t="s">
        <v>771</v>
      </c>
      <c r="K2099" s="343">
        <v>0</v>
      </c>
      <c r="L2099" s="343">
        <v>-1.61</v>
      </c>
      <c r="M2099" s="343">
        <v>-1255329.5900000001</v>
      </c>
      <c r="O2099" s="343">
        <v>0</v>
      </c>
    </row>
    <row r="2100" spans="1:15" x14ac:dyDescent="0.3">
      <c r="A2100" s="340" t="s">
        <v>891</v>
      </c>
      <c r="B2100" s="350">
        <v>46113</v>
      </c>
      <c r="C2100" s="350">
        <v>46136</v>
      </c>
      <c r="D2100" s="351">
        <v>46113</v>
      </c>
      <c r="E2100" s="340" t="s">
        <v>2564</v>
      </c>
      <c r="F2100" s="340" t="s">
        <v>894</v>
      </c>
      <c r="G2100" s="340" t="s">
        <v>2442</v>
      </c>
      <c r="H2100" s="340"/>
      <c r="I2100" s="340" t="s">
        <v>771</v>
      </c>
      <c r="K2100" s="343">
        <v>0</v>
      </c>
      <c r="L2100" s="343">
        <v>-2.2599999999999998</v>
      </c>
      <c r="M2100" s="343">
        <v>-1255331.8500000001</v>
      </c>
      <c r="O2100" s="343">
        <v>0</v>
      </c>
    </row>
    <row r="2101" spans="1:15" x14ac:dyDescent="0.3">
      <c r="A2101" s="340" t="s">
        <v>891</v>
      </c>
      <c r="B2101" s="350">
        <v>46113</v>
      </c>
      <c r="C2101" s="350">
        <v>46136</v>
      </c>
      <c r="D2101" s="351">
        <v>46113</v>
      </c>
      <c r="E2101" s="340" t="s">
        <v>2564</v>
      </c>
      <c r="F2101" s="340" t="s">
        <v>894</v>
      </c>
      <c r="G2101" s="340" t="s">
        <v>2565</v>
      </c>
      <c r="H2101" s="340"/>
      <c r="I2101" s="340" t="s">
        <v>771</v>
      </c>
      <c r="K2101" s="343">
        <v>0</v>
      </c>
      <c r="L2101" s="343">
        <v>-4.6100000000000003</v>
      </c>
      <c r="M2101" s="343">
        <v>-1255336.46</v>
      </c>
      <c r="O2101" s="343">
        <v>0</v>
      </c>
    </row>
    <row r="2102" spans="1:15" x14ac:dyDescent="0.3">
      <c r="A2102" s="340" t="s">
        <v>891</v>
      </c>
      <c r="B2102" s="350">
        <v>46113</v>
      </c>
      <c r="C2102" s="350">
        <v>46136</v>
      </c>
      <c r="D2102" s="351">
        <v>46113</v>
      </c>
      <c r="E2102" s="340" t="s">
        <v>2564</v>
      </c>
      <c r="F2102" s="340" t="s">
        <v>894</v>
      </c>
      <c r="G2102" s="340" t="s">
        <v>2571</v>
      </c>
      <c r="H2102" s="340"/>
      <c r="I2102" s="340" t="s">
        <v>771</v>
      </c>
      <c r="K2102" s="343">
        <v>0</v>
      </c>
      <c r="L2102" s="343">
        <v>-6.85</v>
      </c>
      <c r="M2102" s="343">
        <v>-1255343.31</v>
      </c>
      <c r="O2102" s="343">
        <v>0</v>
      </c>
    </row>
    <row r="2103" spans="1:15" x14ac:dyDescent="0.3">
      <c r="A2103" s="340" t="s">
        <v>891</v>
      </c>
      <c r="B2103" s="350">
        <v>46113</v>
      </c>
      <c r="C2103" s="350">
        <v>46136</v>
      </c>
      <c r="D2103" s="351">
        <v>46113</v>
      </c>
      <c r="E2103" s="340" t="s">
        <v>2564</v>
      </c>
      <c r="F2103" s="340" t="s">
        <v>894</v>
      </c>
      <c r="G2103" s="340" t="s">
        <v>2572</v>
      </c>
      <c r="H2103" s="340"/>
      <c r="I2103" s="340" t="s">
        <v>771</v>
      </c>
      <c r="K2103" s="343">
        <v>0</v>
      </c>
      <c r="L2103" s="343">
        <v>-19.41</v>
      </c>
      <c r="M2103" s="343">
        <v>-1255362.72</v>
      </c>
      <c r="O2103" s="343">
        <v>0</v>
      </c>
    </row>
    <row r="2104" spans="1:15" x14ac:dyDescent="0.3">
      <c r="A2104" s="340" t="s">
        <v>891</v>
      </c>
      <c r="B2104" s="350">
        <v>46113</v>
      </c>
      <c r="C2104" s="350">
        <v>46136</v>
      </c>
      <c r="D2104" s="351">
        <v>46113</v>
      </c>
      <c r="E2104" s="340" t="s">
        <v>2564</v>
      </c>
      <c r="F2104" s="340" t="s">
        <v>894</v>
      </c>
      <c r="G2104" s="340" t="s">
        <v>2573</v>
      </c>
      <c r="H2104" s="340"/>
      <c r="I2104" s="340" t="s">
        <v>771</v>
      </c>
      <c r="K2104" s="343">
        <v>0</v>
      </c>
      <c r="L2104" s="343">
        <v>-22.72</v>
      </c>
      <c r="M2104" s="343">
        <v>-1255385.44</v>
      </c>
      <c r="O2104" s="343">
        <v>0</v>
      </c>
    </row>
    <row r="2105" spans="1:15" x14ac:dyDescent="0.3">
      <c r="A2105" s="340" t="s">
        <v>891</v>
      </c>
      <c r="B2105" s="350">
        <v>46113</v>
      </c>
      <c r="C2105" s="350">
        <v>46136</v>
      </c>
      <c r="D2105" s="351">
        <v>46113</v>
      </c>
      <c r="E2105" s="340" t="s">
        <v>2564</v>
      </c>
      <c r="F2105" s="340" t="s">
        <v>894</v>
      </c>
      <c r="G2105" s="340" t="s">
        <v>2566</v>
      </c>
      <c r="H2105" s="340"/>
      <c r="I2105" s="340" t="s">
        <v>771</v>
      </c>
      <c r="K2105" s="343">
        <v>0</v>
      </c>
      <c r="L2105" s="343">
        <v>-77.72</v>
      </c>
      <c r="M2105" s="343">
        <v>-1255463.1599999999</v>
      </c>
      <c r="O2105" s="343">
        <v>0</v>
      </c>
    </row>
    <row r="2106" spans="1:15" x14ac:dyDescent="0.3">
      <c r="A2106" s="340" t="s">
        <v>891</v>
      </c>
      <c r="B2106" s="350">
        <v>46113</v>
      </c>
      <c r="C2106" s="350">
        <v>46136</v>
      </c>
      <c r="D2106" s="351">
        <v>46113</v>
      </c>
      <c r="E2106" s="340" t="s">
        <v>2564</v>
      </c>
      <c r="F2106" s="340" t="s">
        <v>894</v>
      </c>
      <c r="G2106" s="340" t="s">
        <v>2567</v>
      </c>
      <c r="H2106" s="340"/>
      <c r="I2106" s="340" t="s">
        <v>771</v>
      </c>
      <c r="K2106" s="343">
        <v>0</v>
      </c>
      <c r="L2106" s="343">
        <v>-7.0000000000000007E-2</v>
      </c>
      <c r="M2106" s="343">
        <v>-1255463.23</v>
      </c>
      <c r="O2106" s="343">
        <v>0</v>
      </c>
    </row>
    <row r="2107" spans="1:15" x14ac:dyDescent="0.3">
      <c r="A2107" s="340" t="s">
        <v>891</v>
      </c>
      <c r="B2107" s="350">
        <v>46113</v>
      </c>
      <c r="C2107" s="350">
        <v>46136</v>
      </c>
      <c r="D2107" s="351">
        <v>46113</v>
      </c>
      <c r="E2107" s="340" t="s">
        <v>2564</v>
      </c>
      <c r="F2107" s="340" t="s">
        <v>894</v>
      </c>
      <c r="G2107" s="340" t="s">
        <v>2568</v>
      </c>
      <c r="H2107" s="340"/>
      <c r="I2107" s="340" t="s">
        <v>771</v>
      </c>
      <c r="K2107" s="343">
        <v>0</v>
      </c>
      <c r="L2107" s="343">
        <v>-0.1</v>
      </c>
      <c r="M2107" s="343">
        <v>-1255463.33</v>
      </c>
      <c r="O2107" s="343">
        <v>0</v>
      </c>
    </row>
    <row r="2108" spans="1:15" x14ac:dyDescent="0.3">
      <c r="A2108" s="340" t="s">
        <v>891</v>
      </c>
      <c r="B2108" s="350">
        <v>46113</v>
      </c>
      <c r="C2108" s="350">
        <v>46136</v>
      </c>
      <c r="D2108" s="351">
        <v>46113</v>
      </c>
      <c r="E2108" s="340" t="s">
        <v>2564</v>
      </c>
      <c r="F2108" s="340" t="s">
        <v>894</v>
      </c>
      <c r="G2108" s="340" t="s">
        <v>2568</v>
      </c>
      <c r="H2108" s="340"/>
      <c r="I2108" s="340" t="s">
        <v>771</v>
      </c>
      <c r="K2108" s="343">
        <v>0</v>
      </c>
      <c r="L2108" s="343">
        <v>-0.15</v>
      </c>
      <c r="M2108" s="343">
        <v>-1255463.48</v>
      </c>
      <c r="O2108" s="343">
        <v>0</v>
      </c>
    </row>
    <row r="2109" spans="1:15" x14ac:dyDescent="0.3">
      <c r="A2109" s="340" t="s">
        <v>891</v>
      </c>
      <c r="B2109" s="350">
        <v>46113</v>
      </c>
      <c r="C2109" s="350">
        <v>46136</v>
      </c>
      <c r="D2109" s="351">
        <v>46113</v>
      </c>
      <c r="E2109" s="340" t="s">
        <v>2564</v>
      </c>
      <c r="F2109" s="340" t="s">
        <v>894</v>
      </c>
      <c r="G2109" s="340" t="s">
        <v>2439</v>
      </c>
      <c r="H2109" s="340"/>
      <c r="I2109" s="340" t="s">
        <v>771</v>
      </c>
      <c r="K2109" s="343">
        <v>0</v>
      </c>
      <c r="L2109" s="343">
        <v>-0.63</v>
      </c>
      <c r="M2109" s="343">
        <v>-1255464.1100000001</v>
      </c>
      <c r="O2109" s="343">
        <v>0</v>
      </c>
    </row>
    <row r="2110" spans="1:15" x14ac:dyDescent="0.3">
      <c r="A2110" s="340" t="s">
        <v>891</v>
      </c>
      <c r="B2110" s="350">
        <v>46113</v>
      </c>
      <c r="C2110" s="350">
        <v>46136</v>
      </c>
      <c r="D2110" s="351">
        <v>46113</v>
      </c>
      <c r="E2110" s="340" t="s">
        <v>2564</v>
      </c>
      <c r="F2110" s="340" t="s">
        <v>894</v>
      </c>
      <c r="G2110" s="340" t="s">
        <v>2569</v>
      </c>
      <c r="H2110" s="340"/>
      <c r="I2110" s="340" t="s">
        <v>771</v>
      </c>
      <c r="K2110" s="343">
        <v>0</v>
      </c>
      <c r="L2110" s="343">
        <v>-0.77</v>
      </c>
      <c r="M2110" s="343">
        <v>-1255464.8799999999</v>
      </c>
      <c r="O2110" s="343">
        <v>0</v>
      </c>
    </row>
    <row r="2111" spans="1:15" x14ac:dyDescent="0.3">
      <c r="A2111" s="340" t="s">
        <v>891</v>
      </c>
      <c r="B2111" s="350">
        <v>46113</v>
      </c>
      <c r="C2111" s="350">
        <v>46136</v>
      </c>
      <c r="D2111" s="351">
        <v>46113</v>
      </c>
      <c r="E2111" s="340" t="s">
        <v>2564</v>
      </c>
      <c r="F2111" s="340" t="s">
        <v>894</v>
      </c>
      <c r="G2111" s="340" t="s">
        <v>2570</v>
      </c>
      <c r="H2111" s="340"/>
      <c r="I2111" s="340" t="s">
        <v>771</v>
      </c>
      <c r="K2111" s="343">
        <v>0</v>
      </c>
      <c r="L2111" s="343">
        <v>-0.87</v>
      </c>
      <c r="M2111" s="343">
        <v>-1255465.75</v>
      </c>
      <c r="O2111" s="343">
        <v>0</v>
      </c>
    </row>
    <row r="2112" spans="1:15" x14ac:dyDescent="0.3">
      <c r="A2112" s="340" t="s">
        <v>891</v>
      </c>
      <c r="B2112" s="350">
        <v>46113</v>
      </c>
      <c r="C2112" s="350">
        <v>46136</v>
      </c>
      <c r="D2112" s="351">
        <v>46113</v>
      </c>
      <c r="E2112" s="340" t="s">
        <v>2564</v>
      </c>
      <c r="F2112" s="340" t="s">
        <v>894</v>
      </c>
      <c r="G2112" s="340" t="s">
        <v>2439</v>
      </c>
      <c r="H2112" s="340"/>
      <c r="I2112" s="340" t="s">
        <v>771</v>
      </c>
      <c r="K2112" s="343">
        <v>0</v>
      </c>
      <c r="L2112" s="343">
        <v>-0.9</v>
      </c>
      <c r="M2112" s="343">
        <v>-1255466.6499999999</v>
      </c>
      <c r="O2112" s="343">
        <v>0</v>
      </c>
    </row>
    <row r="2113" spans="1:15" x14ac:dyDescent="0.3">
      <c r="A2113" s="340" t="s">
        <v>891</v>
      </c>
      <c r="B2113" s="350">
        <v>46113</v>
      </c>
      <c r="C2113" s="350">
        <v>46136</v>
      </c>
      <c r="D2113" s="351">
        <v>46113</v>
      </c>
      <c r="E2113" s="340" t="s">
        <v>2564</v>
      </c>
      <c r="F2113" s="340" t="s">
        <v>894</v>
      </c>
      <c r="G2113" s="340" t="s">
        <v>2441</v>
      </c>
      <c r="H2113" s="340"/>
      <c r="I2113" s="340" t="s">
        <v>771</v>
      </c>
      <c r="K2113" s="343">
        <v>0</v>
      </c>
      <c r="L2113" s="343">
        <v>-1.25</v>
      </c>
      <c r="M2113" s="343">
        <v>-1255467.8999999999</v>
      </c>
      <c r="O2113" s="343">
        <v>0</v>
      </c>
    </row>
    <row r="2114" spans="1:15" x14ac:dyDescent="0.3">
      <c r="A2114" s="340" t="s">
        <v>891</v>
      </c>
      <c r="B2114" s="350">
        <v>46113</v>
      </c>
      <c r="C2114" s="350">
        <v>46136</v>
      </c>
      <c r="D2114" s="351">
        <v>46113</v>
      </c>
      <c r="E2114" s="340" t="s">
        <v>2564</v>
      </c>
      <c r="F2114" s="340" t="s">
        <v>894</v>
      </c>
      <c r="G2114" s="340" t="s">
        <v>2441</v>
      </c>
      <c r="H2114" s="340"/>
      <c r="I2114" s="340" t="s">
        <v>771</v>
      </c>
      <c r="K2114" s="343">
        <v>0</v>
      </c>
      <c r="L2114" s="343">
        <v>-1.8</v>
      </c>
      <c r="M2114" s="343">
        <v>-1255469.7</v>
      </c>
      <c r="O2114" s="343">
        <v>0</v>
      </c>
    </row>
    <row r="2115" spans="1:15" x14ac:dyDescent="0.3">
      <c r="A2115" s="340" t="s">
        <v>891</v>
      </c>
      <c r="B2115" s="350">
        <v>46113</v>
      </c>
      <c r="C2115" s="350">
        <v>46136</v>
      </c>
      <c r="D2115" s="351">
        <v>46113</v>
      </c>
      <c r="E2115" s="340" t="s">
        <v>2564</v>
      </c>
      <c r="F2115" s="340" t="s">
        <v>894</v>
      </c>
      <c r="G2115" s="340" t="s">
        <v>2442</v>
      </c>
      <c r="H2115" s="340"/>
      <c r="I2115" s="340" t="s">
        <v>771</v>
      </c>
      <c r="K2115" s="343">
        <v>0</v>
      </c>
      <c r="L2115" s="343">
        <v>-2.2599999999999998</v>
      </c>
      <c r="M2115" s="343">
        <v>-1255471.96</v>
      </c>
      <c r="O2115" s="343">
        <v>0</v>
      </c>
    </row>
    <row r="2116" spans="1:15" x14ac:dyDescent="0.3">
      <c r="A2116" s="340" t="s">
        <v>891</v>
      </c>
      <c r="B2116" s="350">
        <v>46113</v>
      </c>
      <c r="C2116" s="350">
        <v>46136</v>
      </c>
      <c r="D2116" s="351">
        <v>46113</v>
      </c>
      <c r="E2116" s="340" t="s">
        <v>2564</v>
      </c>
      <c r="F2116" s="340" t="s">
        <v>894</v>
      </c>
      <c r="G2116" s="340" t="s">
        <v>2565</v>
      </c>
      <c r="H2116" s="340"/>
      <c r="I2116" s="340" t="s">
        <v>771</v>
      </c>
      <c r="K2116" s="343">
        <v>0</v>
      </c>
      <c r="L2116" s="343">
        <v>-4.6100000000000003</v>
      </c>
      <c r="M2116" s="343">
        <v>-1255476.57</v>
      </c>
      <c r="O2116" s="343">
        <v>0</v>
      </c>
    </row>
    <row r="2117" spans="1:15" x14ac:dyDescent="0.3">
      <c r="A2117" s="340" t="s">
        <v>891</v>
      </c>
      <c r="B2117" s="350">
        <v>46113</v>
      </c>
      <c r="C2117" s="350">
        <v>46136</v>
      </c>
      <c r="D2117" s="351">
        <v>46113</v>
      </c>
      <c r="E2117" s="340" t="s">
        <v>2564</v>
      </c>
      <c r="F2117" s="340" t="s">
        <v>894</v>
      </c>
      <c r="G2117" s="340" t="s">
        <v>2571</v>
      </c>
      <c r="H2117" s="340"/>
      <c r="I2117" s="340" t="s">
        <v>771</v>
      </c>
      <c r="K2117" s="343">
        <v>0</v>
      </c>
      <c r="L2117" s="343">
        <v>-7.64</v>
      </c>
      <c r="M2117" s="343">
        <v>-1255484.21</v>
      </c>
      <c r="O2117" s="343">
        <v>0</v>
      </c>
    </row>
    <row r="2118" spans="1:15" x14ac:dyDescent="0.3">
      <c r="A2118" s="340" t="s">
        <v>891</v>
      </c>
      <c r="B2118" s="350">
        <v>46113</v>
      </c>
      <c r="C2118" s="350">
        <v>46136</v>
      </c>
      <c r="D2118" s="351">
        <v>46113</v>
      </c>
      <c r="E2118" s="340" t="s">
        <v>2564</v>
      </c>
      <c r="F2118" s="340" t="s">
        <v>894</v>
      </c>
      <c r="G2118" s="340" t="s">
        <v>2572</v>
      </c>
      <c r="H2118" s="340"/>
      <c r="I2118" s="340" t="s">
        <v>771</v>
      </c>
      <c r="K2118" s="343">
        <v>0</v>
      </c>
      <c r="L2118" s="343">
        <v>-21.62</v>
      </c>
      <c r="M2118" s="343">
        <v>-1255505.83</v>
      </c>
      <c r="O2118" s="343">
        <v>0</v>
      </c>
    </row>
    <row r="2119" spans="1:15" x14ac:dyDescent="0.3">
      <c r="A2119" s="340" t="s">
        <v>891</v>
      </c>
      <c r="B2119" s="350">
        <v>46113</v>
      </c>
      <c r="C2119" s="350">
        <v>46136</v>
      </c>
      <c r="D2119" s="351">
        <v>46113</v>
      </c>
      <c r="E2119" s="340" t="s">
        <v>2564</v>
      </c>
      <c r="F2119" s="340" t="s">
        <v>894</v>
      </c>
      <c r="G2119" s="340" t="s">
        <v>2573</v>
      </c>
      <c r="H2119" s="340"/>
      <c r="I2119" s="340" t="s">
        <v>771</v>
      </c>
      <c r="K2119" s="343">
        <v>0</v>
      </c>
      <c r="L2119" s="343">
        <v>-25.31</v>
      </c>
      <c r="M2119" s="343">
        <v>-1255531.1399999999</v>
      </c>
      <c r="O2119" s="343">
        <v>0</v>
      </c>
    </row>
    <row r="2120" spans="1:15" x14ac:dyDescent="0.3">
      <c r="A2120" s="340" t="s">
        <v>891</v>
      </c>
      <c r="B2120" s="350">
        <v>46113</v>
      </c>
      <c r="C2120" s="350">
        <v>46136</v>
      </c>
      <c r="D2120" s="351">
        <v>46113</v>
      </c>
      <c r="E2120" s="340" t="s">
        <v>2564</v>
      </c>
      <c r="F2120" s="340" t="s">
        <v>894</v>
      </c>
      <c r="G2120" s="340" t="s">
        <v>2566</v>
      </c>
      <c r="H2120" s="340"/>
      <c r="I2120" s="340" t="s">
        <v>771</v>
      </c>
      <c r="K2120" s="343">
        <v>0</v>
      </c>
      <c r="L2120" s="343">
        <v>-86.59</v>
      </c>
      <c r="M2120" s="343">
        <v>-1255617.73</v>
      </c>
      <c r="O2120" s="343">
        <v>0</v>
      </c>
    </row>
    <row r="2121" spans="1:15" x14ac:dyDescent="0.3">
      <c r="A2121" s="340" t="s">
        <v>891</v>
      </c>
      <c r="B2121" s="350">
        <v>46113</v>
      </c>
      <c r="C2121" s="350">
        <v>46136</v>
      </c>
      <c r="D2121" s="351">
        <v>46113</v>
      </c>
      <c r="E2121" s="340" t="s">
        <v>2564</v>
      </c>
      <c r="F2121" s="340" t="s">
        <v>894</v>
      </c>
      <c r="G2121" s="340" t="s">
        <v>2568</v>
      </c>
      <c r="H2121" s="340"/>
      <c r="I2121" s="340" t="s">
        <v>771</v>
      </c>
      <c r="K2121" s="343">
        <v>0</v>
      </c>
      <c r="L2121" s="343">
        <v>-0.01</v>
      </c>
      <c r="M2121" s="343">
        <v>-1255617.74</v>
      </c>
      <c r="O2121" s="343">
        <v>0</v>
      </c>
    </row>
    <row r="2122" spans="1:15" x14ac:dyDescent="0.3">
      <c r="A2122" s="340" t="s">
        <v>891</v>
      </c>
      <c r="B2122" s="350">
        <v>46113</v>
      </c>
      <c r="C2122" s="350">
        <v>46136</v>
      </c>
      <c r="D2122" s="351">
        <v>46113</v>
      </c>
      <c r="E2122" s="340" t="s">
        <v>2564</v>
      </c>
      <c r="F2122" s="340" t="s">
        <v>894</v>
      </c>
      <c r="G2122" s="340" t="s">
        <v>2568</v>
      </c>
      <c r="H2122" s="340"/>
      <c r="I2122" s="340" t="s">
        <v>771</v>
      </c>
      <c r="K2122" s="343">
        <v>0</v>
      </c>
      <c r="L2122" s="343">
        <v>-0.02</v>
      </c>
      <c r="M2122" s="343">
        <v>-1255617.76</v>
      </c>
      <c r="O2122" s="343">
        <v>0</v>
      </c>
    </row>
    <row r="2123" spans="1:15" x14ac:dyDescent="0.3">
      <c r="A2123" s="340" t="s">
        <v>891</v>
      </c>
      <c r="B2123" s="350">
        <v>46113</v>
      </c>
      <c r="C2123" s="350">
        <v>46136</v>
      </c>
      <c r="D2123" s="351">
        <v>46113</v>
      </c>
      <c r="E2123" s="340" t="s">
        <v>2564</v>
      </c>
      <c r="F2123" s="340" t="s">
        <v>894</v>
      </c>
      <c r="G2123" s="340" t="s">
        <v>2569</v>
      </c>
      <c r="H2123" s="340"/>
      <c r="I2123" s="340" t="s">
        <v>771</v>
      </c>
      <c r="K2123" s="343">
        <v>0</v>
      </c>
      <c r="L2123" s="343">
        <v>-0.05</v>
      </c>
      <c r="M2123" s="343">
        <v>-1255617.81</v>
      </c>
      <c r="O2123" s="343">
        <v>0</v>
      </c>
    </row>
    <row r="2124" spans="1:15" x14ac:dyDescent="0.3">
      <c r="A2124" s="340" t="s">
        <v>891</v>
      </c>
      <c r="B2124" s="350">
        <v>46113</v>
      </c>
      <c r="C2124" s="350">
        <v>46136</v>
      </c>
      <c r="D2124" s="351">
        <v>46113</v>
      </c>
      <c r="E2124" s="340" t="s">
        <v>2564</v>
      </c>
      <c r="F2124" s="340" t="s">
        <v>894</v>
      </c>
      <c r="G2124" s="340" t="s">
        <v>2439</v>
      </c>
      <c r="H2124" s="340"/>
      <c r="I2124" s="340" t="s">
        <v>771</v>
      </c>
      <c r="K2124" s="343">
        <v>0</v>
      </c>
      <c r="L2124" s="343">
        <v>-0.06</v>
      </c>
      <c r="M2124" s="343">
        <v>-1255617.8700000001</v>
      </c>
      <c r="O2124" s="343">
        <v>0</v>
      </c>
    </row>
    <row r="2125" spans="1:15" x14ac:dyDescent="0.3">
      <c r="A2125" s="340" t="s">
        <v>891</v>
      </c>
      <c r="B2125" s="350">
        <v>46113</v>
      </c>
      <c r="C2125" s="350">
        <v>46136</v>
      </c>
      <c r="D2125" s="351">
        <v>46113</v>
      </c>
      <c r="E2125" s="340" t="s">
        <v>2564</v>
      </c>
      <c r="F2125" s="340" t="s">
        <v>894</v>
      </c>
      <c r="G2125" s="340" t="s">
        <v>2570</v>
      </c>
      <c r="H2125" s="340"/>
      <c r="I2125" s="340" t="s">
        <v>771</v>
      </c>
      <c r="K2125" s="343">
        <v>0</v>
      </c>
      <c r="L2125" s="343">
        <v>-0.06</v>
      </c>
      <c r="M2125" s="343">
        <v>-1255617.93</v>
      </c>
      <c r="O2125" s="343">
        <v>0</v>
      </c>
    </row>
    <row r="2126" spans="1:15" x14ac:dyDescent="0.3">
      <c r="A2126" s="340" t="s">
        <v>891</v>
      </c>
      <c r="B2126" s="350">
        <v>46113</v>
      </c>
      <c r="C2126" s="350">
        <v>46136</v>
      </c>
      <c r="D2126" s="351">
        <v>46113</v>
      </c>
      <c r="E2126" s="340" t="s">
        <v>2564</v>
      </c>
      <c r="F2126" s="340" t="s">
        <v>894</v>
      </c>
      <c r="G2126" s="340" t="s">
        <v>2439</v>
      </c>
      <c r="H2126" s="340"/>
      <c r="I2126" s="340" t="s">
        <v>771</v>
      </c>
      <c r="K2126" s="343">
        <v>0</v>
      </c>
      <c r="L2126" s="343">
        <v>-0.11</v>
      </c>
      <c r="M2126" s="343">
        <v>-1255618.04</v>
      </c>
      <c r="O2126" s="343">
        <v>0</v>
      </c>
    </row>
    <row r="2127" spans="1:15" x14ac:dyDescent="0.3">
      <c r="A2127" s="340" t="s">
        <v>891</v>
      </c>
      <c r="B2127" s="350">
        <v>46113</v>
      </c>
      <c r="C2127" s="350">
        <v>46136</v>
      </c>
      <c r="D2127" s="351">
        <v>46113</v>
      </c>
      <c r="E2127" s="340" t="s">
        <v>2564</v>
      </c>
      <c r="F2127" s="340" t="s">
        <v>894</v>
      </c>
      <c r="G2127" s="340" t="s">
        <v>2441</v>
      </c>
      <c r="H2127" s="340"/>
      <c r="I2127" s="340" t="s">
        <v>771</v>
      </c>
      <c r="K2127" s="343">
        <v>0</v>
      </c>
      <c r="L2127" s="343">
        <v>-0.12</v>
      </c>
      <c r="M2127" s="343">
        <v>-1255618.1599999999</v>
      </c>
      <c r="O2127" s="343">
        <v>0</v>
      </c>
    </row>
    <row r="2128" spans="1:15" x14ac:dyDescent="0.3">
      <c r="A2128" s="340" t="s">
        <v>891</v>
      </c>
      <c r="B2128" s="350">
        <v>46113</v>
      </c>
      <c r="C2128" s="350">
        <v>46136</v>
      </c>
      <c r="D2128" s="351">
        <v>46113</v>
      </c>
      <c r="E2128" s="340" t="s">
        <v>2564</v>
      </c>
      <c r="F2128" s="340" t="s">
        <v>894</v>
      </c>
      <c r="G2128" s="340" t="s">
        <v>2441</v>
      </c>
      <c r="H2128" s="340"/>
      <c r="I2128" s="340" t="s">
        <v>771</v>
      </c>
      <c r="K2128" s="343">
        <v>0</v>
      </c>
      <c r="L2128" s="343">
        <v>-0.21</v>
      </c>
      <c r="M2128" s="343">
        <v>-1255618.3700000001</v>
      </c>
      <c r="O2128" s="343">
        <v>0</v>
      </c>
    </row>
    <row r="2129" spans="1:15" x14ac:dyDescent="0.3">
      <c r="A2129" s="340" t="s">
        <v>891</v>
      </c>
      <c r="B2129" s="350">
        <v>46113</v>
      </c>
      <c r="C2129" s="350">
        <v>46136</v>
      </c>
      <c r="D2129" s="351">
        <v>46113</v>
      </c>
      <c r="E2129" s="340" t="s">
        <v>2564</v>
      </c>
      <c r="F2129" s="340" t="s">
        <v>894</v>
      </c>
      <c r="G2129" s="340" t="s">
        <v>2571</v>
      </c>
      <c r="H2129" s="340"/>
      <c r="I2129" s="340" t="s">
        <v>771</v>
      </c>
      <c r="K2129" s="343">
        <v>0</v>
      </c>
      <c r="L2129" s="343">
        <v>-0.51</v>
      </c>
      <c r="M2129" s="343">
        <v>-1255618.8799999999</v>
      </c>
      <c r="O2129" s="343">
        <v>0</v>
      </c>
    </row>
    <row r="2130" spans="1:15" x14ac:dyDescent="0.3">
      <c r="A2130" s="340" t="s">
        <v>891</v>
      </c>
      <c r="B2130" s="350">
        <v>46113</v>
      </c>
      <c r="C2130" s="350">
        <v>46136</v>
      </c>
      <c r="D2130" s="351">
        <v>46113</v>
      </c>
      <c r="E2130" s="340" t="s">
        <v>2564</v>
      </c>
      <c r="F2130" s="340" t="s">
        <v>894</v>
      </c>
      <c r="G2130" s="340" t="s">
        <v>2572</v>
      </c>
      <c r="H2130" s="340"/>
      <c r="I2130" s="340" t="s">
        <v>771</v>
      </c>
      <c r="K2130" s="343">
        <v>0</v>
      </c>
      <c r="L2130" s="343">
        <v>-1.43</v>
      </c>
      <c r="M2130" s="343">
        <v>-1255620.31</v>
      </c>
      <c r="O2130" s="343">
        <v>0</v>
      </c>
    </row>
    <row r="2131" spans="1:15" x14ac:dyDescent="0.3">
      <c r="A2131" s="340" t="s">
        <v>891</v>
      </c>
      <c r="B2131" s="350">
        <v>46113</v>
      </c>
      <c r="C2131" s="350">
        <v>46136</v>
      </c>
      <c r="D2131" s="351">
        <v>46113</v>
      </c>
      <c r="E2131" s="340" t="s">
        <v>2564</v>
      </c>
      <c r="F2131" s="340" t="s">
        <v>894</v>
      </c>
      <c r="G2131" s="340" t="s">
        <v>2573</v>
      </c>
      <c r="H2131" s="340"/>
      <c r="I2131" s="340" t="s">
        <v>771</v>
      </c>
      <c r="K2131" s="343">
        <v>0</v>
      </c>
      <c r="L2131" s="343">
        <v>-1.68</v>
      </c>
      <c r="M2131" s="343">
        <v>-1255621.99</v>
      </c>
      <c r="O2131" s="343">
        <v>0</v>
      </c>
    </row>
    <row r="2132" spans="1:15" x14ac:dyDescent="0.3">
      <c r="A2132" s="340" t="s">
        <v>891</v>
      </c>
      <c r="B2132" s="350">
        <v>46113</v>
      </c>
      <c r="C2132" s="350">
        <v>46136</v>
      </c>
      <c r="D2132" s="351">
        <v>46113</v>
      </c>
      <c r="E2132" s="340" t="s">
        <v>2564</v>
      </c>
      <c r="F2132" s="340" t="s">
        <v>894</v>
      </c>
      <c r="G2132" s="340" t="s">
        <v>2442</v>
      </c>
      <c r="H2132" s="340"/>
      <c r="I2132" s="340" t="s">
        <v>771</v>
      </c>
      <c r="K2132" s="343">
        <v>0</v>
      </c>
      <c r="L2132" s="343">
        <v>-2.2599999999999998</v>
      </c>
      <c r="M2132" s="343">
        <v>-1255624.25</v>
      </c>
      <c r="O2132" s="343">
        <v>0</v>
      </c>
    </row>
    <row r="2133" spans="1:15" x14ac:dyDescent="0.3">
      <c r="A2133" s="340" t="s">
        <v>891</v>
      </c>
      <c r="B2133" s="350">
        <v>46113</v>
      </c>
      <c r="C2133" s="350">
        <v>46136</v>
      </c>
      <c r="D2133" s="351">
        <v>46113</v>
      </c>
      <c r="E2133" s="340" t="s">
        <v>2564</v>
      </c>
      <c r="F2133" s="340" t="s">
        <v>894</v>
      </c>
      <c r="G2133" s="340" t="s">
        <v>2565</v>
      </c>
      <c r="H2133" s="340"/>
      <c r="I2133" s="340" t="s">
        <v>771</v>
      </c>
      <c r="K2133" s="343">
        <v>0</v>
      </c>
      <c r="L2133" s="343">
        <v>-4.6100000000000003</v>
      </c>
      <c r="M2133" s="343">
        <v>-1255628.8600000001</v>
      </c>
      <c r="O2133" s="343">
        <v>0</v>
      </c>
    </row>
    <row r="2134" spans="1:15" x14ac:dyDescent="0.3">
      <c r="A2134" s="340" t="s">
        <v>891</v>
      </c>
      <c r="B2134" s="350">
        <v>46113</v>
      </c>
      <c r="C2134" s="350">
        <v>46136</v>
      </c>
      <c r="D2134" s="351">
        <v>46113</v>
      </c>
      <c r="E2134" s="340" t="s">
        <v>2564</v>
      </c>
      <c r="F2134" s="340" t="s">
        <v>894</v>
      </c>
      <c r="G2134" s="340" t="s">
        <v>2566</v>
      </c>
      <c r="H2134" s="340"/>
      <c r="I2134" s="340" t="s">
        <v>771</v>
      </c>
      <c r="K2134" s="343">
        <v>0</v>
      </c>
      <c r="L2134" s="343">
        <v>-5.74</v>
      </c>
      <c r="M2134" s="343">
        <v>-1255634.6000000001</v>
      </c>
      <c r="O2134" s="343">
        <v>0</v>
      </c>
    </row>
    <row r="2135" spans="1:15" x14ac:dyDescent="0.3">
      <c r="A2135" s="340" t="s">
        <v>891</v>
      </c>
      <c r="B2135" s="350">
        <v>46113</v>
      </c>
      <c r="C2135" s="350">
        <v>46136</v>
      </c>
      <c r="D2135" s="351">
        <v>46113</v>
      </c>
      <c r="E2135" s="340" t="s">
        <v>2564</v>
      </c>
      <c r="F2135" s="340" t="s">
        <v>894</v>
      </c>
      <c r="G2135" s="340" t="s">
        <v>2568</v>
      </c>
      <c r="H2135" s="340"/>
      <c r="I2135" s="340" t="s">
        <v>771</v>
      </c>
      <c r="K2135" s="343">
        <v>0</v>
      </c>
      <c r="L2135" s="343">
        <v>-0.01</v>
      </c>
      <c r="M2135" s="343">
        <v>-1255634.6100000001</v>
      </c>
      <c r="O2135" s="343">
        <v>0</v>
      </c>
    </row>
    <row r="2136" spans="1:15" x14ac:dyDescent="0.3">
      <c r="A2136" s="340" t="s">
        <v>891</v>
      </c>
      <c r="B2136" s="350">
        <v>46113</v>
      </c>
      <c r="C2136" s="350">
        <v>46136</v>
      </c>
      <c r="D2136" s="351">
        <v>46113</v>
      </c>
      <c r="E2136" s="340" t="s">
        <v>2564</v>
      </c>
      <c r="F2136" s="340" t="s">
        <v>894</v>
      </c>
      <c r="G2136" s="340" t="s">
        <v>2568</v>
      </c>
      <c r="H2136" s="340"/>
      <c r="I2136" s="340" t="s">
        <v>771</v>
      </c>
      <c r="K2136" s="343">
        <v>0</v>
      </c>
      <c r="L2136" s="343">
        <v>-0.02</v>
      </c>
      <c r="M2136" s="343">
        <v>-1255634.6299999999</v>
      </c>
      <c r="O2136" s="343">
        <v>0</v>
      </c>
    </row>
    <row r="2137" spans="1:15" x14ac:dyDescent="0.3">
      <c r="A2137" s="340" t="s">
        <v>891</v>
      </c>
      <c r="B2137" s="350">
        <v>46113</v>
      </c>
      <c r="C2137" s="350">
        <v>46136</v>
      </c>
      <c r="D2137" s="351">
        <v>46113</v>
      </c>
      <c r="E2137" s="340" t="s">
        <v>2564</v>
      </c>
      <c r="F2137" s="340" t="s">
        <v>894</v>
      </c>
      <c r="G2137" s="340" t="s">
        <v>2439</v>
      </c>
      <c r="H2137" s="340"/>
      <c r="I2137" s="340" t="s">
        <v>771</v>
      </c>
      <c r="K2137" s="343">
        <v>0</v>
      </c>
      <c r="L2137" s="343">
        <v>-0.04</v>
      </c>
      <c r="M2137" s="343">
        <v>-1255634.67</v>
      </c>
      <c r="O2137" s="343">
        <v>0</v>
      </c>
    </row>
    <row r="2138" spans="1:15" x14ac:dyDescent="0.3">
      <c r="A2138" s="340" t="s">
        <v>891</v>
      </c>
      <c r="B2138" s="350">
        <v>46113</v>
      </c>
      <c r="C2138" s="350">
        <v>46136</v>
      </c>
      <c r="D2138" s="351">
        <v>46113</v>
      </c>
      <c r="E2138" s="340" t="s">
        <v>2564</v>
      </c>
      <c r="F2138" s="340" t="s">
        <v>894</v>
      </c>
      <c r="G2138" s="340" t="s">
        <v>2570</v>
      </c>
      <c r="H2138" s="340"/>
      <c r="I2138" s="340" t="s">
        <v>771</v>
      </c>
      <c r="K2138" s="343">
        <v>0</v>
      </c>
      <c r="L2138" s="343">
        <v>-0.04</v>
      </c>
      <c r="M2138" s="343">
        <v>-1255634.71</v>
      </c>
      <c r="O2138" s="343">
        <v>0</v>
      </c>
    </row>
    <row r="2139" spans="1:15" x14ac:dyDescent="0.3">
      <c r="A2139" s="340" t="s">
        <v>891</v>
      </c>
      <c r="B2139" s="350">
        <v>46113</v>
      </c>
      <c r="C2139" s="350">
        <v>46136</v>
      </c>
      <c r="D2139" s="351">
        <v>46113</v>
      </c>
      <c r="E2139" s="340" t="s">
        <v>2564</v>
      </c>
      <c r="F2139" s="340" t="s">
        <v>894</v>
      </c>
      <c r="G2139" s="340" t="s">
        <v>2569</v>
      </c>
      <c r="H2139" s="340"/>
      <c r="I2139" s="340" t="s">
        <v>771</v>
      </c>
      <c r="K2139" s="343">
        <v>0</v>
      </c>
      <c r="L2139" s="343">
        <v>-0.04</v>
      </c>
      <c r="M2139" s="343">
        <v>-1255634.75</v>
      </c>
      <c r="O2139" s="343">
        <v>0</v>
      </c>
    </row>
    <row r="2140" spans="1:15" x14ac:dyDescent="0.3">
      <c r="A2140" s="340" t="s">
        <v>891</v>
      </c>
      <c r="B2140" s="350">
        <v>46113</v>
      </c>
      <c r="C2140" s="350">
        <v>46136</v>
      </c>
      <c r="D2140" s="351">
        <v>46113</v>
      </c>
      <c r="E2140" s="340" t="s">
        <v>2564</v>
      </c>
      <c r="F2140" s="340" t="s">
        <v>894</v>
      </c>
      <c r="G2140" s="340" t="s">
        <v>2441</v>
      </c>
      <c r="H2140" s="340"/>
      <c r="I2140" s="340" t="s">
        <v>771</v>
      </c>
      <c r="K2140" s="343">
        <v>0</v>
      </c>
      <c r="L2140" s="343">
        <v>-0.08</v>
      </c>
      <c r="M2140" s="343">
        <v>-1255634.83</v>
      </c>
      <c r="O2140" s="343">
        <v>0</v>
      </c>
    </row>
    <row r="2141" spans="1:15" x14ac:dyDescent="0.3">
      <c r="A2141" s="340" t="s">
        <v>891</v>
      </c>
      <c r="B2141" s="350">
        <v>46113</v>
      </c>
      <c r="C2141" s="350">
        <v>46136</v>
      </c>
      <c r="D2141" s="351">
        <v>46113</v>
      </c>
      <c r="E2141" s="340" t="s">
        <v>2564</v>
      </c>
      <c r="F2141" s="340" t="s">
        <v>894</v>
      </c>
      <c r="G2141" s="340" t="s">
        <v>2439</v>
      </c>
      <c r="H2141" s="340"/>
      <c r="I2141" s="340" t="s">
        <v>771</v>
      </c>
      <c r="K2141" s="343">
        <v>0</v>
      </c>
      <c r="L2141" s="343">
        <v>-0.1</v>
      </c>
      <c r="M2141" s="343">
        <v>-1255634.93</v>
      </c>
      <c r="O2141" s="343">
        <v>0</v>
      </c>
    </row>
    <row r="2142" spans="1:15" x14ac:dyDescent="0.3">
      <c r="A2142" s="340" t="s">
        <v>891</v>
      </c>
      <c r="B2142" s="350">
        <v>46113</v>
      </c>
      <c r="C2142" s="350">
        <v>46136</v>
      </c>
      <c r="D2142" s="351">
        <v>46113</v>
      </c>
      <c r="E2142" s="340" t="s">
        <v>2564</v>
      </c>
      <c r="F2142" s="340" t="s">
        <v>894</v>
      </c>
      <c r="G2142" s="340" t="s">
        <v>2441</v>
      </c>
      <c r="H2142" s="340"/>
      <c r="I2142" s="340" t="s">
        <v>771</v>
      </c>
      <c r="K2142" s="343">
        <v>0</v>
      </c>
      <c r="L2142" s="343">
        <v>-0.19</v>
      </c>
      <c r="M2142" s="343">
        <v>-1255635.1200000001</v>
      </c>
      <c r="O2142" s="343">
        <v>0</v>
      </c>
    </row>
    <row r="2143" spans="1:15" x14ac:dyDescent="0.3">
      <c r="A2143" s="340" t="s">
        <v>891</v>
      </c>
      <c r="B2143" s="350">
        <v>46113</v>
      </c>
      <c r="C2143" s="350">
        <v>46136</v>
      </c>
      <c r="D2143" s="351">
        <v>46113</v>
      </c>
      <c r="E2143" s="340" t="s">
        <v>2564</v>
      </c>
      <c r="F2143" s="340" t="s">
        <v>894</v>
      </c>
      <c r="G2143" s="340" t="s">
        <v>2573</v>
      </c>
      <c r="H2143" s="340"/>
      <c r="I2143" s="340" t="s">
        <v>771</v>
      </c>
      <c r="K2143" s="343">
        <v>0</v>
      </c>
      <c r="L2143" s="343">
        <v>-0.36</v>
      </c>
      <c r="M2143" s="343">
        <v>-1255635.48</v>
      </c>
      <c r="O2143" s="343">
        <v>0</v>
      </c>
    </row>
    <row r="2144" spans="1:15" x14ac:dyDescent="0.3">
      <c r="A2144" s="340" t="s">
        <v>891</v>
      </c>
      <c r="B2144" s="350">
        <v>46113</v>
      </c>
      <c r="C2144" s="350">
        <v>46136</v>
      </c>
      <c r="D2144" s="351">
        <v>46113</v>
      </c>
      <c r="E2144" s="340" t="s">
        <v>2564</v>
      </c>
      <c r="F2144" s="340" t="s">
        <v>894</v>
      </c>
      <c r="G2144" s="340" t="s">
        <v>2572</v>
      </c>
      <c r="H2144" s="340"/>
      <c r="I2144" s="340" t="s">
        <v>771</v>
      </c>
      <c r="K2144" s="343">
        <v>0</v>
      </c>
      <c r="L2144" s="343">
        <v>-1.02</v>
      </c>
      <c r="M2144" s="343">
        <v>-1255636.5</v>
      </c>
      <c r="O2144" s="343">
        <v>0</v>
      </c>
    </row>
    <row r="2145" spans="1:15" x14ac:dyDescent="0.3">
      <c r="A2145" s="340" t="s">
        <v>891</v>
      </c>
      <c r="B2145" s="350">
        <v>46113</v>
      </c>
      <c r="C2145" s="350">
        <v>46136</v>
      </c>
      <c r="D2145" s="351">
        <v>46113</v>
      </c>
      <c r="E2145" s="340" t="s">
        <v>2564</v>
      </c>
      <c r="F2145" s="340" t="s">
        <v>894</v>
      </c>
      <c r="G2145" s="340" t="s">
        <v>2571</v>
      </c>
      <c r="H2145" s="340"/>
      <c r="I2145" s="340" t="s">
        <v>771</v>
      </c>
      <c r="K2145" s="343">
        <v>0</v>
      </c>
      <c r="L2145" s="343">
        <v>-1.19</v>
      </c>
      <c r="M2145" s="343">
        <v>-1255637.69</v>
      </c>
      <c r="O2145" s="343">
        <v>0</v>
      </c>
    </row>
    <row r="2146" spans="1:15" x14ac:dyDescent="0.3">
      <c r="A2146" s="340" t="s">
        <v>891</v>
      </c>
      <c r="B2146" s="350">
        <v>46113</v>
      </c>
      <c r="C2146" s="350">
        <v>46136</v>
      </c>
      <c r="D2146" s="351">
        <v>46113</v>
      </c>
      <c r="E2146" s="340" t="s">
        <v>2564</v>
      </c>
      <c r="F2146" s="340" t="s">
        <v>894</v>
      </c>
      <c r="G2146" s="340" t="s">
        <v>2442</v>
      </c>
      <c r="H2146" s="340"/>
      <c r="I2146" s="340" t="s">
        <v>771</v>
      </c>
      <c r="K2146" s="343">
        <v>0</v>
      </c>
      <c r="L2146" s="343">
        <v>-2.2599999999999998</v>
      </c>
      <c r="M2146" s="343">
        <v>-1255639.95</v>
      </c>
      <c r="O2146" s="343">
        <v>0</v>
      </c>
    </row>
    <row r="2147" spans="1:15" x14ac:dyDescent="0.3">
      <c r="A2147" s="340" t="s">
        <v>891</v>
      </c>
      <c r="B2147" s="350">
        <v>46113</v>
      </c>
      <c r="C2147" s="350">
        <v>46136</v>
      </c>
      <c r="D2147" s="351">
        <v>46113</v>
      </c>
      <c r="E2147" s="340" t="s">
        <v>2564</v>
      </c>
      <c r="F2147" s="340" t="s">
        <v>894</v>
      </c>
      <c r="G2147" s="340" t="s">
        <v>2566</v>
      </c>
      <c r="H2147" s="340"/>
      <c r="I2147" s="340" t="s">
        <v>771</v>
      </c>
      <c r="K2147" s="343">
        <v>0</v>
      </c>
      <c r="L2147" s="343">
        <v>-4.07</v>
      </c>
      <c r="M2147" s="343">
        <v>-1255644.02</v>
      </c>
      <c r="O2147" s="343">
        <v>0</v>
      </c>
    </row>
    <row r="2148" spans="1:15" x14ac:dyDescent="0.3">
      <c r="A2148" s="340" t="s">
        <v>891</v>
      </c>
      <c r="B2148" s="350">
        <v>46113</v>
      </c>
      <c r="C2148" s="350">
        <v>46136</v>
      </c>
      <c r="D2148" s="351">
        <v>46113</v>
      </c>
      <c r="E2148" s="340" t="s">
        <v>2564</v>
      </c>
      <c r="F2148" s="340" t="s">
        <v>894</v>
      </c>
      <c r="G2148" s="340" t="s">
        <v>2565</v>
      </c>
      <c r="H2148" s="340"/>
      <c r="I2148" s="340" t="s">
        <v>771</v>
      </c>
      <c r="K2148" s="343">
        <v>0</v>
      </c>
      <c r="L2148" s="343">
        <v>-4.6100000000000003</v>
      </c>
      <c r="M2148" s="343">
        <v>-1255648.6299999999</v>
      </c>
      <c r="O2148" s="343">
        <v>0</v>
      </c>
    </row>
    <row r="2149" spans="1:15" x14ac:dyDescent="0.3">
      <c r="A2149" s="340" t="s">
        <v>891</v>
      </c>
      <c r="B2149" s="350">
        <v>46113</v>
      </c>
      <c r="C2149" s="350">
        <v>46136</v>
      </c>
      <c r="D2149" s="351">
        <v>46113</v>
      </c>
      <c r="E2149" s="340" t="s">
        <v>2564</v>
      </c>
      <c r="F2149" s="340" t="s">
        <v>894</v>
      </c>
      <c r="G2149" s="340" t="s">
        <v>2567</v>
      </c>
      <c r="H2149" s="340"/>
      <c r="I2149" s="340" t="s">
        <v>771</v>
      </c>
      <c r="K2149" s="343">
        <v>0</v>
      </c>
      <c r="L2149" s="343">
        <v>-0.01</v>
      </c>
      <c r="M2149" s="343">
        <v>-1255648.6399999999</v>
      </c>
      <c r="O2149" s="343">
        <v>0</v>
      </c>
    </row>
    <row r="2150" spans="1:15" x14ac:dyDescent="0.3">
      <c r="A2150" s="340" t="s">
        <v>891</v>
      </c>
      <c r="B2150" s="350">
        <v>46113</v>
      </c>
      <c r="C2150" s="350">
        <v>46136</v>
      </c>
      <c r="D2150" s="351">
        <v>46113</v>
      </c>
      <c r="E2150" s="340" t="s">
        <v>2564</v>
      </c>
      <c r="F2150" s="340" t="s">
        <v>894</v>
      </c>
      <c r="G2150" s="340" t="s">
        <v>2568</v>
      </c>
      <c r="H2150" s="340"/>
      <c r="I2150" s="340" t="s">
        <v>771</v>
      </c>
      <c r="K2150" s="343">
        <v>0</v>
      </c>
      <c r="L2150" s="343">
        <v>-0.03</v>
      </c>
      <c r="M2150" s="343">
        <v>-1255648.67</v>
      </c>
      <c r="O2150" s="343">
        <v>0</v>
      </c>
    </row>
    <row r="2151" spans="1:15" x14ac:dyDescent="0.3">
      <c r="A2151" s="340" t="s">
        <v>891</v>
      </c>
      <c r="B2151" s="350">
        <v>46113</v>
      </c>
      <c r="C2151" s="350">
        <v>46136</v>
      </c>
      <c r="D2151" s="351">
        <v>46113</v>
      </c>
      <c r="E2151" s="340" t="s">
        <v>2564</v>
      </c>
      <c r="F2151" s="340" t="s">
        <v>894</v>
      </c>
      <c r="G2151" s="340" t="s">
        <v>2568</v>
      </c>
      <c r="H2151" s="340"/>
      <c r="I2151" s="340" t="s">
        <v>771</v>
      </c>
      <c r="K2151" s="343">
        <v>0</v>
      </c>
      <c r="L2151" s="343">
        <v>-0.03</v>
      </c>
      <c r="M2151" s="343">
        <v>-1255648.7</v>
      </c>
      <c r="O2151" s="343">
        <v>0</v>
      </c>
    </row>
    <row r="2152" spans="1:15" x14ac:dyDescent="0.3">
      <c r="A2152" s="340" t="s">
        <v>891</v>
      </c>
      <c r="B2152" s="350">
        <v>46113</v>
      </c>
      <c r="C2152" s="350">
        <v>46136</v>
      </c>
      <c r="D2152" s="351">
        <v>46113</v>
      </c>
      <c r="E2152" s="340" t="s">
        <v>2564</v>
      </c>
      <c r="F2152" s="340" t="s">
        <v>894</v>
      </c>
      <c r="G2152" s="340" t="s">
        <v>2569</v>
      </c>
      <c r="H2152" s="340"/>
      <c r="I2152" s="340" t="s">
        <v>771</v>
      </c>
      <c r="K2152" s="343">
        <v>0</v>
      </c>
      <c r="L2152" s="343">
        <v>-0.15</v>
      </c>
      <c r="M2152" s="343">
        <v>-1255648.8500000001</v>
      </c>
      <c r="O2152" s="343">
        <v>0</v>
      </c>
    </row>
    <row r="2153" spans="1:15" x14ac:dyDescent="0.3">
      <c r="A2153" s="340" t="s">
        <v>891</v>
      </c>
      <c r="B2153" s="350">
        <v>46113</v>
      </c>
      <c r="C2153" s="350">
        <v>46136</v>
      </c>
      <c r="D2153" s="351">
        <v>46113</v>
      </c>
      <c r="E2153" s="340" t="s">
        <v>2564</v>
      </c>
      <c r="F2153" s="340" t="s">
        <v>894</v>
      </c>
      <c r="G2153" s="340" t="s">
        <v>2570</v>
      </c>
      <c r="H2153" s="340"/>
      <c r="I2153" s="340" t="s">
        <v>771</v>
      </c>
      <c r="K2153" s="343">
        <v>0</v>
      </c>
      <c r="L2153" s="343">
        <v>-0.17</v>
      </c>
      <c r="M2153" s="343">
        <v>-1255649.02</v>
      </c>
      <c r="O2153" s="343">
        <v>0</v>
      </c>
    </row>
    <row r="2154" spans="1:15" x14ac:dyDescent="0.3">
      <c r="A2154" s="340" t="s">
        <v>891</v>
      </c>
      <c r="B2154" s="350">
        <v>46113</v>
      </c>
      <c r="C2154" s="350">
        <v>46136</v>
      </c>
      <c r="D2154" s="351">
        <v>46113</v>
      </c>
      <c r="E2154" s="340" t="s">
        <v>2564</v>
      </c>
      <c r="F2154" s="340" t="s">
        <v>894</v>
      </c>
      <c r="G2154" s="340" t="s">
        <v>2439</v>
      </c>
      <c r="H2154" s="340"/>
      <c r="I2154" s="340" t="s">
        <v>771</v>
      </c>
      <c r="K2154" s="343">
        <v>0</v>
      </c>
      <c r="L2154" s="343">
        <v>-0.18</v>
      </c>
      <c r="M2154" s="343">
        <v>-1255649.2</v>
      </c>
      <c r="O2154" s="343">
        <v>0</v>
      </c>
    </row>
    <row r="2155" spans="1:15" x14ac:dyDescent="0.3">
      <c r="A2155" s="340" t="s">
        <v>891</v>
      </c>
      <c r="B2155" s="350">
        <v>46113</v>
      </c>
      <c r="C2155" s="350">
        <v>46136</v>
      </c>
      <c r="D2155" s="351">
        <v>46113</v>
      </c>
      <c r="E2155" s="340" t="s">
        <v>2564</v>
      </c>
      <c r="F2155" s="340" t="s">
        <v>894</v>
      </c>
      <c r="G2155" s="340" t="s">
        <v>2439</v>
      </c>
      <c r="H2155" s="340"/>
      <c r="I2155" s="340" t="s">
        <v>771</v>
      </c>
      <c r="K2155" s="343">
        <v>0</v>
      </c>
      <c r="L2155" s="343">
        <v>-0.18</v>
      </c>
      <c r="M2155" s="343">
        <v>-1255649.3799999999</v>
      </c>
      <c r="O2155" s="343">
        <v>0</v>
      </c>
    </row>
    <row r="2156" spans="1:15" x14ac:dyDescent="0.3">
      <c r="A2156" s="340" t="s">
        <v>891</v>
      </c>
      <c r="B2156" s="350">
        <v>46113</v>
      </c>
      <c r="C2156" s="350">
        <v>46136</v>
      </c>
      <c r="D2156" s="351">
        <v>46113</v>
      </c>
      <c r="E2156" s="340" t="s">
        <v>2564</v>
      </c>
      <c r="F2156" s="340" t="s">
        <v>894</v>
      </c>
      <c r="G2156" s="340" t="s">
        <v>2441</v>
      </c>
      <c r="H2156" s="340"/>
      <c r="I2156" s="340" t="s">
        <v>771</v>
      </c>
      <c r="K2156" s="343">
        <v>0</v>
      </c>
      <c r="L2156" s="343">
        <v>-0.35</v>
      </c>
      <c r="M2156" s="343">
        <v>-1255649.73</v>
      </c>
      <c r="O2156" s="343">
        <v>0</v>
      </c>
    </row>
    <row r="2157" spans="1:15" x14ac:dyDescent="0.3">
      <c r="A2157" s="340" t="s">
        <v>891</v>
      </c>
      <c r="B2157" s="350">
        <v>46113</v>
      </c>
      <c r="C2157" s="350">
        <v>46136</v>
      </c>
      <c r="D2157" s="351">
        <v>46113</v>
      </c>
      <c r="E2157" s="340" t="s">
        <v>2564</v>
      </c>
      <c r="F2157" s="340" t="s">
        <v>894</v>
      </c>
      <c r="G2157" s="340" t="s">
        <v>2441</v>
      </c>
      <c r="H2157" s="340"/>
      <c r="I2157" s="340" t="s">
        <v>771</v>
      </c>
      <c r="K2157" s="343">
        <v>0</v>
      </c>
      <c r="L2157" s="343">
        <v>-0.36</v>
      </c>
      <c r="M2157" s="343">
        <v>-1255650.0900000001</v>
      </c>
      <c r="O2157" s="343">
        <v>0</v>
      </c>
    </row>
    <row r="2158" spans="1:15" x14ac:dyDescent="0.3">
      <c r="A2158" s="340" t="s">
        <v>891</v>
      </c>
      <c r="B2158" s="350">
        <v>46113</v>
      </c>
      <c r="C2158" s="350">
        <v>46136</v>
      </c>
      <c r="D2158" s="351">
        <v>46113</v>
      </c>
      <c r="E2158" s="340" t="s">
        <v>2564</v>
      </c>
      <c r="F2158" s="340" t="s">
        <v>894</v>
      </c>
      <c r="G2158" s="340" t="s">
        <v>2571</v>
      </c>
      <c r="H2158" s="340"/>
      <c r="I2158" s="340" t="s">
        <v>771</v>
      </c>
      <c r="K2158" s="343">
        <v>0</v>
      </c>
      <c r="L2158" s="343">
        <v>-1.51</v>
      </c>
      <c r="M2158" s="343">
        <v>-1255651.6000000001</v>
      </c>
      <c r="O2158" s="343">
        <v>0</v>
      </c>
    </row>
    <row r="2159" spans="1:15" x14ac:dyDescent="0.3">
      <c r="A2159" s="340" t="s">
        <v>891</v>
      </c>
      <c r="B2159" s="350">
        <v>46113</v>
      </c>
      <c r="C2159" s="350">
        <v>46136</v>
      </c>
      <c r="D2159" s="351">
        <v>46113</v>
      </c>
      <c r="E2159" s="340" t="s">
        <v>2564</v>
      </c>
      <c r="F2159" s="340" t="s">
        <v>894</v>
      </c>
      <c r="G2159" s="340" t="s">
        <v>2442</v>
      </c>
      <c r="H2159" s="340"/>
      <c r="I2159" s="340" t="s">
        <v>771</v>
      </c>
      <c r="K2159" s="343">
        <v>0</v>
      </c>
      <c r="L2159" s="343">
        <v>-2.2599999999999998</v>
      </c>
      <c r="M2159" s="343">
        <v>-1255653.8600000001</v>
      </c>
      <c r="O2159" s="343">
        <v>0</v>
      </c>
    </row>
    <row r="2160" spans="1:15" x14ac:dyDescent="0.3">
      <c r="A2160" s="340" t="s">
        <v>891</v>
      </c>
      <c r="B2160" s="350">
        <v>46113</v>
      </c>
      <c r="C2160" s="350">
        <v>46136</v>
      </c>
      <c r="D2160" s="351">
        <v>46113</v>
      </c>
      <c r="E2160" s="340" t="s">
        <v>2564</v>
      </c>
      <c r="F2160" s="340" t="s">
        <v>894</v>
      </c>
      <c r="G2160" s="340" t="s">
        <v>2572</v>
      </c>
      <c r="H2160" s="340"/>
      <c r="I2160" s="340" t="s">
        <v>771</v>
      </c>
      <c r="K2160" s="343">
        <v>0</v>
      </c>
      <c r="L2160" s="343">
        <v>-4.2699999999999996</v>
      </c>
      <c r="M2160" s="343">
        <v>-1255658.1299999999</v>
      </c>
      <c r="O2160" s="343">
        <v>0</v>
      </c>
    </row>
    <row r="2161" spans="1:15" x14ac:dyDescent="0.3">
      <c r="A2161" s="340" t="s">
        <v>891</v>
      </c>
      <c r="B2161" s="350">
        <v>46113</v>
      </c>
      <c r="C2161" s="350">
        <v>46136</v>
      </c>
      <c r="D2161" s="351">
        <v>46113</v>
      </c>
      <c r="E2161" s="340" t="s">
        <v>2564</v>
      </c>
      <c r="F2161" s="340" t="s">
        <v>894</v>
      </c>
      <c r="G2161" s="340" t="s">
        <v>2565</v>
      </c>
      <c r="H2161" s="340"/>
      <c r="I2161" s="340" t="s">
        <v>771</v>
      </c>
      <c r="K2161" s="343">
        <v>0</v>
      </c>
      <c r="L2161" s="343">
        <v>-4.6100000000000003</v>
      </c>
      <c r="M2161" s="343">
        <v>-1255662.74</v>
      </c>
      <c r="O2161" s="343">
        <v>0</v>
      </c>
    </row>
    <row r="2162" spans="1:15" x14ac:dyDescent="0.3">
      <c r="A2162" s="340" t="s">
        <v>891</v>
      </c>
      <c r="B2162" s="350">
        <v>46113</v>
      </c>
      <c r="C2162" s="350">
        <v>46136</v>
      </c>
      <c r="D2162" s="351">
        <v>46113</v>
      </c>
      <c r="E2162" s="340" t="s">
        <v>2564</v>
      </c>
      <c r="F2162" s="340" t="s">
        <v>894</v>
      </c>
      <c r="G2162" s="340" t="s">
        <v>2573</v>
      </c>
      <c r="H2162" s="340"/>
      <c r="I2162" s="340" t="s">
        <v>771</v>
      </c>
      <c r="K2162" s="343">
        <v>0</v>
      </c>
      <c r="L2162" s="343">
        <v>-4.99</v>
      </c>
      <c r="M2162" s="343">
        <v>-1255667.73</v>
      </c>
      <c r="O2162" s="343">
        <v>0</v>
      </c>
    </row>
    <row r="2163" spans="1:15" x14ac:dyDescent="0.3">
      <c r="A2163" s="340" t="s">
        <v>891</v>
      </c>
      <c r="B2163" s="350">
        <v>46113</v>
      </c>
      <c r="C2163" s="350">
        <v>46136</v>
      </c>
      <c r="D2163" s="351">
        <v>46113</v>
      </c>
      <c r="E2163" s="340" t="s">
        <v>2564</v>
      </c>
      <c r="F2163" s="340" t="s">
        <v>894</v>
      </c>
      <c r="G2163" s="340" t="s">
        <v>2566</v>
      </c>
      <c r="H2163" s="340"/>
      <c r="I2163" s="340" t="s">
        <v>771</v>
      </c>
      <c r="K2163" s="343">
        <v>0</v>
      </c>
      <c r="L2163" s="343">
        <v>-17.079999999999998</v>
      </c>
      <c r="M2163" s="343">
        <v>-1255684.81</v>
      </c>
      <c r="O2163" s="343">
        <v>0</v>
      </c>
    </row>
    <row r="2164" spans="1:15" x14ac:dyDescent="0.3">
      <c r="A2164" s="340" t="s">
        <v>891</v>
      </c>
      <c r="B2164" s="350">
        <v>46113</v>
      </c>
      <c r="C2164" s="350">
        <v>46136</v>
      </c>
      <c r="D2164" s="351">
        <v>46113</v>
      </c>
      <c r="E2164" s="340" t="s">
        <v>2564</v>
      </c>
      <c r="F2164" s="340" t="s">
        <v>894</v>
      </c>
      <c r="G2164" s="340" t="s">
        <v>2568</v>
      </c>
      <c r="H2164" s="340"/>
      <c r="I2164" s="340" t="s">
        <v>771</v>
      </c>
      <c r="K2164" s="343">
        <v>0</v>
      </c>
      <c r="L2164" s="343">
        <v>-0.01</v>
      </c>
      <c r="M2164" s="343">
        <v>-1255684.82</v>
      </c>
      <c r="O2164" s="343">
        <v>0</v>
      </c>
    </row>
    <row r="2165" spans="1:15" x14ac:dyDescent="0.3">
      <c r="A2165" s="340" t="s">
        <v>891</v>
      </c>
      <c r="B2165" s="350">
        <v>46113</v>
      </c>
      <c r="C2165" s="350">
        <v>46136</v>
      </c>
      <c r="D2165" s="351">
        <v>46113</v>
      </c>
      <c r="E2165" s="340" t="s">
        <v>2564</v>
      </c>
      <c r="F2165" s="340" t="s">
        <v>894</v>
      </c>
      <c r="G2165" s="340" t="s">
        <v>2568</v>
      </c>
      <c r="H2165" s="340"/>
      <c r="I2165" s="340" t="s">
        <v>771</v>
      </c>
      <c r="K2165" s="343">
        <v>0</v>
      </c>
      <c r="L2165" s="343">
        <v>-0.02</v>
      </c>
      <c r="M2165" s="343">
        <v>-1255684.8400000001</v>
      </c>
      <c r="O2165" s="343">
        <v>0</v>
      </c>
    </row>
    <row r="2166" spans="1:15" x14ac:dyDescent="0.3">
      <c r="A2166" s="340" t="s">
        <v>891</v>
      </c>
      <c r="B2166" s="350">
        <v>46113</v>
      </c>
      <c r="C2166" s="350">
        <v>46136</v>
      </c>
      <c r="D2166" s="351">
        <v>46113</v>
      </c>
      <c r="E2166" s="340" t="s">
        <v>2564</v>
      </c>
      <c r="F2166" s="340" t="s">
        <v>894</v>
      </c>
      <c r="G2166" s="340" t="s">
        <v>2569</v>
      </c>
      <c r="H2166" s="340"/>
      <c r="I2166" s="340" t="s">
        <v>771</v>
      </c>
      <c r="K2166" s="343">
        <v>0</v>
      </c>
      <c r="L2166" s="343">
        <v>-0.04</v>
      </c>
      <c r="M2166" s="343">
        <v>-1255684.8799999999</v>
      </c>
      <c r="O2166" s="343">
        <v>0</v>
      </c>
    </row>
    <row r="2167" spans="1:15" x14ac:dyDescent="0.3">
      <c r="A2167" s="340" t="s">
        <v>891</v>
      </c>
      <c r="B2167" s="350">
        <v>46113</v>
      </c>
      <c r="C2167" s="350">
        <v>46136</v>
      </c>
      <c r="D2167" s="351">
        <v>46113</v>
      </c>
      <c r="E2167" s="340" t="s">
        <v>2564</v>
      </c>
      <c r="F2167" s="340" t="s">
        <v>894</v>
      </c>
      <c r="G2167" s="340" t="s">
        <v>2439</v>
      </c>
      <c r="H2167" s="340"/>
      <c r="I2167" s="340" t="s">
        <v>771</v>
      </c>
      <c r="K2167" s="343">
        <v>0</v>
      </c>
      <c r="L2167" s="343">
        <v>-0.05</v>
      </c>
      <c r="M2167" s="343">
        <v>-1255684.93</v>
      </c>
      <c r="O2167" s="343">
        <v>0</v>
      </c>
    </row>
    <row r="2168" spans="1:15" x14ac:dyDescent="0.3">
      <c r="A2168" s="340" t="s">
        <v>891</v>
      </c>
      <c r="B2168" s="350">
        <v>46113</v>
      </c>
      <c r="C2168" s="350">
        <v>46136</v>
      </c>
      <c r="D2168" s="351">
        <v>46113</v>
      </c>
      <c r="E2168" s="340" t="s">
        <v>2564</v>
      </c>
      <c r="F2168" s="340" t="s">
        <v>894</v>
      </c>
      <c r="G2168" s="340" t="s">
        <v>2570</v>
      </c>
      <c r="H2168" s="340"/>
      <c r="I2168" s="340" t="s">
        <v>771</v>
      </c>
      <c r="K2168" s="343">
        <v>0</v>
      </c>
      <c r="L2168" s="343">
        <v>-0.05</v>
      </c>
      <c r="M2168" s="343">
        <v>-1255684.98</v>
      </c>
      <c r="O2168" s="343">
        <v>0</v>
      </c>
    </row>
    <row r="2169" spans="1:15" x14ac:dyDescent="0.3">
      <c r="A2169" s="340" t="s">
        <v>891</v>
      </c>
      <c r="B2169" s="350">
        <v>46113</v>
      </c>
      <c r="C2169" s="350">
        <v>46136</v>
      </c>
      <c r="D2169" s="351">
        <v>46113</v>
      </c>
      <c r="E2169" s="340" t="s">
        <v>2564</v>
      </c>
      <c r="F2169" s="340" t="s">
        <v>894</v>
      </c>
      <c r="G2169" s="340" t="s">
        <v>2439</v>
      </c>
      <c r="H2169" s="340"/>
      <c r="I2169" s="340" t="s">
        <v>771</v>
      </c>
      <c r="K2169" s="343">
        <v>0</v>
      </c>
      <c r="L2169" s="343">
        <v>-0.1</v>
      </c>
      <c r="M2169" s="343">
        <v>-1255685.08</v>
      </c>
      <c r="O2169" s="343">
        <v>0</v>
      </c>
    </row>
    <row r="2170" spans="1:15" x14ac:dyDescent="0.3">
      <c r="A2170" s="340" t="s">
        <v>891</v>
      </c>
      <c r="B2170" s="350">
        <v>46113</v>
      </c>
      <c r="C2170" s="350">
        <v>46136</v>
      </c>
      <c r="D2170" s="351">
        <v>46113</v>
      </c>
      <c r="E2170" s="340" t="s">
        <v>2564</v>
      </c>
      <c r="F2170" s="340" t="s">
        <v>894</v>
      </c>
      <c r="G2170" s="340" t="s">
        <v>2441</v>
      </c>
      <c r="H2170" s="340"/>
      <c r="I2170" s="340" t="s">
        <v>771</v>
      </c>
      <c r="K2170" s="343">
        <v>0</v>
      </c>
      <c r="L2170" s="343">
        <v>-0.1</v>
      </c>
      <c r="M2170" s="343">
        <v>-1255685.18</v>
      </c>
      <c r="O2170" s="343">
        <v>0</v>
      </c>
    </row>
    <row r="2171" spans="1:15" x14ac:dyDescent="0.3">
      <c r="A2171" s="340" t="s">
        <v>891</v>
      </c>
      <c r="B2171" s="350">
        <v>46113</v>
      </c>
      <c r="C2171" s="350">
        <v>46136</v>
      </c>
      <c r="D2171" s="351">
        <v>46113</v>
      </c>
      <c r="E2171" s="340" t="s">
        <v>2564</v>
      </c>
      <c r="F2171" s="340" t="s">
        <v>894</v>
      </c>
      <c r="G2171" s="340" t="s">
        <v>2441</v>
      </c>
      <c r="H2171" s="340"/>
      <c r="I2171" s="340" t="s">
        <v>771</v>
      </c>
      <c r="K2171" s="343">
        <v>0</v>
      </c>
      <c r="L2171" s="343">
        <v>-0.2</v>
      </c>
      <c r="M2171" s="343">
        <v>-1255685.3799999999</v>
      </c>
      <c r="O2171" s="343">
        <v>0</v>
      </c>
    </row>
    <row r="2172" spans="1:15" x14ac:dyDescent="0.3">
      <c r="A2172" s="340" t="s">
        <v>891</v>
      </c>
      <c r="B2172" s="350">
        <v>46113</v>
      </c>
      <c r="C2172" s="350">
        <v>46136</v>
      </c>
      <c r="D2172" s="351">
        <v>46113</v>
      </c>
      <c r="E2172" s="340" t="s">
        <v>2564</v>
      </c>
      <c r="F2172" s="340" t="s">
        <v>894</v>
      </c>
      <c r="G2172" s="340" t="s">
        <v>2571</v>
      </c>
      <c r="H2172" s="340"/>
      <c r="I2172" s="340" t="s">
        <v>771</v>
      </c>
      <c r="K2172" s="343">
        <v>0</v>
      </c>
      <c r="L2172" s="343">
        <v>-0.43</v>
      </c>
      <c r="M2172" s="343">
        <v>-1255685.81</v>
      </c>
      <c r="O2172" s="343">
        <v>0</v>
      </c>
    </row>
    <row r="2173" spans="1:15" x14ac:dyDescent="0.3">
      <c r="A2173" s="340" t="s">
        <v>891</v>
      </c>
      <c r="B2173" s="350">
        <v>46113</v>
      </c>
      <c r="C2173" s="350">
        <v>46136</v>
      </c>
      <c r="D2173" s="351">
        <v>46113</v>
      </c>
      <c r="E2173" s="340" t="s">
        <v>2564</v>
      </c>
      <c r="F2173" s="340" t="s">
        <v>894</v>
      </c>
      <c r="G2173" s="340" t="s">
        <v>2572</v>
      </c>
      <c r="H2173" s="340"/>
      <c r="I2173" s="340" t="s">
        <v>771</v>
      </c>
      <c r="K2173" s="343">
        <v>0</v>
      </c>
      <c r="L2173" s="343">
        <v>-1.22</v>
      </c>
      <c r="M2173" s="343">
        <v>-1255687.03</v>
      </c>
      <c r="O2173" s="343">
        <v>0</v>
      </c>
    </row>
    <row r="2174" spans="1:15" x14ac:dyDescent="0.3">
      <c r="A2174" s="340" t="s">
        <v>891</v>
      </c>
      <c r="B2174" s="350">
        <v>46113</v>
      </c>
      <c r="C2174" s="350">
        <v>46136</v>
      </c>
      <c r="D2174" s="351">
        <v>46113</v>
      </c>
      <c r="E2174" s="340" t="s">
        <v>2564</v>
      </c>
      <c r="F2174" s="340" t="s">
        <v>894</v>
      </c>
      <c r="G2174" s="340" t="s">
        <v>2573</v>
      </c>
      <c r="H2174" s="340"/>
      <c r="I2174" s="340" t="s">
        <v>771</v>
      </c>
      <c r="K2174" s="343">
        <v>0</v>
      </c>
      <c r="L2174" s="343">
        <v>-1.42</v>
      </c>
      <c r="M2174" s="343">
        <v>-1255688.45</v>
      </c>
      <c r="O2174" s="343">
        <v>0</v>
      </c>
    </row>
    <row r="2175" spans="1:15" x14ac:dyDescent="0.3">
      <c r="A2175" s="340" t="s">
        <v>891</v>
      </c>
      <c r="B2175" s="350">
        <v>46113</v>
      </c>
      <c r="C2175" s="350">
        <v>46136</v>
      </c>
      <c r="D2175" s="351">
        <v>46113</v>
      </c>
      <c r="E2175" s="340" t="s">
        <v>2564</v>
      </c>
      <c r="F2175" s="340" t="s">
        <v>894</v>
      </c>
      <c r="G2175" s="340" t="s">
        <v>2442</v>
      </c>
      <c r="H2175" s="340"/>
      <c r="I2175" s="340" t="s">
        <v>771</v>
      </c>
      <c r="K2175" s="343">
        <v>0</v>
      </c>
      <c r="L2175" s="343">
        <v>-2.2599999999999998</v>
      </c>
      <c r="M2175" s="343">
        <v>-1255690.71</v>
      </c>
      <c r="O2175" s="343">
        <v>0</v>
      </c>
    </row>
    <row r="2176" spans="1:15" x14ac:dyDescent="0.3">
      <c r="A2176" s="340" t="s">
        <v>891</v>
      </c>
      <c r="B2176" s="350">
        <v>46113</v>
      </c>
      <c r="C2176" s="350">
        <v>46136</v>
      </c>
      <c r="D2176" s="351">
        <v>46113</v>
      </c>
      <c r="E2176" s="340" t="s">
        <v>2564</v>
      </c>
      <c r="F2176" s="340" t="s">
        <v>894</v>
      </c>
      <c r="G2176" s="340" t="s">
        <v>2566</v>
      </c>
      <c r="H2176" s="340"/>
      <c r="I2176" s="340" t="s">
        <v>771</v>
      </c>
      <c r="K2176" s="343">
        <v>0</v>
      </c>
      <c r="L2176" s="343">
        <v>-4.87</v>
      </c>
      <c r="M2176" s="343">
        <v>-1255695.58</v>
      </c>
      <c r="O2176" s="343">
        <v>0</v>
      </c>
    </row>
    <row r="2177" spans="1:15" x14ac:dyDescent="0.3">
      <c r="A2177" s="340" t="s">
        <v>891</v>
      </c>
      <c r="B2177" s="350">
        <v>46113</v>
      </c>
      <c r="C2177" s="350">
        <v>46136</v>
      </c>
      <c r="D2177" s="351">
        <v>46113</v>
      </c>
      <c r="E2177" s="340" t="s">
        <v>2575</v>
      </c>
      <c r="F2177" s="340" t="s">
        <v>894</v>
      </c>
      <c r="G2177" s="340" t="s">
        <v>768</v>
      </c>
      <c r="H2177" s="340"/>
      <c r="I2177" s="340" t="s">
        <v>768</v>
      </c>
      <c r="K2177" s="343">
        <v>0</v>
      </c>
      <c r="L2177" s="343">
        <v>-7343.52</v>
      </c>
      <c r="M2177" s="343">
        <v>-1263039.1000000001</v>
      </c>
      <c r="O2177" s="343">
        <v>0</v>
      </c>
    </row>
    <row r="2178" spans="1:15" x14ac:dyDescent="0.3">
      <c r="A2178" s="340" t="s">
        <v>891</v>
      </c>
      <c r="B2178" s="350">
        <v>46113</v>
      </c>
      <c r="C2178" s="350">
        <v>46136</v>
      </c>
      <c r="D2178" s="351">
        <v>46113</v>
      </c>
      <c r="E2178" s="340" t="s">
        <v>2576</v>
      </c>
      <c r="F2178" s="340" t="s">
        <v>894</v>
      </c>
      <c r="G2178" s="340" t="s">
        <v>1026</v>
      </c>
      <c r="H2178" s="340"/>
      <c r="I2178" s="340" t="s">
        <v>744</v>
      </c>
      <c r="K2178" s="343">
        <v>0</v>
      </c>
      <c r="L2178" s="343">
        <v>-1091.2</v>
      </c>
      <c r="M2178" s="343">
        <v>-1264130.3</v>
      </c>
      <c r="O2178" s="343">
        <v>0</v>
      </c>
    </row>
    <row r="2179" spans="1:15" x14ac:dyDescent="0.3">
      <c r="A2179" s="340" t="s">
        <v>891</v>
      </c>
      <c r="B2179" s="350">
        <v>46113</v>
      </c>
      <c r="C2179" s="350">
        <v>46137</v>
      </c>
      <c r="D2179" s="351">
        <v>46113</v>
      </c>
      <c r="E2179" s="340" t="s">
        <v>2577</v>
      </c>
      <c r="F2179" s="340" t="s">
        <v>894</v>
      </c>
      <c r="G2179" s="340" t="s">
        <v>1021</v>
      </c>
      <c r="H2179" s="340"/>
      <c r="I2179" s="340" t="s">
        <v>1022</v>
      </c>
      <c r="K2179" s="343">
        <v>0</v>
      </c>
      <c r="L2179" s="343">
        <v>-6150</v>
      </c>
      <c r="M2179" s="343">
        <v>-1270280.3</v>
      </c>
      <c r="O2179" s="343">
        <v>0</v>
      </c>
    </row>
    <row r="2180" spans="1:15" x14ac:dyDescent="0.3">
      <c r="A2180" s="340" t="s">
        <v>891</v>
      </c>
      <c r="B2180" s="350">
        <v>46113</v>
      </c>
      <c r="C2180" s="350">
        <v>46138</v>
      </c>
      <c r="D2180" s="351">
        <v>46113</v>
      </c>
      <c r="E2180" s="340" t="s">
        <v>2578</v>
      </c>
      <c r="F2180" s="340" t="s">
        <v>894</v>
      </c>
      <c r="G2180" s="340" t="s">
        <v>2579</v>
      </c>
      <c r="H2180" s="340"/>
      <c r="I2180" s="340" t="s">
        <v>770</v>
      </c>
      <c r="K2180" s="343">
        <v>0</v>
      </c>
      <c r="L2180" s="343">
        <v>-178.61</v>
      </c>
      <c r="M2180" s="343">
        <v>-1270458.9099999999</v>
      </c>
      <c r="O2180" s="343">
        <v>0</v>
      </c>
    </row>
    <row r="2181" spans="1:15" x14ac:dyDescent="0.3">
      <c r="A2181" s="340" t="s">
        <v>891</v>
      </c>
      <c r="B2181" s="350">
        <v>46113</v>
      </c>
      <c r="C2181" s="350">
        <v>46138</v>
      </c>
      <c r="D2181" s="351">
        <v>46113</v>
      </c>
      <c r="E2181" s="340" t="s">
        <v>2580</v>
      </c>
      <c r="F2181" s="340" t="s">
        <v>894</v>
      </c>
      <c r="G2181" s="340" t="s">
        <v>2156</v>
      </c>
      <c r="H2181" s="340"/>
      <c r="I2181" s="340" t="s">
        <v>759</v>
      </c>
      <c r="K2181" s="343">
        <v>0</v>
      </c>
      <c r="L2181" s="343">
        <v>-1571.79</v>
      </c>
      <c r="M2181" s="343">
        <v>-1272030.7</v>
      </c>
      <c r="O2181" s="343">
        <v>0</v>
      </c>
    </row>
    <row r="2182" spans="1:15" x14ac:dyDescent="0.3">
      <c r="A2182" s="340" t="s">
        <v>891</v>
      </c>
      <c r="B2182" s="350">
        <v>46113</v>
      </c>
      <c r="C2182" s="350">
        <v>46148</v>
      </c>
      <c r="D2182" s="351">
        <v>46143</v>
      </c>
      <c r="E2182" s="340" t="s">
        <v>2581</v>
      </c>
      <c r="F2182" s="340" t="s">
        <v>894</v>
      </c>
      <c r="G2182" s="340" t="s">
        <v>2582</v>
      </c>
      <c r="H2182" s="340"/>
      <c r="I2182" s="340" t="s">
        <v>748</v>
      </c>
      <c r="K2182" s="343">
        <v>0</v>
      </c>
      <c r="L2182" s="343">
        <v>-183.92</v>
      </c>
      <c r="M2182" s="343">
        <v>-1272214.6200000001</v>
      </c>
      <c r="O2182" s="343">
        <v>0</v>
      </c>
    </row>
    <row r="2183" spans="1:15" x14ac:dyDescent="0.3">
      <c r="A2183" s="340" t="s">
        <v>891</v>
      </c>
      <c r="B2183" s="350">
        <v>46113</v>
      </c>
      <c r="C2183" s="350">
        <v>46148</v>
      </c>
      <c r="D2183" s="351">
        <v>46143</v>
      </c>
      <c r="E2183" s="340" t="s">
        <v>2581</v>
      </c>
      <c r="F2183" s="340" t="s">
        <v>894</v>
      </c>
      <c r="G2183" s="340" t="s">
        <v>2583</v>
      </c>
      <c r="H2183" s="340"/>
      <c r="I2183" s="340" t="s">
        <v>748</v>
      </c>
      <c r="K2183" s="343">
        <v>0</v>
      </c>
      <c r="L2183" s="343">
        <v>-285.05</v>
      </c>
      <c r="M2183" s="343">
        <v>-1272499.67</v>
      </c>
      <c r="O2183" s="343">
        <v>0</v>
      </c>
    </row>
    <row r="2184" spans="1:15" x14ac:dyDescent="0.3">
      <c r="A2184" s="340" t="s">
        <v>891</v>
      </c>
      <c r="B2184" s="350">
        <v>46113</v>
      </c>
      <c r="C2184" s="350">
        <v>46148</v>
      </c>
      <c r="D2184" s="351">
        <v>46143</v>
      </c>
      <c r="E2184" s="340" t="s">
        <v>2581</v>
      </c>
      <c r="F2184" s="340" t="s">
        <v>894</v>
      </c>
      <c r="G2184" s="340" t="s">
        <v>2584</v>
      </c>
      <c r="H2184" s="340"/>
      <c r="I2184" s="340" t="s">
        <v>748</v>
      </c>
      <c r="K2184" s="343">
        <v>0</v>
      </c>
      <c r="L2184" s="343">
        <v>-674.08</v>
      </c>
      <c r="M2184" s="343">
        <v>-1273173.75</v>
      </c>
      <c r="O2184" s="343">
        <v>0</v>
      </c>
    </row>
    <row r="2185" spans="1:15" x14ac:dyDescent="0.3">
      <c r="A2185" s="340" t="s">
        <v>891</v>
      </c>
      <c r="B2185" s="350">
        <v>46113</v>
      </c>
      <c r="C2185" s="350">
        <v>46148</v>
      </c>
      <c r="D2185" s="351">
        <v>46143</v>
      </c>
      <c r="E2185" s="340" t="s">
        <v>2581</v>
      </c>
      <c r="F2185" s="340" t="s">
        <v>894</v>
      </c>
      <c r="G2185" s="340" t="s">
        <v>2585</v>
      </c>
      <c r="H2185" s="340"/>
      <c r="I2185" s="340" t="s">
        <v>748</v>
      </c>
      <c r="K2185" s="343">
        <v>0</v>
      </c>
      <c r="L2185" s="343">
        <v>-403.99</v>
      </c>
      <c r="M2185" s="343">
        <v>-1273577.74</v>
      </c>
      <c r="O2185" s="343">
        <v>0</v>
      </c>
    </row>
    <row r="2186" spans="1:15" x14ac:dyDescent="0.3">
      <c r="A2186" s="340" t="s">
        <v>891</v>
      </c>
      <c r="B2186" s="350">
        <v>46113</v>
      </c>
      <c r="C2186" s="350">
        <v>46148</v>
      </c>
      <c r="D2186" s="351">
        <v>46143</v>
      </c>
      <c r="E2186" s="340" t="s">
        <v>2581</v>
      </c>
      <c r="F2186" s="340" t="s">
        <v>894</v>
      </c>
      <c r="G2186" s="340" t="s">
        <v>2586</v>
      </c>
      <c r="H2186" s="340"/>
      <c r="I2186" s="340" t="s">
        <v>748</v>
      </c>
      <c r="K2186" s="343">
        <v>0</v>
      </c>
      <c r="L2186" s="343">
        <v>-339.69</v>
      </c>
      <c r="M2186" s="343">
        <v>-1273917.43</v>
      </c>
      <c r="O2186" s="343">
        <v>0</v>
      </c>
    </row>
    <row r="2187" spans="1:15" x14ac:dyDescent="0.3">
      <c r="A2187" s="340" t="s">
        <v>891</v>
      </c>
      <c r="B2187" s="350">
        <v>46113</v>
      </c>
      <c r="C2187" s="350">
        <v>46148</v>
      </c>
      <c r="D2187" s="351">
        <v>46143</v>
      </c>
      <c r="E2187" s="340" t="s">
        <v>2581</v>
      </c>
      <c r="F2187" s="340" t="s">
        <v>894</v>
      </c>
      <c r="G2187" s="340" t="s">
        <v>2587</v>
      </c>
      <c r="H2187" s="340"/>
      <c r="I2187" s="340" t="s">
        <v>748</v>
      </c>
      <c r="K2187" s="343">
        <v>0</v>
      </c>
      <c r="L2187" s="343">
        <v>-356.8</v>
      </c>
      <c r="M2187" s="343">
        <v>-1274274.23</v>
      </c>
      <c r="O2187" s="343">
        <v>0</v>
      </c>
    </row>
    <row r="2188" spans="1:15" x14ac:dyDescent="0.3">
      <c r="A2188" s="340" t="s">
        <v>891</v>
      </c>
      <c r="B2188" s="350">
        <v>46113</v>
      </c>
      <c r="C2188" s="350">
        <v>46148</v>
      </c>
      <c r="D2188" s="351">
        <v>46143</v>
      </c>
      <c r="E2188" s="340" t="s">
        <v>2581</v>
      </c>
      <c r="F2188" s="340" t="s">
        <v>894</v>
      </c>
      <c r="G2188" s="340" t="s">
        <v>2588</v>
      </c>
      <c r="H2188" s="340"/>
      <c r="I2188" s="340" t="s">
        <v>748</v>
      </c>
      <c r="K2188" s="343">
        <v>0</v>
      </c>
      <c r="L2188" s="343">
        <v>-102.62</v>
      </c>
      <c r="M2188" s="343">
        <v>-1274376.8500000001</v>
      </c>
      <c r="O2188" s="343">
        <v>0</v>
      </c>
    </row>
    <row r="2189" spans="1:15" x14ac:dyDescent="0.3">
      <c r="A2189" s="340" t="s">
        <v>891</v>
      </c>
      <c r="B2189" s="350">
        <v>46113</v>
      </c>
      <c r="C2189" s="350">
        <v>46148</v>
      </c>
      <c r="D2189" s="351">
        <v>46143</v>
      </c>
      <c r="E2189" s="340" t="s">
        <v>2581</v>
      </c>
      <c r="F2189" s="340" t="s">
        <v>894</v>
      </c>
      <c r="G2189" s="340" t="s">
        <v>2589</v>
      </c>
      <c r="H2189" s="340"/>
      <c r="I2189" s="340" t="s">
        <v>748</v>
      </c>
      <c r="K2189" s="343">
        <v>0</v>
      </c>
      <c r="L2189" s="343">
        <v>-198.64</v>
      </c>
      <c r="M2189" s="343">
        <v>-1274575.49</v>
      </c>
      <c r="O2189" s="343">
        <v>0</v>
      </c>
    </row>
    <row r="2190" spans="1:15" x14ac:dyDescent="0.3">
      <c r="A2190" s="340" t="s">
        <v>891</v>
      </c>
      <c r="B2190" s="350">
        <v>46113</v>
      </c>
      <c r="C2190" s="350">
        <v>46148</v>
      </c>
      <c r="D2190" s="351">
        <v>46143</v>
      </c>
      <c r="E2190" s="340" t="s">
        <v>2581</v>
      </c>
      <c r="F2190" s="340" t="s">
        <v>894</v>
      </c>
      <c r="G2190" s="340" t="s">
        <v>2590</v>
      </c>
      <c r="H2190" s="340"/>
      <c r="I2190" s="340" t="s">
        <v>748</v>
      </c>
      <c r="K2190" s="343">
        <v>0</v>
      </c>
      <c r="L2190" s="343">
        <v>-98.98</v>
      </c>
      <c r="M2190" s="343">
        <v>-1274674.47</v>
      </c>
      <c r="O2190" s="343">
        <v>0</v>
      </c>
    </row>
    <row r="2191" spans="1:15" x14ac:dyDescent="0.3">
      <c r="A2191" s="340" t="s">
        <v>891</v>
      </c>
      <c r="B2191" s="350">
        <v>46113</v>
      </c>
      <c r="C2191" s="350">
        <v>46155</v>
      </c>
      <c r="D2191" s="351">
        <v>46143</v>
      </c>
      <c r="E2191" s="340" t="s">
        <v>2591</v>
      </c>
      <c r="F2191" s="340" t="s">
        <v>894</v>
      </c>
      <c r="G2191" s="340" t="s">
        <v>2592</v>
      </c>
      <c r="H2191" s="340"/>
      <c r="I2191" s="340" t="s">
        <v>743</v>
      </c>
      <c r="K2191" s="343">
        <v>0</v>
      </c>
      <c r="L2191" s="343">
        <v>-2982.15</v>
      </c>
      <c r="M2191" s="343">
        <v>-1277656.6200000001</v>
      </c>
      <c r="O2191" s="343">
        <v>0</v>
      </c>
    </row>
    <row r="2192" spans="1:15" x14ac:dyDescent="0.3">
      <c r="A2192" s="340" t="s">
        <v>891</v>
      </c>
      <c r="B2192" s="350">
        <v>46114</v>
      </c>
      <c r="C2192" s="350">
        <v>46117</v>
      </c>
      <c r="D2192" s="351">
        <v>46113</v>
      </c>
      <c r="E2192" s="340" t="s">
        <v>2593</v>
      </c>
      <c r="F2192" s="340" t="s">
        <v>894</v>
      </c>
      <c r="G2192" s="340" t="s">
        <v>2594</v>
      </c>
      <c r="H2192" s="340"/>
      <c r="I2192" s="340" t="s">
        <v>740</v>
      </c>
      <c r="K2192" s="343">
        <v>0</v>
      </c>
      <c r="L2192" s="343">
        <v>-129.9</v>
      </c>
      <c r="M2192" s="343">
        <v>-1277786.52</v>
      </c>
      <c r="O2192" s="343">
        <v>0</v>
      </c>
    </row>
    <row r="2193" spans="1:15" x14ac:dyDescent="0.3">
      <c r="A2193" s="340" t="s">
        <v>891</v>
      </c>
      <c r="B2193" s="350">
        <v>46114</v>
      </c>
      <c r="C2193" s="350">
        <v>46117</v>
      </c>
      <c r="D2193" s="351">
        <v>46113</v>
      </c>
      <c r="E2193" s="340" t="s">
        <v>2595</v>
      </c>
      <c r="F2193" s="340" t="s">
        <v>894</v>
      </c>
      <c r="G2193" s="340" t="s">
        <v>2596</v>
      </c>
      <c r="H2193" s="340"/>
      <c r="I2193" s="340" t="s">
        <v>740</v>
      </c>
      <c r="K2193" s="343">
        <v>0</v>
      </c>
      <c r="L2193" s="343">
        <v>-445</v>
      </c>
      <c r="M2193" s="343">
        <v>-1278231.52</v>
      </c>
      <c r="O2193" s="343">
        <v>0</v>
      </c>
    </row>
    <row r="2194" spans="1:15" x14ac:dyDescent="0.3">
      <c r="A2194" s="340" t="s">
        <v>891</v>
      </c>
      <c r="B2194" s="350">
        <v>46114</v>
      </c>
      <c r="C2194" s="350">
        <v>46117</v>
      </c>
      <c r="D2194" s="351">
        <v>46113</v>
      </c>
      <c r="E2194" s="340" t="s">
        <v>2597</v>
      </c>
      <c r="F2194" s="340" t="s">
        <v>894</v>
      </c>
      <c r="G2194" s="340" t="s">
        <v>2598</v>
      </c>
      <c r="H2194" s="340"/>
      <c r="I2194" s="340" t="s">
        <v>740</v>
      </c>
      <c r="K2194" s="343">
        <v>0</v>
      </c>
      <c r="L2194" s="343">
        <v>-765</v>
      </c>
      <c r="M2194" s="343">
        <v>-1278996.52</v>
      </c>
      <c r="O2194" s="343">
        <v>0</v>
      </c>
    </row>
    <row r="2195" spans="1:15" x14ac:dyDescent="0.3">
      <c r="A2195" s="340" t="s">
        <v>891</v>
      </c>
      <c r="B2195" s="350">
        <v>46114</v>
      </c>
      <c r="C2195" s="350">
        <v>46117</v>
      </c>
      <c r="D2195" s="351">
        <v>46113</v>
      </c>
      <c r="E2195" s="340" t="s">
        <v>2599</v>
      </c>
      <c r="F2195" s="340" t="s">
        <v>894</v>
      </c>
      <c r="G2195" s="340" t="s">
        <v>2600</v>
      </c>
      <c r="H2195" s="340"/>
      <c r="I2195" s="340" t="s">
        <v>740</v>
      </c>
      <c r="K2195" s="343">
        <v>0</v>
      </c>
      <c r="L2195" s="343">
        <v>-445</v>
      </c>
      <c r="M2195" s="343">
        <v>-1279441.52</v>
      </c>
      <c r="O2195" s="343">
        <v>0</v>
      </c>
    </row>
    <row r="2196" spans="1:15" x14ac:dyDescent="0.3">
      <c r="A2196" s="340" t="s">
        <v>891</v>
      </c>
      <c r="B2196" s="350">
        <v>46114</v>
      </c>
      <c r="C2196" s="350">
        <v>46117</v>
      </c>
      <c r="D2196" s="351">
        <v>46113</v>
      </c>
      <c r="E2196" s="340" t="s">
        <v>2601</v>
      </c>
      <c r="F2196" s="340" t="s">
        <v>894</v>
      </c>
      <c r="G2196" s="340" t="s">
        <v>2602</v>
      </c>
      <c r="H2196" s="340"/>
      <c r="I2196" s="340" t="s">
        <v>740</v>
      </c>
      <c r="K2196" s="343">
        <v>0</v>
      </c>
      <c r="L2196" s="343">
        <v>-129.9</v>
      </c>
      <c r="M2196" s="343">
        <v>-1279571.42</v>
      </c>
      <c r="O2196" s="343">
        <v>0</v>
      </c>
    </row>
    <row r="2197" spans="1:15" x14ac:dyDescent="0.3">
      <c r="A2197" s="340" t="s">
        <v>891</v>
      </c>
      <c r="B2197" s="350">
        <v>46114</v>
      </c>
      <c r="C2197" s="350">
        <v>46117</v>
      </c>
      <c r="D2197" s="351">
        <v>46113</v>
      </c>
      <c r="E2197" s="340" t="s">
        <v>2603</v>
      </c>
      <c r="F2197" s="340" t="s">
        <v>894</v>
      </c>
      <c r="G2197" s="340" t="s">
        <v>2604</v>
      </c>
      <c r="H2197" s="340"/>
      <c r="I2197" s="340" t="s">
        <v>740</v>
      </c>
      <c r="K2197" s="343">
        <v>0</v>
      </c>
      <c r="L2197" s="343">
        <v>-570</v>
      </c>
      <c r="M2197" s="343">
        <v>-1280141.42</v>
      </c>
      <c r="O2197" s="343">
        <v>0</v>
      </c>
    </row>
    <row r="2198" spans="1:15" x14ac:dyDescent="0.3">
      <c r="A2198" s="340" t="s">
        <v>891</v>
      </c>
      <c r="B2198" s="350">
        <v>46114</v>
      </c>
      <c r="C2198" s="350">
        <v>46117</v>
      </c>
      <c r="D2198" s="351">
        <v>46113</v>
      </c>
      <c r="E2198" s="340" t="s">
        <v>2605</v>
      </c>
      <c r="F2198" s="340" t="s">
        <v>894</v>
      </c>
      <c r="G2198" s="340" t="s">
        <v>2606</v>
      </c>
      <c r="H2198" s="340"/>
      <c r="I2198" s="340" t="s">
        <v>740</v>
      </c>
      <c r="K2198" s="343">
        <v>0</v>
      </c>
      <c r="L2198" s="343">
        <v>-970</v>
      </c>
      <c r="M2198" s="343">
        <v>-1281111.42</v>
      </c>
      <c r="O2198" s="343">
        <v>0</v>
      </c>
    </row>
    <row r="2199" spans="1:15" x14ac:dyDescent="0.3">
      <c r="A2199" s="340" t="s">
        <v>891</v>
      </c>
      <c r="B2199" s="350">
        <v>46114</v>
      </c>
      <c r="C2199" s="350">
        <v>46117</v>
      </c>
      <c r="D2199" s="351">
        <v>46113</v>
      </c>
      <c r="E2199" s="340" t="s">
        <v>2607</v>
      </c>
      <c r="F2199" s="340" t="s">
        <v>894</v>
      </c>
      <c r="G2199" s="340" t="s">
        <v>2608</v>
      </c>
      <c r="H2199" s="340"/>
      <c r="I2199" s="340" t="s">
        <v>740</v>
      </c>
      <c r="K2199" s="343">
        <v>0</v>
      </c>
      <c r="L2199" s="343">
        <v>-485</v>
      </c>
      <c r="M2199" s="343">
        <v>-1281596.42</v>
      </c>
      <c r="O2199" s="343">
        <v>0</v>
      </c>
    </row>
    <row r="2200" spans="1:15" x14ac:dyDescent="0.3">
      <c r="A2200" s="340" t="s">
        <v>891</v>
      </c>
      <c r="B2200" s="350">
        <v>46114</v>
      </c>
      <c r="C2200" s="350">
        <v>46117</v>
      </c>
      <c r="D2200" s="351">
        <v>46113</v>
      </c>
      <c r="E2200" s="340" t="s">
        <v>2609</v>
      </c>
      <c r="F2200" s="340" t="s">
        <v>894</v>
      </c>
      <c r="G2200" s="340" t="s">
        <v>2610</v>
      </c>
      <c r="H2200" s="340"/>
      <c r="I2200" s="340" t="s">
        <v>740</v>
      </c>
      <c r="K2200" s="343">
        <v>0</v>
      </c>
      <c r="L2200" s="343">
        <v>-525</v>
      </c>
      <c r="M2200" s="343">
        <v>-1282121.42</v>
      </c>
      <c r="O2200" s="343">
        <v>0</v>
      </c>
    </row>
    <row r="2201" spans="1:15" x14ac:dyDescent="0.3">
      <c r="A2201" s="340" t="s">
        <v>891</v>
      </c>
      <c r="B2201" s="350">
        <v>46114</v>
      </c>
      <c r="C2201" s="350">
        <v>46117</v>
      </c>
      <c r="D2201" s="351">
        <v>46113</v>
      </c>
      <c r="E2201" s="340" t="s">
        <v>2611</v>
      </c>
      <c r="F2201" s="340" t="s">
        <v>894</v>
      </c>
      <c r="G2201" s="340" t="s">
        <v>2612</v>
      </c>
      <c r="H2201" s="340"/>
      <c r="I2201" s="340" t="s">
        <v>740</v>
      </c>
      <c r="K2201" s="343">
        <v>0</v>
      </c>
      <c r="L2201" s="343">
        <v>-820</v>
      </c>
      <c r="M2201" s="343">
        <v>-1282941.42</v>
      </c>
      <c r="O2201" s="343">
        <v>0</v>
      </c>
    </row>
    <row r="2202" spans="1:15" x14ac:dyDescent="0.3">
      <c r="A2202" s="340" t="s">
        <v>891</v>
      </c>
      <c r="B2202" s="350">
        <v>46114</v>
      </c>
      <c r="C2202" s="350">
        <v>46117</v>
      </c>
      <c r="D2202" s="351">
        <v>46113</v>
      </c>
      <c r="E2202" s="340" t="s">
        <v>2613</v>
      </c>
      <c r="F2202" s="340" t="s">
        <v>894</v>
      </c>
      <c r="G2202" s="340" t="s">
        <v>2614</v>
      </c>
      <c r="H2202" s="340"/>
      <c r="I2202" s="340" t="s">
        <v>740</v>
      </c>
      <c r="K2202" s="343">
        <v>0</v>
      </c>
      <c r="L2202" s="343">
        <v>-800</v>
      </c>
      <c r="M2202" s="343">
        <v>-1283741.42</v>
      </c>
      <c r="O2202" s="343">
        <v>0</v>
      </c>
    </row>
    <row r="2203" spans="1:15" x14ac:dyDescent="0.3">
      <c r="A2203" s="340" t="s">
        <v>891</v>
      </c>
      <c r="B2203" s="350">
        <v>46114</v>
      </c>
      <c r="C2203" s="350">
        <v>46117</v>
      </c>
      <c r="D2203" s="351">
        <v>46113</v>
      </c>
      <c r="E2203" s="340" t="s">
        <v>2615</v>
      </c>
      <c r="F2203" s="340" t="s">
        <v>894</v>
      </c>
      <c r="G2203" s="340" t="s">
        <v>2616</v>
      </c>
      <c r="H2203" s="340"/>
      <c r="I2203" s="340" t="s">
        <v>765</v>
      </c>
      <c r="K2203" s="343">
        <v>0</v>
      </c>
      <c r="L2203" s="343">
        <v>-700.08</v>
      </c>
      <c r="M2203" s="343">
        <v>-1284441.5</v>
      </c>
      <c r="O2203" s="343">
        <v>0</v>
      </c>
    </row>
    <row r="2204" spans="1:15" x14ac:dyDescent="0.3">
      <c r="A2204" s="340" t="s">
        <v>891</v>
      </c>
      <c r="B2204" s="350">
        <v>46114</v>
      </c>
      <c r="C2204" s="350">
        <v>46125</v>
      </c>
      <c r="D2204" s="351">
        <v>46113</v>
      </c>
      <c r="E2204" s="340" t="s">
        <v>2617</v>
      </c>
      <c r="F2204" s="340" t="s">
        <v>894</v>
      </c>
      <c r="G2204" s="340" t="s">
        <v>2442</v>
      </c>
      <c r="H2204" s="340"/>
      <c r="I2204" s="340" t="s">
        <v>771</v>
      </c>
      <c r="K2204" s="343">
        <v>0</v>
      </c>
      <c r="L2204" s="343">
        <v>-2.2599999999999998</v>
      </c>
      <c r="M2204" s="343">
        <v>-1284443.76</v>
      </c>
      <c r="O2204" s="343">
        <v>0</v>
      </c>
    </row>
    <row r="2205" spans="1:15" x14ac:dyDescent="0.3">
      <c r="A2205" s="340" t="s">
        <v>891</v>
      </c>
      <c r="B2205" s="350">
        <v>46114</v>
      </c>
      <c r="C2205" s="350">
        <v>46125</v>
      </c>
      <c r="D2205" s="351">
        <v>46113</v>
      </c>
      <c r="E2205" s="340" t="s">
        <v>2617</v>
      </c>
      <c r="F2205" s="340" t="s">
        <v>894</v>
      </c>
      <c r="G2205" s="340" t="s">
        <v>2572</v>
      </c>
      <c r="H2205" s="340"/>
      <c r="I2205" s="340" t="s">
        <v>771</v>
      </c>
      <c r="K2205" s="343">
        <v>0</v>
      </c>
      <c r="L2205" s="343">
        <v>-4.2300000000000004</v>
      </c>
      <c r="M2205" s="343">
        <v>-1284447.99</v>
      </c>
      <c r="O2205" s="343">
        <v>0</v>
      </c>
    </row>
    <row r="2206" spans="1:15" x14ac:dyDescent="0.3">
      <c r="A2206" s="340" t="s">
        <v>891</v>
      </c>
      <c r="B2206" s="350">
        <v>46114</v>
      </c>
      <c r="C2206" s="350">
        <v>46125</v>
      </c>
      <c r="D2206" s="351">
        <v>46113</v>
      </c>
      <c r="E2206" s="340" t="s">
        <v>2617</v>
      </c>
      <c r="F2206" s="340" t="s">
        <v>894</v>
      </c>
      <c r="G2206" s="340" t="s">
        <v>2565</v>
      </c>
      <c r="H2206" s="340"/>
      <c r="I2206" s="340" t="s">
        <v>771</v>
      </c>
      <c r="K2206" s="343">
        <v>0</v>
      </c>
      <c r="L2206" s="343">
        <v>-4.6100000000000003</v>
      </c>
      <c r="M2206" s="343">
        <v>-1284452.6000000001</v>
      </c>
      <c r="O2206" s="343">
        <v>0</v>
      </c>
    </row>
    <row r="2207" spans="1:15" x14ac:dyDescent="0.3">
      <c r="A2207" s="340" t="s">
        <v>891</v>
      </c>
      <c r="B2207" s="350">
        <v>46114</v>
      </c>
      <c r="C2207" s="350">
        <v>46125</v>
      </c>
      <c r="D2207" s="351">
        <v>46113</v>
      </c>
      <c r="E2207" s="340" t="s">
        <v>2617</v>
      </c>
      <c r="F2207" s="340" t="s">
        <v>894</v>
      </c>
      <c r="G2207" s="340" t="s">
        <v>2573</v>
      </c>
      <c r="H2207" s="340"/>
      <c r="I2207" s="340" t="s">
        <v>771</v>
      </c>
      <c r="K2207" s="343">
        <v>0</v>
      </c>
      <c r="L2207" s="343">
        <v>-4.95</v>
      </c>
      <c r="M2207" s="343">
        <v>-1284457.55</v>
      </c>
      <c r="O2207" s="343">
        <v>0</v>
      </c>
    </row>
    <row r="2208" spans="1:15" x14ac:dyDescent="0.3">
      <c r="A2208" s="340" t="s">
        <v>891</v>
      </c>
      <c r="B2208" s="350">
        <v>46114</v>
      </c>
      <c r="C2208" s="350">
        <v>46125</v>
      </c>
      <c r="D2208" s="351">
        <v>46113</v>
      </c>
      <c r="E2208" s="340" t="s">
        <v>2617</v>
      </c>
      <c r="F2208" s="340" t="s">
        <v>894</v>
      </c>
      <c r="G2208" s="340" t="s">
        <v>2618</v>
      </c>
      <c r="H2208" s="340"/>
      <c r="I2208" s="340" t="s">
        <v>771</v>
      </c>
      <c r="K2208" s="343">
        <v>0</v>
      </c>
      <c r="L2208" s="343">
        <v>-15.38</v>
      </c>
      <c r="M2208" s="343">
        <v>-1284472.93</v>
      </c>
      <c r="O2208" s="343">
        <v>0</v>
      </c>
    </row>
    <row r="2209" spans="1:15" x14ac:dyDescent="0.3">
      <c r="A2209" s="340" t="s">
        <v>891</v>
      </c>
      <c r="B2209" s="350">
        <v>46114</v>
      </c>
      <c r="C2209" s="350">
        <v>46125</v>
      </c>
      <c r="D2209" s="351">
        <v>46113</v>
      </c>
      <c r="E2209" s="340" t="s">
        <v>2617</v>
      </c>
      <c r="F2209" s="340" t="s">
        <v>894</v>
      </c>
      <c r="G2209" s="340" t="s">
        <v>2567</v>
      </c>
      <c r="H2209" s="340"/>
      <c r="I2209" s="340" t="s">
        <v>771</v>
      </c>
      <c r="K2209" s="343">
        <v>0</v>
      </c>
      <c r="L2209" s="343">
        <v>-0.01</v>
      </c>
      <c r="M2209" s="343">
        <v>-1284472.94</v>
      </c>
      <c r="O2209" s="343">
        <v>0</v>
      </c>
    </row>
    <row r="2210" spans="1:15" x14ac:dyDescent="0.3">
      <c r="A2210" s="340" t="s">
        <v>891</v>
      </c>
      <c r="B2210" s="350">
        <v>46114</v>
      </c>
      <c r="C2210" s="350">
        <v>46125</v>
      </c>
      <c r="D2210" s="351">
        <v>46113</v>
      </c>
      <c r="E2210" s="340" t="s">
        <v>2617</v>
      </c>
      <c r="F2210" s="340" t="s">
        <v>894</v>
      </c>
      <c r="G2210" s="340" t="s">
        <v>2568</v>
      </c>
      <c r="H2210" s="340"/>
      <c r="I2210" s="340" t="s">
        <v>771</v>
      </c>
      <c r="K2210" s="343">
        <v>0</v>
      </c>
      <c r="L2210" s="343">
        <v>-0.01</v>
      </c>
      <c r="M2210" s="343">
        <v>-1284472.95</v>
      </c>
      <c r="O2210" s="343">
        <v>0</v>
      </c>
    </row>
    <row r="2211" spans="1:15" x14ac:dyDescent="0.3">
      <c r="A2211" s="340" t="s">
        <v>891</v>
      </c>
      <c r="B2211" s="350">
        <v>46114</v>
      </c>
      <c r="C2211" s="350">
        <v>46125</v>
      </c>
      <c r="D2211" s="351">
        <v>46113</v>
      </c>
      <c r="E2211" s="340" t="s">
        <v>2617</v>
      </c>
      <c r="F2211" s="340" t="s">
        <v>894</v>
      </c>
      <c r="G2211" s="340" t="s">
        <v>2568</v>
      </c>
      <c r="H2211" s="340"/>
      <c r="I2211" s="340" t="s">
        <v>771</v>
      </c>
      <c r="K2211" s="343">
        <v>0</v>
      </c>
      <c r="L2211" s="343">
        <v>-0.02</v>
      </c>
      <c r="M2211" s="343">
        <v>-1284472.97</v>
      </c>
      <c r="O2211" s="343">
        <v>0</v>
      </c>
    </row>
    <row r="2212" spans="1:15" x14ac:dyDescent="0.3">
      <c r="A2212" s="340" t="s">
        <v>891</v>
      </c>
      <c r="B2212" s="350">
        <v>46114</v>
      </c>
      <c r="C2212" s="350">
        <v>46125</v>
      </c>
      <c r="D2212" s="351">
        <v>46113</v>
      </c>
      <c r="E2212" s="340" t="s">
        <v>2617</v>
      </c>
      <c r="F2212" s="340" t="s">
        <v>894</v>
      </c>
      <c r="G2212" s="340" t="s">
        <v>2569</v>
      </c>
      <c r="H2212" s="340"/>
      <c r="I2212" s="340" t="s">
        <v>771</v>
      </c>
      <c r="K2212" s="343">
        <v>0</v>
      </c>
      <c r="L2212" s="343">
        <v>-7.0000000000000007E-2</v>
      </c>
      <c r="M2212" s="343">
        <v>-1284473.04</v>
      </c>
      <c r="O2212" s="343">
        <v>0</v>
      </c>
    </row>
    <row r="2213" spans="1:15" x14ac:dyDescent="0.3">
      <c r="A2213" s="340" t="s">
        <v>891</v>
      </c>
      <c r="B2213" s="350">
        <v>46114</v>
      </c>
      <c r="C2213" s="350">
        <v>46125</v>
      </c>
      <c r="D2213" s="351">
        <v>46113</v>
      </c>
      <c r="E2213" s="340" t="s">
        <v>2617</v>
      </c>
      <c r="F2213" s="340" t="s">
        <v>894</v>
      </c>
      <c r="G2213" s="340" t="s">
        <v>2439</v>
      </c>
      <c r="H2213" s="340"/>
      <c r="I2213" s="340" t="s">
        <v>771</v>
      </c>
      <c r="K2213" s="343">
        <v>0</v>
      </c>
      <c r="L2213" s="343">
        <v>-0.08</v>
      </c>
      <c r="M2213" s="343">
        <v>-1284473.1200000001</v>
      </c>
      <c r="O2213" s="343">
        <v>0</v>
      </c>
    </row>
    <row r="2214" spans="1:15" x14ac:dyDescent="0.3">
      <c r="A2214" s="340" t="s">
        <v>891</v>
      </c>
      <c r="B2214" s="350">
        <v>46114</v>
      </c>
      <c r="C2214" s="350">
        <v>46125</v>
      </c>
      <c r="D2214" s="351">
        <v>46113</v>
      </c>
      <c r="E2214" s="340" t="s">
        <v>2617</v>
      </c>
      <c r="F2214" s="340" t="s">
        <v>894</v>
      </c>
      <c r="G2214" s="340" t="s">
        <v>2570</v>
      </c>
      <c r="H2214" s="340"/>
      <c r="I2214" s="340" t="s">
        <v>771</v>
      </c>
      <c r="K2214" s="343">
        <v>0</v>
      </c>
      <c r="L2214" s="343">
        <v>-0.08</v>
      </c>
      <c r="M2214" s="343">
        <v>-1284473.2</v>
      </c>
      <c r="O2214" s="343">
        <v>0</v>
      </c>
    </row>
    <row r="2215" spans="1:15" x14ac:dyDescent="0.3">
      <c r="A2215" s="340" t="s">
        <v>891</v>
      </c>
      <c r="B2215" s="350">
        <v>46114</v>
      </c>
      <c r="C2215" s="350">
        <v>46125</v>
      </c>
      <c r="D2215" s="351">
        <v>46113</v>
      </c>
      <c r="E2215" s="340" t="s">
        <v>2617</v>
      </c>
      <c r="F2215" s="340" t="s">
        <v>894</v>
      </c>
      <c r="G2215" s="340" t="s">
        <v>2439</v>
      </c>
      <c r="H2215" s="340"/>
      <c r="I2215" s="340" t="s">
        <v>771</v>
      </c>
      <c r="K2215" s="343">
        <v>0</v>
      </c>
      <c r="L2215" s="343">
        <v>-0.12</v>
      </c>
      <c r="M2215" s="343">
        <v>-1284473.32</v>
      </c>
      <c r="O2215" s="343">
        <v>0</v>
      </c>
    </row>
    <row r="2216" spans="1:15" x14ac:dyDescent="0.3">
      <c r="A2216" s="340" t="s">
        <v>891</v>
      </c>
      <c r="B2216" s="350">
        <v>46114</v>
      </c>
      <c r="C2216" s="350">
        <v>46125</v>
      </c>
      <c r="D2216" s="351">
        <v>46113</v>
      </c>
      <c r="E2216" s="340" t="s">
        <v>2617</v>
      </c>
      <c r="F2216" s="340" t="s">
        <v>894</v>
      </c>
      <c r="G2216" s="340" t="s">
        <v>2441</v>
      </c>
      <c r="H2216" s="340"/>
      <c r="I2216" s="340" t="s">
        <v>771</v>
      </c>
      <c r="K2216" s="343">
        <v>0</v>
      </c>
      <c r="L2216" s="343">
        <v>-0.16</v>
      </c>
      <c r="M2216" s="343">
        <v>-1284473.48</v>
      </c>
      <c r="O2216" s="343">
        <v>0</v>
      </c>
    </row>
    <row r="2217" spans="1:15" x14ac:dyDescent="0.3">
      <c r="A2217" s="340" t="s">
        <v>891</v>
      </c>
      <c r="B2217" s="350">
        <v>46114</v>
      </c>
      <c r="C2217" s="350">
        <v>46125</v>
      </c>
      <c r="D2217" s="351">
        <v>46113</v>
      </c>
      <c r="E2217" s="340" t="s">
        <v>2617</v>
      </c>
      <c r="F2217" s="340" t="s">
        <v>894</v>
      </c>
      <c r="G2217" s="340" t="s">
        <v>2441</v>
      </c>
      <c r="H2217" s="340"/>
      <c r="I2217" s="340" t="s">
        <v>771</v>
      </c>
      <c r="K2217" s="343">
        <v>0</v>
      </c>
      <c r="L2217" s="343">
        <v>-0.24</v>
      </c>
      <c r="M2217" s="343">
        <v>-1284473.72</v>
      </c>
      <c r="O2217" s="343">
        <v>0</v>
      </c>
    </row>
    <row r="2218" spans="1:15" x14ac:dyDescent="0.3">
      <c r="A2218" s="340" t="s">
        <v>891</v>
      </c>
      <c r="B2218" s="350">
        <v>46114</v>
      </c>
      <c r="C2218" s="350">
        <v>46125</v>
      </c>
      <c r="D2218" s="351">
        <v>46113</v>
      </c>
      <c r="E2218" s="340" t="s">
        <v>2617</v>
      </c>
      <c r="F2218" s="340" t="s">
        <v>894</v>
      </c>
      <c r="G2218" s="340" t="s">
        <v>2571</v>
      </c>
      <c r="H2218" s="340"/>
      <c r="I2218" s="340" t="s">
        <v>771</v>
      </c>
      <c r="K2218" s="343">
        <v>0</v>
      </c>
      <c r="L2218" s="343">
        <v>-0.69</v>
      </c>
      <c r="M2218" s="343">
        <v>-1284474.4099999999</v>
      </c>
      <c r="O2218" s="343">
        <v>0</v>
      </c>
    </row>
    <row r="2219" spans="1:15" x14ac:dyDescent="0.3">
      <c r="A2219" s="340" t="s">
        <v>891</v>
      </c>
      <c r="B2219" s="350">
        <v>46114</v>
      </c>
      <c r="C2219" s="350">
        <v>46125</v>
      </c>
      <c r="D2219" s="351">
        <v>46113</v>
      </c>
      <c r="E2219" s="340" t="s">
        <v>2617</v>
      </c>
      <c r="F2219" s="340" t="s">
        <v>894</v>
      </c>
      <c r="G2219" s="340" t="s">
        <v>2572</v>
      </c>
      <c r="H2219" s="340"/>
      <c r="I2219" s="340" t="s">
        <v>771</v>
      </c>
      <c r="K2219" s="343">
        <v>0</v>
      </c>
      <c r="L2219" s="343">
        <v>-1.94</v>
      </c>
      <c r="M2219" s="343">
        <v>-1284476.3500000001</v>
      </c>
      <c r="O2219" s="343">
        <v>0</v>
      </c>
    </row>
    <row r="2220" spans="1:15" x14ac:dyDescent="0.3">
      <c r="A2220" s="340" t="s">
        <v>891</v>
      </c>
      <c r="B2220" s="350">
        <v>46114</v>
      </c>
      <c r="C2220" s="350">
        <v>46125</v>
      </c>
      <c r="D2220" s="351">
        <v>46113</v>
      </c>
      <c r="E2220" s="340" t="s">
        <v>2617</v>
      </c>
      <c r="F2220" s="340" t="s">
        <v>894</v>
      </c>
      <c r="G2220" s="340" t="s">
        <v>2442</v>
      </c>
      <c r="H2220" s="340"/>
      <c r="I2220" s="340" t="s">
        <v>771</v>
      </c>
      <c r="K2220" s="343">
        <v>0</v>
      </c>
      <c r="L2220" s="343">
        <v>-2.2599999999999998</v>
      </c>
      <c r="M2220" s="343">
        <v>-1284478.6100000001</v>
      </c>
      <c r="O2220" s="343">
        <v>0</v>
      </c>
    </row>
    <row r="2221" spans="1:15" x14ac:dyDescent="0.3">
      <c r="A2221" s="340" t="s">
        <v>891</v>
      </c>
      <c r="B2221" s="350">
        <v>46114</v>
      </c>
      <c r="C2221" s="350">
        <v>46125</v>
      </c>
      <c r="D2221" s="351">
        <v>46113</v>
      </c>
      <c r="E2221" s="340" t="s">
        <v>2617</v>
      </c>
      <c r="F2221" s="340" t="s">
        <v>894</v>
      </c>
      <c r="G2221" s="340" t="s">
        <v>2573</v>
      </c>
      <c r="H2221" s="340"/>
      <c r="I2221" s="340" t="s">
        <v>771</v>
      </c>
      <c r="K2221" s="343">
        <v>0</v>
      </c>
      <c r="L2221" s="343">
        <v>-2.27</v>
      </c>
      <c r="M2221" s="343">
        <v>-1284480.8799999999</v>
      </c>
      <c r="O2221" s="343">
        <v>0</v>
      </c>
    </row>
    <row r="2222" spans="1:15" x14ac:dyDescent="0.3">
      <c r="A2222" s="340" t="s">
        <v>891</v>
      </c>
      <c r="B2222" s="350">
        <v>46114</v>
      </c>
      <c r="C2222" s="350">
        <v>46125</v>
      </c>
      <c r="D2222" s="351">
        <v>46113</v>
      </c>
      <c r="E2222" s="340" t="s">
        <v>2617</v>
      </c>
      <c r="F2222" s="340" t="s">
        <v>894</v>
      </c>
      <c r="G2222" s="340" t="s">
        <v>2565</v>
      </c>
      <c r="H2222" s="340"/>
      <c r="I2222" s="340" t="s">
        <v>771</v>
      </c>
      <c r="K2222" s="343">
        <v>0</v>
      </c>
      <c r="L2222" s="343">
        <v>-4.6100000000000003</v>
      </c>
      <c r="M2222" s="343">
        <v>-1284485.49</v>
      </c>
      <c r="O2222" s="343">
        <v>0</v>
      </c>
    </row>
    <row r="2223" spans="1:15" x14ac:dyDescent="0.3">
      <c r="A2223" s="340" t="s">
        <v>891</v>
      </c>
      <c r="B2223" s="350">
        <v>46114</v>
      </c>
      <c r="C2223" s="350">
        <v>46125</v>
      </c>
      <c r="D2223" s="351">
        <v>46113</v>
      </c>
      <c r="E2223" s="340" t="s">
        <v>2617</v>
      </c>
      <c r="F2223" s="340" t="s">
        <v>894</v>
      </c>
      <c r="G2223" s="340" t="s">
        <v>2566</v>
      </c>
      <c r="H2223" s="340"/>
      <c r="I2223" s="340" t="s">
        <v>771</v>
      </c>
      <c r="K2223" s="343">
        <v>0</v>
      </c>
      <c r="L2223" s="343">
        <v>-7.78</v>
      </c>
      <c r="M2223" s="343">
        <v>-1284493.27</v>
      </c>
      <c r="O2223" s="343">
        <v>0</v>
      </c>
    </row>
    <row r="2224" spans="1:15" x14ac:dyDescent="0.3">
      <c r="A2224" s="340" t="s">
        <v>891</v>
      </c>
      <c r="B2224" s="350">
        <v>46114</v>
      </c>
      <c r="C2224" s="350">
        <v>46125</v>
      </c>
      <c r="D2224" s="351">
        <v>46113</v>
      </c>
      <c r="E2224" s="340" t="s">
        <v>2617</v>
      </c>
      <c r="F2224" s="340" t="s">
        <v>894</v>
      </c>
      <c r="G2224" s="340" t="s">
        <v>2566</v>
      </c>
      <c r="H2224" s="340"/>
      <c r="I2224" s="340" t="s">
        <v>771</v>
      </c>
      <c r="K2224" s="343">
        <v>0</v>
      </c>
      <c r="L2224" s="343">
        <v>-13.01</v>
      </c>
      <c r="M2224" s="343">
        <v>-1284506.28</v>
      </c>
      <c r="O2224" s="343">
        <v>0</v>
      </c>
    </row>
    <row r="2225" spans="1:15" x14ac:dyDescent="0.3">
      <c r="A2225" s="340" t="s">
        <v>891</v>
      </c>
      <c r="B2225" s="350">
        <v>46114</v>
      </c>
      <c r="C2225" s="350">
        <v>46125</v>
      </c>
      <c r="D2225" s="351">
        <v>46113</v>
      </c>
      <c r="E2225" s="340" t="s">
        <v>2617</v>
      </c>
      <c r="F2225" s="340" t="s">
        <v>894</v>
      </c>
      <c r="G2225" s="340" t="s">
        <v>2567</v>
      </c>
      <c r="H2225" s="340"/>
      <c r="I2225" s="340" t="s">
        <v>771</v>
      </c>
      <c r="K2225" s="343">
        <v>0</v>
      </c>
      <c r="L2225" s="343">
        <v>-0.01</v>
      </c>
      <c r="M2225" s="343">
        <v>-1284506.29</v>
      </c>
      <c r="O2225" s="343">
        <v>0</v>
      </c>
    </row>
    <row r="2226" spans="1:15" x14ac:dyDescent="0.3">
      <c r="A2226" s="340" t="s">
        <v>891</v>
      </c>
      <c r="B2226" s="350">
        <v>46114</v>
      </c>
      <c r="C2226" s="350">
        <v>46125</v>
      </c>
      <c r="D2226" s="351">
        <v>46113</v>
      </c>
      <c r="E2226" s="340" t="s">
        <v>2617</v>
      </c>
      <c r="F2226" s="340" t="s">
        <v>894</v>
      </c>
      <c r="G2226" s="340" t="s">
        <v>2568</v>
      </c>
      <c r="H2226" s="340"/>
      <c r="I2226" s="340" t="s">
        <v>771</v>
      </c>
      <c r="K2226" s="343">
        <v>0</v>
      </c>
      <c r="L2226" s="343">
        <v>-0.02</v>
      </c>
      <c r="M2226" s="343">
        <v>-1284506.31</v>
      </c>
      <c r="O2226" s="343">
        <v>0</v>
      </c>
    </row>
    <row r="2227" spans="1:15" x14ac:dyDescent="0.3">
      <c r="A2227" s="340" t="s">
        <v>891</v>
      </c>
      <c r="B2227" s="350">
        <v>46114</v>
      </c>
      <c r="C2227" s="350">
        <v>46125</v>
      </c>
      <c r="D2227" s="351">
        <v>46113</v>
      </c>
      <c r="E2227" s="340" t="s">
        <v>2617</v>
      </c>
      <c r="F2227" s="340" t="s">
        <v>894</v>
      </c>
      <c r="G2227" s="340" t="s">
        <v>2568</v>
      </c>
      <c r="H2227" s="340"/>
      <c r="I2227" s="340" t="s">
        <v>771</v>
      </c>
      <c r="K2227" s="343">
        <v>0</v>
      </c>
      <c r="L2227" s="343">
        <v>-0.03</v>
      </c>
      <c r="M2227" s="343">
        <v>-1284506.3400000001</v>
      </c>
      <c r="O2227" s="343">
        <v>0</v>
      </c>
    </row>
    <row r="2228" spans="1:15" x14ac:dyDescent="0.3">
      <c r="A2228" s="340" t="s">
        <v>891</v>
      </c>
      <c r="B2228" s="350">
        <v>46114</v>
      </c>
      <c r="C2228" s="350">
        <v>46125</v>
      </c>
      <c r="D2228" s="351">
        <v>46113</v>
      </c>
      <c r="E2228" s="340" t="s">
        <v>2617</v>
      </c>
      <c r="F2228" s="340" t="s">
        <v>894</v>
      </c>
      <c r="G2228" s="340" t="s">
        <v>2569</v>
      </c>
      <c r="H2228" s="340"/>
      <c r="I2228" s="340" t="s">
        <v>771</v>
      </c>
      <c r="K2228" s="343">
        <v>0</v>
      </c>
      <c r="L2228" s="343">
        <v>-0.11</v>
      </c>
      <c r="M2228" s="343">
        <v>-1284506.45</v>
      </c>
      <c r="O2228" s="343">
        <v>0</v>
      </c>
    </row>
    <row r="2229" spans="1:15" x14ac:dyDescent="0.3">
      <c r="A2229" s="340" t="s">
        <v>891</v>
      </c>
      <c r="B2229" s="350">
        <v>46114</v>
      </c>
      <c r="C2229" s="350">
        <v>46125</v>
      </c>
      <c r="D2229" s="351">
        <v>46113</v>
      </c>
      <c r="E2229" s="340" t="s">
        <v>2617</v>
      </c>
      <c r="F2229" s="340" t="s">
        <v>894</v>
      </c>
      <c r="G2229" s="340" t="s">
        <v>2570</v>
      </c>
      <c r="H2229" s="340"/>
      <c r="I2229" s="340" t="s">
        <v>771</v>
      </c>
      <c r="K2229" s="343">
        <v>0</v>
      </c>
      <c r="L2229" s="343">
        <v>-0.13</v>
      </c>
      <c r="M2229" s="343">
        <v>-1284506.58</v>
      </c>
      <c r="O2229" s="343">
        <v>0</v>
      </c>
    </row>
    <row r="2230" spans="1:15" x14ac:dyDescent="0.3">
      <c r="A2230" s="340" t="s">
        <v>891</v>
      </c>
      <c r="B2230" s="350">
        <v>46114</v>
      </c>
      <c r="C2230" s="350">
        <v>46125</v>
      </c>
      <c r="D2230" s="351">
        <v>46113</v>
      </c>
      <c r="E2230" s="340" t="s">
        <v>2617</v>
      </c>
      <c r="F2230" s="340" t="s">
        <v>894</v>
      </c>
      <c r="G2230" s="340" t="s">
        <v>2439</v>
      </c>
      <c r="H2230" s="340"/>
      <c r="I2230" s="340" t="s">
        <v>771</v>
      </c>
      <c r="K2230" s="343">
        <v>0</v>
      </c>
      <c r="L2230" s="343">
        <v>-0.14000000000000001</v>
      </c>
      <c r="M2230" s="343">
        <v>-1284506.72</v>
      </c>
      <c r="O2230" s="343">
        <v>0</v>
      </c>
    </row>
    <row r="2231" spans="1:15" x14ac:dyDescent="0.3">
      <c r="A2231" s="340" t="s">
        <v>891</v>
      </c>
      <c r="B2231" s="350">
        <v>46114</v>
      </c>
      <c r="C2231" s="350">
        <v>46125</v>
      </c>
      <c r="D2231" s="351">
        <v>46113</v>
      </c>
      <c r="E2231" s="340" t="s">
        <v>2617</v>
      </c>
      <c r="F2231" s="340" t="s">
        <v>894</v>
      </c>
      <c r="G2231" s="340" t="s">
        <v>2439</v>
      </c>
      <c r="H2231" s="340"/>
      <c r="I2231" s="340" t="s">
        <v>771</v>
      </c>
      <c r="K2231" s="343">
        <v>0</v>
      </c>
      <c r="L2231" s="343">
        <v>-0.15</v>
      </c>
      <c r="M2231" s="343">
        <v>-1284506.8700000001</v>
      </c>
      <c r="O2231" s="343">
        <v>0</v>
      </c>
    </row>
    <row r="2232" spans="1:15" x14ac:dyDescent="0.3">
      <c r="A2232" s="340" t="s">
        <v>891</v>
      </c>
      <c r="B2232" s="350">
        <v>46114</v>
      </c>
      <c r="C2232" s="350">
        <v>46125</v>
      </c>
      <c r="D2232" s="351">
        <v>46113</v>
      </c>
      <c r="E2232" s="340" t="s">
        <v>2617</v>
      </c>
      <c r="F2232" s="340" t="s">
        <v>894</v>
      </c>
      <c r="G2232" s="340" t="s">
        <v>2441</v>
      </c>
      <c r="H2232" s="340"/>
      <c r="I2232" s="340" t="s">
        <v>771</v>
      </c>
      <c r="K2232" s="343">
        <v>0</v>
      </c>
      <c r="L2232" s="343">
        <v>-0.27</v>
      </c>
      <c r="M2232" s="343">
        <v>-1284507.1399999999</v>
      </c>
      <c r="O2232" s="343">
        <v>0</v>
      </c>
    </row>
    <row r="2233" spans="1:15" x14ac:dyDescent="0.3">
      <c r="A2233" s="340" t="s">
        <v>891</v>
      </c>
      <c r="B2233" s="350">
        <v>46114</v>
      </c>
      <c r="C2233" s="350">
        <v>46125</v>
      </c>
      <c r="D2233" s="351">
        <v>46113</v>
      </c>
      <c r="E2233" s="340" t="s">
        <v>2617</v>
      </c>
      <c r="F2233" s="340" t="s">
        <v>894</v>
      </c>
      <c r="G2233" s="340" t="s">
        <v>2441</v>
      </c>
      <c r="H2233" s="340"/>
      <c r="I2233" s="340" t="s">
        <v>771</v>
      </c>
      <c r="K2233" s="343">
        <v>0</v>
      </c>
      <c r="L2233" s="343">
        <v>-0.31</v>
      </c>
      <c r="M2233" s="343">
        <v>-1284507.45</v>
      </c>
      <c r="O2233" s="343">
        <v>0</v>
      </c>
    </row>
    <row r="2234" spans="1:15" x14ac:dyDescent="0.3">
      <c r="A2234" s="340" t="s">
        <v>891</v>
      </c>
      <c r="B2234" s="350">
        <v>46114</v>
      </c>
      <c r="C2234" s="350">
        <v>46125</v>
      </c>
      <c r="D2234" s="351">
        <v>46113</v>
      </c>
      <c r="E2234" s="340" t="s">
        <v>2617</v>
      </c>
      <c r="F2234" s="340" t="s">
        <v>894</v>
      </c>
      <c r="G2234" s="340" t="s">
        <v>2571</v>
      </c>
      <c r="H2234" s="340"/>
      <c r="I2234" s="340" t="s">
        <v>771</v>
      </c>
      <c r="K2234" s="343">
        <v>0</v>
      </c>
      <c r="L2234" s="343">
        <v>-1.1499999999999999</v>
      </c>
      <c r="M2234" s="343">
        <v>-1284508.6000000001</v>
      </c>
      <c r="O2234" s="343">
        <v>0</v>
      </c>
    </row>
    <row r="2235" spans="1:15" x14ac:dyDescent="0.3">
      <c r="A2235" s="340" t="s">
        <v>891</v>
      </c>
      <c r="B2235" s="350">
        <v>46114</v>
      </c>
      <c r="C2235" s="350">
        <v>46125</v>
      </c>
      <c r="D2235" s="351">
        <v>46113</v>
      </c>
      <c r="E2235" s="340" t="s">
        <v>2617</v>
      </c>
      <c r="F2235" s="340" t="s">
        <v>894</v>
      </c>
      <c r="G2235" s="340" t="s">
        <v>2442</v>
      </c>
      <c r="H2235" s="340"/>
      <c r="I2235" s="340" t="s">
        <v>771</v>
      </c>
      <c r="K2235" s="343">
        <v>0</v>
      </c>
      <c r="L2235" s="343">
        <v>-2.2599999999999998</v>
      </c>
      <c r="M2235" s="343">
        <v>-1284510.8600000001</v>
      </c>
      <c r="O2235" s="343">
        <v>0</v>
      </c>
    </row>
    <row r="2236" spans="1:15" x14ac:dyDescent="0.3">
      <c r="A2236" s="340" t="s">
        <v>891</v>
      </c>
      <c r="B2236" s="350">
        <v>46114</v>
      </c>
      <c r="C2236" s="350">
        <v>46125</v>
      </c>
      <c r="D2236" s="351">
        <v>46113</v>
      </c>
      <c r="E2236" s="340" t="s">
        <v>2617</v>
      </c>
      <c r="F2236" s="340" t="s">
        <v>894</v>
      </c>
      <c r="G2236" s="340" t="s">
        <v>2572</v>
      </c>
      <c r="H2236" s="340"/>
      <c r="I2236" s="340" t="s">
        <v>771</v>
      </c>
      <c r="K2236" s="343">
        <v>0</v>
      </c>
      <c r="L2236" s="343">
        <v>-3.25</v>
      </c>
      <c r="M2236" s="343">
        <v>-1284514.1100000001</v>
      </c>
      <c r="O2236" s="343">
        <v>0</v>
      </c>
    </row>
    <row r="2237" spans="1:15" x14ac:dyDescent="0.3">
      <c r="A2237" s="340" t="s">
        <v>891</v>
      </c>
      <c r="B2237" s="350">
        <v>46114</v>
      </c>
      <c r="C2237" s="350">
        <v>46125</v>
      </c>
      <c r="D2237" s="351">
        <v>46113</v>
      </c>
      <c r="E2237" s="340" t="s">
        <v>2617</v>
      </c>
      <c r="F2237" s="340" t="s">
        <v>894</v>
      </c>
      <c r="G2237" s="340" t="s">
        <v>2573</v>
      </c>
      <c r="H2237" s="340"/>
      <c r="I2237" s="340" t="s">
        <v>771</v>
      </c>
      <c r="K2237" s="343">
        <v>0</v>
      </c>
      <c r="L2237" s="343">
        <v>-3.8</v>
      </c>
      <c r="M2237" s="343">
        <v>-1284517.9099999999</v>
      </c>
      <c r="O2237" s="343">
        <v>0</v>
      </c>
    </row>
    <row r="2238" spans="1:15" x14ac:dyDescent="0.3">
      <c r="A2238" s="340" t="s">
        <v>891</v>
      </c>
      <c r="B2238" s="350">
        <v>46114</v>
      </c>
      <c r="C2238" s="350">
        <v>46125</v>
      </c>
      <c r="D2238" s="351">
        <v>46113</v>
      </c>
      <c r="E2238" s="340" t="s">
        <v>2617</v>
      </c>
      <c r="F2238" s="340" t="s">
        <v>894</v>
      </c>
      <c r="G2238" s="340" t="s">
        <v>2565</v>
      </c>
      <c r="H2238" s="340"/>
      <c r="I2238" s="340" t="s">
        <v>771</v>
      </c>
      <c r="K2238" s="343">
        <v>0</v>
      </c>
      <c r="L2238" s="343">
        <v>-4.6100000000000003</v>
      </c>
      <c r="M2238" s="343">
        <v>-1284522.52</v>
      </c>
      <c r="O2238" s="343">
        <v>0</v>
      </c>
    </row>
    <row r="2239" spans="1:15" x14ac:dyDescent="0.3">
      <c r="A2239" s="340" t="s">
        <v>891</v>
      </c>
      <c r="B2239" s="350">
        <v>46114</v>
      </c>
      <c r="C2239" s="350">
        <v>46125</v>
      </c>
      <c r="D2239" s="351">
        <v>46113</v>
      </c>
      <c r="E2239" s="340" t="s">
        <v>2617</v>
      </c>
      <c r="F2239" s="340" t="s">
        <v>894</v>
      </c>
      <c r="G2239" s="340" t="s">
        <v>2566</v>
      </c>
      <c r="H2239" s="340"/>
      <c r="I2239" s="340" t="s">
        <v>771</v>
      </c>
      <c r="K2239" s="343">
        <v>0</v>
      </c>
      <c r="L2239" s="343">
        <v>-10.69</v>
      </c>
      <c r="M2239" s="343">
        <v>-1284533.21</v>
      </c>
      <c r="O2239" s="343">
        <v>0</v>
      </c>
    </row>
    <row r="2240" spans="1:15" x14ac:dyDescent="0.3">
      <c r="A2240" s="340" t="s">
        <v>891</v>
      </c>
      <c r="B2240" s="350">
        <v>46114</v>
      </c>
      <c r="C2240" s="350">
        <v>46125</v>
      </c>
      <c r="D2240" s="351">
        <v>46113</v>
      </c>
      <c r="E2240" s="340" t="s">
        <v>2617</v>
      </c>
      <c r="F2240" s="340" t="s">
        <v>894</v>
      </c>
      <c r="G2240" s="340" t="s">
        <v>2570</v>
      </c>
      <c r="H2240" s="340"/>
      <c r="I2240" s="340" t="s">
        <v>771</v>
      </c>
      <c r="K2240" s="343">
        <v>0</v>
      </c>
      <c r="L2240" s="343">
        <v>-0.11</v>
      </c>
      <c r="M2240" s="343">
        <v>-1284533.32</v>
      </c>
      <c r="O2240" s="343">
        <v>0</v>
      </c>
    </row>
    <row r="2241" spans="1:15" x14ac:dyDescent="0.3">
      <c r="A2241" s="340" t="s">
        <v>891</v>
      </c>
      <c r="B2241" s="350">
        <v>46114</v>
      </c>
      <c r="C2241" s="350">
        <v>46125</v>
      </c>
      <c r="D2241" s="351">
        <v>46113</v>
      </c>
      <c r="E2241" s="340" t="s">
        <v>2617</v>
      </c>
      <c r="F2241" s="340" t="s">
        <v>894</v>
      </c>
      <c r="G2241" s="340" t="s">
        <v>2569</v>
      </c>
      <c r="H2241" s="340"/>
      <c r="I2241" s="340" t="s">
        <v>771</v>
      </c>
      <c r="K2241" s="343">
        <v>0</v>
      </c>
      <c r="L2241" s="343">
        <v>-0.09</v>
      </c>
      <c r="M2241" s="343">
        <v>-1284533.4099999999</v>
      </c>
      <c r="O2241" s="343">
        <v>0</v>
      </c>
    </row>
    <row r="2242" spans="1:15" x14ac:dyDescent="0.3">
      <c r="A2242" s="340" t="s">
        <v>891</v>
      </c>
      <c r="B2242" s="350">
        <v>46114</v>
      </c>
      <c r="C2242" s="350">
        <v>46125</v>
      </c>
      <c r="D2242" s="351">
        <v>46113</v>
      </c>
      <c r="E2242" s="340" t="s">
        <v>2617</v>
      </c>
      <c r="F2242" s="340" t="s">
        <v>894</v>
      </c>
      <c r="G2242" s="340" t="s">
        <v>2568</v>
      </c>
      <c r="H2242" s="340"/>
      <c r="I2242" s="340" t="s">
        <v>771</v>
      </c>
      <c r="K2242" s="343">
        <v>0</v>
      </c>
      <c r="L2242" s="343">
        <v>-0.02</v>
      </c>
      <c r="M2242" s="343">
        <v>-1284533.43</v>
      </c>
      <c r="O2242" s="343">
        <v>0</v>
      </c>
    </row>
    <row r="2243" spans="1:15" x14ac:dyDescent="0.3">
      <c r="A2243" s="340" t="s">
        <v>891</v>
      </c>
      <c r="B2243" s="350">
        <v>46114</v>
      </c>
      <c r="C2243" s="350">
        <v>46125</v>
      </c>
      <c r="D2243" s="351">
        <v>46113</v>
      </c>
      <c r="E2243" s="340" t="s">
        <v>2617</v>
      </c>
      <c r="F2243" s="340" t="s">
        <v>894</v>
      </c>
      <c r="G2243" s="340" t="s">
        <v>2441</v>
      </c>
      <c r="H2243" s="340"/>
      <c r="I2243" s="340" t="s">
        <v>771</v>
      </c>
      <c r="K2243" s="343">
        <v>0</v>
      </c>
      <c r="L2243" s="343">
        <v>-0.22</v>
      </c>
      <c r="M2243" s="343">
        <v>-1284533.6499999999</v>
      </c>
      <c r="O2243" s="343">
        <v>0</v>
      </c>
    </row>
    <row r="2244" spans="1:15" x14ac:dyDescent="0.3">
      <c r="A2244" s="340" t="s">
        <v>891</v>
      </c>
      <c r="B2244" s="350">
        <v>46114</v>
      </c>
      <c r="C2244" s="350">
        <v>46125</v>
      </c>
      <c r="D2244" s="351">
        <v>46113</v>
      </c>
      <c r="E2244" s="340" t="s">
        <v>2617</v>
      </c>
      <c r="F2244" s="340" t="s">
        <v>894</v>
      </c>
      <c r="G2244" s="340" t="s">
        <v>2567</v>
      </c>
      <c r="H2244" s="340"/>
      <c r="I2244" s="340" t="s">
        <v>771</v>
      </c>
      <c r="K2244" s="343">
        <v>0</v>
      </c>
      <c r="L2244" s="343">
        <v>-0.01</v>
      </c>
      <c r="M2244" s="343">
        <v>-1284533.6599999999</v>
      </c>
      <c r="O2244" s="343">
        <v>0</v>
      </c>
    </row>
    <row r="2245" spans="1:15" x14ac:dyDescent="0.3">
      <c r="A2245" s="340" t="s">
        <v>891</v>
      </c>
      <c r="B2245" s="350">
        <v>46114</v>
      </c>
      <c r="C2245" s="350">
        <v>46125</v>
      </c>
      <c r="D2245" s="351">
        <v>46113</v>
      </c>
      <c r="E2245" s="340" t="s">
        <v>2617</v>
      </c>
      <c r="F2245" s="340" t="s">
        <v>894</v>
      </c>
      <c r="G2245" s="340" t="s">
        <v>2568</v>
      </c>
      <c r="H2245" s="340"/>
      <c r="I2245" s="340" t="s">
        <v>771</v>
      </c>
      <c r="K2245" s="343">
        <v>0</v>
      </c>
      <c r="L2245" s="343">
        <v>-0.02</v>
      </c>
      <c r="M2245" s="343">
        <v>-1284533.68</v>
      </c>
      <c r="O2245" s="343">
        <v>0</v>
      </c>
    </row>
    <row r="2246" spans="1:15" x14ac:dyDescent="0.3">
      <c r="A2246" s="340" t="s">
        <v>891</v>
      </c>
      <c r="B2246" s="350">
        <v>46114</v>
      </c>
      <c r="C2246" s="350">
        <v>46125</v>
      </c>
      <c r="D2246" s="351">
        <v>46113</v>
      </c>
      <c r="E2246" s="340" t="s">
        <v>2617</v>
      </c>
      <c r="F2246" s="340" t="s">
        <v>894</v>
      </c>
      <c r="G2246" s="340" t="s">
        <v>2439</v>
      </c>
      <c r="H2246" s="340"/>
      <c r="I2246" s="340" t="s">
        <v>771</v>
      </c>
      <c r="K2246" s="343">
        <v>0</v>
      </c>
      <c r="L2246" s="343">
        <v>-0.11</v>
      </c>
      <c r="M2246" s="343">
        <v>-1284533.79</v>
      </c>
      <c r="O2246" s="343">
        <v>0</v>
      </c>
    </row>
    <row r="2247" spans="1:15" x14ac:dyDescent="0.3">
      <c r="A2247" s="340" t="s">
        <v>891</v>
      </c>
      <c r="B2247" s="350">
        <v>46114</v>
      </c>
      <c r="C2247" s="350">
        <v>46125</v>
      </c>
      <c r="D2247" s="351">
        <v>46113</v>
      </c>
      <c r="E2247" s="340" t="s">
        <v>2617</v>
      </c>
      <c r="F2247" s="340" t="s">
        <v>894</v>
      </c>
      <c r="G2247" s="340" t="s">
        <v>2439</v>
      </c>
      <c r="H2247" s="340"/>
      <c r="I2247" s="340" t="s">
        <v>771</v>
      </c>
      <c r="K2247" s="343">
        <v>0</v>
      </c>
      <c r="L2247" s="343">
        <v>-0.14000000000000001</v>
      </c>
      <c r="M2247" s="343">
        <v>-1284533.93</v>
      </c>
      <c r="O2247" s="343">
        <v>0</v>
      </c>
    </row>
    <row r="2248" spans="1:15" x14ac:dyDescent="0.3">
      <c r="A2248" s="340" t="s">
        <v>891</v>
      </c>
      <c r="B2248" s="350">
        <v>46114</v>
      </c>
      <c r="C2248" s="350">
        <v>46125</v>
      </c>
      <c r="D2248" s="351">
        <v>46113</v>
      </c>
      <c r="E2248" s="340" t="s">
        <v>2617</v>
      </c>
      <c r="F2248" s="340" t="s">
        <v>894</v>
      </c>
      <c r="G2248" s="340" t="s">
        <v>2441</v>
      </c>
      <c r="H2248" s="340"/>
      <c r="I2248" s="340" t="s">
        <v>771</v>
      </c>
      <c r="K2248" s="343">
        <v>0</v>
      </c>
      <c r="L2248" s="343">
        <v>-0.28000000000000003</v>
      </c>
      <c r="M2248" s="343">
        <v>-1284534.21</v>
      </c>
      <c r="O2248" s="343">
        <v>0</v>
      </c>
    </row>
    <row r="2249" spans="1:15" x14ac:dyDescent="0.3">
      <c r="A2249" s="340" t="s">
        <v>891</v>
      </c>
      <c r="B2249" s="350">
        <v>46114</v>
      </c>
      <c r="C2249" s="350">
        <v>46125</v>
      </c>
      <c r="D2249" s="351">
        <v>46113</v>
      </c>
      <c r="E2249" s="340" t="s">
        <v>2617</v>
      </c>
      <c r="F2249" s="340" t="s">
        <v>894</v>
      </c>
      <c r="G2249" s="340" t="s">
        <v>2571</v>
      </c>
      <c r="H2249" s="340"/>
      <c r="I2249" s="340" t="s">
        <v>771</v>
      </c>
      <c r="K2249" s="343">
        <v>0</v>
      </c>
      <c r="L2249" s="343">
        <v>-0.94</v>
      </c>
      <c r="M2249" s="343">
        <v>-1284535.1499999999</v>
      </c>
      <c r="O2249" s="343">
        <v>0</v>
      </c>
    </row>
    <row r="2250" spans="1:15" x14ac:dyDescent="0.3">
      <c r="A2250" s="340" t="s">
        <v>891</v>
      </c>
      <c r="B2250" s="350">
        <v>46114</v>
      </c>
      <c r="C2250" s="350">
        <v>46125</v>
      </c>
      <c r="D2250" s="351">
        <v>46113</v>
      </c>
      <c r="E2250" s="340" t="s">
        <v>2617</v>
      </c>
      <c r="F2250" s="340" t="s">
        <v>894</v>
      </c>
      <c r="G2250" s="340" t="s">
        <v>2442</v>
      </c>
      <c r="H2250" s="340"/>
      <c r="I2250" s="340" t="s">
        <v>771</v>
      </c>
      <c r="K2250" s="343">
        <v>0</v>
      </c>
      <c r="L2250" s="343">
        <v>-2.2599999999999998</v>
      </c>
      <c r="M2250" s="343">
        <v>-1284537.4099999999</v>
      </c>
      <c r="O2250" s="343">
        <v>0</v>
      </c>
    </row>
    <row r="2251" spans="1:15" x14ac:dyDescent="0.3">
      <c r="A2251" s="340" t="s">
        <v>891</v>
      </c>
      <c r="B2251" s="350">
        <v>46114</v>
      </c>
      <c r="C2251" s="350">
        <v>46125</v>
      </c>
      <c r="D2251" s="351">
        <v>46113</v>
      </c>
      <c r="E2251" s="340" t="s">
        <v>2617</v>
      </c>
      <c r="F2251" s="340" t="s">
        <v>894</v>
      </c>
      <c r="G2251" s="340" t="s">
        <v>2572</v>
      </c>
      <c r="H2251" s="340"/>
      <c r="I2251" s="340" t="s">
        <v>771</v>
      </c>
      <c r="K2251" s="343">
        <v>0</v>
      </c>
      <c r="L2251" s="343">
        <v>-2.67</v>
      </c>
      <c r="M2251" s="343">
        <v>-1284540.08</v>
      </c>
      <c r="O2251" s="343">
        <v>0</v>
      </c>
    </row>
    <row r="2252" spans="1:15" x14ac:dyDescent="0.3">
      <c r="A2252" s="340" t="s">
        <v>891</v>
      </c>
      <c r="B2252" s="350">
        <v>46114</v>
      </c>
      <c r="C2252" s="350">
        <v>46125</v>
      </c>
      <c r="D2252" s="351">
        <v>46113</v>
      </c>
      <c r="E2252" s="340" t="s">
        <v>2617</v>
      </c>
      <c r="F2252" s="340" t="s">
        <v>894</v>
      </c>
      <c r="G2252" s="340" t="s">
        <v>2573</v>
      </c>
      <c r="H2252" s="340"/>
      <c r="I2252" s="340" t="s">
        <v>771</v>
      </c>
      <c r="K2252" s="343">
        <v>0</v>
      </c>
      <c r="L2252" s="343">
        <v>-3.12</v>
      </c>
      <c r="M2252" s="343">
        <v>-1284543.2</v>
      </c>
      <c r="O2252" s="343">
        <v>0</v>
      </c>
    </row>
    <row r="2253" spans="1:15" x14ac:dyDescent="0.3">
      <c r="A2253" s="340" t="s">
        <v>891</v>
      </c>
      <c r="B2253" s="350">
        <v>46114</v>
      </c>
      <c r="C2253" s="350">
        <v>46125</v>
      </c>
      <c r="D2253" s="351">
        <v>46113</v>
      </c>
      <c r="E2253" s="340" t="s">
        <v>2617</v>
      </c>
      <c r="F2253" s="340" t="s">
        <v>894</v>
      </c>
      <c r="G2253" s="340" t="s">
        <v>2565</v>
      </c>
      <c r="H2253" s="340"/>
      <c r="I2253" s="340" t="s">
        <v>771</v>
      </c>
      <c r="K2253" s="343">
        <v>0</v>
      </c>
      <c r="L2253" s="343">
        <v>-4.6100000000000003</v>
      </c>
      <c r="M2253" s="343">
        <v>-1284547.81</v>
      </c>
      <c r="O2253" s="343">
        <v>0</v>
      </c>
    </row>
    <row r="2254" spans="1:15" x14ac:dyDescent="0.3">
      <c r="A2254" s="340" t="s">
        <v>891</v>
      </c>
      <c r="B2254" s="350">
        <v>46114</v>
      </c>
      <c r="C2254" s="350">
        <v>46125</v>
      </c>
      <c r="D2254" s="351">
        <v>46113</v>
      </c>
      <c r="E2254" s="340" t="s">
        <v>2617</v>
      </c>
      <c r="F2254" s="340" t="s">
        <v>894</v>
      </c>
      <c r="G2254" s="340" t="s">
        <v>2566</v>
      </c>
      <c r="H2254" s="340"/>
      <c r="I2254" s="340" t="s">
        <v>771</v>
      </c>
      <c r="K2254" s="343">
        <v>0</v>
      </c>
      <c r="L2254" s="343">
        <v>-15.92</v>
      </c>
      <c r="M2254" s="343">
        <v>-1284563.73</v>
      </c>
      <c r="O2254" s="343">
        <v>0</v>
      </c>
    </row>
    <row r="2255" spans="1:15" x14ac:dyDescent="0.3">
      <c r="A2255" s="340" t="s">
        <v>891</v>
      </c>
      <c r="B2255" s="350">
        <v>46114</v>
      </c>
      <c r="C2255" s="350">
        <v>46125</v>
      </c>
      <c r="D2255" s="351">
        <v>46113</v>
      </c>
      <c r="E2255" s="340" t="s">
        <v>2617</v>
      </c>
      <c r="F2255" s="340" t="s">
        <v>894</v>
      </c>
      <c r="G2255" s="340" t="s">
        <v>2570</v>
      </c>
      <c r="H2255" s="340"/>
      <c r="I2255" s="340" t="s">
        <v>771</v>
      </c>
      <c r="K2255" s="343">
        <v>0</v>
      </c>
      <c r="L2255" s="343">
        <v>-0.16</v>
      </c>
      <c r="M2255" s="343">
        <v>-1284563.8899999999</v>
      </c>
      <c r="O2255" s="343">
        <v>0</v>
      </c>
    </row>
    <row r="2256" spans="1:15" x14ac:dyDescent="0.3">
      <c r="A2256" s="340" t="s">
        <v>891</v>
      </c>
      <c r="B2256" s="350">
        <v>46114</v>
      </c>
      <c r="C2256" s="350">
        <v>46125</v>
      </c>
      <c r="D2256" s="351">
        <v>46113</v>
      </c>
      <c r="E2256" s="340" t="s">
        <v>2617</v>
      </c>
      <c r="F2256" s="340" t="s">
        <v>894</v>
      </c>
      <c r="G2256" s="340" t="s">
        <v>2567</v>
      </c>
      <c r="H2256" s="340"/>
      <c r="I2256" s="340" t="s">
        <v>771</v>
      </c>
      <c r="K2256" s="343">
        <v>0</v>
      </c>
      <c r="L2256" s="343">
        <v>-0.01</v>
      </c>
      <c r="M2256" s="343">
        <v>-1284563.8999999999</v>
      </c>
      <c r="O2256" s="343">
        <v>0</v>
      </c>
    </row>
    <row r="2257" spans="1:15" x14ac:dyDescent="0.3">
      <c r="A2257" s="340" t="s">
        <v>891</v>
      </c>
      <c r="B2257" s="350">
        <v>46114</v>
      </c>
      <c r="C2257" s="350">
        <v>46125</v>
      </c>
      <c r="D2257" s="351">
        <v>46113</v>
      </c>
      <c r="E2257" s="340" t="s">
        <v>2617</v>
      </c>
      <c r="F2257" s="340" t="s">
        <v>894</v>
      </c>
      <c r="G2257" s="340" t="s">
        <v>2568</v>
      </c>
      <c r="H2257" s="340"/>
      <c r="I2257" s="340" t="s">
        <v>771</v>
      </c>
      <c r="K2257" s="343">
        <v>0</v>
      </c>
      <c r="L2257" s="343">
        <v>-0.03</v>
      </c>
      <c r="M2257" s="343">
        <v>-1284563.93</v>
      </c>
      <c r="O2257" s="343">
        <v>0</v>
      </c>
    </row>
    <row r="2258" spans="1:15" x14ac:dyDescent="0.3">
      <c r="A2258" s="340" t="s">
        <v>891</v>
      </c>
      <c r="B2258" s="350">
        <v>46114</v>
      </c>
      <c r="C2258" s="350">
        <v>46125</v>
      </c>
      <c r="D2258" s="351">
        <v>46113</v>
      </c>
      <c r="E2258" s="340" t="s">
        <v>2617</v>
      </c>
      <c r="F2258" s="340" t="s">
        <v>894</v>
      </c>
      <c r="G2258" s="340" t="s">
        <v>2568</v>
      </c>
      <c r="H2258" s="340"/>
      <c r="I2258" s="340" t="s">
        <v>771</v>
      </c>
      <c r="K2258" s="343">
        <v>0</v>
      </c>
      <c r="L2258" s="343">
        <v>-0.03</v>
      </c>
      <c r="M2258" s="343">
        <v>-1284563.96</v>
      </c>
      <c r="O2258" s="343">
        <v>0</v>
      </c>
    </row>
    <row r="2259" spans="1:15" x14ac:dyDescent="0.3">
      <c r="A2259" s="340" t="s">
        <v>891</v>
      </c>
      <c r="B2259" s="350">
        <v>46114</v>
      </c>
      <c r="C2259" s="350">
        <v>46125</v>
      </c>
      <c r="D2259" s="351">
        <v>46113</v>
      </c>
      <c r="E2259" s="340" t="s">
        <v>2617</v>
      </c>
      <c r="F2259" s="340" t="s">
        <v>894</v>
      </c>
      <c r="G2259" s="340" t="s">
        <v>2569</v>
      </c>
      <c r="H2259" s="340"/>
      <c r="I2259" s="340" t="s">
        <v>771</v>
      </c>
      <c r="K2259" s="343">
        <v>0</v>
      </c>
      <c r="L2259" s="343">
        <v>-0.14000000000000001</v>
      </c>
      <c r="M2259" s="343">
        <v>-1284564.1000000001</v>
      </c>
      <c r="O2259" s="343">
        <v>0</v>
      </c>
    </row>
    <row r="2260" spans="1:15" x14ac:dyDescent="0.3">
      <c r="A2260" s="340" t="s">
        <v>891</v>
      </c>
      <c r="B2260" s="350">
        <v>46114</v>
      </c>
      <c r="C2260" s="350">
        <v>46125</v>
      </c>
      <c r="D2260" s="351">
        <v>46113</v>
      </c>
      <c r="E2260" s="340" t="s">
        <v>2617</v>
      </c>
      <c r="F2260" s="340" t="s">
        <v>894</v>
      </c>
      <c r="G2260" s="340" t="s">
        <v>2439</v>
      </c>
      <c r="H2260" s="340"/>
      <c r="I2260" s="340" t="s">
        <v>771</v>
      </c>
      <c r="K2260" s="343">
        <v>0</v>
      </c>
      <c r="L2260" s="343">
        <v>-0.17</v>
      </c>
      <c r="M2260" s="343">
        <v>-1284564.27</v>
      </c>
      <c r="O2260" s="343">
        <v>0</v>
      </c>
    </row>
    <row r="2261" spans="1:15" x14ac:dyDescent="0.3">
      <c r="A2261" s="340" t="s">
        <v>891</v>
      </c>
      <c r="B2261" s="350">
        <v>46114</v>
      </c>
      <c r="C2261" s="350">
        <v>46125</v>
      </c>
      <c r="D2261" s="351">
        <v>46113</v>
      </c>
      <c r="E2261" s="340" t="s">
        <v>2617</v>
      </c>
      <c r="F2261" s="340" t="s">
        <v>894</v>
      </c>
      <c r="G2261" s="340" t="s">
        <v>2439</v>
      </c>
      <c r="H2261" s="340"/>
      <c r="I2261" s="340" t="s">
        <v>771</v>
      </c>
      <c r="K2261" s="343">
        <v>0</v>
      </c>
      <c r="L2261" s="343">
        <v>-0.17</v>
      </c>
      <c r="M2261" s="343">
        <v>-1284564.44</v>
      </c>
      <c r="O2261" s="343">
        <v>0</v>
      </c>
    </row>
    <row r="2262" spans="1:15" x14ac:dyDescent="0.3">
      <c r="A2262" s="340" t="s">
        <v>891</v>
      </c>
      <c r="B2262" s="350">
        <v>46114</v>
      </c>
      <c r="C2262" s="350">
        <v>46125</v>
      </c>
      <c r="D2262" s="351">
        <v>46113</v>
      </c>
      <c r="E2262" s="340" t="s">
        <v>2617</v>
      </c>
      <c r="F2262" s="340" t="s">
        <v>894</v>
      </c>
      <c r="G2262" s="340" t="s">
        <v>2441</v>
      </c>
      <c r="H2262" s="340"/>
      <c r="I2262" s="340" t="s">
        <v>771</v>
      </c>
      <c r="K2262" s="343">
        <v>0</v>
      </c>
      <c r="L2262" s="343">
        <v>-0.33</v>
      </c>
      <c r="M2262" s="343">
        <v>-1284564.77</v>
      </c>
      <c r="O2262" s="343">
        <v>0</v>
      </c>
    </row>
    <row r="2263" spans="1:15" x14ac:dyDescent="0.3">
      <c r="A2263" s="340" t="s">
        <v>891</v>
      </c>
      <c r="B2263" s="350">
        <v>46114</v>
      </c>
      <c r="C2263" s="350">
        <v>46125</v>
      </c>
      <c r="D2263" s="351">
        <v>46113</v>
      </c>
      <c r="E2263" s="340" t="s">
        <v>2617</v>
      </c>
      <c r="F2263" s="340" t="s">
        <v>894</v>
      </c>
      <c r="G2263" s="340" t="s">
        <v>2441</v>
      </c>
      <c r="H2263" s="340"/>
      <c r="I2263" s="340" t="s">
        <v>771</v>
      </c>
      <c r="K2263" s="343">
        <v>0</v>
      </c>
      <c r="L2263" s="343">
        <v>-0.34</v>
      </c>
      <c r="M2263" s="343">
        <v>-1284565.1100000001</v>
      </c>
      <c r="O2263" s="343">
        <v>0</v>
      </c>
    </row>
    <row r="2264" spans="1:15" x14ac:dyDescent="0.3">
      <c r="A2264" s="340" t="s">
        <v>891</v>
      </c>
      <c r="B2264" s="350">
        <v>46114</v>
      </c>
      <c r="C2264" s="350">
        <v>46125</v>
      </c>
      <c r="D2264" s="351">
        <v>46113</v>
      </c>
      <c r="E2264" s="340" t="s">
        <v>2617</v>
      </c>
      <c r="F2264" s="340" t="s">
        <v>894</v>
      </c>
      <c r="G2264" s="340" t="s">
        <v>2571</v>
      </c>
      <c r="H2264" s="340"/>
      <c r="I2264" s="340" t="s">
        <v>771</v>
      </c>
      <c r="K2264" s="343">
        <v>0</v>
      </c>
      <c r="L2264" s="343">
        <v>-1.4</v>
      </c>
      <c r="M2264" s="343">
        <v>-1284566.51</v>
      </c>
      <c r="O2264" s="343">
        <v>0</v>
      </c>
    </row>
    <row r="2265" spans="1:15" x14ac:dyDescent="0.3">
      <c r="A2265" s="340" t="s">
        <v>891</v>
      </c>
      <c r="B2265" s="350">
        <v>46114</v>
      </c>
      <c r="C2265" s="350">
        <v>46125</v>
      </c>
      <c r="D2265" s="351">
        <v>46113</v>
      </c>
      <c r="E2265" s="340" t="s">
        <v>2617</v>
      </c>
      <c r="F2265" s="340" t="s">
        <v>894</v>
      </c>
      <c r="G2265" s="340" t="s">
        <v>2442</v>
      </c>
      <c r="H2265" s="340"/>
      <c r="I2265" s="340" t="s">
        <v>771</v>
      </c>
      <c r="K2265" s="343">
        <v>0</v>
      </c>
      <c r="L2265" s="343">
        <v>-2.2599999999999998</v>
      </c>
      <c r="M2265" s="343">
        <v>-1284568.77</v>
      </c>
      <c r="O2265" s="343">
        <v>0</v>
      </c>
    </row>
    <row r="2266" spans="1:15" x14ac:dyDescent="0.3">
      <c r="A2266" s="340" t="s">
        <v>891</v>
      </c>
      <c r="B2266" s="350">
        <v>46114</v>
      </c>
      <c r="C2266" s="350">
        <v>46125</v>
      </c>
      <c r="D2266" s="351">
        <v>46113</v>
      </c>
      <c r="E2266" s="340" t="s">
        <v>2617</v>
      </c>
      <c r="F2266" s="340" t="s">
        <v>894</v>
      </c>
      <c r="G2266" s="340" t="s">
        <v>2572</v>
      </c>
      <c r="H2266" s="340"/>
      <c r="I2266" s="340" t="s">
        <v>771</v>
      </c>
      <c r="K2266" s="343">
        <v>0</v>
      </c>
      <c r="L2266" s="343">
        <v>-3.98</v>
      </c>
      <c r="M2266" s="343">
        <v>-1284572.75</v>
      </c>
      <c r="O2266" s="343">
        <v>0</v>
      </c>
    </row>
    <row r="2267" spans="1:15" x14ac:dyDescent="0.3">
      <c r="A2267" s="340" t="s">
        <v>891</v>
      </c>
      <c r="B2267" s="350">
        <v>46114</v>
      </c>
      <c r="C2267" s="350">
        <v>46125</v>
      </c>
      <c r="D2267" s="351">
        <v>46113</v>
      </c>
      <c r="E2267" s="340" t="s">
        <v>2617</v>
      </c>
      <c r="F2267" s="340" t="s">
        <v>894</v>
      </c>
      <c r="G2267" s="340" t="s">
        <v>2565</v>
      </c>
      <c r="H2267" s="340"/>
      <c r="I2267" s="340" t="s">
        <v>771</v>
      </c>
      <c r="K2267" s="343">
        <v>0</v>
      </c>
      <c r="L2267" s="343">
        <v>-4.6100000000000003</v>
      </c>
      <c r="M2267" s="343">
        <v>-1284577.3600000001</v>
      </c>
      <c r="O2267" s="343">
        <v>0</v>
      </c>
    </row>
    <row r="2268" spans="1:15" x14ac:dyDescent="0.3">
      <c r="A2268" s="340" t="s">
        <v>891</v>
      </c>
      <c r="B2268" s="350">
        <v>46114</v>
      </c>
      <c r="C2268" s="350">
        <v>46125</v>
      </c>
      <c r="D2268" s="351">
        <v>46113</v>
      </c>
      <c r="E2268" s="340" t="s">
        <v>2617</v>
      </c>
      <c r="F2268" s="340" t="s">
        <v>894</v>
      </c>
      <c r="G2268" s="340" t="s">
        <v>2573</v>
      </c>
      <c r="H2268" s="340"/>
      <c r="I2268" s="340" t="s">
        <v>771</v>
      </c>
      <c r="K2268" s="343">
        <v>0</v>
      </c>
      <c r="L2268" s="343">
        <v>-4.6500000000000004</v>
      </c>
      <c r="M2268" s="343">
        <v>-1284582.01</v>
      </c>
      <c r="O2268" s="343">
        <v>0</v>
      </c>
    </row>
    <row r="2269" spans="1:15" x14ac:dyDescent="0.3">
      <c r="A2269" s="340" t="s">
        <v>891</v>
      </c>
      <c r="B2269" s="350">
        <v>46114</v>
      </c>
      <c r="C2269" s="350">
        <v>46125</v>
      </c>
      <c r="D2269" s="351">
        <v>46113</v>
      </c>
      <c r="E2269" s="340" t="s">
        <v>2617</v>
      </c>
      <c r="F2269" s="340" t="s">
        <v>894</v>
      </c>
      <c r="G2269" s="340" t="s">
        <v>2568</v>
      </c>
      <c r="H2269" s="340"/>
      <c r="I2269" s="340" t="s">
        <v>771</v>
      </c>
      <c r="K2269" s="343">
        <v>0</v>
      </c>
      <c r="L2269" s="343">
        <v>-0.02</v>
      </c>
      <c r="M2269" s="343">
        <v>-1284582.03</v>
      </c>
      <c r="O2269" s="343">
        <v>0</v>
      </c>
    </row>
    <row r="2270" spans="1:15" x14ac:dyDescent="0.3">
      <c r="A2270" s="340" t="s">
        <v>891</v>
      </c>
      <c r="B2270" s="350">
        <v>46114</v>
      </c>
      <c r="C2270" s="350">
        <v>46125</v>
      </c>
      <c r="D2270" s="351">
        <v>46113</v>
      </c>
      <c r="E2270" s="340" t="s">
        <v>2617</v>
      </c>
      <c r="F2270" s="340" t="s">
        <v>894</v>
      </c>
      <c r="G2270" s="340" t="s">
        <v>2567</v>
      </c>
      <c r="H2270" s="340"/>
      <c r="I2270" s="340" t="s">
        <v>771</v>
      </c>
      <c r="K2270" s="343">
        <v>0</v>
      </c>
      <c r="L2270" s="343">
        <v>-0.01</v>
      </c>
      <c r="M2270" s="343">
        <v>-1284582.04</v>
      </c>
      <c r="O2270" s="343">
        <v>0</v>
      </c>
    </row>
    <row r="2271" spans="1:15" x14ac:dyDescent="0.3">
      <c r="A2271" s="340" t="s">
        <v>891</v>
      </c>
      <c r="B2271" s="350">
        <v>46114</v>
      </c>
      <c r="C2271" s="350">
        <v>46125</v>
      </c>
      <c r="D2271" s="351">
        <v>46113</v>
      </c>
      <c r="E2271" s="340" t="s">
        <v>2617</v>
      </c>
      <c r="F2271" s="340" t="s">
        <v>894</v>
      </c>
      <c r="G2271" s="340" t="s">
        <v>2568</v>
      </c>
      <c r="H2271" s="340"/>
      <c r="I2271" s="340" t="s">
        <v>771</v>
      </c>
      <c r="K2271" s="343">
        <v>0</v>
      </c>
      <c r="L2271" s="343">
        <v>-0.02</v>
      </c>
      <c r="M2271" s="343">
        <v>-1284582.06</v>
      </c>
      <c r="O2271" s="343">
        <v>0</v>
      </c>
    </row>
    <row r="2272" spans="1:15" x14ac:dyDescent="0.3">
      <c r="A2272" s="340" t="s">
        <v>891</v>
      </c>
      <c r="B2272" s="350">
        <v>46114</v>
      </c>
      <c r="C2272" s="350">
        <v>46125</v>
      </c>
      <c r="D2272" s="351">
        <v>46113</v>
      </c>
      <c r="E2272" s="340" t="s">
        <v>2617</v>
      </c>
      <c r="F2272" s="340" t="s">
        <v>894</v>
      </c>
      <c r="G2272" s="340" t="s">
        <v>2569</v>
      </c>
      <c r="H2272" s="340"/>
      <c r="I2272" s="340" t="s">
        <v>771</v>
      </c>
      <c r="K2272" s="343">
        <v>0</v>
      </c>
      <c r="L2272" s="343">
        <v>-0.08</v>
      </c>
      <c r="M2272" s="343">
        <v>-1284582.1399999999</v>
      </c>
      <c r="O2272" s="343">
        <v>0</v>
      </c>
    </row>
    <row r="2273" spans="1:15" x14ac:dyDescent="0.3">
      <c r="A2273" s="340" t="s">
        <v>891</v>
      </c>
      <c r="B2273" s="350">
        <v>46114</v>
      </c>
      <c r="C2273" s="350">
        <v>46125</v>
      </c>
      <c r="D2273" s="351">
        <v>46113</v>
      </c>
      <c r="E2273" s="340" t="s">
        <v>2617</v>
      </c>
      <c r="F2273" s="340" t="s">
        <v>894</v>
      </c>
      <c r="G2273" s="340" t="s">
        <v>2439</v>
      </c>
      <c r="H2273" s="340"/>
      <c r="I2273" s="340" t="s">
        <v>771</v>
      </c>
      <c r="K2273" s="343">
        <v>0</v>
      </c>
      <c r="L2273" s="343">
        <v>-0.09</v>
      </c>
      <c r="M2273" s="343">
        <v>-1284582.23</v>
      </c>
      <c r="O2273" s="343">
        <v>0</v>
      </c>
    </row>
    <row r="2274" spans="1:15" x14ac:dyDescent="0.3">
      <c r="A2274" s="340" t="s">
        <v>891</v>
      </c>
      <c r="B2274" s="350">
        <v>46114</v>
      </c>
      <c r="C2274" s="350">
        <v>46125</v>
      </c>
      <c r="D2274" s="351">
        <v>46113</v>
      </c>
      <c r="E2274" s="340" t="s">
        <v>2617</v>
      </c>
      <c r="F2274" s="340" t="s">
        <v>894</v>
      </c>
      <c r="G2274" s="340" t="s">
        <v>2570</v>
      </c>
      <c r="H2274" s="340"/>
      <c r="I2274" s="340" t="s">
        <v>771</v>
      </c>
      <c r="K2274" s="343">
        <v>0</v>
      </c>
      <c r="L2274" s="343">
        <v>-0.09</v>
      </c>
      <c r="M2274" s="343">
        <v>-1284582.32</v>
      </c>
      <c r="O2274" s="343">
        <v>0</v>
      </c>
    </row>
    <row r="2275" spans="1:15" x14ac:dyDescent="0.3">
      <c r="A2275" s="340" t="s">
        <v>891</v>
      </c>
      <c r="B2275" s="350">
        <v>46114</v>
      </c>
      <c r="C2275" s="350">
        <v>46125</v>
      </c>
      <c r="D2275" s="351">
        <v>46113</v>
      </c>
      <c r="E2275" s="340" t="s">
        <v>2617</v>
      </c>
      <c r="F2275" s="340" t="s">
        <v>894</v>
      </c>
      <c r="G2275" s="340" t="s">
        <v>2439</v>
      </c>
      <c r="H2275" s="340"/>
      <c r="I2275" s="340" t="s">
        <v>771</v>
      </c>
      <c r="K2275" s="343">
        <v>0</v>
      </c>
      <c r="L2275" s="343">
        <v>-0.13</v>
      </c>
      <c r="M2275" s="343">
        <v>-1284582.45</v>
      </c>
      <c r="O2275" s="343">
        <v>0</v>
      </c>
    </row>
    <row r="2276" spans="1:15" x14ac:dyDescent="0.3">
      <c r="A2276" s="340" t="s">
        <v>891</v>
      </c>
      <c r="B2276" s="350">
        <v>46114</v>
      </c>
      <c r="C2276" s="350">
        <v>46125</v>
      </c>
      <c r="D2276" s="351">
        <v>46113</v>
      </c>
      <c r="E2276" s="340" t="s">
        <v>2617</v>
      </c>
      <c r="F2276" s="340" t="s">
        <v>894</v>
      </c>
      <c r="G2276" s="340" t="s">
        <v>2441</v>
      </c>
      <c r="H2276" s="340"/>
      <c r="I2276" s="340" t="s">
        <v>771</v>
      </c>
      <c r="K2276" s="343">
        <v>0</v>
      </c>
      <c r="L2276" s="343">
        <v>-0.19</v>
      </c>
      <c r="M2276" s="343">
        <v>-1284582.6399999999</v>
      </c>
      <c r="O2276" s="343">
        <v>0</v>
      </c>
    </row>
    <row r="2277" spans="1:15" x14ac:dyDescent="0.3">
      <c r="A2277" s="340" t="s">
        <v>891</v>
      </c>
      <c r="B2277" s="350">
        <v>46114</v>
      </c>
      <c r="C2277" s="350">
        <v>46125</v>
      </c>
      <c r="D2277" s="351">
        <v>46113</v>
      </c>
      <c r="E2277" s="340" t="s">
        <v>2617</v>
      </c>
      <c r="F2277" s="340" t="s">
        <v>894</v>
      </c>
      <c r="G2277" s="340" t="s">
        <v>2441</v>
      </c>
      <c r="H2277" s="340"/>
      <c r="I2277" s="340" t="s">
        <v>771</v>
      </c>
      <c r="K2277" s="343">
        <v>0</v>
      </c>
      <c r="L2277" s="343">
        <v>-0.25</v>
      </c>
      <c r="M2277" s="343">
        <v>-1284582.8899999999</v>
      </c>
      <c r="O2277" s="343">
        <v>0</v>
      </c>
    </row>
    <row r="2278" spans="1:15" x14ac:dyDescent="0.3">
      <c r="A2278" s="340" t="s">
        <v>891</v>
      </c>
      <c r="B2278" s="350">
        <v>46114</v>
      </c>
      <c r="C2278" s="350">
        <v>46125</v>
      </c>
      <c r="D2278" s="351">
        <v>46113</v>
      </c>
      <c r="E2278" s="340" t="s">
        <v>2617</v>
      </c>
      <c r="F2278" s="340" t="s">
        <v>894</v>
      </c>
      <c r="G2278" s="340" t="s">
        <v>2571</v>
      </c>
      <c r="H2278" s="340"/>
      <c r="I2278" s="340" t="s">
        <v>771</v>
      </c>
      <c r="K2278" s="343">
        <v>0</v>
      </c>
      <c r="L2278" s="343">
        <v>-0.79</v>
      </c>
      <c r="M2278" s="343">
        <v>-1284583.68</v>
      </c>
      <c r="O2278" s="343">
        <v>0</v>
      </c>
    </row>
    <row r="2279" spans="1:15" x14ac:dyDescent="0.3">
      <c r="A2279" s="340" t="s">
        <v>891</v>
      </c>
      <c r="B2279" s="350">
        <v>46114</v>
      </c>
      <c r="C2279" s="350">
        <v>46125</v>
      </c>
      <c r="D2279" s="351">
        <v>46113</v>
      </c>
      <c r="E2279" s="340" t="s">
        <v>2617</v>
      </c>
      <c r="F2279" s="340" t="s">
        <v>894</v>
      </c>
      <c r="G2279" s="340" t="s">
        <v>2572</v>
      </c>
      <c r="H2279" s="340"/>
      <c r="I2279" s="340" t="s">
        <v>771</v>
      </c>
      <c r="K2279" s="343">
        <v>0</v>
      </c>
      <c r="L2279" s="343">
        <v>-2.23</v>
      </c>
      <c r="M2279" s="343">
        <v>-1284585.9099999999</v>
      </c>
      <c r="O2279" s="343">
        <v>0</v>
      </c>
    </row>
    <row r="2280" spans="1:15" x14ac:dyDescent="0.3">
      <c r="A2280" s="340" t="s">
        <v>891</v>
      </c>
      <c r="B2280" s="350">
        <v>46114</v>
      </c>
      <c r="C2280" s="350">
        <v>46125</v>
      </c>
      <c r="D2280" s="351">
        <v>46113</v>
      </c>
      <c r="E2280" s="340" t="s">
        <v>2617</v>
      </c>
      <c r="F2280" s="340" t="s">
        <v>894</v>
      </c>
      <c r="G2280" s="340" t="s">
        <v>2442</v>
      </c>
      <c r="H2280" s="340"/>
      <c r="I2280" s="340" t="s">
        <v>771</v>
      </c>
      <c r="K2280" s="343">
        <v>0</v>
      </c>
      <c r="L2280" s="343">
        <v>-2.2599999999999998</v>
      </c>
      <c r="M2280" s="343">
        <v>-1284588.17</v>
      </c>
      <c r="O2280" s="343">
        <v>0</v>
      </c>
    </row>
    <row r="2281" spans="1:15" x14ac:dyDescent="0.3">
      <c r="A2281" s="340" t="s">
        <v>891</v>
      </c>
      <c r="B2281" s="350">
        <v>46114</v>
      </c>
      <c r="C2281" s="350">
        <v>46125</v>
      </c>
      <c r="D2281" s="351">
        <v>46113</v>
      </c>
      <c r="E2281" s="340" t="s">
        <v>2617</v>
      </c>
      <c r="F2281" s="340" t="s">
        <v>894</v>
      </c>
      <c r="G2281" s="340" t="s">
        <v>2573</v>
      </c>
      <c r="H2281" s="340"/>
      <c r="I2281" s="340" t="s">
        <v>771</v>
      </c>
      <c r="K2281" s="343">
        <v>0</v>
      </c>
      <c r="L2281" s="343">
        <v>-2.61</v>
      </c>
      <c r="M2281" s="343">
        <v>-1284590.78</v>
      </c>
      <c r="O2281" s="343">
        <v>0</v>
      </c>
    </row>
    <row r="2282" spans="1:15" x14ac:dyDescent="0.3">
      <c r="A2282" s="340" t="s">
        <v>891</v>
      </c>
      <c r="B2282" s="350">
        <v>46114</v>
      </c>
      <c r="C2282" s="350">
        <v>46125</v>
      </c>
      <c r="D2282" s="351">
        <v>46113</v>
      </c>
      <c r="E2282" s="340" t="s">
        <v>2617</v>
      </c>
      <c r="F2282" s="340" t="s">
        <v>894</v>
      </c>
      <c r="G2282" s="340" t="s">
        <v>2565</v>
      </c>
      <c r="H2282" s="340"/>
      <c r="I2282" s="340" t="s">
        <v>771</v>
      </c>
      <c r="K2282" s="343">
        <v>0</v>
      </c>
      <c r="L2282" s="343">
        <v>-4.6100000000000003</v>
      </c>
      <c r="M2282" s="343">
        <v>-1284595.3899999999</v>
      </c>
      <c r="O2282" s="343">
        <v>0</v>
      </c>
    </row>
    <row r="2283" spans="1:15" x14ac:dyDescent="0.3">
      <c r="A2283" s="340" t="s">
        <v>891</v>
      </c>
      <c r="B2283" s="350">
        <v>46114</v>
      </c>
      <c r="C2283" s="350">
        <v>46125</v>
      </c>
      <c r="D2283" s="351">
        <v>46113</v>
      </c>
      <c r="E2283" s="340" t="s">
        <v>2617</v>
      </c>
      <c r="F2283" s="340" t="s">
        <v>894</v>
      </c>
      <c r="G2283" s="340" t="s">
        <v>2566</v>
      </c>
      <c r="H2283" s="340"/>
      <c r="I2283" s="340" t="s">
        <v>771</v>
      </c>
      <c r="K2283" s="343">
        <v>0</v>
      </c>
      <c r="L2283" s="343">
        <v>-8.94</v>
      </c>
      <c r="M2283" s="343">
        <v>-1284604.33</v>
      </c>
      <c r="O2283" s="343">
        <v>0</v>
      </c>
    </row>
    <row r="2284" spans="1:15" x14ac:dyDescent="0.3">
      <c r="A2284" s="340" t="s">
        <v>891</v>
      </c>
      <c r="B2284" s="350">
        <v>46114</v>
      </c>
      <c r="C2284" s="350">
        <v>46125</v>
      </c>
      <c r="D2284" s="351">
        <v>46113</v>
      </c>
      <c r="E2284" s="340" t="s">
        <v>2617</v>
      </c>
      <c r="F2284" s="340" t="s">
        <v>894</v>
      </c>
      <c r="G2284" s="340" t="s">
        <v>2568</v>
      </c>
      <c r="H2284" s="340"/>
      <c r="I2284" s="340" t="s">
        <v>771</v>
      </c>
      <c r="K2284" s="343">
        <v>0</v>
      </c>
      <c r="L2284" s="343">
        <v>-0.04</v>
      </c>
      <c r="M2284" s="343">
        <v>-1284604.3700000001</v>
      </c>
      <c r="O2284" s="343">
        <v>0</v>
      </c>
    </row>
    <row r="2285" spans="1:15" x14ac:dyDescent="0.3">
      <c r="A2285" s="340" t="s">
        <v>891</v>
      </c>
      <c r="B2285" s="350">
        <v>46114</v>
      </c>
      <c r="C2285" s="350">
        <v>46125</v>
      </c>
      <c r="D2285" s="351">
        <v>46113</v>
      </c>
      <c r="E2285" s="340" t="s">
        <v>2617</v>
      </c>
      <c r="F2285" s="340" t="s">
        <v>894</v>
      </c>
      <c r="G2285" s="340" t="s">
        <v>2441</v>
      </c>
      <c r="H2285" s="340"/>
      <c r="I2285" s="340" t="s">
        <v>771</v>
      </c>
      <c r="K2285" s="343">
        <v>0</v>
      </c>
      <c r="L2285" s="343">
        <v>-0.45</v>
      </c>
      <c r="M2285" s="343">
        <v>-1284604.82</v>
      </c>
      <c r="O2285" s="343">
        <v>0</v>
      </c>
    </row>
    <row r="2286" spans="1:15" x14ac:dyDescent="0.3">
      <c r="A2286" s="340" t="s">
        <v>891</v>
      </c>
      <c r="B2286" s="350">
        <v>46114</v>
      </c>
      <c r="C2286" s="350">
        <v>46125</v>
      </c>
      <c r="D2286" s="351">
        <v>46113</v>
      </c>
      <c r="E2286" s="340" t="s">
        <v>2617</v>
      </c>
      <c r="F2286" s="340" t="s">
        <v>894</v>
      </c>
      <c r="G2286" s="340" t="s">
        <v>2439</v>
      </c>
      <c r="H2286" s="340"/>
      <c r="I2286" s="340" t="s">
        <v>771</v>
      </c>
      <c r="K2286" s="343">
        <v>0</v>
      </c>
      <c r="L2286" s="343">
        <v>-0.22</v>
      </c>
      <c r="M2286" s="343">
        <v>-1284605.04</v>
      </c>
      <c r="O2286" s="343">
        <v>0</v>
      </c>
    </row>
    <row r="2287" spans="1:15" x14ac:dyDescent="0.3">
      <c r="A2287" s="340" t="s">
        <v>891</v>
      </c>
      <c r="B2287" s="350">
        <v>46114</v>
      </c>
      <c r="C2287" s="350">
        <v>46125</v>
      </c>
      <c r="D2287" s="351">
        <v>46113</v>
      </c>
      <c r="E2287" s="340" t="s">
        <v>2617</v>
      </c>
      <c r="F2287" s="340" t="s">
        <v>894</v>
      </c>
      <c r="G2287" s="340" t="s">
        <v>2567</v>
      </c>
      <c r="H2287" s="340"/>
      <c r="I2287" s="340" t="s">
        <v>771</v>
      </c>
      <c r="K2287" s="343">
        <v>0</v>
      </c>
      <c r="L2287" s="343">
        <v>-0.02</v>
      </c>
      <c r="M2287" s="343">
        <v>-1284605.06</v>
      </c>
      <c r="O2287" s="343">
        <v>0</v>
      </c>
    </row>
    <row r="2288" spans="1:15" x14ac:dyDescent="0.3">
      <c r="A2288" s="340" t="s">
        <v>891</v>
      </c>
      <c r="B2288" s="350">
        <v>46114</v>
      </c>
      <c r="C2288" s="350">
        <v>46125</v>
      </c>
      <c r="D2288" s="351">
        <v>46113</v>
      </c>
      <c r="E2288" s="340" t="s">
        <v>2617</v>
      </c>
      <c r="F2288" s="340" t="s">
        <v>894</v>
      </c>
      <c r="G2288" s="340" t="s">
        <v>2568</v>
      </c>
      <c r="H2288" s="340"/>
      <c r="I2288" s="340" t="s">
        <v>771</v>
      </c>
      <c r="K2288" s="343">
        <v>0</v>
      </c>
      <c r="L2288" s="343">
        <v>-0.04</v>
      </c>
      <c r="M2288" s="343">
        <v>-1284605.1000000001</v>
      </c>
      <c r="O2288" s="343">
        <v>0</v>
      </c>
    </row>
    <row r="2289" spans="1:15" x14ac:dyDescent="0.3">
      <c r="A2289" s="340" t="s">
        <v>891</v>
      </c>
      <c r="B2289" s="350">
        <v>46114</v>
      </c>
      <c r="C2289" s="350">
        <v>46125</v>
      </c>
      <c r="D2289" s="351">
        <v>46113</v>
      </c>
      <c r="E2289" s="340" t="s">
        <v>2617</v>
      </c>
      <c r="F2289" s="340" t="s">
        <v>894</v>
      </c>
      <c r="G2289" s="340" t="s">
        <v>2569</v>
      </c>
      <c r="H2289" s="340"/>
      <c r="I2289" s="340" t="s">
        <v>771</v>
      </c>
      <c r="K2289" s="343">
        <v>0</v>
      </c>
      <c r="L2289" s="343">
        <v>-0.21</v>
      </c>
      <c r="M2289" s="343">
        <v>-1284605.31</v>
      </c>
      <c r="O2289" s="343">
        <v>0</v>
      </c>
    </row>
    <row r="2290" spans="1:15" x14ac:dyDescent="0.3">
      <c r="A2290" s="340" t="s">
        <v>891</v>
      </c>
      <c r="B2290" s="350">
        <v>46114</v>
      </c>
      <c r="C2290" s="350">
        <v>46125</v>
      </c>
      <c r="D2290" s="351">
        <v>46113</v>
      </c>
      <c r="E2290" s="340" t="s">
        <v>2617</v>
      </c>
      <c r="F2290" s="340" t="s">
        <v>894</v>
      </c>
      <c r="G2290" s="340" t="s">
        <v>2570</v>
      </c>
      <c r="H2290" s="340"/>
      <c r="I2290" s="340" t="s">
        <v>771</v>
      </c>
      <c r="K2290" s="343">
        <v>0</v>
      </c>
      <c r="L2290" s="343">
        <v>-0.24</v>
      </c>
      <c r="M2290" s="343">
        <v>-1284605.55</v>
      </c>
      <c r="O2290" s="343">
        <v>0</v>
      </c>
    </row>
    <row r="2291" spans="1:15" x14ac:dyDescent="0.3">
      <c r="A2291" s="340" t="s">
        <v>891</v>
      </c>
      <c r="B2291" s="350">
        <v>46114</v>
      </c>
      <c r="C2291" s="350">
        <v>46125</v>
      </c>
      <c r="D2291" s="351">
        <v>46113</v>
      </c>
      <c r="E2291" s="340" t="s">
        <v>2617</v>
      </c>
      <c r="F2291" s="340" t="s">
        <v>894</v>
      </c>
      <c r="G2291" s="340" t="s">
        <v>2439</v>
      </c>
      <c r="H2291" s="340"/>
      <c r="I2291" s="340" t="s">
        <v>771</v>
      </c>
      <c r="K2291" s="343">
        <v>0</v>
      </c>
      <c r="L2291" s="343">
        <v>-0.25</v>
      </c>
      <c r="M2291" s="343">
        <v>-1284605.8</v>
      </c>
      <c r="O2291" s="343">
        <v>0</v>
      </c>
    </row>
    <row r="2292" spans="1:15" x14ac:dyDescent="0.3">
      <c r="A2292" s="340" t="s">
        <v>891</v>
      </c>
      <c r="B2292" s="350">
        <v>46114</v>
      </c>
      <c r="C2292" s="350">
        <v>46125</v>
      </c>
      <c r="D2292" s="351">
        <v>46113</v>
      </c>
      <c r="E2292" s="340" t="s">
        <v>2617</v>
      </c>
      <c r="F2292" s="340" t="s">
        <v>894</v>
      </c>
      <c r="G2292" s="340" t="s">
        <v>2441</v>
      </c>
      <c r="H2292" s="340"/>
      <c r="I2292" s="340" t="s">
        <v>771</v>
      </c>
      <c r="K2292" s="343">
        <v>0</v>
      </c>
      <c r="L2292" s="343">
        <v>-0.5</v>
      </c>
      <c r="M2292" s="343">
        <v>-1284606.3</v>
      </c>
      <c r="O2292" s="343">
        <v>0</v>
      </c>
    </row>
    <row r="2293" spans="1:15" x14ac:dyDescent="0.3">
      <c r="A2293" s="340" t="s">
        <v>891</v>
      </c>
      <c r="B2293" s="350">
        <v>46114</v>
      </c>
      <c r="C2293" s="350">
        <v>46125</v>
      </c>
      <c r="D2293" s="351">
        <v>46113</v>
      </c>
      <c r="E2293" s="340" t="s">
        <v>2617</v>
      </c>
      <c r="F2293" s="340" t="s">
        <v>894</v>
      </c>
      <c r="G2293" s="340" t="s">
        <v>2571</v>
      </c>
      <c r="H2293" s="340"/>
      <c r="I2293" s="340" t="s">
        <v>771</v>
      </c>
      <c r="K2293" s="343">
        <v>0</v>
      </c>
      <c r="L2293" s="343">
        <v>-2.11</v>
      </c>
      <c r="M2293" s="343">
        <v>-1284608.4099999999</v>
      </c>
      <c r="O2293" s="343">
        <v>0</v>
      </c>
    </row>
    <row r="2294" spans="1:15" x14ac:dyDescent="0.3">
      <c r="A2294" s="340" t="s">
        <v>891</v>
      </c>
      <c r="B2294" s="350">
        <v>46114</v>
      </c>
      <c r="C2294" s="350">
        <v>46125</v>
      </c>
      <c r="D2294" s="351">
        <v>46113</v>
      </c>
      <c r="E2294" s="340" t="s">
        <v>2617</v>
      </c>
      <c r="F2294" s="340" t="s">
        <v>894</v>
      </c>
      <c r="G2294" s="340" t="s">
        <v>2442</v>
      </c>
      <c r="H2294" s="340"/>
      <c r="I2294" s="340" t="s">
        <v>771</v>
      </c>
      <c r="K2294" s="343">
        <v>0</v>
      </c>
      <c r="L2294" s="343">
        <v>-2.2599999999999998</v>
      </c>
      <c r="M2294" s="343">
        <v>-1284610.67</v>
      </c>
      <c r="O2294" s="343">
        <v>0</v>
      </c>
    </row>
    <row r="2295" spans="1:15" x14ac:dyDescent="0.3">
      <c r="A2295" s="340" t="s">
        <v>891</v>
      </c>
      <c r="B2295" s="350">
        <v>46114</v>
      </c>
      <c r="C2295" s="350">
        <v>46125</v>
      </c>
      <c r="D2295" s="351">
        <v>46113</v>
      </c>
      <c r="E2295" s="340" t="s">
        <v>2617</v>
      </c>
      <c r="F2295" s="340" t="s">
        <v>894</v>
      </c>
      <c r="G2295" s="340" t="s">
        <v>2565</v>
      </c>
      <c r="H2295" s="340"/>
      <c r="I2295" s="340" t="s">
        <v>771</v>
      </c>
      <c r="K2295" s="343">
        <v>0</v>
      </c>
      <c r="L2295" s="343">
        <v>-4.6100000000000003</v>
      </c>
      <c r="M2295" s="343">
        <v>-1284615.28</v>
      </c>
      <c r="O2295" s="343">
        <v>0</v>
      </c>
    </row>
    <row r="2296" spans="1:15" x14ac:dyDescent="0.3">
      <c r="A2296" s="340" t="s">
        <v>891</v>
      </c>
      <c r="B2296" s="350">
        <v>46114</v>
      </c>
      <c r="C2296" s="350">
        <v>46125</v>
      </c>
      <c r="D2296" s="351">
        <v>46113</v>
      </c>
      <c r="E2296" s="340" t="s">
        <v>2617</v>
      </c>
      <c r="F2296" s="340" t="s">
        <v>894</v>
      </c>
      <c r="G2296" s="340" t="s">
        <v>2572</v>
      </c>
      <c r="H2296" s="340"/>
      <c r="I2296" s="340" t="s">
        <v>771</v>
      </c>
      <c r="K2296" s="343">
        <v>0</v>
      </c>
      <c r="L2296" s="343">
        <v>-5.97</v>
      </c>
      <c r="M2296" s="343">
        <v>-1284621.25</v>
      </c>
      <c r="O2296" s="343">
        <v>0</v>
      </c>
    </row>
    <row r="2297" spans="1:15" x14ac:dyDescent="0.3">
      <c r="A2297" s="340" t="s">
        <v>891</v>
      </c>
      <c r="B2297" s="350">
        <v>46114</v>
      </c>
      <c r="C2297" s="350">
        <v>46125</v>
      </c>
      <c r="D2297" s="351">
        <v>46113</v>
      </c>
      <c r="E2297" s="340" t="s">
        <v>2617</v>
      </c>
      <c r="F2297" s="340" t="s">
        <v>894</v>
      </c>
      <c r="G2297" s="340" t="s">
        <v>2573</v>
      </c>
      <c r="H2297" s="340"/>
      <c r="I2297" s="340" t="s">
        <v>771</v>
      </c>
      <c r="K2297" s="343">
        <v>0</v>
      </c>
      <c r="L2297" s="343">
        <v>-6.99</v>
      </c>
      <c r="M2297" s="343">
        <v>-1284628.24</v>
      </c>
      <c r="O2297" s="343">
        <v>0</v>
      </c>
    </row>
    <row r="2298" spans="1:15" x14ac:dyDescent="0.3">
      <c r="A2298" s="340" t="s">
        <v>891</v>
      </c>
      <c r="B2298" s="350">
        <v>46114</v>
      </c>
      <c r="C2298" s="350">
        <v>46125</v>
      </c>
      <c r="D2298" s="351">
        <v>46113</v>
      </c>
      <c r="E2298" s="340" t="s">
        <v>2617</v>
      </c>
      <c r="F2298" s="340" t="s">
        <v>894</v>
      </c>
      <c r="G2298" s="340" t="s">
        <v>2566</v>
      </c>
      <c r="H2298" s="340"/>
      <c r="I2298" s="340" t="s">
        <v>771</v>
      </c>
      <c r="K2298" s="343">
        <v>0</v>
      </c>
      <c r="L2298" s="343">
        <v>-23.92</v>
      </c>
      <c r="M2298" s="343">
        <v>-1284652.1599999999</v>
      </c>
      <c r="O2298" s="343">
        <v>0</v>
      </c>
    </row>
    <row r="2299" spans="1:15" x14ac:dyDescent="0.3">
      <c r="A2299" s="340" t="s">
        <v>891</v>
      </c>
      <c r="B2299" s="350">
        <v>46114</v>
      </c>
      <c r="C2299" s="350">
        <v>46125</v>
      </c>
      <c r="D2299" s="351">
        <v>46113</v>
      </c>
      <c r="E2299" s="340" t="s">
        <v>2617</v>
      </c>
      <c r="F2299" s="340" t="s">
        <v>894</v>
      </c>
      <c r="G2299" s="340" t="s">
        <v>2567</v>
      </c>
      <c r="H2299" s="340"/>
      <c r="I2299" s="340" t="s">
        <v>771</v>
      </c>
      <c r="K2299" s="343">
        <v>0</v>
      </c>
      <c r="L2299" s="343">
        <v>-0.01</v>
      </c>
      <c r="M2299" s="343">
        <v>-1284652.17</v>
      </c>
      <c r="O2299" s="343">
        <v>0</v>
      </c>
    </row>
    <row r="2300" spans="1:15" x14ac:dyDescent="0.3">
      <c r="A2300" s="340" t="s">
        <v>891</v>
      </c>
      <c r="B2300" s="350">
        <v>46114</v>
      </c>
      <c r="C2300" s="350">
        <v>46125</v>
      </c>
      <c r="D2300" s="351">
        <v>46113</v>
      </c>
      <c r="E2300" s="340" t="s">
        <v>2617</v>
      </c>
      <c r="F2300" s="340" t="s">
        <v>894</v>
      </c>
      <c r="G2300" s="340" t="s">
        <v>2568</v>
      </c>
      <c r="H2300" s="340"/>
      <c r="I2300" s="340" t="s">
        <v>771</v>
      </c>
      <c r="K2300" s="343">
        <v>0</v>
      </c>
      <c r="L2300" s="343">
        <v>-0.01</v>
      </c>
      <c r="M2300" s="343">
        <v>-1284652.18</v>
      </c>
      <c r="O2300" s="343">
        <v>0</v>
      </c>
    </row>
    <row r="2301" spans="1:15" x14ac:dyDescent="0.3">
      <c r="A2301" s="340" t="s">
        <v>891</v>
      </c>
      <c r="B2301" s="350">
        <v>46114</v>
      </c>
      <c r="C2301" s="350">
        <v>46125</v>
      </c>
      <c r="D2301" s="351">
        <v>46113</v>
      </c>
      <c r="E2301" s="340" t="s">
        <v>2617</v>
      </c>
      <c r="F2301" s="340" t="s">
        <v>894</v>
      </c>
      <c r="G2301" s="340" t="s">
        <v>2568</v>
      </c>
      <c r="H2301" s="340"/>
      <c r="I2301" s="340" t="s">
        <v>771</v>
      </c>
      <c r="K2301" s="343">
        <v>0</v>
      </c>
      <c r="L2301" s="343">
        <v>-0.02</v>
      </c>
      <c r="M2301" s="343">
        <v>-1284652.2</v>
      </c>
      <c r="O2301" s="343">
        <v>0</v>
      </c>
    </row>
    <row r="2302" spans="1:15" x14ac:dyDescent="0.3">
      <c r="A2302" s="340" t="s">
        <v>891</v>
      </c>
      <c r="B2302" s="350">
        <v>46114</v>
      </c>
      <c r="C2302" s="350">
        <v>46125</v>
      </c>
      <c r="D2302" s="351">
        <v>46113</v>
      </c>
      <c r="E2302" s="340" t="s">
        <v>2617</v>
      </c>
      <c r="F2302" s="340" t="s">
        <v>894</v>
      </c>
      <c r="G2302" s="340" t="s">
        <v>2569</v>
      </c>
      <c r="H2302" s="340"/>
      <c r="I2302" s="340" t="s">
        <v>771</v>
      </c>
      <c r="K2302" s="343">
        <v>0</v>
      </c>
      <c r="L2302" s="343">
        <v>-7.0000000000000007E-2</v>
      </c>
      <c r="M2302" s="343">
        <v>-1284652.27</v>
      </c>
      <c r="O2302" s="343">
        <v>0</v>
      </c>
    </row>
    <row r="2303" spans="1:15" x14ac:dyDescent="0.3">
      <c r="A2303" s="340" t="s">
        <v>891</v>
      </c>
      <c r="B2303" s="350">
        <v>46114</v>
      </c>
      <c r="C2303" s="350">
        <v>46125</v>
      </c>
      <c r="D2303" s="351">
        <v>46113</v>
      </c>
      <c r="E2303" s="340" t="s">
        <v>2617</v>
      </c>
      <c r="F2303" s="340" t="s">
        <v>894</v>
      </c>
      <c r="G2303" s="340" t="s">
        <v>2439</v>
      </c>
      <c r="H2303" s="340"/>
      <c r="I2303" s="340" t="s">
        <v>771</v>
      </c>
      <c r="K2303" s="343">
        <v>0</v>
      </c>
      <c r="L2303" s="343">
        <v>-0.08</v>
      </c>
      <c r="M2303" s="343">
        <v>-1284652.3500000001</v>
      </c>
      <c r="O2303" s="343">
        <v>0</v>
      </c>
    </row>
    <row r="2304" spans="1:15" x14ac:dyDescent="0.3">
      <c r="A2304" s="340" t="s">
        <v>891</v>
      </c>
      <c r="B2304" s="350">
        <v>46114</v>
      </c>
      <c r="C2304" s="350">
        <v>46125</v>
      </c>
      <c r="D2304" s="351">
        <v>46113</v>
      </c>
      <c r="E2304" s="340" t="s">
        <v>2617</v>
      </c>
      <c r="F2304" s="340" t="s">
        <v>894</v>
      </c>
      <c r="G2304" s="340" t="s">
        <v>2570</v>
      </c>
      <c r="H2304" s="340"/>
      <c r="I2304" s="340" t="s">
        <v>771</v>
      </c>
      <c r="K2304" s="343">
        <v>0</v>
      </c>
      <c r="L2304" s="343">
        <v>-0.08</v>
      </c>
      <c r="M2304" s="343">
        <v>-1284652.43</v>
      </c>
      <c r="O2304" s="343">
        <v>0</v>
      </c>
    </row>
    <row r="2305" spans="1:15" x14ac:dyDescent="0.3">
      <c r="A2305" s="340" t="s">
        <v>891</v>
      </c>
      <c r="B2305" s="350">
        <v>46114</v>
      </c>
      <c r="C2305" s="350">
        <v>46125</v>
      </c>
      <c r="D2305" s="351">
        <v>46113</v>
      </c>
      <c r="E2305" s="340" t="s">
        <v>2617</v>
      </c>
      <c r="F2305" s="340" t="s">
        <v>894</v>
      </c>
      <c r="G2305" s="340" t="s">
        <v>2439</v>
      </c>
      <c r="H2305" s="340"/>
      <c r="I2305" s="340" t="s">
        <v>771</v>
      </c>
      <c r="K2305" s="343">
        <v>0</v>
      </c>
      <c r="L2305" s="343">
        <v>-0.12</v>
      </c>
      <c r="M2305" s="343">
        <v>-1284652.55</v>
      </c>
      <c r="O2305" s="343">
        <v>0</v>
      </c>
    </row>
    <row r="2306" spans="1:15" x14ac:dyDescent="0.3">
      <c r="A2306" s="340" t="s">
        <v>891</v>
      </c>
      <c r="B2306" s="350">
        <v>46114</v>
      </c>
      <c r="C2306" s="350">
        <v>46125</v>
      </c>
      <c r="D2306" s="351">
        <v>46113</v>
      </c>
      <c r="E2306" s="340" t="s">
        <v>2617</v>
      </c>
      <c r="F2306" s="340" t="s">
        <v>894</v>
      </c>
      <c r="G2306" s="340" t="s">
        <v>2441</v>
      </c>
      <c r="H2306" s="340"/>
      <c r="I2306" s="340" t="s">
        <v>771</v>
      </c>
      <c r="K2306" s="343">
        <v>0</v>
      </c>
      <c r="L2306" s="343">
        <v>-0.16</v>
      </c>
      <c r="M2306" s="343">
        <v>-1284652.71</v>
      </c>
      <c r="O2306" s="343">
        <v>0</v>
      </c>
    </row>
    <row r="2307" spans="1:15" x14ac:dyDescent="0.3">
      <c r="A2307" s="340" t="s">
        <v>891</v>
      </c>
      <c r="B2307" s="350">
        <v>46114</v>
      </c>
      <c r="C2307" s="350">
        <v>46125</v>
      </c>
      <c r="D2307" s="351">
        <v>46113</v>
      </c>
      <c r="E2307" s="340" t="s">
        <v>2617</v>
      </c>
      <c r="F2307" s="340" t="s">
        <v>894</v>
      </c>
      <c r="G2307" s="340" t="s">
        <v>2441</v>
      </c>
      <c r="H2307" s="340"/>
      <c r="I2307" s="340" t="s">
        <v>771</v>
      </c>
      <c r="K2307" s="343">
        <v>0</v>
      </c>
      <c r="L2307" s="343">
        <v>-0.24</v>
      </c>
      <c r="M2307" s="343">
        <v>-1284652.95</v>
      </c>
      <c r="O2307" s="343">
        <v>0</v>
      </c>
    </row>
    <row r="2308" spans="1:15" x14ac:dyDescent="0.3">
      <c r="A2308" s="340" t="s">
        <v>891</v>
      </c>
      <c r="B2308" s="350">
        <v>46114</v>
      </c>
      <c r="C2308" s="350">
        <v>46125</v>
      </c>
      <c r="D2308" s="351">
        <v>46113</v>
      </c>
      <c r="E2308" s="340" t="s">
        <v>2617</v>
      </c>
      <c r="F2308" s="340" t="s">
        <v>894</v>
      </c>
      <c r="G2308" s="340" t="s">
        <v>2571</v>
      </c>
      <c r="H2308" s="340"/>
      <c r="I2308" s="340" t="s">
        <v>771</v>
      </c>
      <c r="K2308" s="343">
        <v>0</v>
      </c>
      <c r="L2308" s="343">
        <v>-0.69</v>
      </c>
      <c r="M2308" s="343">
        <v>-1284653.6399999999</v>
      </c>
      <c r="O2308" s="343">
        <v>0</v>
      </c>
    </row>
    <row r="2309" spans="1:15" x14ac:dyDescent="0.3">
      <c r="A2309" s="340" t="s">
        <v>891</v>
      </c>
      <c r="B2309" s="350">
        <v>46114</v>
      </c>
      <c r="C2309" s="350">
        <v>46125</v>
      </c>
      <c r="D2309" s="351">
        <v>46113</v>
      </c>
      <c r="E2309" s="340" t="s">
        <v>2617</v>
      </c>
      <c r="F2309" s="340" t="s">
        <v>894</v>
      </c>
      <c r="G2309" s="340" t="s">
        <v>2572</v>
      </c>
      <c r="H2309" s="340"/>
      <c r="I2309" s="340" t="s">
        <v>771</v>
      </c>
      <c r="K2309" s="343">
        <v>0</v>
      </c>
      <c r="L2309" s="343">
        <v>-1.94</v>
      </c>
      <c r="M2309" s="343">
        <v>-1284655.58</v>
      </c>
      <c r="O2309" s="343">
        <v>0</v>
      </c>
    </row>
    <row r="2310" spans="1:15" x14ac:dyDescent="0.3">
      <c r="A2310" s="340" t="s">
        <v>891</v>
      </c>
      <c r="B2310" s="350">
        <v>46114</v>
      </c>
      <c r="C2310" s="350">
        <v>46125</v>
      </c>
      <c r="D2310" s="351">
        <v>46113</v>
      </c>
      <c r="E2310" s="340" t="s">
        <v>2617</v>
      </c>
      <c r="F2310" s="340" t="s">
        <v>894</v>
      </c>
      <c r="G2310" s="340" t="s">
        <v>2442</v>
      </c>
      <c r="H2310" s="340"/>
      <c r="I2310" s="340" t="s">
        <v>771</v>
      </c>
      <c r="K2310" s="343">
        <v>0</v>
      </c>
      <c r="L2310" s="343">
        <v>-2.2599999999999998</v>
      </c>
      <c r="M2310" s="343">
        <v>-1284657.8400000001</v>
      </c>
      <c r="O2310" s="343">
        <v>0</v>
      </c>
    </row>
    <row r="2311" spans="1:15" x14ac:dyDescent="0.3">
      <c r="A2311" s="340" t="s">
        <v>891</v>
      </c>
      <c r="B2311" s="350">
        <v>46114</v>
      </c>
      <c r="C2311" s="350">
        <v>46125</v>
      </c>
      <c r="D2311" s="351">
        <v>46113</v>
      </c>
      <c r="E2311" s="340" t="s">
        <v>2617</v>
      </c>
      <c r="F2311" s="340" t="s">
        <v>894</v>
      </c>
      <c r="G2311" s="340" t="s">
        <v>2573</v>
      </c>
      <c r="H2311" s="340"/>
      <c r="I2311" s="340" t="s">
        <v>771</v>
      </c>
      <c r="K2311" s="343">
        <v>0</v>
      </c>
      <c r="L2311" s="343">
        <v>-2.27</v>
      </c>
      <c r="M2311" s="343">
        <v>-1284660.1100000001</v>
      </c>
      <c r="O2311" s="343">
        <v>0</v>
      </c>
    </row>
    <row r="2312" spans="1:15" x14ac:dyDescent="0.3">
      <c r="A2312" s="340" t="s">
        <v>891</v>
      </c>
      <c r="B2312" s="350">
        <v>46114</v>
      </c>
      <c r="C2312" s="350">
        <v>46125</v>
      </c>
      <c r="D2312" s="351">
        <v>46113</v>
      </c>
      <c r="E2312" s="340" t="s">
        <v>2617</v>
      </c>
      <c r="F2312" s="340" t="s">
        <v>894</v>
      </c>
      <c r="G2312" s="340" t="s">
        <v>2565</v>
      </c>
      <c r="H2312" s="340"/>
      <c r="I2312" s="340" t="s">
        <v>771</v>
      </c>
      <c r="K2312" s="343">
        <v>0</v>
      </c>
      <c r="L2312" s="343">
        <v>-4.6100000000000003</v>
      </c>
      <c r="M2312" s="343">
        <v>-1284664.72</v>
      </c>
      <c r="O2312" s="343">
        <v>0</v>
      </c>
    </row>
    <row r="2313" spans="1:15" x14ac:dyDescent="0.3">
      <c r="A2313" s="340" t="s">
        <v>891</v>
      </c>
      <c r="B2313" s="350">
        <v>46114</v>
      </c>
      <c r="C2313" s="350">
        <v>46125</v>
      </c>
      <c r="D2313" s="351">
        <v>46113</v>
      </c>
      <c r="E2313" s="340" t="s">
        <v>2617</v>
      </c>
      <c r="F2313" s="340" t="s">
        <v>894</v>
      </c>
      <c r="G2313" s="340" t="s">
        <v>2566</v>
      </c>
      <c r="H2313" s="340"/>
      <c r="I2313" s="340" t="s">
        <v>771</v>
      </c>
      <c r="K2313" s="343">
        <v>0</v>
      </c>
      <c r="L2313" s="343">
        <v>-7.78</v>
      </c>
      <c r="M2313" s="343">
        <v>-1284672.5</v>
      </c>
      <c r="O2313" s="343">
        <v>0</v>
      </c>
    </row>
    <row r="2314" spans="1:15" x14ac:dyDescent="0.3">
      <c r="A2314" s="340" t="s">
        <v>891</v>
      </c>
      <c r="B2314" s="350">
        <v>46114</v>
      </c>
      <c r="C2314" s="350">
        <v>46125</v>
      </c>
      <c r="D2314" s="351">
        <v>46113</v>
      </c>
      <c r="E2314" s="340" t="s">
        <v>2617</v>
      </c>
      <c r="F2314" s="340" t="s">
        <v>894</v>
      </c>
      <c r="G2314" s="340" t="s">
        <v>2568</v>
      </c>
      <c r="H2314" s="340"/>
      <c r="I2314" s="340" t="s">
        <v>771</v>
      </c>
      <c r="K2314" s="343">
        <v>0</v>
      </c>
      <c r="L2314" s="343">
        <v>-0.01</v>
      </c>
      <c r="M2314" s="343">
        <v>-1284672.51</v>
      </c>
      <c r="O2314" s="343">
        <v>0</v>
      </c>
    </row>
    <row r="2315" spans="1:15" x14ac:dyDescent="0.3">
      <c r="A2315" s="340" t="s">
        <v>891</v>
      </c>
      <c r="B2315" s="350">
        <v>46114</v>
      </c>
      <c r="C2315" s="350">
        <v>46125</v>
      </c>
      <c r="D2315" s="351">
        <v>46113</v>
      </c>
      <c r="E2315" s="340" t="s">
        <v>2617</v>
      </c>
      <c r="F2315" s="340" t="s">
        <v>894</v>
      </c>
      <c r="G2315" s="340" t="s">
        <v>2439</v>
      </c>
      <c r="H2315" s="340"/>
      <c r="I2315" s="340" t="s">
        <v>771</v>
      </c>
      <c r="K2315" s="343">
        <v>0</v>
      </c>
      <c r="L2315" s="343">
        <v>-7.0000000000000007E-2</v>
      </c>
      <c r="M2315" s="343">
        <v>-1284672.58</v>
      </c>
      <c r="O2315" s="343">
        <v>0</v>
      </c>
    </row>
    <row r="2316" spans="1:15" x14ac:dyDescent="0.3">
      <c r="A2316" s="340" t="s">
        <v>891</v>
      </c>
      <c r="B2316" s="350">
        <v>46114</v>
      </c>
      <c r="C2316" s="350">
        <v>46125</v>
      </c>
      <c r="D2316" s="351">
        <v>46113</v>
      </c>
      <c r="E2316" s="340" t="s">
        <v>2617</v>
      </c>
      <c r="F2316" s="340" t="s">
        <v>894</v>
      </c>
      <c r="G2316" s="340" t="s">
        <v>2441</v>
      </c>
      <c r="H2316" s="340"/>
      <c r="I2316" s="340" t="s">
        <v>771</v>
      </c>
      <c r="K2316" s="343">
        <v>0</v>
      </c>
      <c r="L2316" s="343">
        <v>-0.14000000000000001</v>
      </c>
      <c r="M2316" s="343">
        <v>-1284672.72</v>
      </c>
      <c r="O2316" s="343">
        <v>0</v>
      </c>
    </row>
    <row r="2317" spans="1:15" x14ac:dyDescent="0.3">
      <c r="A2317" s="340" t="s">
        <v>891</v>
      </c>
      <c r="B2317" s="350">
        <v>46114</v>
      </c>
      <c r="C2317" s="350">
        <v>46125</v>
      </c>
      <c r="D2317" s="351">
        <v>46113</v>
      </c>
      <c r="E2317" s="340" t="s">
        <v>2617</v>
      </c>
      <c r="F2317" s="340" t="s">
        <v>894</v>
      </c>
      <c r="G2317" s="340" t="s">
        <v>2442</v>
      </c>
      <c r="H2317" s="340"/>
      <c r="I2317" s="340" t="s">
        <v>771</v>
      </c>
      <c r="K2317" s="343">
        <v>0</v>
      </c>
      <c r="L2317" s="343">
        <v>-2.2599999999999998</v>
      </c>
      <c r="M2317" s="343">
        <v>-1284674.98</v>
      </c>
      <c r="O2317" s="343">
        <v>0</v>
      </c>
    </row>
    <row r="2318" spans="1:15" x14ac:dyDescent="0.3">
      <c r="A2318" s="340" t="s">
        <v>891</v>
      </c>
      <c r="B2318" s="350">
        <v>46114</v>
      </c>
      <c r="C2318" s="350">
        <v>46125</v>
      </c>
      <c r="D2318" s="351">
        <v>46113</v>
      </c>
      <c r="E2318" s="340" t="s">
        <v>2617</v>
      </c>
      <c r="F2318" s="340" t="s">
        <v>894</v>
      </c>
      <c r="G2318" s="340" t="s">
        <v>2565</v>
      </c>
      <c r="H2318" s="340"/>
      <c r="I2318" s="340" t="s">
        <v>771</v>
      </c>
      <c r="K2318" s="343">
        <v>0</v>
      </c>
      <c r="L2318" s="343">
        <v>-4.6100000000000003</v>
      </c>
      <c r="M2318" s="343">
        <v>-1284679.5900000001</v>
      </c>
      <c r="O2318" s="343">
        <v>0</v>
      </c>
    </row>
    <row r="2319" spans="1:15" x14ac:dyDescent="0.3">
      <c r="A2319" s="340" t="s">
        <v>891</v>
      </c>
      <c r="B2319" s="350">
        <v>46114</v>
      </c>
      <c r="C2319" s="350">
        <v>46125</v>
      </c>
      <c r="D2319" s="351">
        <v>46113</v>
      </c>
      <c r="E2319" s="340" t="s">
        <v>2617</v>
      </c>
      <c r="F2319" s="340" t="s">
        <v>894</v>
      </c>
      <c r="G2319" s="340" t="s">
        <v>2570</v>
      </c>
      <c r="H2319" s="340"/>
      <c r="I2319" s="340" t="s">
        <v>771</v>
      </c>
      <c r="K2319" s="343">
        <v>0</v>
      </c>
      <c r="L2319" s="343">
        <v>-7.0000000000000007E-2</v>
      </c>
      <c r="M2319" s="343">
        <v>-1284679.6599999999</v>
      </c>
      <c r="O2319" s="343">
        <v>0</v>
      </c>
    </row>
    <row r="2320" spans="1:15" x14ac:dyDescent="0.3">
      <c r="A2320" s="340" t="s">
        <v>891</v>
      </c>
      <c r="B2320" s="350">
        <v>46114</v>
      </c>
      <c r="C2320" s="350">
        <v>46125</v>
      </c>
      <c r="D2320" s="351">
        <v>46113</v>
      </c>
      <c r="E2320" s="340" t="s">
        <v>2617</v>
      </c>
      <c r="F2320" s="340" t="s">
        <v>894</v>
      </c>
      <c r="G2320" s="340" t="s">
        <v>2569</v>
      </c>
      <c r="H2320" s="340"/>
      <c r="I2320" s="340" t="s">
        <v>771</v>
      </c>
      <c r="K2320" s="343">
        <v>0</v>
      </c>
      <c r="L2320" s="343">
        <v>-0.06</v>
      </c>
      <c r="M2320" s="343">
        <v>-1284679.72</v>
      </c>
      <c r="O2320" s="343">
        <v>0</v>
      </c>
    </row>
    <row r="2321" spans="1:15" x14ac:dyDescent="0.3">
      <c r="A2321" s="340" t="s">
        <v>891</v>
      </c>
      <c r="B2321" s="350">
        <v>46114</v>
      </c>
      <c r="C2321" s="350">
        <v>46125</v>
      </c>
      <c r="D2321" s="351">
        <v>46113</v>
      </c>
      <c r="E2321" s="340" t="s">
        <v>2617</v>
      </c>
      <c r="F2321" s="340" t="s">
        <v>894</v>
      </c>
      <c r="G2321" s="340" t="s">
        <v>2568</v>
      </c>
      <c r="H2321" s="340"/>
      <c r="I2321" s="340" t="s">
        <v>771</v>
      </c>
      <c r="K2321" s="343">
        <v>0</v>
      </c>
      <c r="L2321" s="343">
        <v>-0.01</v>
      </c>
      <c r="M2321" s="343">
        <v>-1284679.73</v>
      </c>
      <c r="O2321" s="343">
        <v>0</v>
      </c>
    </row>
    <row r="2322" spans="1:15" x14ac:dyDescent="0.3">
      <c r="A2322" s="340" t="s">
        <v>891</v>
      </c>
      <c r="B2322" s="350">
        <v>46114</v>
      </c>
      <c r="C2322" s="350">
        <v>46125</v>
      </c>
      <c r="D2322" s="351">
        <v>46113</v>
      </c>
      <c r="E2322" s="340" t="s">
        <v>2617</v>
      </c>
      <c r="F2322" s="340" t="s">
        <v>894</v>
      </c>
      <c r="G2322" s="340" t="s">
        <v>2439</v>
      </c>
      <c r="H2322" s="340"/>
      <c r="I2322" s="340" t="s">
        <v>771</v>
      </c>
      <c r="K2322" s="343">
        <v>0</v>
      </c>
      <c r="L2322" s="343">
        <v>-7.0000000000000007E-2</v>
      </c>
      <c r="M2322" s="343">
        <v>-1284679.8</v>
      </c>
      <c r="O2322" s="343">
        <v>0</v>
      </c>
    </row>
    <row r="2323" spans="1:15" x14ac:dyDescent="0.3">
      <c r="A2323" s="340" t="s">
        <v>891</v>
      </c>
      <c r="B2323" s="350">
        <v>46114</v>
      </c>
      <c r="C2323" s="350">
        <v>46125</v>
      </c>
      <c r="D2323" s="351">
        <v>46113</v>
      </c>
      <c r="E2323" s="340" t="s">
        <v>2617</v>
      </c>
      <c r="F2323" s="340" t="s">
        <v>894</v>
      </c>
      <c r="G2323" s="340" t="s">
        <v>2567</v>
      </c>
      <c r="H2323" s="340"/>
      <c r="I2323" s="340" t="s">
        <v>771</v>
      </c>
      <c r="K2323" s="343">
        <v>0</v>
      </c>
      <c r="L2323" s="343">
        <v>-0.01</v>
      </c>
      <c r="M2323" s="343">
        <v>-1284679.81</v>
      </c>
      <c r="O2323" s="343">
        <v>0</v>
      </c>
    </row>
    <row r="2324" spans="1:15" x14ac:dyDescent="0.3">
      <c r="A2324" s="340" t="s">
        <v>891</v>
      </c>
      <c r="B2324" s="350">
        <v>46114</v>
      </c>
      <c r="C2324" s="350">
        <v>46125</v>
      </c>
      <c r="D2324" s="351">
        <v>46113</v>
      </c>
      <c r="E2324" s="340" t="s">
        <v>2617</v>
      </c>
      <c r="F2324" s="340" t="s">
        <v>894</v>
      </c>
      <c r="G2324" s="340" t="s">
        <v>2568</v>
      </c>
      <c r="H2324" s="340"/>
      <c r="I2324" s="340" t="s">
        <v>771</v>
      </c>
      <c r="K2324" s="343">
        <v>0</v>
      </c>
      <c r="L2324" s="343">
        <v>-0.02</v>
      </c>
      <c r="M2324" s="343">
        <v>-1284679.83</v>
      </c>
      <c r="O2324" s="343">
        <v>0</v>
      </c>
    </row>
    <row r="2325" spans="1:15" x14ac:dyDescent="0.3">
      <c r="A2325" s="340" t="s">
        <v>891</v>
      </c>
      <c r="B2325" s="350">
        <v>46114</v>
      </c>
      <c r="C2325" s="350">
        <v>46125</v>
      </c>
      <c r="D2325" s="351">
        <v>46113</v>
      </c>
      <c r="E2325" s="340" t="s">
        <v>2617</v>
      </c>
      <c r="F2325" s="340" t="s">
        <v>894</v>
      </c>
      <c r="G2325" s="340" t="s">
        <v>2439</v>
      </c>
      <c r="H2325" s="340"/>
      <c r="I2325" s="340" t="s">
        <v>771</v>
      </c>
      <c r="K2325" s="343">
        <v>0</v>
      </c>
      <c r="L2325" s="343">
        <v>-0.11</v>
      </c>
      <c r="M2325" s="343">
        <v>-1284679.94</v>
      </c>
      <c r="O2325" s="343">
        <v>0</v>
      </c>
    </row>
    <row r="2326" spans="1:15" x14ac:dyDescent="0.3">
      <c r="A2326" s="340" t="s">
        <v>891</v>
      </c>
      <c r="B2326" s="350">
        <v>46114</v>
      </c>
      <c r="C2326" s="350">
        <v>46125</v>
      </c>
      <c r="D2326" s="351">
        <v>46113</v>
      </c>
      <c r="E2326" s="340" t="s">
        <v>2617</v>
      </c>
      <c r="F2326" s="340" t="s">
        <v>894</v>
      </c>
      <c r="G2326" s="340" t="s">
        <v>2441</v>
      </c>
      <c r="H2326" s="340"/>
      <c r="I2326" s="340" t="s">
        <v>771</v>
      </c>
      <c r="K2326" s="343">
        <v>0</v>
      </c>
      <c r="L2326" s="343">
        <v>-0.14000000000000001</v>
      </c>
      <c r="M2326" s="343">
        <v>-1284680.08</v>
      </c>
      <c r="O2326" s="343">
        <v>0</v>
      </c>
    </row>
    <row r="2327" spans="1:15" x14ac:dyDescent="0.3">
      <c r="A2327" s="340" t="s">
        <v>891</v>
      </c>
      <c r="B2327" s="350">
        <v>46114</v>
      </c>
      <c r="C2327" s="350">
        <v>46125</v>
      </c>
      <c r="D2327" s="351">
        <v>46113</v>
      </c>
      <c r="E2327" s="340" t="s">
        <v>2617</v>
      </c>
      <c r="F2327" s="340" t="s">
        <v>894</v>
      </c>
      <c r="G2327" s="340" t="s">
        <v>2441</v>
      </c>
      <c r="H2327" s="340"/>
      <c r="I2327" s="340" t="s">
        <v>771</v>
      </c>
      <c r="K2327" s="343">
        <v>0</v>
      </c>
      <c r="L2327" s="343">
        <v>-0.22</v>
      </c>
      <c r="M2327" s="343">
        <v>-1284680.3</v>
      </c>
      <c r="O2327" s="343">
        <v>0</v>
      </c>
    </row>
    <row r="2328" spans="1:15" x14ac:dyDescent="0.3">
      <c r="A2328" s="340" t="s">
        <v>891</v>
      </c>
      <c r="B2328" s="350">
        <v>46114</v>
      </c>
      <c r="C2328" s="350">
        <v>46125</v>
      </c>
      <c r="D2328" s="351">
        <v>46113</v>
      </c>
      <c r="E2328" s="340" t="s">
        <v>2617</v>
      </c>
      <c r="F2328" s="340" t="s">
        <v>894</v>
      </c>
      <c r="G2328" s="340" t="s">
        <v>2571</v>
      </c>
      <c r="H2328" s="340"/>
      <c r="I2328" s="340" t="s">
        <v>771</v>
      </c>
      <c r="K2328" s="343">
        <v>0</v>
      </c>
      <c r="L2328" s="343">
        <v>-0.57999999999999996</v>
      </c>
      <c r="M2328" s="343">
        <v>-1284680.8799999999</v>
      </c>
      <c r="O2328" s="343">
        <v>0</v>
      </c>
    </row>
    <row r="2329" spans="1:15" x14ac:dyDescent="0.3">
      <c r="A2329" s="340" t="s">
        <v>891</v>
      </c>
      <c r="B2329" s="350">
        <v>46114</v>
      </c>
      <c r="C2329" s="350">
        <v>46125</v>
      </c>
      <c r="D2329" s="351">
        <v>46113</v>
      </c>
      <c r="E2329" s="340" t="s">
        <v>2617</v>
      </c>
      <c r="F2329" s="340" t="s">
        <v>894</v>
      </c>
      <c r="G2329" s="340" t="s">
        <v>2572</v>
      </c>
      <c r="H2329" s="340"/>
      <c r="I2329" s="340" t="s">
        <v>771</v>
      </c>
      <c r="K2329" s="343">
        <v>0</v>
      </c>
      <c r="L2329" s="343">
        <v>-1.65</v>
      </c>
      <c r="M2329" s="343">
        <v>-1284682.53</v>
      </c>
      <c r="O2329" s="343">
        <v>0</v>
      </c>
    </row>
    <row r="2330" spans="1:15" x14ac:dyDescent="0.3">
      <c r="A2330" s="340" t="s">
        <v>891</v>
      </c>
      <c r="B2330" s="350">
        <v>46114</v>
      </c>
      <c r="C2330" s="350">
        <v>46125</v>
      </c>
      <c r="D2330" s="351">
        <v>46113</v>
      </c>
      <c r="E2330" s="340" t="s">
        <v>2617</v>
      </c>
      <c r="F2330" s="340" t="s">
        <v>894</v>
      </c>
      <c r="G2330" s="340" t="s">
        <v>2573</v>
      </c>
      <c r="H2330" s="340"/>
      <c r="I2330" s="340" t="s">
        <v>771</v>
      </c>
      <c r="K2330" s="343">
        <v>0</v>
      </c>
      <c r="L2330" s="343">
        <v>-1.93</v>
      </c>
      <c r="M2330" s="343">
        <v>-1284684.46</v>
      </c>
      <c r="O2330" s="343">
        <v>0</v>
      </c>
    </row>
    <row r="2331" spans="1:15" x14ac:dyDescent="0.3">
      <c r="A2331" s="340" t="s">
        <v>891</v>
      </c>
      <c r="B2331" s="350">
        <v>46114</v>
      </c>
      <c r="C2331" s="350">
        <v>46125</v>
      </c>
      <c r="D2331" s="351">
        <v>46113</v>
      </c>
      <c r="E2331" s="340" t="s">
        <v>2617</v>
      </c>
      <c r="F2331" s="340" t="s">
        <v>894</v>
      </c>
      <c r="G2331" s="340" t="s">
        <v>2442</v>
      </c>
      <c r="H2331" s="340"/>
      <c r="I2331" s="340" t="s">
        <v>771</v>
      </c>
      <c r="K2331" s="343">
        <v>0</v>
      </c>
      <c r="L2331" s="343">
        <v>-2.2599999999999998</v>
      </c>
      <c r="M2331" s="343">
        <v>-1284686.72</v>
      </c>
      <c r="O2331" s="343">
        <v>0</v>
      </c>
    </row>
    <row r="2332" spans="1:15" x14ac:dyDescent="0.3">
      <c r="A2332" s="340" t="s">
        <v>891</v>
      </c>
      <c r="B2332" s="350">
        <v>46114</v>
      </c>
      <c r="C2332" s="350">
        <v>46125</v>
      </c>
      <c r="D2332" s="351">
        <v>46113</v>
      </c>
      <c r="E2332" s="340" t="s">
        <v>2617</v>
      </c>
      <c r="F2332" s="340" t="s">
        <v>894</v>
      </c>
      <c r="G2332" s="340" t="s">
        <v>2565</v>
      </c>
      <c r="H2332" s="340"/>
      <c r="I2332" s="340" t="s">
        <v>771</v>
      </c>
      <c r="K2332" s="343">
        <v>0</v>
      </c>
      <c r="L2332" s="343">
        <v>-4.6100000000000003</v>
      </c>
      <c r="M2332" s="343">
        <v>-1284691.33</v>
      </c>
      <c r="O2332" s="343">
        <v>0</v>
      </c>
    </row>
    <row r="2333" spans="1:15" x14ac:dyDescent="0.3">
      <c r="A2333" s="340" t="s">
        <v>891</v>
      </c>
      <c r="B2333" s="350">
        <v>46114</v>
      </c>
      <c r="C2333" s="350">
        <v>46125</v>
      </c>
      <c r="D2333" s="351">
        <v>46113</v>
      </c>
      <c r="E2333" s="340" t="s">
        <v>2617</v>
      </c>
      <c r="F2333" s="340" t="s">
        <v>894</v>
      </c>
      <c r="G2333" s="340" t="s">
        <v>2566</v>
      </c>
      <c r="H2333" s="340"/>
      <c r="I2333" s="340" t="s">
        <v>771</v>
      </c>
      <c r="K2333" s="343">
        <v>0</v>
      </c>
      <c r="L2333" s="343">
        <v>-6.62</v>
      </c>
      <c r="M2333" s="343">
        <v>-1284697.95</v>
      </c>
      <c r="O2333" s="343">
        <v>0</v>
      </c>
    </row>
    <row r="2334" spans="1:15" x14ac:dyDescent="0.3">
      <c r="A2334" s="340" t="s">
        <v>891</v>
      </c>
      <c r="B2334" s="350">
        <v>46114</v>
      </c>
      <c r="C2334" s="350">
        <v>46125</v>
      </c>
      <c r="D2334" s="351">
        <v>46113</v>
      </c>
      <c r="E2334" s="340" t="s">
        <v>2617</v>
      </c>
      <c r="F2334" s="340" t="s">
        <v>894</v>
      </c>
      <c r="G2334" s="340" t="s">
        <v>2567</v>
      </c>
      <c r="H2334" s="340"/>
      <c r="I2334" s="340" t="s">
        <v>771</v>
      </c>
      <c r="K2334" s="343">
        <v>0</v>
      </c>
      <c r="L2334" s="343">
        <v>-0.01</v>
      </c>
      <c r="M2334" s="343">
        <v>-1284697.96</v>
      </c>
      <c r="O2334" s="343">
        <v>0</v>
      </c>
    </row>
    <row r="2335" spans="1:15" x14ac:dyDescent="0.3">
      <c r="A2335" s="340" t="s">
        <v>891</v>
      </c>
      <c r="B2335" s="350">
        <v>46114</v>
      </c>
      <c r="C2335" s="350">
        <v>46125</v>
      </c>
      <c r="D2335" s="351">
        <v>46113</v>
      </c>
      <c r="E2335" s="340" t="s">
        <v>2617</v>
      </c>
      <c r="F2335" s="340" t="s">
        <v>894</v>
      </c>
      <c r="G2335" s="340" t="s">
        <v>2568</v>
      </c>
      <c r="H2335" s="340"/>
      <c r="I2335" s="340" t="s">
        <v>771</v>
      </c>
      <c r="K2335" s="343">
        <v>0</v>
      </c>
      <c r="L2335" s="343">
        <v>-0.01</v>
      </c>
      <c r="M2335" s="343">
        <v>-1284697.97</v>
      </c>
      <c r="O2335" s="343">
        <v>0</v>
      </c>
    </row>
    <row r="2336" spans="1:15" x14ac:dyDescent="0.3">
      <c r="A2336" s="340" t="s">
        <v>891</v>
      </c>
      <c r="B2336" s="350">
        <v>46114</v>
      </c>
      <c r="C2336" s="350">
        <v>46125</v>
      </c>
      <c r="D2336" s="351">
        <v>46113</v>
      </c>
      <c r="E2336" s="340" t="s">
        <v>2617</v>
      </c>
      <c r="F2336" s="340" t="s">
        <v>894</v>
      </c>
      <c r="G2336" s="340" t="s">
        <v>2568</v>
      </c>
      <c r="H2336" s="340"/>
      <c r="I2336" s="340" t="s">
        <v>771</v>
      </c>
      <c r="K2336" s="343">
        <v>0</v>
      </c>
      <c r="L2336" s="343">
        <v>-0.02</v>
      </c>
      <c r="M2336" s="343">
        <v>-1284697.99</v>
      </c>
      <c r="O2336" s="343">
        <v>0</v>
      </c>
    </row>
    <row r="2337" spans="1:15" x14ac:dyDescent="0.3">
      <c r="A2337" s="340" t="s">
        <v>891</v>
      </c>
      <c r="B2337" s="350">
        <v>46114</v>
      </c>
      <c r="C2337" s="350">
        <v>46125</v>
      </c>
      <c r="D2337" s="351">
        <v>46113</v>
      </c>
      <c r="E2337" s="340" t="s">
        <v>2617</v>
      </c>
      <c r="F2337" s="340" t="s">
        <v>894</v>
      </c>
      <c r="G2337" s="340" t="s">
        <v>2569</v>
      </c>
      <c r="H2337" s="340"/>
      <c r="I2337" s="340" t="s">
        <v>771</v>
      </c>
      <c r="K2337" s="343">
        <v>0</v>
      </c>
      <c r="L2337" s="343">
        <v>-7.0000000000000007E-2</v>
      </c>
      <c r="M2337" s="343">
        <v>-1284698.06</v>
      </c>
      <c r="O2337" s="343">
        <v>0</v>
      </c>
    </row>
    <row r="2338" spans="1:15" x14ac:dyDescent="0.3">
      <c r="A2338" s="340" t="s">
        <v>891</v>
      </c>
      <c r="B2338" s="350">
        <v>46114</v>
      </c>
      <c r="C2338" s="350">
        <v>46125</v>
      </c>
      <c r="D2338" s="351">
        <v>46113</v>
      </c>
      <c r="E2338" s="340" t="s">
        <v>2617</v>
      </c>
      <c r="F2338" s="340" t="s">
        <v>894</v>
      </c>
      <c r="G2338" s="340" t="s">
        <v>2439</v>
      </c>
      <c r="H2338" s="340"/>
      <c r="I2338" s="340" t="s">
        <v>771</v>
      </c>
      <c r="K2338" s="343">
        <v>0</v>
      </c>
      <c r="L2338" s="343">
        <v>-0.08</v>
      </c>
      <c r="M2338" s="343">
        <v>-1284698.1399999999</v>
      </c>
      <c r="O2338" s="343">
        <v>0</v>
      </c>
    </row>
    <row r="2339" spans="1:15" x14ac:dyDescent="0.3">
      <c r="A2339" s="340" t="s">
        <v>891</v>
      </c>
      <c r="B2339" s="350">
        <v>46114</v>
      </c>
      <c r="C2339" s="350">
        <v>46125</v>
      </c>
      <c r="D2339" s="351">
        <v>46113</v>
      </c>
      <c r="E2339" s="340" t="s">
        <v>2617</v>
      </c>
      <c r="F2339" s="340" t="s">
        <v>894</v>
      </c>
      <c r="G2339" s="340" t="s">
        <v>2570</v>
      </c>
      <c r="H2339" s="340"/>
      <c r="I2339" s="340" t="s">
        <v>771</v>
      </c>
      <c r="K2339" s="343">
        <v>0</v>
      </c>
      <c r="L2339" s="343">
        <v>-0.08</v>
      </c>
      <c r="M2339" s="343">
        <v>-1284698.22</v>
      </c>
      <c r="O2339" s="343">
        <v>0</v>
      </c>
    </row>
    <row r="2340" spans="1:15" x14ac:dyDescent="0.3">
      <c r="A2340" s="340" t="s">
        <v>891</v>
      </c>
      <c r="B2340" s="350">
        <v>46114</v>
      </c>
      <c r="C2340" s="350">
        <v>46125</v>
      </c>
      <c r="D2340" s="351">
        <v>46113</v>
      </c>
      <c r="E2340" s="340" t="s">
        <v>2617</v>
      </c>
      <c r="F2340" s="340" t="s">
        <v>894</v>
      </c>
      <c r="G2340" s="340" t="s">
        <v>2439</v>
      </c>
      <c r="H2340" s="340"/>
      <c r="I2340" s="340" t="s">
        <v>771</v>
      </c>
      <c r="K2340" s="343">
        <v>0</v>
      </c>
      <c r="L2340" s="343">
        <v>-0.12</v>
      </c>
      <c r="M2340" s="343">
        <v>-1284698.3400000001</v>
      </c>
      <c r="O2340" s="343">
        <v>0</v>
      </c>
    </row>
    <row r="2341" spans="1:15" x14ac:dyDescent="0.3">
      <c r="A2341" s="340" t="s">
        <v>891</v>
      </c>
      <c r="B2341" s="350">
        <v>46114</v>
      </c>
      <c r="C2341" s="350">
        <v>46125</v>
      </c>
      <c r="D2341" s="351">
        <v>46113</v>
      </c>
      <c r="E2341" s="340" t="s">
        <v>2617</v>
      </c>
      <c r="F2341" s="340" t="s">
        <v>894</v>
      </c>
      <c r="G2341" s="340" t="s">
        <v>2441</v>
      </c>
      <c r="H2341" s="340"/>
      <c r="I2341" s="340" t="s">
        <v>771</v>
      </c>
      <c r="K2341" s="343">
        <v>0</v>
      </c>
      <c r="L2341" s="343">
        <v>-0.16</v>
      </c>
      <c r="M2341" s="343">
        <v>-1284698.5</v>
      </c>
      <c r="O2341" s="343">
        <v>0</v>
      </c>
    </row>
    <row r="2342" spans="1:15" x14ac:dyDescent="0.3">
      <c r="A2342" s="340" t="s">
        <v>891</v>
      </c>
      <c r="B2342" s="350">
        <v>46114</v>
      </c>
      <c r="C2342" s="350">
        <v>46125</v>
      </c>
      <c r="D2342" s="351">
        <v>46113</v>
      </c>
      <c r="E2342" s="340" t="s">
        <v>2617</v>
      </c>
      <c r="F2342" s="340" t="s">
        <v>894</v>
      </c>
      <c r="G2342" s="340" t="s">
        <v>2441</v>
      </c>
      <c r="H2342" s="340"/>
      <c r="I2342" s="340" t="s">
        <v>771</v>
      </c>
      <c r="K2342" s="343">
        <v>0</v>
      </c>
      <c r="L2342" s="343">
        <v>-0.24</v>
      </c>
      <c r="M2342" s="343">
        <v>-1284698.74</v>
      </c>
      <c r="O2342" s="343">
        <v>0</v>
      </c>
    </row>
    <row r="2343" spans="1:15" x14ac:dyDescent="0.3">
      <c r="A2343" s="340" t="s">
        <v>891</v>
      </c>
      <c r="B2343" s="350">
        <v>46114</v>
      </c>
      <c r="C2343" s="350">
        <v>46125</v>
      </c>
      <c r="D2343" s="351">
        <v>46113</v>
      </c>
      <c r="E2343" s="340" t="s">
        <v>2617</v>
      </c>
      <c r="F2343" s="340" t="s">
        <v>894</v>
      </c>
      <c r="G2343" s="340" t="s">
        <v>2571</v>
      </c>
      <c r="H2343" s="340"/>
      <c r="I2343" s="340" t="s">
        <v>771</v>
      </c>
      <c r="K2343" s="343">
        <v>0</v>
      </c>
      <c r="L2343" s="343">
        <v>-0.69</v>
      </c>
      <c r="M2343" s="343">
        <v>-1284699.43</v>
      </c>
      <c r="O2343" s="343">
        <v>0</v>
      </c>
    </row>
    <row r="2344" spans="1:15" x14ac:dyDescent="0.3">
      <c r="A2344" s="340" t="s">
        <v>891</v>
      </c>
      <c r="B2344" s="350">
        <v>46114</v>
      </c>
      <c r="C2344" s="350">
        <v>46125</v>
      </c>
      <c r="D2344" s="351">
        <v>46113</v>
      </c>
      <c r="E2344" s="340" t="s">
        <v>2617</v>
      </c>
      <c r="F2344" s="340" t="s">
        <v>894</v>
      </c>
      <c r="G2344" s="340" t="s">
        <v>2572</v>
      </c>
      <c r="H2344" s="340"/>
      <c r="I2344" s="340" t="s">
        <v>771</v>
      </c>
      <c r="K2344" s="343">
        <v>0</v>
      </c>
      <c r="L2344" s="343">
        <v>-1.94</v>
      </c>
      <c r="M2344" s="343">
        <v>-1284701.3700000001</v>
      </c>
      <c r="O2344" s="343">
        <v>0</v>
      </c>
    </row>
    <row r="2345" spans="1:15" x14ac:dyDescent="0.3">
      <c r="A2345" s="340" t="s">
        <v>891</v>
      </c>
      <c r="B2345" s="350">
        <v>46114</v>
      </c>
      <c r="C2345" s="350">
        <v>46125</v>
      </c>
      <c r="D2345" s="351">
        <v>46113</v>
      </c>
      <c r="E2345" s="340" t="s">
        <v>2617</v>
      </c>
      <c r="F2345" s="340" t="s">
        <v>894</v>
      </c>
      <c r="G2345" s="340" t="s">
        <v>2442</v>
      </c>
      <c r="H2345" s="340"/>
      <c r="I2345" s="340" t="s">
        <v>771</v>
      </c>
      <c r="K2345" s="343">
        <v>0</v>
      </c>
      <c r="L2345" s="343">
        <v>-2.2599999999999998</v>
      </c>
      <c r="M2345" s="343">
        <v>-1284703.6299999999</v>
      </c>
      <c r="O2345" s="343">
        <v>0</v>
      </c>
    </row>
    <row r="2346" spans="1:15" x14ac:dyDescent="0.3">
      <c r="A2346" s="340" t="s">
        <v>891</v>
      </c>
      <c r="B2346" s="350">
        <v>46114</v>
      </c>
      <c r="C2346" s="350">
        <v>46125</v>
      </c>
      <c r="D2346" s="351">
        <v>46113</v>
      </c>
      <c r="E2346" s="340" t="s">
        <v>2617</v>
      </c>
      <c r="F2346" s="340" t="s">
        <v>894</v>
      </c>
      <c r="G2346" s="340" t="s">
        <v>2573</v>
      </c>
      <c r="H2346" s="340"/>
      <c r="I2346" s="340" t="s">
        <v>771</v>
      </c>
      <c r="K2346" s="343">
        <v>0</v>
      </c>
      <c r="L2346" s="343">
        <v>-2.27</v>
      </c>
      <c r="M2346" s="343">
        <v>-1284705.8999999999</v>
      </c>
      <c r="O2346" s="343">
        <v>0</v>
      </c>
    </row>
    <row r="2347" spans="1:15" x14ac:dyDescent="0.3">
      <c r="A2347" s="340" t="s">
        <v>891</v>
      </c>
      <c r="B2347" s="350">
        <v>46114</v>
      </c>
      <c r="C2347" s="350">
        <v>46125</v>
      </c>
      <c r="D2347" s="351">
        <v>46113</v>
      </c>
      <c r="E2347" s="340" t="s">
        <v>2617</v>
      </c>
      <c r="F2347" s="340" t="s">
        <v>894</v>
      </c>
      <c r="G2347" s="340" t="s">
        <v>2565</v>
      </c>
      <c r="H2347" s="340"/>
      <c r="I2347" s="340" t="s">
        <v>771</v>
      </c>
      <c r="K2347" s="343">
        <v>0</v>
      </c>
      <c r="L2347" s="343">
        <v>-4.6100000000000003</v>
      </c>
      <c r="M2347" s="343">
        <v>-1284710.51</v>
      </c>
      <c r="O2347" s="343">
        <v>0</v>
      </c>
    </row>
    <row r="2348" spans="1:15" x14ac:dyDescent="0.3">
      <c r="A2348" s="340" t="s">
        <v>891</v>
      </c>
      <c r="B2348" s="350">
        <v>46114</v>
      </c>
      <c r="C2348" s="350">
        <v>46125</v>
      </c>
      <c r="D2348" s="351">
        <v>46113</v>
      </c>
      <c r="E2348" s="340" t="s">
        <v>2617</v>
      </c>
      <c r="F2348" s="340" t="s">
        <v>894</v>
      </c>
      <c r="G2348" s="340" t="s">
        <v>2566</v>
      </c>
      <c r="H2348" s="340"/>
      <c r="I2348" s="340" t="s">
        <v>771</v>
      </c>
      <c r="K2348" s="343">
        <v>0</v>
      </c>
      <c r="L2348" s="343">
        <v>-7.78</v>
      </c>
      <c r="M2348" s="343">
        <v>-1284718.29</v>
      </c>
      <c r="O2348" s="343">
        <v>0</v>
      </c>
    </row>
    <row r="2349" spans="1:15" x14ac:dyDescent="0.3">
      <c r="A2349" s="340" t="s">
        <v>891</v>
      </c>
      <c r="B2349" s="350">
        <v>46114</v>
      </c>
      <c r="C2349" s="350">
        <v>46125</v>
      </c>
      <c r="D2349" s="351">
        <v>46113</v>
      </c>
      <c r="E2349" s="340" t="s">
        <v>2617</v>
      </c>
      <c r="F2349" s="340" t="s">
        <v>894</v>
      </c>
      <c r="G2349" s="340" t="s">
        <v>2570</v>
      </c>
      <c r="H2349" s="340"/>
      <c r="I2349" s="340" t="s">
        <v>771</v>
      </c>
      <c r="K2349" s="343">
        <v>0</v>
      </c>
      <c r="L2349" s="343">
        <v>-0.1</v>
      </c>
      <c r="M2349" s="343">
        <v>-1284718.3899999999</v>
      </c>
      <c r="O2349" s="343">
        <v>0</v>
      </c>
    </row>
    <row r="2350" spans="1:15" x14ac:dyDescent="0.3">
      <c r="A2350" s="340" t="s">
        <v>891</v>
      </c>
      <c r="B2350" s="350">
        <v>46114</v>
      </c>
      <c r="C2350" s="350">
        <v>46125</v>
      </c>
      <c r="D2350" s="351">
        <v>46113</v>
      </c>
      <c r="E2350" s="340" t="s">
        <v>2617</v>
      </c>
      <c r="F2350" s="340" t="s">
        <v>894</v>
      </c>
      <c r="G2350" s="340" t="s">
        <v>2569</v>
      </c>
      <c r="H2350" s="340"/>
      <c r="I2350" s="340" t="s">
        <v>771</v>
      </c>
      <c r="K2350" s="343">
        <v>0</v>
      </c>
      <c r="L2350" s="343">
        <v>-0.09</v>
      </c>
      <c r="M2350" s="343">
        <v>-1284718.48</v>
      </c>
      <c r="O2350" s="343">
        <v>0</v>
      </c>
    </row>
    <row r="2351" spans="1:15" x14ac:dyDescent="0.3">
      <c r="A2351" s="340" t="s">
        <v>891</v>
      </c>
      <c r="B2351" s="350">
        <v>46114</v>
      </c>
      <c r="C2351" s="350">
        <v>46125</v>
      </c>
      <c r="D2351" s="351">
        <v>46113</v>
      </c>
      <c r="E2351" s="340" t="s">
        <v>2617</v>
      </c>
      <c r="F2351" s="340" t="s">
        <v>894</v>
      </c>
      <c r="G2351" s="340" t="s">
        <v>2568</v>
      </c>
      <c r="H2351" s="340"/>
      <c r="I2351" s="340" t="s">
        <v>771</v>
      </c>
      <c r="K2351" s="343">
        <v>0</v>
      </c>
      <c r="L2351" s="343">
        <v>-0.02</v>
      </c>
      <c r="M2351" s="343">
        <v>-1284718.5</v>
      </c>
      <c r="O2351" s="343">
        <v>0</v>
      </c>
    </row>
    <row r="2352" spans="1:15" x14ac:dyDescent="0.3">
      <c r="A2352" s="340" t="s">
        <v>891</v>
      </c>
      <c r="B2352" s="350">
        <v>46114</v>
      </c>
      <c r="C2352" s="350">
        <v>46125</v>
      </c>
      <c r="D2352" s="351">
        <v>46113</v>
      </c>
      <c r="E2352" s="340" t="s">
        <v>2617</v>
      </c>
      <c r="F2352" s="340" t="s">
        <v>894</v>
      </c>
      <c r="G2352" s="340" t="s">
        <v>2567</v>
      </c>
      <c r="H2352" s="340"/>
      <c r="I2352" s="340" t="s">
        <v>771</v>
      </c>
      <c r="K2352" s="343">
        <v>0</v>
      </c>
      <c r="L2352" s="343">
        <v>-0.01</v>
      </c>
      <c r="M2352" s="343">
        <v>-1284718.51</v>
      </c>
      <c r="O2352" s="343">
        <v>0</v>
      </c>
    </row>
    <row r="2353" spans="1:15" x14ac:dyDescent="0.3">
      <c r="A2353" s="340" t="s">
        <v>891</v>
      </c>
      <c r="B2353" s="350">
        <v>46114</v>
      </c>
      <c r="C2353" s="350">
        <v>46125</v>
      </c>
      <c r="D2353" s="351">
        <v>46113</v>
      </c>
      <c r="E2353" s="340" t="s">
        <v>2617</v>
      </c>
      <c r="F2353" s="340" t="s">
        <v>894</v>
      </c>
      <c r="G2353" s="340" t="s">
        <v>2568</v>
      </c>
      <c r="H2353" s="340"/>
      <c r="I2353" s="340" t="s">
        <v>771</v>
      </c>
      <c r="K2353" s="343">
        <v>0</v>
      </c>
      <c r="L2353" s="343">
        <v>-0.02</v>
      </c>
      <c r="M2353" s="343">
        <v>-1284718.53</v>
      </c>
      <c r="O2353" s="343">
        <v>0</v>
      </c>
    </row>
    <row r="2354" spans="1:15" x14ac:dyDescent="0.3">
      <c r="A2354" s="340" t="s">
        <v>891</v>
      </c>
      <c r="B2354" s="350">
        <v>46114</v>
      </c>
      <c r="C2354" s="350">
        <v>46125</v>
      </c>
      <c r="D2354" s="351">
        <v>46113</v>
      </c>
      <c r="E2354" s="340" t="s">
        <v>2617</v>
      </c>
      <c r="F2354" s="340" t="s">
        <v>894</v>
      </c>
      <c r="G2354" s="340" t="s">
        <v>2439</v>
      </c>
      <c r="H2354" s="340"/>
      <c r="I2354" s="340" t="s">
        <v>771</v>
      </c>
      <c r="K2354" s="343">
        <v>0</v>
      </c>
      <c r="L2354" s="343">
        <v>-0.11</v>
      </c>
      <c r="M2354" s="343">
        <v>-1284718.6399999999</v>
      </c>
      <c r="O2354" s="343">
        <v>0</v>
      </c>
    </row>
    <row r="2355" spans="1:15" x14ac:dyDescent="0.3">
      <c r="A2355" s="340" t="s">
        <v>891</v>
      </c>
      <c r="B2355" s="350">
        <v>46114</v>
      </c>
      <c r="C2355" s="350">
        <v>46125</v>
      </c>
      <c r="D2355" s="351">
        <v>46113</v>
      </c>
      <c r="E2355" s="340" t="s">
        <v>2617</v>
      </c>
      <c r="F2355" s="340" t="s">
        <v>894</v>
      </c>
      <c r="G2355" s="340" t="s">
        <v>2439</v>
      </c>
      <c r="H2355" s="340"/>
      <c r="I2355" s="340" t="s">
        <v>771</v>
      </c>
      <c r="K2355" s="343">
        <v>0</v>
      </c>
      <c r="L2355" s="343">
        <v>-0.14000000000000001</v>
      </c>
      <c r="M2355" s="343">
        <v>-1284718.78</v>
      </c>
      <c r="O2355" s="343">
        <v>0</v>
      </c>
    </row>
    <row r="2356" spans="1:15" x14ac:dyDescent="0.3">
      <c r="A2356" s="340" t="s">
        <v>891</v>
      </c>
      <c r="B2356" s="350">
        <v>46114</v>
      </c>
      <c r="C2356" s="350">
        <v>46125</v>
      </c>
      <c r="D2356" s="351">
        <v>46113</v>
      </c>
      <c r="E2356" s="340" t="s">
        <v>2617</v>
      </c>
      <c r="F2356" s="340" t="s">
        <v>894</v>
      </c>
      <c r="G2356" s="340" t="s">
        <v>2441</v>
      </c>
      <c r="H2356" s="340"/>
      <c r="I2356" s="340" t="s">
        <v>771</v>
      </c>
      <c r="K2356" s="343">
        <v>0</v>
      </c>
      <c r="L2356" s="343">
        <v>-0.21</v>
      </c>
      <c r="M2356" s="343">
        <v>-1284718.99</v>
      </c>
      <c r="O2356" s="343">
        <v>0</v>
      </c>
    </row>
    <row r="2357" spans="1:15" x14ac:dyDescent="0.3">
      <c r="A2357" s="340" t="s">
        <v>891</v>
      </c>
      <c r="B2357" s="350">
        <v>46114</v>
      </c>
      <c r="C2357" s="350">
        <v>46125</v>
      </c>
      <c r="D2357" s="351">
        <v>46113</v>
      </c>
      <c r="E2357" s="340" t="s">
        <v>2617</v>
      </c>
      <c r="F2357" s="340" t="s">
        <v>894</v>
      </c>
      <c r="G2357" s="340" t="s">
        <v>2441</v>
      </c>
      <c r="H2357" s="340"/>
      <c r="I2357" s="340" t="s">
        <v>771</v>
      </c>
      <c r="K2357" s="343">
        <v>0</v>
      </c>
      <c r="L2357" s="343">
        <v>-0.27</v>
      </c>
      <c r="M2357" s="343">
        <v>-1284719.26</v>
      </c>
      <c r="O2357" s="343">
        <v>0</v>
      </c>
    </row>
    <row r="2358" spans="1:15" x14ac:dyDescent="0.3">
      <c r="A2358" s="340" t="s">
        <v>891</v>
      </c>
      <c r="B2358" s="350">
        <v>46114</v>
      </c>
      <c r="C2358" s="350">
        <v>46125</v>
      </c>
      <c r="D2358" s="351">
        <v>46113</v>
      </c>
      <c r="E2358" s="340" t="s">
        <v>2617</v>
      </c>
      <c r="F2358" s="340" t="s">
        <v>894</v>
      </c>
      <c r="G2358" s="340" t="s">
        <v>2571</v>
      </c>
      <c r="H2358" s="340"/>
      <c r="I2358" s="340" t="s">
        <v>771</v>
      </c>
      <c r="K2358" s="343">
        <v>0</v>
      </c>
      <c r="L2358" s="343">
        <v>-0.9</v>
      </c>
      <c r="M2358" s="343">
        <v>-1284720.1599999999</v>
      </c>
      <c r="O2358" s="343">
        <v>0</v>
      </c>
    </row>
    <row r="2359" spans="1:15" x14ac:dyDescent="0.3">
      <c r="A2359" s="340" t="s">
        <v>891</v>
      </c>
      <c r="B2359" s="350">
        <v>46114</v>
      </c>
      <c r="C2359" s="350">
        <v>46125</v>
      </c>
      <c r="D2359" s="351">
        <v>46113</v>
      </c>
      <c r="E2359" s="340" t="s">
        <v>2617</v>
      </c>
      <c r="F2359" s="340" t="s">
        <v>894</v>
      </c>
      <c r="G2359" s="340" t="s">
        <v>2442</v>
      </c>
      <c r="H2359" s="340"/>
      <c r="I2359" s="340" t="s">
        <v>771</v>
      </c>
      <c r="K2359" s="343">
        <v>0</v>
      </c>
      <c r="L2359" s="343">
        <v>-2.2599999999999998</v>
      </c>
      <c r="M2359" s="343">
        <v>-1284722.42</v>
      </c>
      <c r="O2359" s="343">
        <v>0</v>
      </c>
    </row>
    <row r="2360" spans="1:15" x14ac:dyDescent="0.3">
      <c r="A2360" s="340" t="s">
        <v>891</v>
      </c>
      <c r="B2360" s="350">
        <v>46114</v>
      </c>
      <c r="C2360" s="350">
        <v>46125</v>
      </c>
      <c r="D2360" s="351">
        <v>46113</v>
      </c>
      <c r="E2360" s="340" t="s">
        <v>2617</v>
      </c>
      <c r="F2360" s="340" t="s">
        <v>894</v>
      </c>
      <c r="G2360" s="340" t="s">
        <v>2572</v>
      </c>
      <c r="H2360" s="340"/>
      <c r="I2360" s="340" t="s">
        <v>771</v>
      </c>
      <c r="K2360" s="343">
        <v>0</v>
      </c>
      <c r="L2360" s="343">
        <v>-2.54</v>
      </c>
      <c r="M2360" s="343">
        <v>-1284724.96</v>
      </c>
      <c r="O2360" s="343">
        <v>0</v>
      </c>
    </row>
    <row r="2361" spans="1:15" x14ac:dyDescent="0.3">
      <c r="A2361" s="340" t="s">
        <v>891</v>
      </c>
      <c r="B2361" s="350">
        <v>46114</v>
      </c>
      <c r="C2361" s="350">
        <v>46125</v>
      </c>
      <c r="D2361" s="351">
        <v>46113</v>
      </c>
      <c r="E2361" s="340" t="s">
        <v>2617</v>
      </c>
      <c r="F2361" s="340" t="s">
        <v>894</v>
      </c>
      <c r="G2361" s="340" t="s">
        <v>2573</v>
      </c>
      <c r="H2361" s="340"/>
      <c r="I2361" s="340" t="s">
        <v>771</v>
      </c>
      <c r="K2361" s="343">
        <v>0</v>
      </c>
      <c r="L2361" s="343">
        <v>-2.98</v>
      </c>
      <c r="M2361" s="343">
        <v>-1284727.94</v>
      </c>
      <c r="O2361" s="343">
        <v>0</v>
      </c>
    </row>
    <row r="2362" spans="1:15" x14ac:dyDescent="0.3">
      <c r="A2362" s="340" t="s">
        <v>891</v>
      </c>
      <c r="B2362" s="350">
        <v>46114</v>
      </c>
      <c r="C2362" s="350">
        <v>46125</v>
      </c>
      <c r="D2362" s="351">
        <v>46113</v>
      </c>
      <c r="E2362" s="340" t="s">
        <v>2617</v>
      </c>
      <c r="F2362" s="340" t="s">
        <v>894</v>
      </c>
      <c r="G2362" s="340" t="s">
        <v>2565</v>
      </c>
      <c r="H2362" s="340"/>
      <c r="I2362" s="340" t="s">
        <v>771</v>
      </c>
      <c r="K2362" s="343">
        <v>0</v>
      </c>
      <c r="L2362" s="343">
        <v>-4.6100000000000003</v>
      </c>
      <c r="M2362" s="343">
        <v>-1284732.55</v>
      </c>
      <c r="O2362" s="343">
        <v>0</v>
      </c>
    </row>
    <row r="2363" spans="1:15" x14ac:dyDescent="0.3">
      <c r="A2363" s="340" t="s">
        <v>891</v>
      </c>
      <c r="B2363" s="350">
        <v>46114</v>
      </c>
      <c r="C2363" s="350">
        <v>46125</v>
      </c>
      <c r="D2363" s="351">
        <v>46113</v>
      </c>
      <c r="E2363" s="340" t="s">
        <v>2617</v>
      </c>
      <c r="F2363" s="340" t="s">
        <v>894</v>
      </c>
      <c r="G2363" s="340" t="s">
        <v>2566</v>
      </c>
      <c r="H2363" s="340"/>
      <c r="I2363" s="340" t="s">
        <v>771</v>
      </c>
      <c r="K2363" s="343">
        <v>0</v>
      </c>
      <c r="L2363" s="343">
        <v>-10.18</v>
      </c>
      <c r="M2363" s="343">
        <v>-1284742.73</v>
      </c>
      <c r="O2363" s="343">
        <v>0</v>
      </c>
    </row>
    <row r="2364" spans="1:15" x14ac:dyDescent="0.3">
      <c r="A2364" s="340" t="s">
        <v>891</v>
      </c>
      <c r="B2364" s="350">
        <v>46114</v>
      </c>
      <c r="C2364" s="350">
        <v>46125</v>
      </c>
      <c r="D2364" s="351">
        <v>46113</v>
      </c>
      <c r="E2364" s="340" t="s">
        <v>2617</v>
      </c>
      <c r="F2364" s="340" t="s">
        <v>894</v>
      </c>
      <c r="G2364" s="340" t="s">
        <v>2568</v>
      </c>
      <c r="H2364" s="340"/>
      <c r="I2364" s="340" t="s">
        <v>771</v>
      </c>
      <c r="K2364" s="343">
        <v>0</v>
      </c>
      <c r="L2364" s="343">
        <v>-0.15</v>
      </c>
      <c r="M2364" s="343">
        <v>-1284742.8799999999</v>
      </c>
      <c r="O2364" s="343">
        <v>0</v>
      </c>
    </row>
    <row r="2365" spans="1:15" x14ac:dyDescent="0.3">
      <c r="A2365" s="340" t="s">
        <v>891</v>
      </c>
      <c r="B2365" s="350">
        <v>46114</v>
      </c>
      <c r="C2365" s="350">
        <v>46125</v>
      </c>
      <c r="D2365" s="351">
        <v>46113</v>
      </c>
      <c r="E2365" s="340" t="s">
        <v>2617</v>
      </c>
      <c r="F2365" s="340" t="s">
        <v>894</v>
      </c>
      <c r="G2365" s="340" t="s">
        <v>2568</v>
      </c>
      <c r="H2365" s="340"/>
      <c r="I2365" s="340" t="s">
        <v>771</v>
      </c>
      <c r="K2365" s="343">
        <v>0</v>
      </c>
      <c r="L2365" s="343">
        <v>-0.16</v>
      </c>
      <c r="M2365" s="343">
        <v>-1284743.04</v>
      </c>
      <c r="O2365" s="343">
        <v>0</v>
      </c>
    </row>
    <row r="2366" spans="1:15" x14ac:dyDescent="0.3">
      <c r="A2366" s="340" t="s">
        <v>891</v>
      </c>
      <c r="B2366" s="350">
        <v>46114</v>
      </c>
      <c r="C2366" s="350">
        <v>46125</v>
      </c>
      <c r="D2366" s="351">
        <v>46113</v>
      </c>
      <c r="E2366" s="340" t="s">
        <v>2617</v>
      </c>
      <c r="F2366" s="340" t="s">
        <v>894</v>
      </c>
      <c r="G2366" s="340" t="s">
        <v>2570</v>
      </c>
      <c r="H2366" s="340"/>
      <c r="I2366" s="340" t="s">
        <v>771</v>
      </c>
      <c r="K2366" s="343">
        <v>0</v>
      </c>
      <c r="L2366" s="343">
        <v>-0.69</v>
      </c>
      <c r="M2366" s="343">
        <v>-1284743.73</v>
      </c>
      <c r="O2366" s="343">
        <v>0</v>
      </c>
    </row>
    <row r="2367" spans="1:15" x14ac:dyDescent="0.3">
      <c r="A2367" s="340" t="s">
        <v>891</v>
      </c>
      <c r="B2367" s="350">
        <v>46114</v>
      </c>
      <c r="C2367" s="350">
        <v>46125</v>
      </c>
      <c r="D2367" s="351">
        <v>46113</v>
      </c>
      <c r="E2367" s="340" t="s">
        <v>2617</v>
      </c>
      <c r="F2367" s="340" t="s">
        <v>894</v>
      </c>
      <c r="G2367" s="340" t="s">
        <v>2567</v>
      </c>
      <c r="H2367" s="340"/>
      <c r="I2367" s="340" t="s">
        <v>771</v>
      </c>
      <c r="K2367" s="343">
        <v>0</v>
      </c>
      <c r="L2367" s="343">
        <v>-0.72</v>
      </c>
      <c r="M2367" s="343">
        <v>-1284744.45</v>
      </c>
      <c r="O2367" s="343">
        <v>0</v>
      </c>
    </row>
    <row r="2368" spans="1:15" x14ac:dyDescent="0.3">
      <c r="A2368" s="340" t="s">
        <v>891</v>
      </c>
      <c r="B2368" s="350">
        <v>46114</v>
      </c>
      <c r="C2368" s="350">
        <v>46125</v>
      </c>
      <c r="D2368" s="351">
        <v>46113</v>
      </c>
      <c r="E2368" s="340" t="s">
        <v>2617</v>
      </c>
      <c r="F2368" s="340" t="s">
        <v>894</v>
      </c>
      <c r="G2368" s="340" t="s">
        <v>2569</v>
      </c>
      <c r="H2368" s="340"/>
      <c r="I2368" s="340" t="s">
        <v>771</v>
      </c>
      <c r="K2368" s="343">
        <v>0</v>
      </c>
      <c r="L2368" s="343">
        <v>-0.85</v>
      </c>
      <c r="M2368" s="343">
        <v>-1284745.3</v>
      </c>
      <c r="O2368" s="343">
        <v>0</v>
      </c>
    </row>
    <row r="2369" spans="1:15" x14ac:dyDescent="0.3">
      <c r="A2369" s="340" t="s">
        <v>891</v>
      </c>
      <c r="B2369" s="350">
        <v>46114</v>
      </c>
      <c r="C2369" s="350">
        <v>46125</v>
      </c>
      <c r="D2369" s="351">
        <v>46113</v>
      </c>
      <c r="E2369" s="340" t="s">
        <v>2617</v>
      </c>
      <c r="F2369" s="340" t="s">
        <v>894</v>
      </c>
      <c r="G2369" s="340" t="s">
        <v>2439</v>
      </c>
      <c r="H2369" s="340"/>
      <c r="I2369" s="340" t="s">
        <v>771</v>
      </c>
      <c r="K2369" s="343">
        <v>0</v>
      </c>
      <c r="L2369" s="343">
        <v>-0.91</v>
      </c>
      <c r="M2369" s="343">
        <v>-1284746.21</v>
      </c>
      <c r="O2369" s="343">
        <v>0</v>
      </c>
    </row>
    <row r="2370" spans="1:15" x14ac:dyDescent="0.3">
      <c r="A2370" s="340" t="s">
        <v>891</v>
      </c>
      <c r="B2370" s="350">
        <v>46114</v>
      </c>
      <c r="C2370" s="350">
        <v>46125</v>
      </c>
      <c r="D2370" s="351">
        <v>46113</v>
      </c>
      <c r="E2370" s="340" t="s">
        <v>2617</v>
      </c>
      <c r="F2370" s="340" t="s">
        <v>894</v>
      </c>
      <c r="G2370" s="340" t="s">
        <v>2439</v>
      </c>
      <c r="H2370" s="340"/>
      <c r="I2370" s="340" t="s">
        <v>771</v>
      </c>
      <c r="K2370" s="343">
        <v>0</v>
      </c>
      <c r="L2370" s="343">
        <v>-1</v>
      </c>
      <c r="M2370" s="343">
        <v>-1284747.21</v>
      </c>
      <c r="O2370" s="343">
        <v>0</v>
      </c>
    </row>
    <row r="2371" spans="1:15" x14ac:dyDescent="0.3">
      <c r="A2371" s="340" t="s">
        <v>891</v>
      </c>
      <c r="B2371" s="350">
        <v>46114</v>
      </c>
      <c r="C2371" s="350">
        <v>46125</v>
      </c>
      <c r="D2371" s="351">
        <v>46113</v>
      </c>
      <c r="E2371" s="340" t="s">
        <v>2617</v>
      </c>
      <c r="F2371" s="340" t="s">
        <v>894</v>
      </c>
      <c r="G2371" s="340" t="s">
        <v>2441</v>
      </c>
      <c r="H2371" s="340"/>
      <c r="I2371" s="340" t="s">
        <v>771</v>
      </c>
      <c r="K2371" s="343">
        <v>0</v>
      </c>
      <c r="L2371" s="343">
        <v>-1.82</v>
      </c>
      <c r="M2371" s="343">
        <v>-1284749.03</v>
      </c>
      <c r="O2371" s="343">
        <v>0</v>
      </c>
    </row>
    <row r="2372" spans="1:15" x14ac:dyDescent="0.3">
      <c r="A2372" s="340" t="s">
        <v>891</v>
      </c>
      <c r="B2372" s="350">
        <v>46114</v>
      </c>
      <c r="C2372" s="350">
        <v>46125</v>
      </c>
      <c r="D2372" s="351">
        <v>46113</v>
      </c>
      <c r="E2372" s="340" t="s">
        <v>2617</v>
      </c>
      <c r="F2372" s="340" t="s">
        <v>894</v>
      </c>
      <c r="G2372" s="340" t="s">
        <v>2441</v>
      </c>
      <c r="H2372" s="340"/>
      <c r="I2372" s="340" t="s">
        <v>771</v>
      </c>
      <c r="K2372" s="343">
        <v>0</v>
      </c>
      <c r="L2372" s="343">
        <v>-1.99</v>
      </c>
      <c r="M2372" s="343">
        <v>-1284751.02</v>
      </c>
      <c r="O2372" s="343">
        <v>0</v>
      </c>
    </row>
    <row r="2373" spans="1:15" x14ac:dyDescent="0.3">
      <c r="A2373" s="340" t="s">
        <v>891</v>
      </c>
      <c r="B2373" s="350">
        <v>46114</v>
      </c>
      <c r="C2373" s="350">
        <v>46125</v>
      </c>
      <c r="D2373" s="351">
        <v>46113</v>
      </c>
      <c r="E2373" s="340" t="s">
        <v>2617</v>
      </c>
      <c r="F2373" s="340" t="s">
        <v>894</v>
      </c>
      <c r="G2373" s="340" t="s">
        <v>2571</v>
      </c>
      <c r="H2373" s="340"/>
      <c r="I2373" s="340" t="s">
        <v>771</v>
      </c>
      <c r="K2373" s="343">
        <v>0</v>
      </c>
      <c r="L2373" s="343">
        <v>-5.18</v>
      </c>
      <c r="M2373" s="343">
        <v>-1284756.2</v>
      </c>
      <c r="O2373" s="343">
        <v>0</v>
      </c>
    </row>
    <row r="2374" spans="1:15" x14ac:dyDescent="0.3">
      <c r="A2374" s="340" t="s">
        <v>891</v>
      </c>
      <c r="B2374" s="350">
        <v>46114</v>
      </c>
      <c r="C2374" s="350">
        <v>46125</v>
      </c>
      <c r="D2374" s="351">
        <v>46113</v>
      </c>
      <c r="E2374" s="340" t="s">
        <v>2617</v>
      </c>
      <c r="F2374" s="340" t="s">
        <v>894</v>
      </c>
      <c r="G2374" s="340" t="s">
        <v>2442</v>
      </c>
      <c r="H2374" s="340"/>
      <c r="I2374" s="340" t="s">
        <v>771</v>
      </c>
      <c r="K2374" s="343">
        <v>0</v>
      </c>
      <c r="L2374" s="343">
        <v>-11.13</v>
      </c>
      <c r="M2374" s="343">
        <v>-1284767.33</v>
      </c>
      <c r="O2374" s="343">
        <v>0</v>
      </c>
    </row>
    <row r="2375" spans="1:15" x14ac:dyDescent="0.3">
      <c r="A2375" s="340" t="s">
        <v>891</v>
      </c>
      <c r="B2375" s="350">
        <v>46114</v>
      </c>
      <c r="C2375" s="350">
        <v>46125</v>
      </c>
      <c r="D2375" s="351">
        <v>46113</v>
      </c>
      <c r="E2375" s="340" t="s">
        <v>2617</v>
      </c>
      <c r="F2375" s="340" t="s">
        <v>894</v>
      </c>
      <c r="G2375" s="340" t="s">
        <v>2565</v>
      </c>
      <c r="H2375" s="340"/>
      <c r="I2375" s="340" t="s">
        <v>771</v>
      </c>
      <c r="K2375" s="343">
        <v>0</v>
      </c>
      <c r="L2375" s="343">
        <v>-21.3</v>
      </c>
      <c r="M2375" s="343">
        <v>-1284788.6299999999</v>
      </c>
      <c r="O2375" s="343">
        <v>0</v>
      </c>
    </row>
    <row r="2376" spans="1:15" x14ac:dyDescent="0.3">
      <c r="A2376" s="340" t="s">
        <v>891</v>
      </c>
      <c r="B2376" s="350">
        <v>46114</v>
      </c>
      <c r="C2376" s="350">
        <v>46125</v>
      </c>
      <c r="D2376" s="351">
        <v>46113</v>
      </c>
      <c r="E2376" s="340" t="s">
        <v>2617</v>
      </c>
      <c r="F2376" s="340" t="s">
        <v>894</v>
      </c>
      <c r="G2376" s="340" t="s">
        <v>2572</v>
      </c>
      <c r="H2376" s="340"/>
      <c r="I2376" s="340" t="s">
        <v>771</v>
      </c>
      <c r="K2376" s="343">
        <v>0</v>
      </c>
      <c r="L2376" s="343">
        <v>-25.57</v>
      </c>
      <c r="M2376" s="343">
        <v>-1284814.2</v>
      </c>
      <c r="O2376" s="343">
        <v>0</v>
      </c>
    </row>
    <row r="2377" spans="1:15" x14ac:dyDescent="0.3">
      <c r="A2377" s="340" t="s">
        <v>891</v>
      </c>
      <c r="B2377" s="350">
        <v>46114</v>
      </c>
      <c r="C2377" s="350">
        <v>46125</v>
      </c>
      <c r="D2377" s="351">
        <v>46113</v>
      </c>
      <c r="E2377" s="340" t="s">
        <v>2617</v>
      </c>
      <c r="F2377" s="340" t="s">
        <v>894</v>
      </c>
      <c r="G2377" s="340" t="s">
        <v>2573</v>
      </c>
      <c r="H2377" s="340"/>
      <c r="I2377" s="340" t="s">
        <v>771</v>
      </c>
      <c r="K2377" s="343">
        <v>0</v>
      </c>
      <c r="L2377" s="343">
        <v>-25.61</v>
      </c>
      <c r="M2377" s="343">
        <v>-1284839.81</v>
      </c>
      <c r="O2377" s="343">
        <v>0</v>
      </c>
    </row>
    <row r="2378" spans="1:15" x14ac:dyDescent="0.3">
      <c r="A2378" s="340" t="s">
        <v>891</v>
      </c>
      <c r="B2378" s="350">
        <v>46114</v>
      </c>
      <c r="C2378" s="350">
        <v>46125</v>
      </c>
      <c r="D2378" s="351">
        <v>46113</v>
      </c>
      <c r="E2378" s="340" t="s">
        <v>2617</v>
      </c>
      <c r="F2378" s="340" t="s">
        <v>894</v>
      </c>
      <c r="G2378" s="340" t="s">
        <v>2566</v>
      </c>
      <c r="H2378" s="340"/>
      <c r="I2378" s="340" t="s">
        <v>771</v>
      </c>
      <c r="K2378" s="343">
        <v>0</v>
      </c>
      <c r="L2378" s="343">
        <v>-95.96</v>
      </c>
      <c r="M2378" s="343">
        <v>-1284935.77</v>
      </c>
      <c r="O2378" s="343">
        <v>0</v>
      </c>
    </row>
    <row r="2379" spans="1:15" x14ac:dyDescent="0.3">
      <c r="A2379" s="340" t="s">
        <v>891</v>
      </c>
      <c r="B2379" s="350">
        <v>46114</v>
      </c>
      <c r="C2379" s="350">
        <v>46125</v>
      </c>
      <c r="D2379" s="351">
        <v>46113</v>
      </c>
      <c r="E2379" s="340" t="s">
        <v>2617</v>
      </c>
      <c r="F2379" s="340" t="s">
        <v>894</v>
      </c>
      <c r="G2379" s="340" t="s">
        <v>2567</v>
      </c>
      <c r="H2379" s="340"/>
      <c r="I2379" s="340" t="s">
        <v>771</v>
      </c>
      <c r="K2379" s="343">
        <v>0</v>
      </c>
      <c r="L2379" s="343">
        <v>-0.01</v>
      </c>
      <c r="M2379" s="343">
        <v>-1284935.78</v>
      </c>
      <c r="O2379" s="343">
        <v>0</v>
      </c>
    </row>
    <row r="2380" spans="1:15" x14ac:dyDescent="0.3">
      <c r="A2380" s="340" t="s">
        <v>891</v>
      </c>
      <c r="B2380" s="350">
        <v>46114</v>
      </c>
      <c r="C2380" s="350">
        <v>46125</v>
      </c>
      <c r="D2380" s="351">
        <v>46113</v>
      </c>
      <c r="E2380" s="340" t="s">
        <v>2617</v>
      </c>
      <c r="F2380" s="340" t="s">
        <v>894</v>
      </c>
      <c r="G2380" s="340" t="s">
        <v>2568</v>
      </c>
      <c r="H2380" s="340"/>
      <c r="I2380" s="340" t="s">
        <v>771</v>
      </c>
      <c r="K2380" s="343">
        <v>0</v>
      </c>
      <c r="L2380" s="343">
        <v>-0.02</v>
      </c>
      <c r="M2380" s="343">
        <v>-1284935.8</v>
      </c>
      <c r="O2380" s="343">
        <v>0</v>
      </c>
    </row>
    <row r="2381" spans="1:15" x14ac:dyDescent="0.3">
      <c r="A2381" s="340" t="s">
        <v>891</v>
      </c>
      <c r="B2381" s="350">
        <v>46114</v>
      </c>
      <c r="C2381" s="350">
        <v>46125</v>
      </c>
      <c r="D2381" s="351">
        <v>46113</v>
      </c>
      <c r="E2381" s="340" t="s">
        <v>2617</v>
      </c>
      <c r="F2381" s="340" t="s">
        <v>894</v>
      </c>
      <c r="G2381" s="340" t="s">
        <v>2568</v>
      </c>
      <c r="H2381" s="340"/>
      <c r="I2381" s="340" t="s">
        <v>771</v>
      </c>
      <c r="K2381" s="343">
        <v>0</v>
      </c>
      <c r="L2381" s="343">
        <v>-0.02</v>
      </c>
      <c r="M2381" s="343">
        <v>-1284935.82</v>
      </c>
      <c r="O2381" s="343">
        <v>0</v>
      </c>
    </row>
    <row r="2382" spans="1:15" x14ac:dyDescent="0.3">
      <c r="A2382" s="340" t="s">
        <v>891</v>
      </c>
      <c r="B2382" s="350">
        <v>46114</v>
      </c>
      <c r="C2382" s="350">
        <v>46125</v>
      </c>
      <c r="D2382" s="351">
        <v>46113</v>
      </c>
      <c r="E2382" s="340" t="s">
        <v>2617</v>
      </c>
      <c r="F2382" s="340" t="s">
        <v>894</v>
      </c>
      <c r="G2382" s="340" t="s">
        <v>2569</v>
      </c>
      <c r="H2382" s="340"/>
      <c r="I2382" s="340" t="s">
        <v>771</v>
      </c>
      <c r="K2382" s="343">
        <v>0</v>
      </c>
      <c r="L2382" s="343">
        <v>-0.1</v>
      </c>
      <c r="M2382" s="343">
        <v>-1284935.92</v>
      </c>
      <c r="O2382" s="343">
        <v>0</v>
      </c>
    </row>
    <row r="2383" spans="1:15" x14ac:dyDescent="0.3">
      <c r="A2383" s="340" t="s">
        <v>891</v>
      </c>
      <c r="B2383" s="350">
        <v>46114</v>
      </c>
      <c r="C2383" s="350">
        <v>46125</v>
      </c>
      <c r="D2383" s="351">
        <v>46113</v>
      </c>
      <c r="E2383" s="340" t="s">
        <v>2617</v>
      </c>
      <c r="F2383" s="340" t="s">
        <v>894</v>
      </c>
      <c r="G2383" s="340" t="s">
        <v>2570</v>
      </c>
      <c r="H2383" s="340"/>
      <c r="I2383" s="340" t="s">
        <v>771</v>
      </c>
      <c r="K2383" s="343">
        <v>0</v>
      </c>
      <c r="L2383" s="343">
        <v>-0.11</v>
      </c>
      <c r="M2383" s="343">
        <v>-1284936.03</v>
      </c>
      <c r="O2383" s="343">
        <v>0</v>
      </c>
    </row>
    <row r="2384" spans="1:15" x14ac:dyDescent="0.3">
      <c r="A2384" s="340" t="s">
        <v>891</v>
      </c>
      <c r="B2384" s="350">
        <v>46114</v>
      </c>
      <c r="C2384" s="350">
        <v>46125</v>
      </c>
      <c r="D2384" s="351">
        <v>46113</v>
      </c>
      <c r="E2384" s="340" t="s">
        <v>2617</v>
      </c>
      <c r="F2384" s="340" t="s">
        <v>894</v>
      </c>
      <c r="G2384" s="340" t="s">
        <v>2439</v>
      </c>
      <c r="H2384" s="340"/>
      <c r="I2384" s="340" t="s">
        <v>771</v>
      </c>
      <c r="K2384" s="343">
        <v>0</v>
      </c>
      <c r="L2384" s="343">
        <v>-0.12</v>
      </c>
      <c r="M2384" s="343">
        <v>-1284936.1499999999</v>
      </c>
      <c r="O2384" s="343">
        <v>0</v>
      </c>
    </row>
    <row r="2385" spans="1:15" x14ac:dyDescent="0.3">
      <c r="A2385" s="340" t="s">
        <v>891</v>
      </c>
      <c r="B2385" s="350">
        <v>46114</v>
      </c>
      <c r="C2385" s="350">
        <v>46125</v>
      </c>
      <c r="D2385" s="351">
        <v>46113</v>
      </c>
      <c r="E2385" s="340" t="s">
        <v>2617</v>
      </c>
      <c r="F2385" s="340" t="s">
        <v>894</v>
      </c>
      <c r="G2385" s="340" t="s">
        <v>2439</v>
      </c>
      <c r="H2385" s="340"/>
      <c r="I2385" s="340" t="s">
        <v>771</v>
      </c>
      <c r="K2385" s="343">
        <v>0</v>
      </c>
      <c r="L2385" s="343">
        <v>-0.14000000000000001</v>
      </c>
      <c r="M2385" s="343">
        <v>-1284936.29</v>
      </c>
      <c r="O2385" s="343">
        <v>0</v>
      </c>
    </row>
    <row r="2386" spans="1:15" x14ac:dyDescent="0.3">
      <c r="A2386" s="340" t="s">
        <v>891</v>
      </c>
      <c r="B2386" s="350">
        <v>46114</v>
      </c>
      <c r="C2386" s="350">
        <v>46125</v>
      </c>
      <c r="D2386" s="351">
        <v>46113</v>
      </c>
      <c r="E2386" s="340" t="s">
        <v>2617</v>
      </c>
      <c r="F2386" s="340" t="s">
        <v>894</v>
      </c>
      <c r="G2386" s="340" t="s">
        <v>2441</v>
      </c>
      <c r="H2386" s="340"/>
      <c r="I2386" s="340" t="s">
        <v>771</v>
      </c>
      <c r="K2386" s="343">
        <v>0</v>
      </c>
      <c r="L2386" s="343">
        <v>-0.23</v>
      </c>
      <c r="M2386" s="343">
        <v>-1284936.52</v>
      </c>
      <c r="O2386" s="343">
        <v>0</v>
      </c>
    </row>
    <row r="2387" spans="1:15" x14ac:dyDescent="0.3">
      <c r="A2387" s="340" t="s">
        <v>891</v>
      </c>
      <c r="B2387" s="350">
        <v>46114</v>
      </c>
      <c r="C2387" s="350">
        <v>46125</v>
      </c>
      <c r="D2387" s="351">
        <v>46113</v>
      </c>
      <c r="E2387" s="340" t="s">
        <v>2617</v>
      </c>
      <c r="F2387" s="340" t="s">
        <v>894</v>
      </c>
      <c r="G2387" s="340" t="s">
        <v>2441</v>
      </c>
      <c r="H2387" s="340"/>
      <c r="I2387" s="340" t="s">
        <v>771</v>
      </c>
      <c r="K2387" s="343">
        <v>0</v>
      </c>
      <c r="L2387" s="343">
        <v>-0.28000000000000003</v>
      </c>
      <c r="M2387" s="343">
        <v>-1284936.8</v>
      </c>
      <c r="O2387" s="343">
        <v>0</v>
      </c>
    </row>
    <row r="2388" spans="1:15" x14ac:dyDescent="0.3">
      <c r="A2388" s="340" t="s">
        <v>891</v>
      </c>
      <c r="B2388" s="350">
        <v>46114</v>
      </c>
      <c r="C2388" s="350">
        <v>46125</v>
      </c>
      <c r="D2388" s="351">
        <v>46113</v>
      </c>
      <c r="E2388" s="340" t="s">
        <v>2617</v>
      </c>
      <c r="F2388" s="340" t="s">
        <v>894</v>
      </c>
      <c r="G2388" s="340" t="s">
        <v>2571</v>
      </c>
      <c r="H2388" s="340"/>
      <c r="I2388" s="340" t="s">
        <v>771</v>
      </c>
      <c r="K2388" s="343">
        <v>0</v>
      </c>
      <c r="L2388" s="343">
        <v>-0.99</v>
      </c>
      <c r="M2388" s="343">
        <v>-1284937.79</v>
      </c>
      <c r="O2388" s="343">
        <v>0</v>
      </c>
    </row>
    <row r="2389" spans="1:15" x14ac:dyDescent="0.3">
      <c r="A2389" s="340" t="s">
        <v>891</v>
      </c>
      <c r="B2389" s="350">
        <v>46114</v>
      </c>
      <c r="C2389" s="350">
        <v>46125</v>
      </c>
      <c r="D2389" s="351">
        <v>46113</v>
      </c>
      <c r="E2389" s="340" t="s">
        <v>2617</v>
      </c>
      <c r="F2389" s="340" t="s">
        <v>894</v>
      </c>
      <c r="G2389" s="340" t="s">
        <v>2442</v>
      </c>
      <c r="H2389" s="340"/>
      <c r="I2389" s="340" t="s">
        <v>771</v>
      </c>
      <c r="K2389" s="343">
        <v>0</v>
      </c>
      <c r="L2389" s="343">
        <v>-2.2599999999999998</v>
      </c>
      <c r="M2389" s="343">
        <v>-1284940.05</v>
      </c>
      <c r="O2389" s="343">
        <v>0</v>
      </c>
    </row>
    <row r="2390" spans="1:15" x14ac:dyDescent="0.3">
      <c r="A2390" s="340" t="s">
        <v>891</v>
      </c>
      <c r="B2390" s="350">
        <v>46114</v>
      </c>
      <c r="C2390" s="350">
        <v>46125</v>
      </c>
      <c r="D2390" s="351">
        <v>46113</v>
      </c>
      <c r="E2390" s="340" t="s">
        <v>2617</v>
      </c>
      <c r="F2390" s="340" t="s">
        <v>894</v>
      </c>
      <c r="G2390" s="340" t="s">
        <v>2572</v>
      </c>
      <c r="H2390" s="340"/>
      <c r="I2390" s="340" t="s">
        <v>771</v>
      </c>
      <c r="K2390" s="343">
        <v>0</v>
      </c>
      <c r="L2390" s="343">
        <v>-2.8</v>
      </c>
      <c r="M2390" s="343">
        <v>-1284942.8500000001</v>
      </c>
      <c r="O2390" s="343">
        <v>0</v>
      </c>
    </row>
    <row r="2391" spans="1:15" x14ac:dyDescent="0.3">
      <c r="A2391" s="340" t="s">
        <v>891</v>
      </c>
      <c r="B2391" s="350">
        <v>46114</v>
      </c>
      <c r="C2391" s="350">
        <v>46125</v>
      </c>
      <c r="D2391" s="351">
        <v>46113</v>
      </c>
      <c r="E2391" s="340" t="s">
        <v>2617</v>
      </c>
      <c r="F2391" s="340" t="s">
        <v>894</v>
      </c>
      <c r="G2391" s="340" t="s">
        <v>2573</v>
      </c>
      <c r="H2391" s="340"/>
      <c r="I2391" s="340" t="s">
        <v>771</v>
      </c>
      <c r="K2391" s="343">
        <v>0</v>
      </c>
      <c r="L2391" s="343">
        <v>-3.27</v>
      </c>
      <c r="M2391" s="343">
        <v>-1284946.1200000001</v>
      </c>
      <c r="O2391" s="343">
        <v>0</v>
      </c>
    </row>
    <row r="2392" spans="1:15" x14ac:dyDescent="0.3">
      <c r="A2392" s="340" t="s">
        <v>891</v>
      </c>
      <c r="B2392" s="350">
        <v>46114</v>
      </c>
      <c r="C2392" s="350">
        <v>46125</v>
      </c>
      <c r="D2392" s="351">
        <v>46113</v>
      </c>
      <c r="E2392" s="340" t="s">
        <v>2617</v>
      </c>
      <c r="F2392" s="340" t="s">
        <v>894</v>
      </c>
      <c r="G2392" s="340" t="s">
        <v>2565</v>
      </c>
      <c r="H2392" s="340"/>
      <c r="I2392" s="340" t="s">
        <v>771</v>
      </c>
      <c r="K2392" s="343">
        <v>0</v>
      </c>
      <c r="L2392" s="343">
        <v>-4.6100000000000003</v>
      </c>
      <c r="M2392" s="343">
        <v>-1284950.73</v>
      </c>
      <c r="O2392" s="343">
        <v>0</v>
      </c>
    </row>
    <row r="2393" spans="1:15" x14ac:dyDescent="0.3">
      <c r="A2393" s="340" t="s">
        <v>891</v>
      </c>
      <c r="B2393" s="350">
        <v>46114</v>
      </c>
      <c r="C2393" s="350">
        <v>46125</v>
      </c>
      <c r="D2393" s="351">
        <v>46113</v>
      </c>
      <c r="E2393" s="340" t="s">
        <v>2617</v>
      </c>
      <c r="F2393" s="340" t="s">
        <v>894</v>
      </c>
      <c r="G2393" s="340" t="s">
        <v>2566</v>
      </c>
      <c r="H2393" s="340"/>
      <c r="I2393" s="340" t="s">
        <v>771</v>
      </c>
      <c r="K2393" s="343">
        <v>0</v>
      </c>
      <c r="L2393" s="343">
        <v>-11.2</v>
      </c>
      <c r="M2393" s="343">
        <v>-1284961.93</v>
      </c>
      <c r="O2393" s="343">
        <v>0</v>
      </c>
    </row>
    <row r="2394" spans="1:15" x14ac:dyDescent="0.3">
      <c r="A2394" s="340" t="s">
        <v>891</v>
      </c>
      <c r="B2394" s="350">
        <v>46114</v>
      </c>
      <c r="C2394" s="350">
        <v>46125</v>
      </c>
      <c r="D2394" s="351">
        <v>46113</v>
      </c>
      <c r="E2394" s="340" t="s">
        <v>2617</v>
      </c>
      <c r="F2394" s="340" t="s">
        <v>894</v>
      </c>
      <c r="G2394" s="340" t="s">
        <v>2570</v>
      </c>
      <c r="H2394" s="340"/>
      <c r="I2394" s="340" t="s">
        <v>771</v>
      </c>
      <c r="K2394" s="343">
        <v>0</v>
      </c>
      <c r="L2394" s="343">
        <v>-0.08</v>
      </c>
      <c r="M2394" s="343">
        <v>-1284962.01</v>
      </c>
      <c r="O2394" s="343">
        <v>0</v>
      </c>
    </row>
    <row r="2395" spans="1:15" x14ac:dyDescent="0.3">
      <c r="A2395" s="340" t="s">
        <v>891</v>
      </c>
      <c r="B2395" s="350">
        <v>46114</v>
      </c>
      <c r="C2395" s="350">
        <v>46125</v>
      </c>
      <c r="D2395" s="351">
        <v>46113</v>
      </c>
      <c r="E2395" s="340" t="s">
        <v>2617</v>
      </c>
      <c r="F2395" s="340" t="s">
        <v>894</v>
      </c>
      <c r="G2395" s="340" t="s">
        <v>2567</v>
      </c>
      <c r="H2395" s="340"/>
      <c r="I2395" s="340" t="s">
        <v>771</v>
      </c>
      <c r="K2395" s="343">
        <v>0</v>
      </c>
      <c r="L2395" s="343">
        <v>-0.01</v>
      </c>
      <c r="M2395" s="343">
        <v>-1284962.02</v>
      </c>
      <c r="O2395" s="343">
        <v>0</v>
      </c>
    </row>
    <row r="2396" spans="1:15" x14ac:dyDescent="0.3">
      <c r="A2396" s="340" t="s">
        <v>891</v>
      </c>
      <c r="B2396" s="350">
        <v>46114</v>
      </c>
      <c r="C2396" s="350">
        <v>46125</v>
      </c>
      <c r="D2396" s="351">
        <v>46113</v>
      </c>
      <c r="E2396" s="340" t="s">
        <v>2617</v>
      </c>
      <c r="F2396" s="340" t="s">
        <v>894</v>
      </c>
      <c r="G2396" s="340" t="s">
        <v>2568</v>
      </c>
      <c r="H2396" s="340"/>
      <c r="I2396" s="340" t="s">
        <v>771</v>
      </c>
      <c r="K2396" s="343">
        <v>0</v>
      </c>
      <c r="L2396" s="343">
        <v>-0.02</v>
      </c>
      <c r="M2396" s="343">
        <v>-1284962.04</v>
      </c>
      <c r="O2396" s="343">
        <v>0</v>
      </c>
    </row>
    <row r="2397" spans="1:15" x14ac:dyDescent="0.3">
      <c r="A2397" s="340" t="s">
        <v>891</v>
      </c>
      <c r="B2397" s="350">
        <v>46114</v>
      </c>
      <c r="C2397" s="350">
        <v>46125</v>
      </c>
      <c r="D2397" s="351">
        <v>46113</v>
      </c>
      <c r="E2397" s="340" t="s">
        <v>2617</v>
      </c>
      <c r="F2397" s="340" t="s">
        <v>894</v>
      </c>
      <c r="G2397" s="340" t="s">
        <v>2441</v>
      </c>
      <c r="H2397" s="340"/>
      <c r="I2397" s="340" t="s">
        <v>771</v>
      </c>
      <c r="K2397" s="343">
        <v>0</v>
      </c>
      <c r="L2397" s="343">
        <v>-0.24</v>
      </c>
      <c r="M2397" s="343">
        <v>-1284962.28</v>
      </c>
      <c r="O2397" s="343">
        <v>0</v>
      </c>
    </row>
    <row r="2398" spans="1:15" x14ac:dyDescent="0.3">
      <c r="A2398" s="340" t="s">
        <v>891</v>
      </c>
      <c r="B2398" s="350">
        <v>46114</v>
      </c>
      <c r="C2398" s="350">
        <v>46125</v>
      </c>
      <c r="D2398" s="351">
        <v>46113</v>
      </c>
      <c r="E2398" s="340" t="s">
        <v>2617</v>
      </c>
      <c r="F2398" s="340" t="s">
        <v>894</v>
      </c>
      <c r="G2398" s="340" t="s">
        <v>2439</v>
      </c>
      <c r="H2398" s="340"/>
      <c r="I2398" s="340" t="s">
        <v>771</v>
      </c>
      <c r="K2398" s="343">
        <v>0</v>
      </c>
      <c r="L2398" s="343">
        <v>-0.12</v>
      </c>
      <c r="M2398" s="343">
        <v>-1284962.3999999999</v>
      </c>
      <c r="O2398" s="343">
        <v>0</v>
      </c>
    </row>
    <row r="2399" spans="1:15" x14ac:dyDescent="0.3">
      <c r="A2399" s="340" t="s">
        <v>891</v>
      </c>
      <c r="B2399" s="350">
        <v>46114</v>
      </c>
      <c r="C2399" s="350">
        <v>46125</v>
      </c>
      <c r="D2399" s="351">
        <v>46113</v>
      </c>
      <c r="E2399" s="340" t="s">
        <v>2617</v>
      </c>
      <c r="F2399" s="340" t="s">
        <v>894</v>
      </c>
      <c r="G2399" s="340" t="s">
        <v>2568</v>
      </c>
      <c r="H2399" s="340"/>
      <c r="I2399" s="340" t="s">
        <v>771</v>
      </c>
      <c r="K2399" s="343">
        <v>0</v>
      </c>
      <c r="L2399" s="343">
        <v>-0.01</v>
      </c>
      <c r="M2399" s="343">
        <v>-1284962.4099999999</v>
      </c>
      <c r="O2399" s="343">
        <v>0</v>
      </c>
    </row>
    <row r="2400" spans="1:15" x14ac:dyDescent="0.3">
      <c r="A2400" s="340" t="s">
        <v>891</v>
      </c>
      <c r="B2400" s="350">
        <v>46114</v>
      </c>
      <c r="C2400" s="350">
        <v>46125</v>
      </c>
      <c r="D2400" s="351">
        <v>46113</v>
      </c>
      <c r="E2400" s="340" t="s">
        <v>2617</v>
      </c>
      <c r="F2400" s="340" t="s">
        <v>894</v>
      </c>
      <c r="G2400" s="340" t="s">
        <v>2569</v>
      </c>
      <c r="H2400" s="340"/>
      <c r="I2400" s="340" t="s">
        <v>771</v>
      </c>
      <c r="K2400" s="343">
        <v>0</v>
      </c>
      <c r="L2400" s="343">
        <v>-7.0000000000000007E-2</v>
      </c>
      <c r="M2400" s="343">
        <v>-1284962.48</v>
      </c>
      <c r="O2400" s="343">
        <v>0</v>
      </c>
    </row>
    <row r="2401" spans="1:15" x14ac:dyDescent="0.3">
      <c r="A2401" s="340" t="s">
        <v>891</v>
      </c>
      <c r="B2401" s="350">
        <v>46114</v>
      </c>
      <c r="C2401" s="350">
        <v>46125</v>
      </c>
      <c r="D2401" s="351">
        <v>46113</v>
      </c>
      <c r="E2401" s="340" t="s">
        <v>2617</v>
      </c>
      <c r="F2401" s="340" t="s">
        <v>894</v>
      </c>
      <c r="G2401" s="340" t="s">
        <v>2439</v>
      </c>
      <c r="H2401" s="340"/>
      <c r="I2401" s="340" t="s">
        <v>771</v>
      </c>
      <c r="K2401" s="343">
        <v>0</v>
      </c>
      <c r="L2401" s="343">
        <v>-0.08</v>
      </c>
      <c r="M2401" s="343">
        <v>-1284962.56</v>
      </c>
      <c r="O2401" s="343">
        <v>0</v>
      </c>
    </row>
    <row r="2402" spans="1:15" x14ac:dyDescent="0.3">
      <c r="A2402" s="340" t="s">
        <v>891</v>
      </c>
      <c r="B2402" s="350">
        <v>46114</v>
      </c>
      <c r="C2402" s="350">
        <v>46125</v>
      </c>
      <c r="D2402" s="351">
        <v>46113</v>
      </c>
      <c r="E2402" s="340" t="s">
        <v>2617</v>
      </c>
      <c r="F2402" s="340" t="s">
        <v>894</v>
      </c>
      <c r="G2402" s="340" t="s">
        <v>2441</v>
      </c>
      <c r="H2402" s="340"/>
      <c r="I2402" s="340" t="s">
        <v>771</v>
      </c>
      <c r="K2402" s="343">
        <v>0</v>
      </c>
      <c r="L2402" s="343">
        <v>-0.17</v>
      </c>
      <c r="M2402" s="343">
        <v>-1284962.73</v>
      </c>
      <c r="O2402" s="343">
        <v>0</v>
      </c>
    </row>
    <row r="2403" spans="1:15" x14ac:dyDescent="0.3">
      <c r="A2403" s="340" t="s">
        <v>891</v>
      </c>
      <c r="B2403" s="350">
        <v>46114</v>
      </c>
      <c r="C2403" s="350">
        <v>46125</v>
      </c>
      <c r="D2403" s="351">
        <v>46113</v>
      </c>
      <c r="E2403" s="340" t="s">
        <v>2617</v>
      </c>
      <c r="F2403" s="340" t="s">
        <v>894</v>
      </c>
      <c r="G2403" s="340" t="s">
        <v>2571</v>
      </c>
      <c r="H2403" s="340"/>
      <c r="I2403" s="340" t="s">
        <v>771</v>
      </c>
      <c r="K2403" s="343">
        <v>0</v>
      </c>
      <c r="L2403" s="343">
        <v>-0.71</v>
      </c>
      <c r="M2403" s="343">
        <v>-1284963.44</v>
      </c>
      <c r="O2403" s="343">
        <v>0</v>
      </c>
    </row>
    <row r="2404" spans="1:15" x14ac:dyDescent="0.3">
      <c r="A2404" s="340" t="s">
        <v>891</v>
      </c>
      <c r="B2404" s="350">
        <v>46114</v>
      </c>
      <c r="C2404" s="350">
        <v>46125</v>
      </c>
      <c r="D2404" s="351">
        <v>46113</v>
      </c>
      <c r="E2404" s="340" t="s">
        <v>2617</v>
      </c>
      <c r="F2404" s="340" t="s">
        <v>894</v>
      </c>
      <c r="G2404" s="340" t="s">
        <v>2572</v>
      </c>
      <c r="H2404" s="340"/>
      <c r="I2404" s="340" t="s">
        <v>771</v>
      </c>
      <c r="K2404" s="343">
        <v>0</v>
      </c>
      <c r="L2404" s="343">
        <v>-2.02</v>
      </c>
      <c r="M2404" s="343">
        <v>-1284965.46</v>
      </c>
      <c r="O2404" s="343">
        <v>0</v>
      </c>
    </row>
    <row r="2405" spans="1:15" x14ac:dyDescent="0.3">
      <c r="A2405" s="340" t="s">
        <v>891</v>
      </c>
      <c r="B2405" s="350">
        <v>46114</v>
      </c>
      <c r="C2405" s="350">
        <v>46125</v>
      </c>
      <c r="D2405" s="351">
        <v>46113</v>
      </c>
      <c r="E2405" s="340" t="s">
        <v>2617</v>
      </c>
      <c r="F2405" s="340" t="s">
        <v>894</v>
      </c>
      <c r="G2405" s="340" t="s">
        <v>2442</v>
      </c>
      <c r="H2405" s="340"/>
      <c r="I2405" s="340" t="s">
        <v>771</v>
      </c>
      <c r="K2405" s="343">
        <v>0</v>
      </c>
      <c r="L2405" s="343">
        <v>-2.2599999999999998</v>
      </c>
      <c r="M2405" s="343">
        <v>-1284967.72</v>
      </c>
      <c r="O2405" s="343">
        <v>0</v>
      </c>
    </row>
    <row r="2406" spans="1:15" x14ac:dyDescent="0.3">
      <c r="A2406" s="340" t="s">
        <v>891</v>
      </c>
      <c r="B2406" s="350">
        <v>46114</v>
      </c>
      <c r="C2406" s="350">
        <v>46125</v>
      </c>
      <c r="D2406" s="351">
        <v>46113</v>
      </c>
      <c r="E2406" s="340" t="s">
        <v>2617</v>
      </c>
      <c r="F2406" s="340" t="s">
        <v>894</v>
      </c>
      <c r="G2406" s="340" t="s">
        <v>2573</v>
      </c>
      <c r="H2406" s="340"/>
      <c r="I2406" s="340" t="s">
        <v>771</v>
      </c>
      <c r="K2406" s="343">
        <v>0</v>
      </c>
      <c r="L2406" s="343">
        <v>-2.36</v>
      </c>
      <c r="M2406" s="343">
        <v>-1284970.08</v>
      </c>
      <c r="O2406" s="343">
        <v>0</v>
      </c>
    </row>
    <row r="2407" spans="1:15" x14ac:dyDescent="0.3">
      <c r="A2407" s="340" t="s">
        <v>891</v>
      </c>
      <c r="B2407" s="350">
        <v>46114</v>
      </c>
      <c r="C2407" s="350">
        <v>46125</v>
      </c>
      <c r="D2407" s="351">
        <v>46113</v>
      </c>
      <c r="E2407" s="340" t="s">
        <v>2617</v>
      </c>
      <c r="F2407" s="340" t="s">
        <v>894</v>
      </c>
      <c r="G2407" s="340" t="s">
        <v>2565</v>
      </c>
      <c r="H2407" s="340"/>
      <c r="I2407" s="340" t="s">
        <v>771</v>
      </c>
      <c r="K2407" s="343">
        <v>0</v>
      </c>
      <c r="L2407" s="343">
        <v>-4.6100000000000003</v>
      </c>
      <c r="M2407" s="343">
        <v>-1284974.69</v>
      </c>
      <c r="O2407" s="343">
        <v>0</v>
      </c>
    </row>
    <row r="2408" spans="1:15" x14ac:dyDescent="0.3">
      <c r="A2408" s="340" t="s">
        <v>891</v>
      </c>
      <c r="B2408" s="350">
        <v>46114</v>
      </c>
      <c r="C2408" s="350">
        <v>46125</v>
      </c>
      <c r="D2408" s="351">
        <v>46113</v>
      </c>
      <c r="E2408" s="340" t="s">
        <v>2617</v>
      </c>
      <c r="F2408" s="340" t="s">
        <v>894</v>
      </c>
      <c r="G2408" s="340" t="s">
        <v>2566</v>
      </c>
      <c r="H2408" s="340"/>
      <c r="I2408" s="340" t="s">
        <v>771</v>
      </c>
      <c r="K2408" s="343">
        <v>0</v>
      </c>
      <c r="L2408" s="343">
        <v>-8.07</v>
      </c>
      <c r="M2408" s="343">
        <v>-1284982.76</v>
      </c>
      <c r="O2408" s="343">
        <v>0</v>
      </c>
    </row>
    <row r="2409" spans="1:15" x14ac:dyDescent="0.3">
      <c r="A2409" s="340" t="s">
        <v>891</v>
      </c>
      <c r="B2409" s="350">
        <v>46114</v>
      </c>
      <c r="C2409" s="350">
        <v>46125</v>
      </c>
      <c r="D2409" s="351">
        <v>46113</v>
      </c>
      <c r="E2409" s="340" t="s">
        <v>2617</v>
      </c>
      <c r="F2409" s="340" t="s">
        <v>894</v>
      </c>
      <c r="G2409" s="340" t="s">
        <v>2567</v>
      </c>
      <c r="H2409" s="340"/>
      <c r="I2409" s="340" t="s">
        <v>771</v>
      </c>
      <c r="K2409" s="343">
        <v>0</v>
      </c>
      <c r="L2409" s="343">
        <v>-0.1</v>
      </c>
      <c r="M2409" s="343">
        <v>-1284982.8600000001</v>
      </c>
      <c r="O2409" s="343">
        <v>0</v>
      </c>
    </row>
    <row r="2410" spans="1:15" x14ac:dyDescent="0.3">
      <c r="A2410" s="340" t="s">
        <v>891</v>
      </c>
      <c r="B2410" s="350">
        <v>46114</v>
      </c>
      <c r="C2410" s="350">
        <v>46125</v>
      </c>
      <c r="D2410" s="351">
        <v>46113</v>
      </c>
      <c r="E2410" s="340" t="s">
        <v>2617</v>
      </c>
      <c r="F2410" s="340" t="s">
        <v>894</v>
      </c>
      <c r="G2410" s="340" t="s">
        <v>2568</v>
      </c>
      <c r="H2410" s="340"/>
      <c r="I2410" s="340" t="s">
        <v>771</v>
      </c>
      <c r="K2410" s="343">
        <v>0</v>
      </c>
      <c r="L2410" s="343">
        <v>-0.15</v>
      </c>
      <c r="M2410" s="343">
        <v>-1284983.01</v>
      </c>
      <c r="O2410" s="343">
        <v>0</v>
      </c>
    </row>
    <row r="2411" spans="1:15" x14ac:dyDescent="0.3">
      <c r="A2411" s="340" t="s">
        <v>891</v>
      </c>
      <c r="B2411" s="350">
        <v>46114</v>
      </c>
      <c r="C2411" s="350">
        <v>46125</v>
      </c>
      <c r="D2411" s="351">
        <v>46113</v>
      </c>
      <c r="E2411" s="340" t="s">
        <v>2617</v>
      </c>
      <c r="F2411" s="340" t="s">
        <v>894</v>
      </c>
      <c r="G2411" s="340" t="s">
        <v>2568</v>
      </c>
      <c r="H2411" s="340"/>
      <c r="I2411" s="340" t="s">
        <v>771</v>
      </c>
      <c r="K2411" s="343">
        <v>0</v>
      </c>
      <c r="L2411" s="343">
        <v>-0.22</v>
      </c>
      <c r="M2411" s="343">
        <v>-1284983.23</v>
      </c>
      <c r="O2411" s="343">
        <v>0</v>
      </c>
    </row>
    <row r="2412" spans="1:15" x14ac:dyDescent="0.3">
      <c r="A2412" s="340" t="s">
        <v>891</v>
      </c>
      <c r="B2412" s="350">
        <v>46114</v>
      </c>
      <c r="C2412" s="350">
        <v>46125</v>
      </c>
      <c r="D2412" s="351">
        <v>46113</v>
      </c>
      <c r="E2412" s="340" t="s">
        <v>2617</v>
      </c>
      <c r="F2412" s="340" t="s">
        <v>894</v>
      </c>
      <c r="G2412" s="340" t="s">
        <v>2439</v>
      </c>
      <c r="H2412" s="340"/>
      <c r="I2412" s="340" t="s">
        <v>771</v>
      </c>
      <c r="K2412" s="343">
        <v>0</v>
      </c>
      <c r="L2412" s="343">
        <v>-0.89</v>
      </c>
      <c r="M2412" s="343">
        <v>-1284984.1200000001</v>
      </c>
      <c r="O2412" s="343">
        <v>0</v>
      </c>
    </row>
    <row r="2413" spans="1:15" x14ac:dyDescent="0.3">
      <c r="A2413" s="340" t="s">
        <v>891</v>
      </c>
      <c r="B2413" s="350">
        <v>46114</v>
      </c>
      <c r="C2413" s="350">
        <v>46125</v>
      </c>
      <c r="D2413" s="351">
        <v>46113</v>
      </c>
      <c r="E2413" s="340" t="s">
        <v>2617</v>
      </c>
      <c r="F2413" s="340" t="s">
        <v>894</v>
      </c>
      <c r="G2413" s="340" t="s">
        <v>2569</v>
      </c>
      <c r="H2413" s="340"/>
      <c r="I2413" s="340" t="s">
        <v>771</v>
      </c>
      <c r="K2413" s="343">
        <v>0</v>
      </c>
      <c r="L2413" s="343">
        <v>-1.1299999999999999</v>
      </c>
      <c r="M2413" s="343">
        <v>-1284985.25</v>
      </c>
      <c r="O2413" s="343">
        <v>0</v>
      </c>
    </row>
    <row r="2414" spans="1:15" x14ac:dyDescent="0.3">
      <c r="A2414" s="340" t="s">
        <v>891</v>
      </c>
      <c r="B2414" s="350">
        <v>46114</v>
      </c>
      <c r="C2414" s="350">
        <v>46125</v>
      </c>
      <c r="D2414" s="351">
        <v>46113</v>
      </c>
      <c r="E2414" s="340" t="s">
        <v>2617</v>
      </c>
      <c r="F2414" s="340" t="s">
        <v>894</v>
      </c>
      <c r="G2414" s="340" t="s">
        <v>2570</v>
      </c>
      <c r="H2414" s="340"/>
      <c r="I2414" s="340" t="s">
        <v>771</v>
      </c>
      <c r="K2414" s="343">
        <v>0</v>
      </c>
      <c r="L2414" s="343">
        <v>-1.28</v>
      </c>
      <c r="M2414" s="343">
        <v>-1284986.53</v>
      </c>
      <c r="O2414" s="343">
        <v>0</v>
      </c>
    </row>
    <row r="2415" spans="1:15" x14ac:dyDescent="0.3">
      <c r="A2415" s="340" t="s">
        <v>891</v>
      </c>
      <c r="B2415" s="350">
        <v>46114</v>
      </c>
      <c r="C2415" s="350">
        <v>46125</v>
      </c>
      <c r="D2415" s="351">
        <v>46113</v>
      </c>
      <c r="E2415" s="340" t="s">
        <v>2617</v>
      </c>
      <c r="F2415" s="340" t="s">
        <v>894</v>
      </c>
      <c r="G2415" s="340" t="s">
        <v>2439</v>
      </c>
      <c r="H2415" s="340"/>
      <c r="I2415" s="340" t="s">
        <v>771</v>
      </c>
      <c r="K2415" s="343">
        <v>0</v>
      </c>
      <c r="L2415" s="343">
        <v>-1.32</v>
      </c>
      <c r="M2415" s="343">
        <v>-1284987.8500000001</v>
      </c>
      <c r="O2415" s="343">
        <v>0</v>
      </c>
    </row>
    <row r="2416" spans="1:15" x14ac:dyDescent="0.3">
      <c r="A2416" s="340" t="s">
        <v>891</v>
      </c>
      <c r="B2416" s="350">
        <v>46114</v>
      </c>
      <c r="C2416" s="350">
        <v>46125</v>
      </c>
      <c r="D2416" s="351">
        <v>46113</v>
      </c>
      <c r="E2416" s="340" t="s">
        <v>2617</v>
      </c>
      <c r="F2416" s="340" t="s">
        <v>894</v>
      </c>
      <c r="G2416" s="340" t="s">
        <v>2441</v>
      </c>
      <c r="H2416" s="340"/>
      <c r="I2416" s="340" t="s">
        <v>771</v>
      </c>
      <c r="K2416" s="343">
        <v>0</v>
      </c>
      <c r="L2416" s="343">
        <v>-1.78</v>
      </c>
      <c r="M2416" s="343">
        <v>-1284989.6299999999</v>
      </c>
      <c r="O2416" s="343">
        <v>0</v>
      </c>
    </row>
    <row r="2417" spans="1:15" x14ac:dyDescent="0.3">
      <c r="A2417" s="340" t="s">
        <v>891</v>
      </c>
      <c r="B2417" s="350">
        <v>46114</v>
      </c>
      <c r="C2417" s="350">
        <v>46125</v>
      </c>
      <c r="D2417" s="351">
        <v>46113</v>
      </c>
      <c r="E2417" s="340" t="s">
        <v>2617</v>
      </c>
      <c r="F2417" s="340" t="s">
        <v>894</v>
      </c>
      <c r="G2417" s="340" t="s">
        <v>2442</v>
      </c>
      <c r="H2417" s="340"/>
      <c r="I2417" s="340" t="s">
        <v>771</v>
      </c>
      <c r="K2417" s="343">
        <v>0</v>
      </c>
      <c r="L2417" s="343">
        <v>-2.2599999999999998</v>
      </c>
      <c r="M2417" s="343">
        <v>-1284991.8899999999</v>
      </c>
      <c r="O2417" s="343">
        <v>0</v>
      </c>
    </row>
    <row r="2418" spans="1:15" x14ac:dyDescent="0.3">
      <c r="A2418" s="340" t="s">
        <v>891</v>
      </c>
      <c r="B2418" s="350">
        <v>46114</v>
      </c>
      <c r="C2418" s="350">
        <v>46125</v>
      </c>
      <c r="D2418" s="351">
        <v>46113</v>
      </c>
      <c r="E2418" s="340" t="s">
        <v>2617</v>
      </c>
      <c r="F2418" s="340" t="s">
        <v>894</v>
      </c>
      <c r="G2418" s="340" t="s">
        <v>2441</v>
      </c>
      <c r="H2418" s="340"/>
      <c r="I2418" s="340" t="s">
        <v>771</v>
      </c>
      <c r="K2418" s="343">
        <v>0</v>
      </c>
      <c r="L2418" s="343">
        <v>-2.64</v>
      </c>
      <c r="M2418" s="343">
        <v>-1284994.53</v>
      </c>
      <c r="O2418" s="343">
        <v>0</v>
      </c>
    </row>
    <row r="2419" spans="1:15" x14ac:dyDescent="0.3">
      <c r="A2419" s="340" t="s">
        <v>891</v>
      </c>
      <c r="B2419" s="350">
        <v>46114</v>
      </c>
      <c r="C2419" s="350">
        <v>46125</v>
      </c>
      <c r="D2419" s="351">
        <v>46113</v>
      </c>
      <c r="E2419" s="340" t="s">
        <v>2617</v>
      </c>
      <c r="F2419" s="340" t="s">
        <v>894</v>
      </c>
      <c r="G2419" s="340" t="s">
        <v>2565</v>
      </c>
      <c r="H2419" s="340"/>
      <c r="I2419" s="340" t="s">
        <v>771</v>
      </c>
      <c r="K2419" s="343">
        <v>0</v>
      </c>
      <c r="L2419" s="343">
        <v>-4.6100000000000003</v>
      </c>
      <c r="M2419" s="343">
        <v>-1284999.1399999999</v>
      </c>
      <c r="O2419" s="343">
        <v>0</v>
      </c>
    </row>
    <row r="2420" spans="1:15" x14ac:dyDescent="0.3">
      <c r="A2420" s="340" t="s">
        <v>891</v>
      </c>
      <c r="B2420" s="350">
        <v>46114</v>
      </c>
      <c r="C2420" s="350">
        <v>46125</v>
      </c>
      <c r="D2420" s="351">
        <v>46113</v>
      </c>
      <c r="E2420" s="340" t="s">
        <v>2617</v>
      </c>
      <c r="F2420" s="340" t="s">
        <v>894</v>
      </c>
      <c r="G2420" s="340" t="s">
        <v>2571</v>
      </c>
      <c r="H2420" s="340"/>
      <c r="I2420" s="340" t="s">
        <v>771</v>
      </c>
      <c r="K2420" s="343">
        <v>0</v>
      </c>
      <c r="L2420" s="343">
        <v>-11.22</v>
      </c>
      <c r="M2420" s="343">
        <v>-1285010.3600000001</v>
      </c>
      <c r="O2420" s="343">
        <v>0</v>
      </c>
    </row>
    <row r="2421" spans="1:15" x14ac:dyDescent="0.3">
      <c r="A2421" s="340" t="s">
        <v>891</v>
      </c>
      <c r="B2421" s="350">
        <v>46114</v>
      </c>
      <c r="C2421" s="350">
        <v>46125</v>
      </c>
      <c r="D2421" s="351">
        <v>46113</v>
      </c>
      <c r="E2421" s="340" t="s">
        <v>2617</v>
      </c>
      <c r="F2421" s="340" t="s">
        <v>894</v>
      </c>
      <c r="G2421" s="340" t="s">
        <v>2572</v>
      </c>
      <c r="H2421" s="340"/>
      <c r="I2421" s="340" t="s">
        <v>771</v>
      </c>
      <c r="K2421" s="343">
        <v>0</v>
      </c>
      <c r="L2421" s="343">
        <v>-31.77</v>
      </c>
      <c r="M2421" s="343">
        <v>-1285042.1299999999</v>
      </c>
      <c r="O2421" s="343">
        <v>0</v>
      </c>
    </row>
    <row r="2422" spans="1:15" x14ac:dyDescent="0.3">
      <c r="A2422" s="340" t="s">
        <v>891</v>
      </c>
      <c r="B2422" s="350">
        <v>46114</v>
      </c>
      <c r="C2422" s="350">
        <v>46125</v>
      </c>
      <c r="D2422" s="351">
        <v>46113</v>
      </c>
      <c r="E2422" s="340" t="s">
        <v>2617</v>
      </c>
      <c r="F2422" s="340" t="s">
        <v>894</v>
      </c>
      <c r="G2422" s="340" t="s">
        <v>2573</v>
      </c>
      <c r="H2422" s="340"/>
      <c r="I2422" s="340" t="s">
        <v>771</v>
      </c>
      <c r="K2422" s="343">
        <v>0</v>
      </c>
      <c r="L2422" s="343">
        <v>-37.19</v>
      </c>
      <c r="M2422" s="343">
        <v>-1285079.32</v>
      </c>
      <c r="O2422" s="343">
        <v>0</v>
      </c>
    </row>
    <row r="2423" spans="1:15" x14ac:dyDescent="0.3">
      <c r="A2423" s="340" t="s">
        <v>891</v>
      </c>
      <c r="B2423" s="350">
        <v>46114</v>
      </c>
      <c r="C2423" s="350">
        <v>46125</v>
      </c>
      <c r="D2423" s="351">
        <v>46113</v>
      </c>
      <c r="E2423" s="340" t="s">
        <v>2617</v>
      </c>
      <c r="F2423" s="340" t="s">
        <v>894</v>
      </c>
      <c r="G2423" s="340" t="s">
        <v>2566</v>
      </c>
      <c r="H2423" s="340"/>
      <c r="I2423" s="340" t="s">
        <v>771</v>
      </c>
      <c r="K2423" s="343">
        <v>0</v>
      </c>
      <c r="L2423" s="343">
        <v>-127.22</v>
      </c>
      <c r="M2423" s="343">
        <v>-1285206.54</v>
      </c>
      <c r="O2423" s="343">
        <v>0</v>
      </c>
    </row>
    <row r="2424" spans="1:15" x14ac:dyDescent="0.3">
      <c r="A2424" s="340" t="s">
        <v>891</v>
      </c>
      <c r="B2424" s="350">
        <v>46114</v>
      </c>
      <c r="C2424" s="350">
        <v>46125</v>
      </c>
      <c r="D2424" s="351">
        <v>46113</v>
      </c>
      <c r="E2424" s="340" t="s">
        <v>2617</v>
      </c>
      <c r="F2424" s="340" t="s">
        <v>894</v>
      </c>
      <c r="G2424" s="340" t="s">
        <v>2567</v>
      </c>
      <c r="H2424" s="340"/>
      <c r="I2424" s="340" t="s">
        <v>771</v>
      </c>
      <c r="K2424" s="343">
        <v>0</v>
      </c>
      <c r="L2424" s="343">
        <v>-0.01</v>
      </c>
      <c r="M2424" s="343">
        <v>-1285206.55</v>
      </c>
      <c r="O2424" s="343">
        <v>0</v>
      </c>
    </row>
    <row r="2425" spans="1:15" x14ac:dyDescent="0.3">
      <c r="A2425" s="340" t="s">
        <v>891</v>
      </c>
      <c r="B2425" s="350">
        <v>46114</v>
      </c>
      <c r="C2425" s="350">
        <v>46125</v>
      </c>
      <c r="D2425" s="351">
        <v>46113</v>
      </c>
      <c r="E2425" s="340" t="s">
        <v>2617</v>
      </c>
      <c r="F2425" s="340" t="s">
        <v>894</v>
      </c>
      <c r="G2425" s="340" t="s">
        <v>2568</v>
      </c>
      <c r="H2425" s="340"/>
      <c r="I2425" s="340" t="s">
        <v>771</v>
      </c>
      <c r="K2425" s="343">
        <v>0</v>
      </c>
      <c r="L2425" s="343">
        <v>-0.02</v>
      </c>
      <c r="M2425" s="343">
        <v>-1285206.57</v>
      </c>
      <c r="O2425" s="343">
        <v>0</v>
      </c>
    </row>
    <row r="2426" spans="1:15" x14ac:dyDescent="0.3">
      <c r="A2426" s="340" t="s">
        <v>891</v>
      </c>
      <c r="B2426" s="350">
        <v>46114</v>
      </c>
      <c r="C2426" s="350">
        <v>46125</v>
      </c>
      <c r="D2426" s="351">
        <v>46113</v>
      </c>
      <c r="E2426" s="340" t="s">
        <v>2617</v>
      </c>
      <c r="F2426" s="340" t="s">
        <v>894</v>
      </c>
      <c r="G2426" s="340" t="s">
        <v>2568</v>
      </c>
      <c r="H2426" s="340"/>
      <c r="I2426" s="340" t="s">
        <v>771</v>
      </c>
      <c r="K2426" s="343">
        <v>0</v>
      </c>
      <c r="L2426" s="343">
        <v>-0.03</v>
      </c>
      <c r="M2426" s="343">
        <v>-1285206.6000000001</v>
      </c>
      <c r="O2426" s="343">
        <v>0</v>
      </c>
    </row>
    <row r="2427" spans="1:15" x14ac:dyDescent="0.3">
      <c r="A2427" s="340" t="s">
        <v>891</v>
      </c>
      <c r="B2427" s="350">
        <v>46114</v>
      </c>
      <c r="C2427" s="350">
        <v>46125</v>
      </c>
      <c r="D2427" s="351">
        <v>46113</v>
      </c>
      <c r="E2427" s="340" t="s">
        <v>2617</v>
      </c>
      <c r="F2427" s="340" t="s">
        <v>894</v>
      </c>
      <c r="G2427" s="340" t="s">
        <v>2569</v>
      </c>
      <c r="H2427" s="340"/>
      <c r="I2427" s="340" t="s">
        <v>771</v>
      </c>
      <c r="K2427" s="343">
        <v>0</v>
      </c>
      <c r="L2427" s="343">
        <v>-0.12</v>
      </c>
      <c r="M2427" s="343">
        <v>-1285206.72</v>
      </c>
      <c r="O2427" s="343">
        <v>0</v>
      </c>
    </row>
    <row r="2428" spans="1:15" x14ac:dyDescent="0.3">
      <c r="A2428" s="340" t="s">
        <v>891</v>
      </c>
      <c r="B2428" s="350">
        <v>46114</v>
      </c>
      <c r="C2428" s="350">
        <v>46125</v>
      </c>
      <c r="D2428" s="351">
        <v>46113</v>
      </c>
      <c r="E2428" s="340" t="s">
        <v>2617</v>
      </c>
      <c r="F2428" s="340" t="s">
        <v>894</v>
      </c>
      <c r="G2428" s="340" t="s">
        <v>2439</v>
      </c>
      <c r="H2428" s="340"/>
      <c r="I2428" s="340" t="s">
        <v>771</v>
      </c>
      <c r="K2428" s="343">
        <v>0</v>
      </c>
      <c r="L2428" s="343">
        <v>-0.14000000000000001</v>
      </c>
      <c r="M2428" s="343">
        <v>-1285206.8600000001</v>
      </c>
      <c r="O2428" s="343">
        <v>0</v>
      </c>
    </row>
    <row r="2429" spans="1:15" x14ac:dyDescent="0.3">
      <c r="A2429" s="340" t="s">
        <v>891</v>
      </c>
      <c r="B2429" s="350">
        <v>46114</v>
      </c>
      <c r="C2429" s="350">
        <v>46125</v>
      </c>
      <c r="D2429" s="351">
        <v>46113</v>
      </c>
      <c r="E2429" s="340" t="s">
        <v>2617</v>
      </c>
      <c r="F2429" s="340" t="s">
        <v>894</v>
      </c>
      <c r="G2429" s="340" t="s">
        <v>2570</v>
      </c>
      <c r="H2429" s="340"/>
      <c r="I2429" s="340" t="s">
        <v>771</v>
      </c>
      <c r="K2429" s="343">
        <v>0</v>
      </c>
      <c r="L2429" s="343">
        <v>-0.14000000000000001</v>
      </c>
      <c r="M2429" s="343">
        <v>-1285207</v>
      </c>
      <c r="O2429" s="343">
        <v>0</v>
      </c>
    </row>
    <row r="2430" spans="1:15" x14ac:dyDescent="0.3">
      <c r="A2430" s="340" t="s">
        <v>891</v>
      </c>
      <c r="B2430" s="350">
        <v>46114</v>
      </c>
      <c r="C2430" s="350">
        <v>46125</v>
      </c>
      <c r="D2430" s="351">
        <v>46113</v>
      </c>
      <c r="E2430" s="340" t="s">
        <v>2617</v>
      </c>
      <c r="F2430" s="340" t="s">
        <v>894</v>
      </c>
      <c r="G2430" s="340" t="s">
        <v>2439</v>
      </c>
      <c r="H2430" s="340"/>
      <c r="I2430" s="340" t="s">
        <v>771</v>
      </c>
      <c r="K2430" s="343">
        <v>0</v>
      </c>
      <c r="L2430" s="343">
        <v>-0.16</v>
      </c>
      <c r="M2430" s="343">
        <v>-1285207.1599999999</v>
      </c>
      <c r="O2430" s="343">
        <v>0</v>
      </c>
    </row>
    <row r="2431" spans="1:15" x14ac:dyDescent="0.3">
      <c r="A2431" s="340" t="s">
        <v>891</v>
      </c>
      <c r="B2431" s="350">
        <v>46114</v>
      </c>
      <c r="C2431" s="350">
        <v>46125</v>
      </c>
      <c r="D2431" s="351">
        <v>46113</v>
      </c>
      <c r="E2431" s="340" t="s">
        <v>2617</v>
      </c>
      <c r="F2431" s="340" t="s">
        <v>894</v>
      </c>
      <c r="G2431" s="340" t="s">
        <v>2441</v>
      </c>
      <c r="H2431" s="340"/>
      <c r="I2431" s="340" t="s">
        <v>771</v>
      </c>
      <c r="K2431" s="343">
        <v>0</v>
      </c>
      <c r="L2431" s="343">
        <v>-0.28999999999999998</v>
      </c>
      <c r="M2431" s="343">
        <v>-1285207.45</v>
      </c>
      <c r="O2431" s="343">
        <v>0</v>
      </c>
    </row>
    <row r="2432" spans="1:15" x14ac:dyDescent="0.3">
      <c r="A2432" s="340" t="s">
        <v>891</v>
      </c>
      <c r="B2432" s="350">
        <v>46114</v>
      </c>
      <c r="C2432" s="350">
        <v>46125</v>
      </c>
      <c r="D2432" s="351">
        <v>46113</v>
      </c>
      <c r="E2432" s="340" t="s">
        <v>2617</v>
      </c>
      <c r="F2432" s="340" t="s">
        <v>894</v>
      </c>
      <c r="G2432" s="340" t="s">
        <v>2441</v>
      </c>
      <c r="H2432" s="340"/>
      <c r="I2432" s="340" t="s">
        <v>771</v>
      </c>
      <c r="K2432" s="343">
        <v>0</v>
      </c>
      <c r="L2432" s="343">
        <v>-0.32</v>
      </c>
      <c r="M2432" s="343">
        <v>-1285207.77</v>
      </c>
      <c r="O2432" s="343">
        <v>0</v>
      </c>
    </row>
    <row r="2433" spans="1:15" x14ac:dyDescent="0.3">
      <c r="A2433" s="340" t="s">
        <v>891</v>
      </c>
      <c r="B2433" s="350">
        <v>46114</v>
      </c>
      <c r="C2433" s="350">
        <v>46125</v>
      </c>
      <c r="D2433" s="351">
        <v>46113</v>
      </c>
      <c r="E2433" s="340" t="s">
        <v>2617</v>
      </c>
      <c r="F2433" s="340" t="s">
        <v>894</v>
      </c>
      <c r="G2433" s="340" t="s">
        <v>2571</v>
      </c>
      <c r="H2433" s="340"/>
      <c r="I2433" s="340" t="s">
        <v>771</v>
      </c>
      <c r="K2433" s="343">
        <v>0</v>
      </c>
      <c r="L2433" s="343">
        <v>-1.21</v>
      </c>
      <c r="M2433" s="343">
        <v>-1285208.98</v>
      </c>
      <c r="O2433" s="343">
        <v>0</v>
      </c>
    </row>
    <row r="2434" spans="1:15" x14ac:dyDescent="0.3">
      <c r="A2434" s="340" t="s">
        <v>891</v>
      </c>
      <c r="B2434" s="350">
        <v>46114</v>
      </c>
      <c r="C2434" s="350">
        <v>46125</v>
      </c>
      <c r="D2434" s="351">
        <v>46113</v>
      </c>
      <c r="E2434" s="340" t="s">
        <v>2617</v>
      </c>
      <c r="F2434" s="340" t="s">
        <v>894</v>
      </c>
      <c r="G2434" s="340" t="s">
        <v>2442</v>
      </c>
      <c r="H2434" s="340"/>
      <c r="I2434" s="340" t="s">
        <v>771</v>
      </c>
      <c r="K2434" s="343">
        <v>0</v>
      </c>
      <c r="L2434" s="343">
        <v>-2.2599999999999998</v>
      </c>
      <c r="M2434" s="343">
        <v>-1285211.24</v>
      </c>
      <c r="O2434" s="343">
        <v>0</v>
      </c>
    </row>
    <row r="2435" spans="1:15" x14ac:dyDescent="0.3">
      <c r="A2435" s="340" t="s">
        <v>891</v>
      </c>
      <c r="B2435" s="350">
        <v>46114</v>
      </c>
      <c r="C2435" s="350">
        <v>46125</v>
      </c>
      <c r="D2435" s="351">
        <v>46113</v>
      </c>
      <c r="E2435" s="340" t="s">
        <v>2617</v>
      </c>
      <c r="F2435" s="340" t="s">
        <v>894</v>
      </c>
      <c r="G2435" s="340" t="s">
        <v>2572</v>
      </c>
      <c r="H2435" s="340"/>
      <c r="I2435" s="340" t="s">
        <v>771</v>
      </c>
      <c r="K2435" s="343">
        <v>0</v>
      </c>
      <c r="L2435" s="343">
        <v>-3.43</v>
      </c>
      <c r="M2435" s="343">
        <v>-1285214.67</v>
      </c>
      <c r="O2435" s="343">
        <v>0</v>
      </c>
    </row>
    <row r="2436" spans="1:15" x14ac:dyDescent="0.3">
      <c r="A2436" s="340" t="s">
        <v>891</v>
      </c>
      <c r="B2436" s="350">
        <v>46114</v>
      </c>
      <c r="C2436" s="350">
        <v>46125</v>
      </c>
      <c r="D2436" s="351">
        <v>46113</v>
      </c>
      <c r="E2436" s="340" t="s">
        <v>2617</v>
      </c>
      <c r="F2436" s="340" t="s">
        <v>894</v>
      </c>
      <c r="G2436" s="340" t="s">
        <v>2573</v>
      </c>
      <c r="H2436" s="340"/>
      <c r="I2436" s="340" t="s">
        <v>771</v>
      </c>
      <c r="K2436" s="343">
        <v>0</v>
      </c>
      <c r="L2436" s="343">
        <v>-4.0199999999999996</v>
      </c>
      <c r="M2436" s="343">
        <v>-1285218.69</v>
      </c>
      <c r="O2436" s="343">
        <v>0</v>
      </c>
    </row>
    <row r="2437" spans="1:15" x14ac:dyDescent="0.3">
      <c r="A2437" s="340" t="s">
        <v>891</v>
      </c>
      <c r="B2437" s="350">
        <v>46114</v>
      </c>
      <c r="C2437" s="350">
        <v>46125</v>
      </c>
      <c r="D2437" s="351">
        <v>46113</v>
      </c>
      <c r="E2437" s="340" t="s">
        <v>2617</v>
      </c>
      <c r="F2437" s="340" t="s">
        <v>894</v>
      </c>
      <c r="G2437" s="340" t="s">
        <v>2565</v>
      </c>
      <c r="H2437" s="340"/>
      <c r="I2437" s="340" t="s">
        <v>771</v>
      </c>
      <c r="K2437" s="343">
        <v>0</v>
      </c>
      <c r="L2437" s="343">
        <v>-4.6100000000000003</v>
      </c>
      <c r="M2437" s="343">
        <v>-1285223.3</v>
      </c>
      <c r="O2437" s="343">
        <v>0</v>
      </c>
    </row>
    <row r="2438" spans="1:15" x14ac:dyDescent="0.3">
      <c r="A2438" s="340" t="s">
        <v>891</v>
      </c>
      <c r="B2438" s="350">
        <v>46114</v>
      </c>
      <c r="C2438" s="350">
        <v>46125</v>
      </c>
      <c r="D2438" s="351">
        <v>46113</v>
      </c>
      <c r="E2438" s="340" t="s">
        <v>2617</v>
      </c>
      <c r="F2438" s="340" t="s">
        <v>894</v>
      </c>
      <c r="G2438" s="340" t="s">
        <v>2566</v>
      </c>
      <c r="H2438" s="340"/>
      <c r="I2438" s="340" t="s">
        <v>771</v>
      </c>
      <c r="K2438" s="343">
        <v>0</v>
      </c>
      <c r="L2438" s="343">
        <v>-13.74</v>
      </c>
      <c r="M2438" s="343">
        <v>-1285237.04</v>
      </c>
      <c r="O2438" s="343">
        <v>0</v>
      </c>
    </row>
    <row r="2439" spans="1:15" x14ac:dyDescent="0.3">
      <c r="A2439" s="340" t="s">
        <v>891</v>
      </c>
      <c r="B2439" s="350">
        <v>46114</v>
      </c>
      <c r="C2439" s="350">
        <v>46125</v>
      </c>
      <c r="D2439" s="351">
        <v>46113</v>
      </c>
      <c r="E2439" s="340" t="s">
        <v>2617</v>
      </c>
      <c r="F2439" s="340" t="s">
        <v>894</v>
      </c>
      <c r="G2439" s="340" t="s">
        <v>2567</v>
      </c>
      <c r="H2439" s="340"/>
      <c r="I2439" s="340" t="s">
        <v>771</v>
      </c>
      <c r="K2439" s="343">
        <v>0</v>
      </c>
      <c r="L2439" s="343">
        <v>-0.01</v>
      </c>
      <c r="M2439" s="343">
        <v>-1285237.05</v>
      </c>
      <c r="O2439" s="343">
        <v>0</v>
      </c>
    </row>
    <row r="2440" spans="1:15" x14ac:dyDescent="0.3">
      <c r="A2440" s="340" t="s">
        <v>891</v>
      </c>
      <c r="B2440" s="350">
        <v>46114</v>
      </c>
      <c r="C2440" s="350">
        <v>46125</v>
      </c>
      <c r="D2440" s="351">
        <v>46113</v>
      </c>
      <c r="E2440" s="340" t="s">
        <v>2617</v>
      </c>
      <c r="F2440" s="340" t="s">
        <v>894</v>
      </c>
      <c r="G2440" s="340" t="s">
        <v>2568</v>
      </c>
      <c r="H2440" s="340"/>
      <c r="I2440" s="340" t="s">
        <v>771</v>
      </c>
      <c r="K2440" s="343">
        <v>0</v>
      </c>
      <c r="L2440" s="343">
        <v>-0.02</v>
      </c>
      <c r="M2440" s="343">
        <v>-1285237.07</v>
      </c>
      <c r="O2440" s="343">
        <v>0</v>
      </c>
    </row>
    <row r="2441" spans="1:15" x14ac:dyDescent="0.3">
      <c r="A2441" s="340" t="s">
        <v>891</v>
      </c>
      <c r="B2441" s="350">
        <v>46114</v>
      </c>
      <c r="C2441" s="350">
        <v>46125</v>
      </c>
      <c r="D2441" s="351">
        <v>46113</v>
      </c>
      <c r="E2441" s="340" t="s">
        <v>2617</v>
      </c>
      <c r="F2441" s="340" t="s">
        <v>894</v>
      </c>
      <c r="G2441" s="340" t="s">
        <v>2441</v>
      </c>
      <c r="H2441" s="340"/>
      <c r="I2441" s="340" t="s">
        <v>771</v>
      </c>
      <c r="K2441" s="343">
        <v>0</v>
      </c>
      <c r="L2441" s="343">
        <v>-0.27</v>
      </c>
      <c r="M2441" s="343">
        <v>-1285237.3400000001</v>
      </c>
      <c r="O2441" s="343">
        <v>0</v>
      </c>
    </row>
    <row r="2442" spans="1:15" x14ac:dyDescent="0.3">
      <c r="A2442" s="340" t="s">
        <v>891</v>
      </c>
      <c r="B2442" s="350">
        <v>46114</v>
      </c>
      <c r="C2442" s="350">
        <v>46125</v>
      </c>
      <c r="D2442" s="351">
        <v>46113</v>
      </c>
      <c r="E2442" s="340" t="s">
        <v>2617</v>
      </c>
      <c r="F2442" s="340" t="s">
        <v>894</v>
      </c>
      <c r="G2442" s="340" t="s">
        <v>2439</v>
      </c>
      <c r="H2442" s="340"/>
      <c r="I2442" s="340" t="s">
        <v>771</v>
      </c>
      <c r="K2442" s="343">
        <v>0</v>
      </c>
      <c r="L2442" s="343">
        <v>-0.13</v>
      </c>
      <c r="M2442" s="343">
        <v>-1285237.47</v>
      </c>
      <c r="O2442" s="343">
        <v>0</v>
      </c>
    </row>
    <row r="2443" spans="1:15" x14ac:dyDescent="0.3">
      <c r="A2443" s="340" t="s">
        <v>891</v>
      </c>
      <c r="B2443" s="350">
        <v>46114</v>
      </c>
      <c r="C2443" s="350">
        <v>46125</v>
      </c>
      <c r="D2443" s="351">
        <v>46113</v>
      </c>
      <c r="E2443" s="340" t="s">
        <v>2617</v>
      </c>
      <c r="F2443" s="340" t="s">
        <v>894</v>
      </c>
      <c r="G2443" s="340" t="s">
        <v>2568</v>
      </c>
      <c r="H2443" s="340"/>
      <c r="I2443" s="340" t="s">
        <v>771</v>
      </c>
      <c r="K2443" s="343">
        <v>0</v>
      </c>
      <c r="L2443" s="343">
        <v>-0.02</v>
      </c>
      <c r="M2443" s="343">
        <v>-1285237.49</v>
      </c>
      <c r="O2443" s="343">
        <v>0</v>
      </c>
    </row>
    <row r="2444" spans="1:15" x14ac:dyDescent="0.3">
      <c r="A2444" s="340" t="s">
        <v>891</v>
      </c>
      <c r="B2444" s="350">
        <v>46114</v>
      </c>
      <c r="C2444" s="350">
        <v>46125</v>
      </c>
      <c r="D2444" s="351">
        <v>46113</v>
      </c>
      <c r="E2444" s="340" t="s">
        <v>2617</v>
      </c>
      <c r="F2444" s="340" t="s">
        <v>894</v>
      </c>
      <c r="G2444" s="340" t="s">
        <v>2569</v>
      </c>
      <c r="H2444" s="340"/>
      <c r="I2444" s="340" t="s">
        <v>771</v>
      </c>
      <c r="K2444" s="343">
        <v>0</v>
      </c>
      <c r="L2444" s="343">
        <v>-0.08</v>
      </c>
      <c r="M2444" s="343">
        <v>-1285237.57</v>
      </c>
      <c r="O2444" s="343">
        <v>0</v>
      </c>
    </row>
    <row r="2445" spans="1:15" x14ac:dyDescent="0.3">
      <c r="A2445" s="340" t="s">
        <v>891</v>
      </c>
      <c r="B2445" s="350">
        <v>46114</v>
      </c>
      <c r="C2445" s="350">
        <v>46125</v>
      </c>
      <c r="D2445" s="351">
        <v>46113</v>
      </c>
      <c r="E2445" s="340" t="s">
        <v>2617</v>
      </c>
      <c r="F2445" s="340" t="s">
        <v>894</v>
      </c>
      <c r="G2445" s="340" t="s">
        <v>2439</v>
      </c>
      <c r="H2445" s="340"/>
      <c r="I2445" s="340" t="s">
        <v>771</v>
      </c>
      <c r="K2445" s="343">
        <v>0</v>
      </c>
      <c r="L2445" s="343">
        <v>-0.1</v>
      </c>
      <c r="M2445" s="343">
        <v>-1285237.67</v>
      </c>
      <c r="O2445" s="343">
        <v>0</v>
      </c>
    </row>
    <row r="2446" spans="1:15" x14ac:dyDescent="0.3">
      <c r="A2446" s="340" t="s">
        <v>891</v>
      </c>
      <c r="B2446" s="350">
        <v>46114</v>
      </c>
      <c r="C2446" s="350">
        <v>46125</v>
      </c>
      <c r="D2446" s="351">
        <v>46113</v>
      </c>
      <c r="E2446" s="340" t="s">
        <v>2617</v>
      </c>
      <c r="F2446" s="340" t="s">
        <v>894</v>
      </c>
      <c r="G2446" s="340" t="s">
        <v>2570</v>
      </c>
      <c r="H2446" s="340"/>
      <c r="I2446" s="340" t="s">
        <v>771</v>
      </c>
      <c r="K2446" s="343">
        <v>0</v>
      </c>
      <c r="L2446" s="343">
        <v>-0.1</v>
      </c>
      <c r="M2446" s="343">
        <v>-1285237.77</v>
      </c>
      <c r="O2446" s="343">
        <v>0</v>
      </c>
    </row>
    <row r="2447" spans="1:15" x14ac:dyDescent="0.3">
      <c r="A2447" s="340" t="s">
        <v>891</v>
      </c>
      <c r="B2447" s="350">
        <v>46114</v>
      </c>
      <c r="C2447" s="350">
        <v>46125</v>
      </c>
      <c r="D2447" s="351">
        <v>46113</v>
      </c>
      <c r="E2447" s="340" t="s">
        <v>2617</v>
      </c>
      <c r="F2447" s="340" t="s">
        <v>894</v>
      </c>
      <c r="G2447" s="340" t="s">
        <v>2441</v>
      </c>
      <c r="H2447" s="340"/>
      <c r="I2447" s="340" t="s">
        <v>771</v>
      </c>
      <c r="K2447" s="343">
        <v>0</v>
      </c>
      <c r="L2447" s="343">
        <v>-0.2</v>
      </c>
      <c r="M2447" s="343">
        <v>-1285237.97</v>
      </c>
      <c r="O2447" s="343">
        <v>0</v>
      </c>
    </row>
    <row r="2448" spans="1:15" x14ac:dyDescent="0.3">
      <c r="A2448" s="340" t="s">
        <v>891</v>
      </c>
      <c r="B2448" s="350">
        <v>46114</v>
      </c>
      <c r="C2448" s="350">
        <v>46125</v>
      </c>
      <c r="D2448" s="351">
        <v>46113</v>
      </c>
      <c r="E2448" s="340" t="s">
        <v>2617</v>
      </c>
      <c r="F2448" s="340" t="s">
        <v>894</v>
      </c>
      <c r="G2448" s="340" t="s">
        <v>2571</v>
      </c>
      <c r="H2448" s="340"/>
      <c r="I2448" s="340" t="s">
        <v>771</v>
      </c>
      <c r="K2448" s="343">
        <v>0</v>
      </c>
      <c r="L2448" s="343">
        <v>-0.86</v>
      </c>
      <c r="M2448" s="343">
        <v>-1285238.83</v>
      </c>
      <c r="O2448" s="343">
        <v>0</v>
      </c>
    </row>
    <row r="2449" spans="1:15" x14ac:dyDescent="0.3">
      <c r="A2449" s="340" t="s">
        <v>891</v>
      </c>
      <c r="B2449" s="350">
        <v>46114</v>
      </c>
      <c r="C2449" s="350">
        <v>46125</v>
      </c>
      <c r="D2449" s="351">
        <v>46113</v>
      </c>
      <c r="E2449" s="340" t="s">
        <v>2617</v>
      </c>
      <c r="F2449" s="340" t="s">
        <v>894</v>
      </c>
      <c r="G2449" s="340" t="s">
        <v>2442</v>
      </c>
      <c r="H2449" s="340"/>
      <c r="I2449" s="340" t="s">
        <v>771</v>
      </c>
      <c r="K2449" s="343">
        <v>0</v>
      </c>
      <c r="L2449" s="343">
        <v>-2.2599999999999998</v>
      </c>
      <c r="M2449" s="343">
        <v>-1285241.0900000001</v>
      </c>
      <c r="O2449" s="343">
        <v>0</v>
      </c>
    </row>
    <row r="2450" spans="1:15" x14ac:dyDescent="0.3">
      <c r="A2450" s="340" t="s">
        <v>891</v>
      </c>
      <c r="B2450" s="350">
        <v>46114</v>
      </c>
      <c r="C2450" s="350">
        <v>46125</v>
      </c>
      <c r="D2450" s="351">
        <v>46113</v>
      </c>
      <c r="E2450" s="340" t="s">
        <v>2617</v>
      </c>
      <c r="F2450" s="340" t="s">
        <v>894</v>
      </c>
      <c r="G2450" s="340" t="s">
        <v>2572</v>
      </c>
      <c r="H2450" s="340"/>
      <c r="I2450" s="340" t="s">
        <v>771</v>
      </c>
      <c r="K2450" s="343">
        <v>0</v>
      </c>
      <c r="L2450" s="343">
        <v>-2.4300000000000002</v>
      </c>
      <c r="M2450" s="343">
        <v>-1285243.52</v>
      </c>
      <c r="O2450" s="343">
        <v>0</v>
      </c>
    </row>
    <row r="2451" spans="1:15" x14ac:dyDescent="0.3">
      <c r="A2451" s="340" t="s">
        <v>891</v>
      </c>
      <c r="B2451" s="350">
        <v>46114</v>
      </c>
      <c r="C2451" s="350">
        <v>46125</v>
      </c>
      <c r="D2451" s="351">
        <v>46113</v>
      </c>
      <c r="E2451" s="340" t="s">
        <v>2617</v>
      </c>
      <c r="F2451" s="340" t="s">
        <v>894</v>
      </c>
      <c r="G2451" s="340" t="s">
        <v>2573</v>
      </c>
      <c r="H2451" s="340"/>
      <c r="I2451" s="340" t="s">
        <v>771</v>
      </c>
      <c r="K2451" s="343">
        <v>0</v>
      </c>
      <c r="L2451" s="343">
        <v>-2.85</v>
      </c>
      <c r="M2451" s="343">
        <v>-1285246.3700000001</v>
      </c>
      <c r="O2451" s="343">
        <v>0</v>
      </c>
    </row>
    <row r="2452" spans="1:15" x14ac:dyDescent="0.3">
      <c r="A2452" s="340" t="s">
        <v>891</v>
      </c>
      <c r="B2452" s="350">
        <v>46114</v>
      </c>
      <c r="C2452" s="350">
        <v>46125</v>
      </c>
      <c r="D2452" s="351">
        <v>46113</v>
      </c>
      <c r="E2452" s="340" t="s">
        <v>2617</v>
      </c>
      <c r="F2452" s="340" t="s">
        <v>894</v>
      </c>
      <c r="G2452" s="340" t="s">
        <v>2565</v>
      </c>
      <c r="H2452" s="340"/>
      <c r="I2452" s="340" t="s">
        <v>771</v>
      </c>
      <c r="K2452" s="343">
        <v>0</v>
      </c>
      <c r="L2452" s="343">
        <v>-4.6100000000000003</v>
      </c>
      <c r="M2452" s="343">
        <v>-1285250.98</v>
      </c>
      <c r="O2452" s="343">
        <v>0</v>
      </c>
    </row>
    <row r="2453" spans="1:15" x14ac:dyDescent="0.3">
      <c r="A2453" s="340" t="s">
        <v>891</v>
      </c>
      <c r="B2453" s="350">
        <v>46114</v>
      </c>
      <c r="C2453" s="350">
        <v>46125</v>
      </c>
      <c r="D2453" s="351">
        <v>46113</v>
      </c>
      <c r="E2453" s="340" t="s">
        <v>2617</v>
      </c>
      <c r="F2453" s="340" t="s">
        <v>894</v>
      </c>
      <c r="G2453" s="340" t="s">
        <v>2566</v>
      </c>
      <c r="H2453" s="340"/>
      <c r="I2453" s="340" t="s">
        <v>771</v>
      </c>
      <c r="K2453" s="343">
        <v>0</v>
      </c>
      <c r="L2453" s="343">
        <v>-9.74</v>
      </c>
      <c r="M2453" s="343">
        <v>-1285260.72</v>
      </c>
      <c r="O2453" s="343">
        <v>0</v>
      </c>
    </row>
    <row r="2454" spans="1:15" x14ac:dyDescent="0.3">
      <c r="A2454" s="340" t="s">
        <v>891</v>
      </c>
      <c r="B2454" s="350">
        <v>46114</v>
      </c>
      <c r="C2454" s="350">
        <v>46125</v>
      </c>
      <c r="D2454" s="351">
        <v>46113</v>
      </c>
      <c r="E2454" s="340" t="s">
        <v>2617</v>
      </c>
      <c r="F2454" s="340" t="s">
        <v>894</v>
      </c>
      <c r="G2454" s="340" t="s">
        <v>2566</v>
      </c>
      <c r="H2454" s="340"/>
      <c r="I2454" s="340" t="s">
        <v>771</v>
      </c>
      <c r="K2454" s="343">
        <v>0</v>
      </c>
      <c r="L2454" s="343">
        <v>-16.940000000000001</v>
      </c>
      <c r="M2454" s="343">
        <v>-1285277.6599999999</v>
      </c>
      <c r="O2454" s="343">
        <v>0</v>
      </c>
    </row>
    <row r="2455" spans="1:15" x14ac:dyDescent="0.3">
      <c r="A2455" s="340" t="s">
        <v>891</v>
      </c>
      <c r="B2455" s="350">
        <v>46114</v>
      </c>
      <c r="C2455" s="350">
        <v>46125</v>
      </c>
      <c r="D2455" s="351">
        <v>46113</v>
      </c>
      <c r="E2455" s="340" t="s">
        <v>2617</v>
      </c>
      <c r="F2455" s="340" t="s">
        <v>894</v>
      </c>
      <c r="G2455" s="340" t="s">
        <v>2570</v>
      </c>
      <c r="H2455" s="340"/>
      <c r="I2455" s="340" t="s">
        <v>771</v>
      </c>
      <c r="K2455" s="343">
        <v>0</v>
      </c>
      <c r="L2455" s="343">
        <v>-0.17</v>
      </c>
      <c r="M2455" s="343">
        <v>-1285277.83</v>
      </c>
      <c r="O2455" s="343">
        <v>0</v>
      </c>
    </row>
    <row r="2456" spans="1:15" x14ac:dyDescent="0.3">
      <c r="A2456" s="340" t="s">
        <v>891</v>
      </c>
      <c r="B2456" s="350">
        <v>46114</v>
      </c>
      <c r="C2456" s="350">
        <v>46125</v>
      </c>
      <c r="D2456" s="351">
        <v>46113</v>
      </c>
      <c r="E2456" s="340" t="s">
        <v>2617</v>
      </c>
      <c r="F2456" s="340" t="s">
        <v>894</v>
      </c>
      <c r="G2456" s="340" t="s">
        <v>2568</v>
      </c>
      <c r="H2456" s="340"/>
      <c r="I2456" s="340" t="s">
        <v>771</v>
      </c>
      <c r="K2456" s="343">
        <v>0</v>
      </c>
      <c r="L2456" s="343">
        <v>-0.03</v>
      </c>
      <c r="M2456" s="343">
        <v>-1285277.8600000001</v>
      </c>
      <c r="O2456" s="343">
        <v>0</v>
      </c>
    </row>
    <row r="2457" spans="1:15" x14ac:dyDescent="0.3">
      <c r="A2457" s="340" t="s">
        <v>891</v>
      </c>
      <c r="B2457" s="350">
        <v>46114</v>
      </c>
      <c r="C2457" s="350">
        <v>46125</v>
      </c>
      <c r="D2457" s="351">
        <v>46113</v>
      </c>
      <c r="E2457" s="340" t="s">
        <v>2617</v>
      </c>
      <c r="F2457" s="340" t="s">
        <v>894</v>
      </c>
      <c r="G2457" s="340" t="s">
        <v>2567</v>
      </c>
      <c r="H2457" s="340"/>
      <c r="I2457" s="340" t="s">
        <v>771</v>
      </c>
      <c r="K2457" s="343">
        <v>0</v>
      </c>
      <c r="L2457" s="343">
        <v>-0.01</v>
      </c>
      <c r="M2457" s="343">
        <v>-1285277.8700000001</v>
      </c>
      <c r="O2457" s="343">
        <v>0</v>
      </c>
    </row>
    <row r="2458" spans="1:15" x14ac:dyDescent="0.3">
      <c r="A2458" s="340" t="s">
        <v>891</v>
      </c>
      <c r="B2458" s="350">
        <v>46114</v>
      </c>
      <c r="C2458" s="350">
        <v>46125</v>
      </c>
      <c r="D2458" s="351">
        <v>46113</v>
      </c>
      <c r="E2458" s="340" t="s">
        <v>2617</v>
      </c>
      <c r="F2458" s="340" t="s">
        <v>894</v>
      </c>
      <c r="G2458" s="340" t="s">
        <v>2568</v>
      </c>
      <c r="H2458" s="340"/>
      <c r="I2458" s="340" t="s">
        <v>771</v>
      </c>
      <c r="K2458" s="343">
        <v>0</v>
      </c>
      <c r="L2458" s="343">
        <v>-0.03</v>
      </c>
      <c r="M2458" s="343">
        <v>-1285277.8999999999</v>
      </c>
      <c r="O2458" s="343">
        <v>0</v>
      </c>
    </row>
    <row r="2459" spans="1:15" x14ac:dyDescent="0.3">
      <c r="A2459" s="340" t="s">
        <v>891</v>
      </c>
      <c r="B2459" s="350">
        <v>46114</v>
      </c>
      <c r="C2459" s="350">
        <v>46125</v>
      </c>
      <c r="D2459" s="351">
        <v>46113</v>
      </c>
      <c r="E2459" s="340" t="s">
        <v>2617</v>
      </c>
      <c r="F2459" s="340" t="s">
        <v>894</v>
      </c>
      <c r="G2459" s="340" t="s">
        <v>2569</v>
      </c>
      <c r="H2459" s="340"/>
      <c r="I2459" s="340" t="s">
        <v>771</v>
      </c>
      <c r="K2459" s="343">
        <v>0</v>
      </c>
      <c r="L2459" s="343">
        <v>-0.15</v>
      </c>
      <c r="M2459" s="343">
        <v>-1285278.05</v>
      </c>
      <c r="O2459" s="343">
        <v>0</v>
      </c>
    </row>
    <row r="2460" spans="1:15" x14ac:dyDescent="0.3">
      <c r="A2460" s="340" t="s">
        <v>891</v>
      </c>
      <c r="B2460" s="350">
        <v>46114</v>
      </c>
      <c r="C2460" s="350">
        <v>46125</v>
      </c>
      <c r="D2460" s="351">
        <v>46113</v>
      </c>
      <c r="E2460" s="340" t="s">
        <v>2617</v>
      </c>
      <c r="F2460" s="340" t="s">
        <v>894</v>
      </c>
      <c r="G2460" s="340" t="s">
        <v>2439</v>
      </c>
      <c r="H2460" s="340"/>
      <c r="I2460" s="340" t="s">
        <v>771</v>
      </c>
      <c r="K2460" s="343">
        <v>0</v>
      </c>
      <c r="L2460" s="343">
        <v>-0.18</v>
      </c>
      <c r="M2460" s="343">
        <v>-1285278.23</v>
      </c>
      <c r="O2460" s="343">
        <v>0</v>
      </c>
    </row>
    <row r="2461" spans="1:15" x14ac:dyDescent="0.3">
      <c r="A2461" s="340" t="s">
        <v>891</v>
      </c>
      <c r="B2461" s="350">
        <v>46114</v>
      </c>
      <c r="C2461" s="350">
        <v>46125</v>
      </c>
      <c r="D2461" s="351">
        <v>46113</v>
      </c>
      <c r="E2461" s="340" t="s">
        <v>2617</v>
      </c>
      <c r="F2461" s="340" t="s">
        <v>894</v>
      </c>
      <c r="G2461" s="340" t="s">
        <v>2439</v>
      </c>
      <c r="H2461" s="340"/>
      <c r="I2461" s="340" t="s">
        <v>771</v>
      </c>
      <c r="K2461" s="343">
        <v>0</v>
      </c>
      <c r="L2461" s="343">
        <v>-0.18</v>
      </c>
      <c r="M2461" s="343">
        <v>-1285278.4099999999</v>
      </c>
      <c r="O2461" s="343">
        <v>0</v>
      </c>
    </row>
    <row r="2462" spans="1:15" x14ac:dyDescent="0.3">
      <c r="A2462" s="340" t="s">
        <v>891</v>
      </c>
      <c r="B2462" s="350">
        <v>46114</v>
      </c>
      <c r="C2462" s="350">
        <v>46125</v>
      </c>
      <c r="D2462" s="351">
        <v>46113</v>
      </c>
      <c r="E2462" s="340" t="s">
        <v>2617</v>
      </c>
      <c r="F2462" s="340" t="s">
        <v>894</v>
      </c>
      <c r="G2462" s="340" t="s">
        <v>2441</v>
      </c>
      <c r="H2462" s="340"/>
      <c r="I2462" s="340" t="s">
        <v>771</v>
      </c>
      <c r="K2462" s="343">
        <v>0</v>
      </c>
      <c r="L2462" s="343">
        <v>-0.35</v>
      </c>
      <c r="M2462" s="343">
        <v>-1285278.76</v>
      </c>
      <c r="O2462" s="343">
        <v>0</v>
      </c>
    </row>
    <row r="2463" spans="1:15" x14ac:dyDescent="0.3">
      <c r="A2463" s="340" t="s">
        <v>891</v>
      </c>
      <c r="B2463" s="350">
        <v>46114</v>
      </c>
      <c r="C2463" s="350">
        <v>46125</v>
      </c>
      <c r="D2463" s="351">
        <v>46113</v>
      </c>
      <c r="E2463" s="340" t="s">
        <v>2617</v>
      </c>
      <c r="F2463" s="340" t="s">
        <v>894</v>
      </c>
      <c r="G2463" s="340" t="s">
        <v>2441</v>
      </c>
      <c r="H2463" s="340"/>
      <c r="I2463" s="340" t="s">
        <v>771</v>
      </c>
      <c r="K2463" s="343">
        <v>0</v>
      </c>
      <c r="L2463" s="343">
        <v>-0.36</v>
      </c>
      <c r="M2463" s="343">
        <v>-1285279.1200000001</v>
      </c>
      <c r="O2463" s="343">
        <v>0</v>
      </c>
    </row>
    <row r="2464" spans="1:15" x14ac:dyDescent="0.3">
      <c r="A2464" s="340" t="s">
        <v>891</v>
      </c>
      <c r="B2464" s="350">
        <v>46114</v>
      </c>
      <c r="C2464" s="350">
        <v>46125</v>
      </c>
      <c r="D2464" s="351">
        <v>46113</v>
      </c>
      <c r="E2464" s="340" t="s">
        <v>2617</v>
      </c>
      <c r="F2464" s="340" t="s">
        <v>894</v>
      </c>
      <c r="G2464" s="340" t="s">
        <v>2571</v>
      </c>
      <c r="H2464" s="340"/>
      <c r="I2464" s="340" t="s">
        <v>771</v>
      </c>
      <c r="K2464" s="343">
        <v>0</v>
      </c>
      <c r="L2464" s="343">
        <v>-1.49</v>
      </c>
      <c r="M2464" s="343">
        <v>-1285280.6100000001</v>
      </c>
      <c r="O2464" s="343">
        <v>0</v>
      </c>
    </row>
    <row r="2465" spans="1:15" x14ac:dyDescent="0.3">
      <c r="A2465" s="340" t="s">
        <v>891</v>
      </c>
      <c r="B2465" s="350">
        <v>46114</v>
      </c>
      <c r="C2465" s="350">
        <v>46125</v>
      </c>
      <c r="D2465" s="351">
        <v>46113</v>
      </c>
      <c r="E2465" s="340" t="s">
        <v>2619</v>
      </c>
      <c r="F2465" s="340" t="s">
        <v>894</v>
      </c>
      <c r="G2465" s="340" t="s">
        <v>2620</v>
      </c>
      <c r="H2465" s="340"/>
      <c r="I2465" s="340" t="s">
        <v>746</v>
      </c>
      <c r="K2465" s="343">
        <v>0</v>
      </c>
      <c r="L2465" s="343">
        <v>-3</v>
      </c>
      <c r="M2465" s="343">
        <v>-1285283.6100000001</v>
      </c>
      <c r="O2465" s="343">
        <v>0</v>
      </c>
    </row>
    <row r="2466" spans="1:15" x14ac:dyDescent="0.3">
      <c r="A2466" s="340" t="s">
        <v>891</v>
      </c>
      <c r="B2466" s="350">
        <v>46114</v>
      </c>
      <c r="C2466" s="350">
        <v>46125</v>
      </c>
      <c r="D2466" s="351">
        <v>46113</v>
      </c>
      <c r="E2466" s="340" t="s">
        <v>2619</v>
      </c>
      <c r="F2466" s="340" t="s">
        <v>894</v>
      </c>
      <c r="G2466" s="340" t="s">
        <v>2621</v>
      </c>
      <c r="H2466" s="340"/>
      <c r="I2466" s="340" t="s">
        <v>746</v>
      </c>
      <c r="K2466" s="343">
        <v>0</v>
      </c>
      <c r="L2466" s="343">
        <v>-493</v>
      </c>
      <c r="M2466" s="343">
        <v>-1285776.6100000001</v>
      </c>
      <c r="O2466" s="343">
        <v>0</v>
      </c>
    </row>
    <row r="2467" spans="1:15" x14ac:dyDescent="0.3">
      <c r="A2467" s="340" t="s">
        <v>891</v>
      </c>
      <c r="B2467" s="350">
        <v>46114</v>
      </c>
      <c r="C2467" s="350">
        <v>46125</v>
      </c>
      <c r="D2467" s="351">
        <v>46113</v>
      </c>
      <c r="E2467" s="340" t="s">
        <v>2619</v>
      </c>
      <c r="F2467" s="340" t="s">
        <v>894</v>
      </c>
      <c r="G2467" s="340" t="s">
        <v>2622</v>
      </c>
      <c r="H2467" s="340"/>
      <c r="I2467" s="340" t="s">
        <v>746</v>
      </c>
      <c r="K2467" s="343">
        <v>0</v>
      </c>
      <c r="L2467" s="343">
        <v>-2872.14</v>
      </c>
      <c r="M2467" s="343">
        <v>-1288648.75</v>
      </c>
      <c r="O2467" s="343">
        <v>0</v>
      </c>
    </row>
    <row r="2468" spans="1:15" x14ac:dyDescent="0.3">
      <c r="A2468" s="340" t="s">
        <v>891</v>
      </c>
      <c r="B2468" s="350">
        <v>46114</v>
      </c>
      <c r="C2468" s="350">
        <v>46125</v>
      </c>
      <c r="D2468" s="351">
        <v>46113</v>
      </c>
      <c r="E2468" s="340" t="s">
        <v>2619</v>
      </c>
      <c r="F2468" s="340" t="s">
        <v>894</v>
      </c>
      <c r="G2468" s="340" t="s">
        <v>2623</v>
      </c>
      <c r="H2468" s="340"/>
      <c r="I2468" s="340" t="s">
        <v>746</v>
      </c>
      <c r="K2468" s="343">
        <v>0</v>
      </c>
      <c r="L2468" s="343">
        <v>-183.96</v>
      </c>
      <c r="M2468" s="343">
        <v>-1288832.71</v>
      </c>
      <c r="O2468" s="343">
        <v>0</v>
      </c>
    </row>
    <row r="2469" spans="1:15" x14ac:dyDescent="0.3">
      <c r="A2469" s="340" t="s">
        <v>891</v>
      </c>
      <c r="B2469" s="350">
        <v>46114</v>
      </c>
      <c r="C2469" s="350">
        <v>46125</v>
      </c>
      <c r="D2469" s="351">
        <v>46113</v>
      </c>
      <c r="E2469" s="340" t="s">
        <v>2619</v>
      </c>
      <c r="F2469" s="340" t="s">
        <v>894</v>
      </c>
      <c r="G2469" s="340" t="s">
        <v>2624</v>
      </c>
      <c r="H2469" s="340"/>
      <c r="I2469" s="340" t="s">
        <v>746</v>
      </c>
      <c r="K2469" s="343">
        <v>0</v>
      </c>
      <c r="L2469" s="343">
        <v>-205.94</v>
      </c>
      <c r="M2469" s="343">
        <v>-1289038.6499999999</v>
      </c>
      <c r="O2469" s="343">
        <v>0</v>
      </c>
    </row>
    <row r="2470" spans="1:15" x14ac:dyDescent="0.3">
      <c r="A2470" s="340" t="s">
        <v>891</v>
      </c>
      <c r="B2470" s="350">
        <v>46114</v>
      </c>
      <c r="C2470" s="350">
        <v>46125</v>
      </c>
      <c r="D2470" s="351">
        <v>46113</v>
      </c>
      <c r="E2470" s="340" t="s">
        <v>2619</v>
      </c>
      <c r="F2470" s="340" t="s">
        <v>894</v>
      </c>
      <c r="G2470" s="340" t="s">
        <v>2625</v>
      </c>
      <c r="H2470" s="340"/>
      <c r="I2470" s="340" t="s">
        <v>746</v>
      </c>
      <c r="K2470" s="343">
        <v>0</v>
      </c>
      <c r="L2470" s="343">
        <v>-3158.63</v>
      </c>
      <c r="M2470" s="343">
        <v>-1292197.28</v>
      </c>
      <c r="O2470" s="343">
        <v>0</v>
      </c>
    </row>
    <row r="2471" spans="1:15" x14ac:dyDescent="0.3">
      <c r="A2471" s="340" t="s">
        <v>891</v>
      </c>
      <c r="B2471" s="350">
        <v>46114</v>
      </c>
      <c r="C2471" s="350">
        <v>46125</v>
      </c>
      <c r="D2471" s="351">
        <v>46113</v>
      </c>
      <c r="E2471" s="340" t="s">
        <v>2626</v>
      </c>
      <c r="F2471" s="340" t="s">
        <v>894</v>
      </c>
      <c r="G2471" s="340" t="s">
        <v>2627</v>
      </c>
      <c r="H2471" s="340"/>
      <c r="I2471" s="340" t="s">
        <v>765</v>
      </c>
      <c r="K2471" s="343">
        <v>0</v>
      </c>
      <c r="L2471" s="343">
        <v>-1517.67</v>
      </c>
      <c r="M2471" s="343">
        <v>-1293714.95</v>
      </c>
      <c r="O2471" s="343">
        <v>0</v>
      </c>
    </row>
    <row r="2472" spans="1:15" x14ac:dyDescent="0.3">
      <c r="A2472" s="340" t="s">
        <v>891</v>
      </c>
      <c r="B2472" s="350">
        <v>46114</v>
      </c>
      <c r="C2472" s="350">
        <v>46126</v>
      </c>
      <c r="D2472" s="351">
        <v>46113</v>
      </c>
      <c r="E2472" s="340" t="s">
        <v>2628</v>
      </c>
      <c r="F2472" s="340" t="s">
        <v>894</v>
      </c>
      <c r="G2472" s="340" t="s">
        <v>2629</v>
      </c>
      <c r="H2472" s="340"/>
      <c r="I2472" s="340" t="s">
        <v>765</v>
      </c>
      <c r="K2472" s="343">
        <v>0</v>
      </c>
      <c r="L2472" s="343">
        <v>-585.07000000000005</v>
      </c>
      <c r="M2472" s="343">
        <v>-1294300.02</v>
      </c>
      <c r="O2472" s="343">
        <v>0</v>
      </c>
    </row>
    <row r="2473" spans="1:15" x14ac:dyDescent="0.3">
      <c r="A2473" s="340" t="s">
        <v>891</v>
      </c>
      <c r="B2473" s="350">
        <v>46115</v>
      </c>
      <c r="C2473" s="350">
        <v>46114</v>
      </c>
      <c r="D2473" s="351">
        <v>46113</v>
      </c>
      <c r="E2473" s="340" t="s">
        <v>2630</v>
      </c>
      <c r="F2473" s="340" t="s">
        <v>1078</v>
      </c>
      <c r="G2473" s="340" t="s">
        <v>1079</v>
      </c>
      <c r="H2473" s="340"/>
      <c r="I2473" s="340" t="s">
        <v>994</v>
      </c>
      <c r="K2473" s="343">
        <v>2110</v>
      </c>
      <c r="L2473" s="343">
        <v>0</v>
      </c>
      <c r="M2473" s="343">
        <v>-1292190.02</v>
      </c>
      <c r="O2473" s="343">
        <v>0</v>
      </c>
    </row>
    <row r="2474" spans="1:15" x14ac:dyDescent="0.3">
      <c r="A2474" s="340" t="s">
        <v>891</v>
      </c>
      <c r="B2474" s="350">
        <v>46115</v>
      </c>
      <c r="C2474" s="350">
        <v>46114</v>
      </c>
      <c r="D2474" s="351">
        <v>46113</v>
      </c>
      <c r="E2474" s="340" t="s">
        <v>2630</v>
      </c>
      <c r="F2474" s="340" t="s">
        <v>1078</v>
      </c>
      <c r="G2474" s="340" t="s">
        <v>1079</v>
      </c>
      <c r="H2474" s="340"/>
      <c r="I2474" s="340" t="s">
        <v>994</v>
      </c>
      <c r="K2474" s="343">
        <v>525</v>
      </c>
      <c r="L2474" s="343">
        <v>0</v>
      </c>
      <c r="M2474" s="343">
        <v>-1291665.02</v>
      </c>
      <c r="O2474" s="343">
        <v>0</v>
      </c>
    </row>
    <row r="2475" spans="1:15" x14ac:dyDescent="0.3">
      <c r="A2475" s="340" t="s">
        <v>891</v>
      </c>
      <c r="B2475" s="350">
        <v>46115</v>
      </c>
      <c r="C2475" s="350">
        <v>46114</v>
      </c>
      <c r="D2475" s="351">
        <v>46113</v>
      </c>
      <c r="E2475" s="340" t="s">
        <v>2630</v>
      </c>
      <c r="F2475" s="340" t="s">
        <v>1078</v>
      </c>
      <c r="G2475" s="340" t="s">
        <v>1079</v>
      </c>
      <c r="H2475" s="340"/>
      <c r="I2475" s="340" t="s">
        <v>994</v>
      </c>
      <c r="K2475" s="343">
        <v>2185</v>
      </c>
      <c r="L2475" s="343">
        <v>0</v>
      </c>
      <c r="M2475" s="343">
        <v>-1289480.02</v>
      </c>
      <c r="O2475" s="343">
        <v>0</v>
      </c>
    </row>
    <row r="2476" spans="1:15" x14ac:dyDescent="0.3">
      <c r="A2476" s="340" t="s">
        <v>891</v>
      </c>
      <c r="B2476" s="350">
        <v>46115</v>
      </c>
      <c r="C2476" s="350">
        <v>46114</v>
      </c>
      <c r="D2476" s="351">
        <v>46113</v>
      </c>
      <c r="E2476" s="340" t="s">
        <v>2630</v>
      </c>
      <c r="F2476" s="340" t="s">
        <v>1078</v>
      </c>
      <c r="G2476" s="340" t="s">
        <v>1079</v>
      </c>
      <c r="H2476" s="340"/>
      <c r="I2476" s="340" t="s">
        <v>994</v>
      </c>
      <c r="K2476" s="343">
        <v>2120</v>
      </c>
      <c r="L2476" s="343">
        <v>0</v>
      </c>
      <c r="M2476" s="343">
        <v>-1287360.02</v>
      </c>
      <c r="O2476" s="343">
        <v>0</v>
      </c>
    </row>
    <row r="2477" spans="1:15" x14ac:dyDescent="0.3">
      <c r="A2477" s="340" t="s">
        <v>891</v>
      </c>
      <c r="B2477" s="350">
        <v>46115</v>
      </c>
      <c r="C2477" s="350">
        <v>46114</v>
      </c>
      <c r="D2477" s="351">
        <v>46113</v>
      </c>
      <c r="E2477" s="340" t="s">
        <v>2630</v>
      </c>
      <c r="F2477" s="340" t="s">
        <v>1078</v>
      </c>
      <c r="G2477" s="340" t="s">
        <v>1079</v>
      </c>
      <c r="H2477" s="340"/>
      <c r="I2477" s="340" t="s">
        <v>994</v>
      </c>
      <c r="K2477" s="343">
        <v>1815</v>
      </c>
      <c r="L2477" s="343">
        <v>0</v>
      </c>
      <c r="M2477" s="343">
        <v>-1285545.02</v>
      </c>
      <c r="O2477" s="343">
        <v>0</v>
      </c>
    </row>
    <row r="2478" spans="1:15" x14ac:dyDescent="0.3">
      <c r="A2478" s="340" t="s">
        <v>891</v>
      </c>
      <c r="B2478" s="350">
        <v>46115</v>
      </c>
      <c r="C2478" s="350">
        <v>46114</v>
      </c>
      <c r="D2478" s="351">
        <v>46113</v>
      </c>
      <c r="E2478" s="340" t="s">
        <v>2630</v>
      </c>
      <c r="F2478" s="340" t="s">
        <v>1078</v>
      </c>
      <c r="G2478" s="340" t="s">
        <v>1079</v>
      </c>
      <c r="H2478" s="340"/>
      <c r="I2478" s="340" t="s">
        <v>994</v>
      </c>
      <c r="K2478" s="343">
        <v>1755</v>
      </c>
      <c r="L2478" s="343">
        <v>0</v>
      </c>
      <c r="M2478" s="343">
        <v>-1283790.02</v>
      </c>
      <c r="O2478" s="343">
        <v>0</v>
      </c>
    </row>
    <row r="2479" spans="1:15" x14ac:dyDescent="0.3">
      <c r="A2479" s="340" t="s">
        <v>891</v>
      </c>
      <c r="B2479" s="350">
        <v>46115</v>
      </c>
      <c r="C2479" s="350">
        <v>46114</v>
      </c>
      <c r="D2479" s="351">
        <v>46113</v>
      </c>
      <c r="E2479" s="340" t="s">
        <v>2630</v>
      </c>
      <c r="F2479" s="340" t="s">
        <v>1078</v>
      </c>
      <c r="G2479" s="340" t="s">
        <v>1079</v>
      </c>
      <c r="H2479" s="340"/>
      <c r="I2479" s="340" t="s">
        <v>994</v>
      </c>
      <c r="K2479" s="343">
        <v>1950</v>
      </c>
      <c r="L2479" s="343">
        <v>0</v>
      </c>
      <c r="M2479" s="343">
        <v>-1281840.02</v>
      </c>
      <c r="O2479" s="343">
        <v>0</v>
      </c>
    </row>
    <row r="2480" spans="1:15" x14ac:dyDescent="0.3">
      <c r="A2480" s="340" t="s">
        <v>891</v>
      </c>
      <c r="B2480" s="350">
        <v>46115</v>
      </c>
      <c r="C2480" s="350">
        <v>46114</v>
      </c>
      <c r="D2480" s="351">
        <v>46113</v>
      </c>
      <c r="E2480" s="340" t="s">
        <v>2630</v>
      </c>
      <c r="F2480" s="340" t="s">
        <v>1078</v>
      </c>
      <c r="G2480" s="340" t="s">
        <v>1079</v>
      </c>
      <c r="H2480" s="340"/>
      <c r="I2480" s="340" t="s">
        <v>994</v>
      </c>
      <c r="K2480" s="343">
        <v>470</v>
      </c>
      <c r="L2480" s="343">
        <v>0</v>
      </c>
      <c r="M2480" s="343">
        <v>-1281370.02</v>
      </c>
      <c r="O2480" s="343">
        <v>0</v>
      </c>
    </row>
    <row r="2481" spans="1:15" x14ac:dyDescent="0.3">
      <c r="A2481" s="340" t="s">
        <v>891</v>
      </c>
      <c r="B2481" s="350">
        <v>46115</v>
      </c>
      <c r="C2481" s="350">
        <v>46114</v>
      </c>
      <c r="D2481" s="351">
        <v>46113</v>
      </c>
      <c r="E2481" s="340" t="s">
        <v>2630</v>
      </c>
      <c r="F2481" s="340" t="s">
        <v>1078</v>
      </c>
      <c r="G2481" s="340" t="s">
        <v>1079</v>
      </c>
      <c r="H2481" s="340"/>
      <c r="I2481" s="340" t="s">
        <v>994</v>
      </c>
      <c r="K2481" s="343">
        <v>340</v>
      </c>
      <c r="L2481" s="343">
        <v>0</v>
      </c>
      <c r="M2481" s="343">
        <v>-1281030.02</v>
      </c>
      <c r="O2481" s="343">
        <v>0</v>
      </c>
    </row>
    <row r="2482" spans="1:15" x14ac:dyDescent="0.3">
      <c r="A2482" s="340" t="s">
        <v>891</v>
      </c>
      <c r="B2482" s="350">
        <v>46115</v>
      </c>
      <c r="C2482" s="350">
        <v>46114</v>
      </c>
      <c r="D2482" s="351">
        <v>46113</v>
      </c>
      <c r="E2482" s="340" t="s">
        <v>2630</v>
      </c>
      <c r="F2482" s="340" t="s">
        <v>1078</v>
      </c>
      <c r="G2482" s="340" t="s">
        <v>1079</v>
      </c>
      <c r="H2482" s="340"/>
      <c r="I2482" s="340" t="s">
        <v>994</v>
      </c>
      <c r="K2482" s="343">
        <v>535</v>
      </c>
      <c r="L2482" s="343">
        <v>0</v>
      </c>
      <c r="M2482" s="343">
        <v>-1280495.02</v>
      </c>
      <c r="O2482" s="343">
        <v>0</v>
      </c>
    </row>
    <row r="2483" spans="1:15" x14ac:dyDescent="0.3">
      <c r="A2483" s="340" t="s">
        <v>891</v>
      </c>
      <c r="B2483" s="350">
        <v>46115</v>
      </c>
      <c r="C2483" s="350">
        <v>46114</v>
      </c>
      <c r="D2483" s="351">
        <v>46113</v>
      </c>
      <c r="E2483" s="340" t="s">
        <v>2630</v>
      </c>
      <c r="F2483" s="340" t="s">
        <v>1078</v>
      </c>
      <c r="G2483" s="340" t="s">
        <v>1079</v>
      </c>
      <c r="H2483" s="340"/>
      <c r="I2483" s="340" t="s">
        <v>994</v>
      </c>
      <c r="K2483" s="343">
        <v>1665</v>
      </c>
      <c r="L2483" s="343">
        <v>0</v>
      </c>
      <c r="M2483" s="343">
        <v>-1278830.02</v>
      </c>
      <c r="O2483" s="343">
        <v>0</v>
      </c>
    </row>
    <row r="2484" spans="1:15" x14ac:dyDescent="0.3">
      <c r="A2484" s="340" t="s">
        <v>891</v>
      </c>
      <c r="B2484" s="350">
        <v>46115</v>
      </c>
      <c r="C2484" s="350">
        <v>46114</v>
      </c>
      <c r="D2484" s="351">
        <v>46113</v>
      </c>
      <c r="E2484" s="340" t="s">
        <v>2630</v>
      </c>
      <c r="F2484" s="340" t="s">
        <v>1078</v>
      </c>
      <c r="G2484" s="340" t="s">
        <v>1079</v>
      </c>
      <c r="H2484" s="340"/>
      <c r="I2484" s="340" t="s">
        <v>994</v>
      </c>
      <c r="K2484" s="343">
        <v>315</v>
      </c>
      <c r="L2484" s="343">
        <v>0</v>
      </c>
      <c r="M2484" s="343">
        <v>-1278515.02</v>
      </c>
      <c r="O2484" s="343">
        <v>0</v>
      </c>
    </row>
    <row r="2485" spans="1:15" x14ac:dyDescent="0.3">
      <c r="A2485" s="340" t="s">
        <v>891</v>
      </c>
      <c r="B2485" s="350">
        <v>46115</v>
      </c>
      <c r="C2485" s="350">
        <v>46121</v>
      </c>
      <c r="D2485" s="351">
        <v>46113</v>
      </c>
      <c r="E2485" s="340" t="s">
        <v>2631</v>
      </c>
      <c r="F2485" s="340" t="s">
        <v>894</v>
      </c>
      <c r="G2485" s="340" t="s">
        <v>2632</v>
      </c>
      <c r="H2485" s="340"/>
      <c r="I2485" s="340" t="s">
        <v>762</v>
      </c>
      <c r="K2485" s="343">
        <v>0</v>
      </c>
      <c r="L2485" s="343">
        <v>-270</v>
      </c>
      <c r="M2485" s="343">
        <v>-1278785.02</v>
      </c>
      <c r="O2485" s="343">
        <v>0</v>
      </c>
    </row>
    <row r="2486" spans="1:15" x14ac:dyDescent="0.3">
      <c r="A2486" s="340" t="s">
        <v>891</v>
      </c>
      <c r="B2486" s="350">
        <v>46115</v>
      </c>
      <c r="C2486" s="350">
        <v>46121</v>
      </c>
      <c r="D2486" s="351">
        <v>46113</v>
      </c>
      <c r="E2486" s="340" t="s">
        <v>2631</v>
      </c>
      <c r="F2486" s="340" t="s">
        <v>894</v>
      </c>
      <c r="G2486" s="340" t="s">
        <v>2012</v>
      </c>
      <c r="H2486" s="340"/>
      <c r="I2486" s="340" t="s">
        <v>762</v>
      </c>
      <c r="K2486" s="343">
        <v>0</v>
      </c>
      <c r="L2486" s="343">
        <v>-252</v>
      </c>
      <c r="M2486" s="343">
        <v>-1279037.02</v>
      </c>
      <c r="O2486" s="343">
        <v>0</v>
      </c>
    </row>
    <row r="2487" spans="1:15" x14ac:dyDescent="0.3">
      <c r="A2487" s="340" t="s">
        <v>891</v>
      </c>
      <c r="B2487" s="350">
        <v>46115</v>
      </c>
      <c r="C2487" s="350">
        <v>46121</v>
      </c>
      <c r="D2487" s="351">
        <v>46113</v>
      </c>
      <c r="E2487" s="340" t="s">
        <v>2631</v>
      </c>
      <c r="F2487" s="340" t="s">
        <v>894</v>
      </c>
      <c r="G2487" s="340" t="s">
        <v>2013</v>
      </c>
      <c r="H2487" s="340"/>
      <c r="I2487" s="340" t="s">
        <v>762</v>
      </c>
      <c r="K2487" s="343">
        <v>0</v>
      </c>
      <c r="L2487" s="343">
        <v>-3135.92</v>
      </c>
      <c r="M2487" s="343">
        <v>-1282172.94</v>
      </c>
      <c r="O2487" s="343">
        <v>0</v>
      </c>
    </row>
    <row r="2488" spans="1:15" x14ac:dyDescent="0.3">
      <c r="A2488" s="340" t="s">
        <v>891</v>
      </c>
      <c r="B2488" s="350">
        <v>46115</v>
      </c>
      <c r="C2488" s="350">
        <v>46125</v>
      </c>
      <c r="D2488" s="351">
        <v>46113</v>
      </c>
      <c r="E2488" s="340" t="s">
        <v>2633</v>
      </c>
      <c r="F2488" s="340" t="s">
        <v>894</v>
      </c>
      <c r="G2488" s="340" t="s">
        <v>2634</v>
      </c>
      <c r="H2488" s="340"/>
      <c r="I2488" s="340" t="s">
        <v>746</v>
      </c>
      <c r="K2488" s="343">
        <v>0</v>
      </c>
      <c r="L2488" s="343">
        <v>-3</v>
      </c>
      <c r="M2488" s="343">
        <v>-1282175.94</v>
      </c>
      <c r="O2488" s="343">
        <v>0</v>
      </c>
    </row>
    <row r="2489" spans="1:15" x14ac:dyDescent="0.3">
      <c r="A2489" s="340" t="s">
        <v>891</v>
      </c>
      <c r="B2489" s="350">
        <v>46115</v>
      </c>
      <c r="C2489" s="350">
        <v>46125</v>
      </c>
      <c r="D2489" s="351">
        <v>46113</v>
      </c>
      <c r="E2489" s="340" t="s">
        <v>2633</v>
      </c>
      <c r="F2489" s="340" t="s">
        <v>894</v>
      </c>
      <c r="G2489" s="340" t="s">
        <v>2635</v>
      </c>
      <c r="H2489" s="340"/>
      <c r="I2489" s="340" t="s">
        <v>746</v>
      </c>
      <c r="K2489" s="343">
        <v>0</v>
      </c>
      <c r="L2489" s="343">
        <v>-157.13999999999999</v>
      </c>
      <c r="M2489" s="343">
        <v>-1282333.08</v>
      </c>
      <c r="O2489" s="343">
        <v>0</v>
      </c>
    </row>
    <row r="2490" spans="1:15" x14ac:dyDescent="0.3">
      <c r="A2490" s="340" t="s">
        <v>891</v>
      </c>
      <c r="B2490" s="350">
        <v>46115</v>
      </c>
      <c r="C2490" s="350">
        <v>46125</v>
      </c>
      <c r="D2490" s="351">
        <v>46113</v>
      </c>
      <c r="E2490" s="340" t="s">
        <v>2633</v>
      </c>
      <c r="F2490" s="340" t="s">
        <v>894</v>
      </c>
      <c r="G2490" s="340" t="s">
        <v>2636</v>
      </c>
      <c r="H2490" s="340"/>
      <c r="I2490" s="340" t="s">
        <v>746</v>
      </c>
      <c r="K2490" s="343">
        <v>0</v>
      </c>
      <c r="L2490" s="343">
        <v>-5122.3</v>
      </c>
      <c r="M2490" s="343">
        <v>-1287455.3799999999</v>
      </c>
      <c r="O2490" s="343">
        <v>0</v>
      </c>
    </row>
    <row r="2491" spans="1:15" x14ac:dyDescent="0.3">
      <c r="A2491" s="340" t="s">
        <v>891</v>
      </c>
      <c r="B2491" s="350">
        <v>46115</v>
      </c>
      <c r="C2491" s="350">
        <v>46125</v>
      </c>
      <c r="D2491" s="351">
        <v>46113</v>
      </c>
      <c r="E2491" s="340" t="s">
        <v>2633</v>
      </c>
      <c r="F2491" s="340" t="s">
        <v>894</v>
      </c>
      <c r="G2491" s="340" t="s">
        <v>2637</v>
      </c>
      <c r="H2491" s="340"/>
      <c r="I2491" s="340" t="s">
        <v>746</v>
      </c>
      <c r="K2491" s="343">
        <v>0</v>
      </c>
      <c r="L2491" s="343">
        <v>-265.89</v>
      </c>
      <c r="M2491" s="343">
        <v>-1287721.27</v>
      </c>
      <c r="O2491" s="343">
        <v>0</v>
      </c>
    </row>
    <row r="2492" spans="1:15" x14ac:dyDescent="0.3">
      <c r="A2492" s="340" t="s">
        <v>891</v>
      </c>
      <c r="B2492" s="350">
        <v>46115</v>
      </c>
      <c r="C2492" s="350">
        <v>46125</v>
      </c>
      <c r="D2492" s="351">
        <v>46113</v>
      </c>
      <c r="E2492" s="340" t="s">
        <v>2633</v>
      </c>
      <c r="F2492" s="340" t="s">
        <v>894</v>
      </c>
      <c r="G2492" s="340" t="s">
        <v>2638</v>
      </c>
      <c r="H2492" s="340"/>
      <c r="I2492" s="340" t="s">
        <v>746</v>
      </c>
      <c r="K2492" s="343">
        <v>0</v>
      </c>
      <c r="L2492" s="343">
        <v>-582.9</v>
      </c>
      <c r="M2492" s="343">
        <v>-1288304.17</v>
      </c>
      <c r="O2492" s="343">
        <v>0</v>
      </c>
    </row>
    <row r="2493" spans="1:15" x14ac:dyDescent="0.3">
      <c r="A2493" s="340" t="s">
        <v>891</v>
      </c>
      <c r="B2493" s="350">
        <v>46115</v>
      </c>
      <c r="C2493" s="350">
        <v>46125</v>
      </c>
      <c r="D2493" s="351">
        <v>46113</v>
      </c>
      <c r="E2493" s="340" t="s">
        <v>2633</v>
      </c>
      <c r="F2493" s="340" t="s">
        <v>894</v>
      </c>
      <c r="G2493" s="340" t="s">
        <v>2639</v>
      </c>
      <c r="H2493" s="340"/>
      <c r="I2493" s="340" t="s">
        <v>746</v>
      </c>
      <c r="K2493" s="343">
        <v>0</v>
      </c>
      <c r="L2493" s="343">
        <v>-4861.26</v>
      </c>
      <c r="M2493" s="343">
        <v>-1293165.43</v>
      </c>
      <c r="O2493" s="343">
        <v>0</v>
      </c>
    </row>
    <row r="2494" spans="1:15" x14ac:dyDescent="0.3">
      <c r="A2494" s="340" t="s">
        <v>891</v>
      </c>
      <c r="B2494" s="350">
        <v>46115</v>
      </c>
      <c r="C2494" s="350">
        <v>46125</v>
      </c>
      <c r="D2494" s="351">
        <v>46113</v>
      </c>
      <c r="E2494" s="340" t="s">
        <v>2640</v>
      </c>
      <c r="F2494" s="340" t="s">
        <v>894</v>
      </c>
      <c r="G2494" s="340" t="s">
        <v>2641</v>
      </c>
      <c r="H2494" s="340"/>
      <c r="I2494" s="340" t="s">
        <v>746</v>
      </c>
      <c r="K2494" s="343">
        <v>0</v>
      </c>
      <c r="L2494" s="343">
        <v>-38.5</v>
      </c>
      <c r="M2494" s="343">
        <v>-1293203.93</v>
      </c>
      <c r="O2494" s="343">
        <v>0</v>
      </c>
    </row>
    <row r="2495" spans="1:15" x14ac:dyDescent="0.3">
      <c r="A2495" s="340" t="s">
        <v>891</v>
      </c>
      <c r="B2495" s="350">
        <v>46115</v>
      </c>
      <c r="C2495" s="350">
        <v>46125</v>
      </c>
      <c r="D2495" s="351">
        <v>46113</v>
      </c>
      <c r="E2495" s="340" t="s">
        <v>2640</v>
      </c>
      <c r="F2495" s="340" t="s">
        <v>894</v>
      </c>
      <c r="G2495" s="340" t="s">
        <v>2634</v>
      </c>
      <c r="H2495" s="340"/>
      <c r="I2495" s="340" t="s">
        <v>746</v>
      </c>
      <c r="K2495" s="343">
        <v>0</v>
      </c>
      <c r="L2495" s="343">
        <v>-3</v>
      </c>
      <c r="M2495" s="343">
        <v>-1293206.93</v>
      </c>
      <c r="O2495" s="343">
        <v>0</v>
      </c>
    </row>
    <row r="2496" spans="1:15" x14ac:dyDescent="0.3">
      <c r="A2496" s="340" t="s">
        <v>891</v>
      </c>
      <c r="B2496" s="350">
        <v>46115</v>
      </c>
      <c r="C2496" s="350">
        <v>46125</v>
      </c>
      <c r="D2496" s="351">
        <v>46113</v>
      </c>
      <c r="E2496" s="340" t="s">
        <v>2640</v>
      </c>
      <c r="F2496" s="340" t="s">
        <v>894</v>
      </c>
      <c r="G2496" s="340" t="s">
        <v>2642</v>
      </c>
      <c r="H2496" s="340"/>
      <c r="I2496" s="340" t="s">
        <v>746</v>
      </c>
      <c r="K2496" s="343">
        <v>0</v>
      </c>
      <c r="L2496" s="343">
        <v>-34.200000000000003</v>
      </c>
      <c r="M2496" s="343">
        <v>-1293241.1299999999</v>
      </c>
      <c r="O2496" s="343">
        <v>0</v>
      </c>
    </row>
    <row r="2497" spans="1:15" x14ac:dyDescent="0.3">
      <c r="A2497" s="340" t="s">
        <v>891</v>
      </c>
      <c r="B2497" s="350">
        <v>46115</v>
      </c>
      <c r="C2497" s="350">
        <v>46125</v>
      </c>
      <c r="D2497" s="351">
        <v>46113</v>
      </c>
      <c r="E2497" s="340" t="s">
        <v>2640</v>
      </c>
      <c r="F2497" s="340" t="s">
        <v>894</v>
      </c>
      <c r="G2497" s="340" t="s">
        <v>2642</v>
      </c>
      <c r="H2497" s="340"/>
      <c r="I2497" s="340" t="s">
        <v>746</v>
      </c>
      <c r="K2497" s="343">
        <v>0</v>
      </c>
      <c r="L2497" s="343">
        <v>-34.200000000000003</v>
      </c>
      <c r="M2497" s="343">
        <v>-1293275.33</v>
      </c>
      <c r="O2497" s="343">
        <v>0</v>
      </c>
    </row>
    <row r="2498" spans="1:15" x14ac:dyDescent="0.3">
      <c r="A2498" s="340" t="s">
        <v>891</v>
      </c>
      <c r="B2498" s="350">
        <v>46115</v>
      </c>
      <c r="C2498" s="350">
        <v>46125</v>
      </c>
      <c r="D2498" s="351">
        <v>46113</v>
      </c>
      <c r="E2498" s="340" t="s">
        <v>2640</v>
      </c>
      <c r="F2498" s="340" t="s">
        <v>894</v>
      </c>
      <c r="G2498" s="340" t="s">
        <v>2642</v>
      </c>
      <c r="H2498" s="340"/>
      <c r="I2498" s="340" t="s">
        <v>746</v>
      </c>
      <c r="K2498" s="343">
        <v>0</v>
      </c>
      <c r="L2498" s="343">
        <v>-34.200000000000003</v>
      </c>
      <c r="M2498" s="343">
        <v>-1293309.53</v>
      </c>
      <c r="O2498" s="343">
        <v>0</v>
      </c>
    </row>
    <row r="2499" spans="1:15" x14ac:dyDescent="0.3">
      <c r="A2499" s="340" t="s">
        <v>891</v>
      </c>
      <c r="B2499" s="350">
        <v>46115</v>
      </c>
      <c r="C2499" s="350">
        <v>46125</v>
      </c>
      <c r="D2499" s="351">
        <v>46113</v>
      </c>
      <c r="E2499" s="340" t="s">
        <v>2640</v>
      </c>
      <c r="F2499" s="340" t="s">
        <v>894</v>
      </c>
      <c r="G2499" s="340" t="s">
        <v>2642</v>
      </c>
      <c r="H2499" s="340"/>
      <c r="I2499" s="340" t="s">
        <v>746</v>
      </c>
      <c r="K2499" s="343">
        <v>0</v>
      </c>
      <c r="L2499" s="343">
        <v>-34.200000000000003</v>
      </c>
      <c r="M2499" s="343">
        <v>-1293343.73</v>
      </c>
      <c r="O2499" s="343">
        <v>0</v>
      </c>
    </row>
    <row r="2500" spans="1:15" x14ac:dyDescent="0.3">
      <c r="A2500" s="340" t="s">
        <v>891</v>
      </c>
      <c r="B2500" s="350">
        <v>46115</v>
      </c>
      <c r="C2500" s="350">
        <v>46125</v>
      </c>
      <c r="D2500" s="351">
        <v>46113</v>
      </c>
      <c r="E2500" s="340" t="s">
        <v>2640</v>
      </c>
      <c r="F2500" s="340" t="s">
        <v>894</v>
      </c>
      <c r="G2500" s="340" t="s">
        <v>2641</v>
      </c>
      <c r="H2500" s="340"/>
      <c r="I2500" s="340" t="s">
        <v>746</v>
      </c>
      <c r="K2500" s="343">
        <v>0</v>
      </c>
      <c r="L2500" s="343">
        <v>-38.5</v>
      </c>
      <c r="M2500" s="343">
        <v>-1293382.23</v>
      </c>
      <c r="O2500" s="343">
        <v>0</v>
      </c>
    </row>
    <row r="2501" spans="1:15" x14ac:dyDescent="0.3">
      <c r="A2501" s="340" t="s">
        <v>891</v>
      </c>
      <c r="B2501" s="350">
        <v>46115</v>
      </c>
      <c r="C2501" s="350">
        <v>46125</v>
      </c>
      <c r="D2501" s="351">
        <v>46113</v>
      </c>
      <c r="E2501" s="340" t="s">
        <v>2640</v>
      </c>
      <c r="F2501" s="340" t="s">
        <v>894</v>
      </c>
      <c r="G2501" s="340" t="s">
        <v>2641</v>
      </c>
      <c r="H2501" s="340"/>
      <c r="I2501" s="340" t="s">
        <v>746</v>
      </c>
      <c r="K2501" s="343">
        <v>0</v>
      </c>
      <c r="L2501" s="343">
        <v>-38.5</v>
      </c>
      <c r="M2501" s="343">
        <v>-1293420.73</v>
      </c>
      <c r="O2501" s="343">
        <v>0</v>
      </c>
    </row>
    <row r="2502" spans="1:15" x14ac:dyDescent="0.3">
      <c r="A2502" s="340" t="s">
        <v>891</v>
      </c>
      <c r="B2502" s="350">
        <v>46115</v>
      </c>
      <c r="C2502" s="350">
        <v>46125</v>
      </c>
      <c r="D2502" s="351">
        <v>46113</v>
      </c>
      <c r="E2502" s="340" t="s">
        <v>2640</v>
      </c>
      <c r="F2502" s="340" t="s">
        <v>894</v>
      </c>
      <c r="G2502" s="340" t="s">
        <v>2641</v>
      </c>
      <c r="H2502" s="340"/>
      <c r="I2502" s="340" t="s">
        <v>746</v>
      </c>
      <c r="K2502" s="343">
        <v>0</v>
      </c>
      <c r="L2502" s="343">
        <v>-38.5</v>
      </c>
      <c r="M2502" s="343">
        <v>-1293459.23</v>
      </c>
      <c r="O2502" s="343">
        <v>0</v>
      </c>
    </row>
    <row r="2503" spans="1:15" x14ac:dyDescent="0.3">
      <c r="A2503" s="340" t="s">
        <v>891</v>
      </c>
      <c r="B2503" s="350">
        <v>46115</v>
      </c>
      <c r="C2503" s="350">
        <v>46125</v>
      </c>
      <c r="D2503" s="351">
        <v>46113</v>
      </c>
      <c r="E2503" s="340" t="s">
        <v>2640</v>
      </c>
      <c r="F2503" s="340" t="s">
        <v>894</v>
      </c>
      <c r="G2503" s="340" t="s">
        <v>2638</v>
      </c>
      <c r="H2503" s="340"/>
      <c r="I2503" s="340" t="s">
        <v>746</v>
      </c>
      <c r="K2503" s="343">
        <v>0</v>
      </c>
      <c r="L2503" s="343">
        <v>-626.4</v>
      </c>
      <c r="M2503" s="343">
        <v>-1294085.6299999999</v>
      </c>
      <c r="O2503" s="343">
        <v>0</v>
      </c>
    </row>
    <row r="2504" spans="1:15" x14ac:dyDescent="0.3">
      <c r="A2504" s="340" t="s">
        <v>891</v>
      </c>
      <c r="B2504" s="350">
        <v>46115</v>
      </c>
      <c r="C2504" s="350">
        <v>46125</v>
      </c>
      <c r="D2504" s="351">
        <v>46113</v>
      </c>
      <c r="E2504" s="340" t="s">
        <v>2640</v>
      </c>
      <c r="F2504" s="340" t="s">
        <v>894</v>
      </c>
      <c r="G2504" s="340" t="s">
        <v>2642</v>
      </c>
      <c r="H2504" s="340"/>
      <c r="I2504" s="340" t="s">
        <v>746</v>
      </c>
      <c r="K2504" s="343">
        <v>0</v>
      </c>
      <c r="L2504" s="343">
        <v>-801.21</v>
      </c>
      <c r="M2504" s="343">
        <v>-1294886.8400000001</v>
      </c>
      <c r="O2504" s="343">
        <v>0</v>
      </c>
    </row>
    <row r="2505" spans="1:15" x14ac:dyDescent="0.3">
      <c r="A2505" s="340" t="s">
        <v>891</v>
      </c>
      <c r="B2505" s="350">
        <v>46115</v>
      </c>
      <c r="C2505" s="350">
        <v>46125</v>
      </c>
      <c r="D2505" s="351">
        <v>46113</v>
      </c>
      <c r="E2505" s="340" t="s">
        <v>2640</v>
      </c>
      <c r="F2505" s="340" t="s">
        <v>894</v>
      </c>
      <c r="G2505" s="340" t="s">
        <v>2641</v>
      </c>
      <c r="H2505" s="340"/>
      <c r="I2505" s="340" t="s">
        <v>746</v>
      </c>
      <c r="K2505" s="343">
        <v>0</v>
      </c>
      <c r="L2505" s="343">
        <v>-845.52</v>
      </c>
      <c r="M2505" s="343">
        <v>-1295732.3600000001</v>
      </c>
      <c r="O2505" s="343">
        <v>0</v>
      </c>
    </row>
    <row r="2506" spans="1:15" x14ac:dyDescent="0.3">
      <c r="A2506" s="340" t="s">
        <v>891</v>
      </c>
      <c r="B2506" s="350">
        <v>46115</v>
      </c>
      <c r="C2506" s="350">
        <v>46125</v>
      </c>
      <c r="D2506" s="351">
        <v>46113</v>
      </c>
      <c r="E2506" s="340" t="s">
        <v>2640</v>
      </c>
      <c r="F2506" s="340" t="s">
        <v>894</v>
      </c>
      <c r="G2506" s="340" t="s">
        <v>2642</v>
      </c>
      <c r="H2506" s="340"/>
      <c r="I2506" s="340" t="s">
        <v>746</v>
      </c>
      <c r="K2506" s="343">
        <v>0</v>
      </c>
      <c r="L2506" s="343">
        <v>-1645.37</v>
      </c>
      <c r="M2506" s="343">
        <v>-1297377.73</v>
      </c>
      <c r="O2506" s="343">
        <v>0</v>
      </c>
    </row>
    <row r="2507" spans="1:15" x14ac:dyDescent="0.3">
      <c r="A2507" s="340" t="s">
        <v>891</v>
      </c>
      <c r="B2507" s="350">
        <v>46115</v>
      </c>
      <c r="C2507" s="350">
        <v>46125</v>
      </c>
      <c r="D2507" s="351">
        <v>46113</v>
      </c>
      <c r="E2507" s="340" t="s">
        <v>2640</v>
      </c>
      <c r="F2507" s="340" t="s">
        <v>894</v>
      </c>
      <c r="G2507" s="340" t="s">
        <v>2641</v>
      </c>
      <c r="H2507" s="340"/>
      <c r="I2507" s="340" t="s">
        <v>746</v>
      </c>
      <c r="K2507" s="343">
        <v>0</v>
      </c>
      <c r="L2507" s="343">
        <v>-1739.86</v>
      </c>
      <c r="M2507" s="343">
        <v>-1299117.5900000001</v>
      </c>
      <c r="O2507" s="343">
        <v>0</v>
      </c>
    </row>
    <row r="2508" spans="1:15" x14ac:dyDescent="0.3">
      <c r="A2508" s="340" t="s">
        <v>891</v>
      </c>
      <c r="B2508" s="350">
        <v>46115</v>
      </c>
      <c r="C2508" s="350">
        <v>46125</v>
      </c>
      <c r="D2508" s="351">
        <v>46113</v>
      </c>
      <c r="E2508" s="340" t="s">
        <v>2640</v>
      </c>
      <c r="F2508" s="340" t="s">
        <v>894</v>
      </c>
      <c r="G2508" s="340" t="s">
        <v>2642</v>
      </c>
      <c r="H2508" s="340"/>
      <c r="I2508" s="340" t="s">
        <v>746</v>
      </c>
      <c r="K2508" s="343">
        <v>0</v>
      </c>
      <c r="L2508" s="343">
        <v>-4412.04</v>
      </c>
      <c r="M2508" s="343">
        <v>-1303529.6299999999</v>
      </c>
      <c r="O2508" s="343">
        <v>0</v>
      </c>
    </row>
    <row r="2509" spans="1:15" x14ac:dyDescent="0.3">
      <c r="A2509" s="340" t="s">
        <v>891</v>
      </c>
      <c r="B2509" s="350">
        <v>46115</v>
      </c>
      <c r="C2509" s="350">
        <v>46125</v>
      </c>
      <c r="D2509" s="351">
        <v>46113</v>
      </c>
      <c r="E2509" s="340" t="s">
        <v>2640</v>
      </c>
      <c r="F2509" s="340" t="s">
        <v>894</v>
      </c>
      <c r="G2509" s="340" t="s">
        <v>2641</v>
      </c>
      <c r="H2509" s="340"/>
      <c r="I2509" s="340" t="s">
        <v>746</v>
      </c>
      <c r="K2509" s="343">
        <v>0</v>
      </c>
      <c r="L2509" s="343">
        <v>-4671.04</v>
      </c>
      <c r="M2509" s="343">
        <v>-1308200.67</v>
      </c>
      <c r="O2509" s="343">
        <v>0</v>
      </c>
    </row>
    <row r="2510" spans="1:15" x14ac:dyDescent="0.3">
      <c r="A2510" s="340" t="s">
        <v>891</v>
      </c>
      <c r="B2510" s="350">
        <v>46115</v>
      </c>
      <c r="C2510" s="350">
        <v>46125</v>
      </c>
      <c r="D2510" s="351">
        <v>46113</v>
      </c>
      <c r="E2510" s="340" t="s">
        <v>2643</v>
      </c>
      <c r="F2510" s="340" t="s">
        <v>894</v>
      </c>
      <c r="G2510" s="340" t="s">
        <v>2621</v>
      </c>
      <c r="H2510" s="340"/>
      <c r="I2510" s="340" t="s">
        <v>746</v>
      </c>
      <c r="K2510" s="343">
        <v>0</v>
      </c>
      <c r="L2510" s="343">
        <v>-742.4</v>
      </c>
      <c r="M2510" s="343">
        <v>-1308943.07</v>
      </c>
      <c r="O2510" s="343">
        <v>0</v>
      </c>
    </row>
    <row r="2511" spans="1:15" x14ac:dyDescent="0.3">
      <c r="A2511" s="340" t="s">
        <v>891</v>
      </c>
      <c r="B2511" s="350">
        <v>46115</v>
      </c>
      <c r="C2511" s="350">
        <v>46125</v>
      </c>
      <c r="D2511" s="351">
        <v>46113</v>
      </c>
      <c r="E2511" s="340" t="s">
        <v>2643</v>
      </c>
      <c r="F2511" s="340" t="s">
        <v>894</v>
      </c>
      <c r="G2511" s="340" t="s">
        <v>2620</v>
      </c>
      <c r="H2511" s="340"/>
      <c r="I2511" s="340" t="s">
        <v>746</v>
      </c>
      <c r="K2511" s="343">
        <v>0</v>
      </c>
      <c r="L2511" s="343">
        <v>-3</v>
      </c>
      <c r="M2511" s="343">
        <v>-1308946.07</v>
      </c>
      <c r="O2511" s="343">
        <v>0</v>
      </c>
    </row>
    <row r="2512" spans="1:15" x14ac:dyDescent="0.3">
      <c r="A2512" s="340" t="s">
        <v>891</v>
      </c>
      <c r="B2512" s="350">
        <v>46115</v>
      </c>
      <c r="C2512" s="350">
        <v>46125</v>
      </c>
      <c r="D2512" s="351">
        <v>46113</v>
      </c>
      <c r="E2512" s="340" t="s">
        <v>2643</v>
      </c>
      <c r="F2512" s="340" t="s">
        <v>894</v>
      </c>
      <c r="G2512" s="340" t="s">
        <v>2623</v>
      </c>
      <c r="H2512" s="340"/>
      <c r="I2512" s="340" t="s">
        <v>746</v>
      </c>
      <c r="K2512" s="343">
        <v>0</v>
      </c>
      <c r="L2512" s="343">
        <v>-225.54</v>
      </c>
      <c r="M2512" s="343">
        <v>-1309171.6100000001</v>
      </c>
      <c r="O2512" s="343">
        <v>0</v>
      </c>
    </row>
    <row r="2513" spans="1:15" x14ac:dyDescent="0.3">
      <c r="A2513" s="340" t="s">
        <v>891</v>
      </c>
      <c r="B2513" s="350">
        <v>46115</v>
      </c>
      <c r="C2513" s="350">
        <v>46125</v>
      </c>
      <c r="D2513" s="351">
        <v>46113</v>
      </c>
      <c r="E2513" s="340" t="s">
        <v>2643</v>
      </c>
      <c r="F2513" s="340" t="s">
        <v>894</v>
      </c>
      <c r="G2513" s="340" t="s">
        <v>2624</v>
      </c>
      <c r="H2513" s="340"/>
      <c r="I2513" s="340" t="s">
        <v>746</v>
      </c>
      <c r="K2513" s="343">
        <v>0</v>
      </c>
      <c r="L2513" s="343">
        <v>-369.11</v>
      </c>
      <c r="M2513" s="343">
        <v>-1309540.72</v>
      </c>
      <c r="O2513" s="343">
        <v>0</v>
      </c>
    </row>
    <row r="2514" spans="1:15" x14ac:dyDescent="0.3">
      <c r="A2514" s="340" t="s">
        <v>891</v>
      </c>
      <c r="B2514" s="350">
        <v>46115</v>
      </c>
      <c r="C2514" s="350">
        <v>46125</v>
      </c>
      <c r="D2514" s="351">
        <v>46113</v>
      </c>
      <c r="E2514" s="340" t="s">
        <v>2643</v>
      </c>
      <c r="F2514" s="340" t="s">
        <v>894</v>
      </c>
      <c r="G2514" s="340" t="s">
        <v>2622</v>
      </c>
      <c r="H2514" s="340"/>
      <c r="I2514" s="340" t="s">
        <v>746</v>
      </c>
      <c r="K2514" s="343">
        <v>0</v>
      </c>
      <c r="L2514" s="343">
        <v>-3660.23</v>
      </c>
      <c r="M2514" s="343">
        <v>-1313200.95</v>
      </c>
      <c r="O2514" s="343">
        <v>0</v>
      </c>
    </row>
    <row r="2515" spans="1:15" x14ac:dyDescent="0.3">
      <c r="A2515" s="340" t="s">
        <v>891</v>
      </c>
      <c r="B2515" s="350">
        <v>46115</v>
      </c>
      <c r="C2515" s="350">
        <v>46125</v>
      </c>
      <c r="D2515" s="351">
        <v>46113</v>
      </c>
      <c r="E2515" s="340" t="s">
        <v>2643</v>
      </c>
      <c r="F2515" s="340" t="s">
        <v>894</v>
      </c>
      <c r="G2515" s="340" t="s">
        <v>2625</v>
      </c>
      <c r="H2515" s="340"/>
      <c r="I2515" s="340" t="s">
        <v>746</v>
      </c>
      <c r="K2515" s="343">
        <v>0</v>
      </c>
      <c r="L2515" s="343">
        <v>-3919.01</v>
      </c>
      <c r="M2515" s="343">
        <v>-1317119.96</v>
      </c>
      <c r="O2515" s="343">
        <v>0</v>
      </c>
    </row>
    <row r="2516" spans="1:15" x14ac:dyDescent="0.3">
      <c r="A2516" s="340" t="s">
        <v>891</v>
      </c>
      <c r="B2516" s="350">
        <v>46118</v>
      </c>
      <c r="C2516" s="350">
        <v>46136</v>
      </c>
      <c r="D2516" s="351">
        <v>46113</v>
      </c>
      <c r="E2516" s="340" t="s">
        <v>2644</v>
      </c>
      <c r="F2516" s="340" t="s">
        <v>894</v>
      </c>
      <c r="G2516" s="340" t="s">
        <v>2645</v>
      </c>
      <c r="H2516" s="340"/>
      <c r="I2516" s="340" t="s">
        <v>774</v>
      </c>
      <c r="K2516" s="343">
        <v>0</v>
      </c>
      <c r="L2516" s="343">
        <v>-500</v>
      </c>
      <c r="M2516" s="343">
        <v>-1317619.96</v>
      </c>
      <c r="O2516" s="343">
        <v>0</v>
      </c>
    </row>
    <row r="2517" spans="1:15" x14ac:dyDescent="0.3">
      <c r="A2517" s="340" t="s">
        <v>891</v>
      </c>
      <c r="B2517" s="350">
        <v>46118</v>
      </c>
      <c r="C2517" s="350">
        <v>46148</v>
      </c>
      <c r="D2517" s="351">
        <v>46143</v>
      </c>
      <c r="E2517" s="340" t="s">
        <v>2646</v>
      </c>
      <c r="F2517" s="340" t="s">
        <v>894</v>
      </c>
      <c r="G2517" s="340" t="s">
        <v>2647</v>
      </c>
      <c r="H2517" s="340"/>
      <c r="I2517" s="340" t="s">
        <v>748</v>
      </c>
      <c r="K2517" s="343">
        <v>0</v>
      </c>
      <c r="L2517" s="343">
        <v>-583.47</v>
      </c>
      <c r="M2517" s="343">
        <v>-1318203.43</v>
      </c>
      <c r="O2517" s="343">
        <v>0</v>
      </c>
    </row>
    <row r="2518" spans="1:15" x14ac:dyDescent="0.3">
      <c r="A2518" s="340" t="s">
        <v>891</v>
      </c>
      <c r="B2518" s="350">
        <v>46118</v>
      </c>
      <c r="C2518" s="350">
        <v>46148</v>
      </c>
      <c r="D2518" s="351">
        <v>46143</v>
      </c>
      <c r="E2518" s="340" t="s">
        <v>2648</v>
      </c>
      <c r="F2518" s="340" t="s">
        <v>894</v>
      </c>
      <c r="G2518" s="340" t="s">
        <v>2649</v>
      </c>
      <c r="H2518" s="340"/>
      <c r="I2518" s="340" t="s">
        <v>748</v>
      </c>
      <c r="K2518" s="343">
        <v>0</v>
      </c>
      <c r="L2518" s="343">
        <v>-750.43</v>
      </c>
      <c r="M2518" s="343">
        <v>-1318953.8600000001</v>
      </c>
      <c r="O2518" s="343">
        <v>0</v>
      </c>
    </row>
    <row r="2519" spans="1:15" x14ac:dyDescent="0.3">
      <c r="A2519" s="340" t="s">
        <v>891</v>
      </c>
      <c r="B2519" s="350">
        <v>46118</v>
      </c>
      <c r="C2519" s="350">
        <v>46148</v>
      </c>
      <c r="D2519" s="351">
        <v>46143</v>
      </c>
      <c r="E2519" s="340" t="s">
        <v>2648</v>
      </c>
      <c r="F2519" s="340" t="s">
        <v>894</v>
      </c>
      <c r="G2519" s="340" t="s">
        <v>2650</v>
      </c>
      <c r="H2519" s="340"/>
      <c r="I2519" s="340" t="s">
        <v>748</v>
      </c>
      <c r="K2519" s="343">
        <v>0</v>
      </c>
      <c r="L2519" s="343">
        <v>-1481.8</v>
      </c>
      <c r="M2519" s="343">
        <v>-1320435.6599999999</v>
      </c>
      <c r="O2519" s="343">
        <v>0</v>
      </c>
    </row>
    <row r="2520" spans="1:15" x14ac:dyDescent="0.3">
      <c r="A2520" s="340" t="s">
        <v>891</v>
      </c>
      <c r="B2520" s="350">
        <v>46119</v>
      </c>
      <c r="C2520" s="350">
        <v>46119</v>
      </c>
      <c r="D2520" s="351">
        <v>46113</v>
      </c>
      <c r="E2520" s="340" t="s">
        <v>2651</v>
      </c>
      <c r="F2520" s="340" t="s">
        <v>1078</v>
      </c>
      <c r="G2520" s="340" t="s">
        <v>1079</v>
      </c>
      <c r="H2520" s="340"/>
      <c r="I2520" s="340" t="s">
        <v>2652</v>
      </c>
      <c r="K2520" s="343">
        <v>59.54</v>
      </c>
      <c r="L2520" s="343">
        <v>0</v>
      </c>
      <c r="M2520" s="343">
        <v>-1320376.1200000001</v>
      </c>
      <c r="O2520" s="343">
        <v>0</v>
      </c>
    </row>
    <row r="2521" spans="1:15" x14ac:dyDescent="0.3">
      <c r="A2521" s="340" t="s">
        <v>891</v>
      </c>
      <c r="B2521" s="350">
        <v>46119</v>
      </c>
      <c r="C2521" s="350">
        <v>46119</v>
      </c>
      <c r="D2521" s="351">
        <v>46113</v>
      </c>
      <c r="E2521" s="340" t="s">
        <v>2651</v>
      </c>
      <c r="F2521" s="340" t="s">
        <v>1078</v>
      </c>
      <c r="G2521" s="340" t="s">
        <v>1079</v>
      </c>
      <c r="H2521" s="340"/>
      <c r="I2521" s="340" t="s">
        <v>2652</v>
      </c>
      <c r="K2521" s="343">
        <v>216.5</v>
      </c>
      <c r="L2521" s="343">
        <v>0</v>
      </c>
      <c r="M2521" s="343">
        <v>-1320159.6200000001</v>
      </c>
      <c r="O2521" s="343">
        <v>0</v>
      </c>
    </row>
    <row r="2522" spans="1:15" x14ac:dyDescent="0.3">
      <c r="A2522" s="340" t="s">
        <v>891</v>
      </c>
      <c r="B2522" s="350">
        <v>46119</v>
      </c>
      <c r="C2522" s="350">
        <v>46119</v>
      </c>
      <c r="D2522" s="351">
        <v>46113</v>
      </c>
      <c r="E2522" s="340" t="s">
        <v>2651</v>
      </c>
      <c r="F2522" s="340" t="s">
        <v>1078</v>
      </c>
      <c r="G2522" s="340" t="s">
        <v>1079</v>
      </c>
      <c r="H2522" s="340"/>
      <c r="I2522" s="340" t="s">
        <v>2652</v>
      </c>
      <c r="K2522" s="343">
        <v>238.15</v>
      </c>
      <c r="L2522" s="343">
        <v>0</v>
      </c>
      <c r="M2522" s="343">
        <v>-1319921.47</v>
      </c>
      <c r="O2522" s="343">
        <v>0</v>
      </c>
    </row>
    <row r="2523" spans="1:15" x14ac:dyDescent="0.3">
      <c r="A2523" s="340" t="s">
        <v>891</v>
      </c>
      <c r="B2523" s="350">
        <v>46119</v>
      </c>
      <c r="C2523" s="350">
        <v>46119</v>
      </c>
      <c r="D2523" s="351">
        <v>46113</v>
      </c>
      <c r="E2523" s="340" t="s">
        <v>2651</v>
      </c>
      <c r="F2523" s="340" t="s">
        <v>1078</v>
      </c>
      <c r="G2523" s="340" t="s">
        <v>1079</v>
      </c>
      <c r="H2523" s="340"/>
      <c r="I2523" s="340" t="s">
        <v>2652</v>
      </c>
      <c r="K2523" s="343">
        <v>378.88</v>
      </c>
      <c r="L2523" s="343">
        <v>0</v>
      </c>
      <c r="M2523" s="343">
        <v>-1319542.5900000001</v>
      </c>
      <c r="O2523" s="343">
        <v>0</v>
      </c>
    </row>
    <row r="2524" spans="1:15" x14ac:dyDescent="0.3">
      <c r="A2524" s="340" t="s">
        <v>891</v>
      </c>
      <c r="B2524" s="350">
        <v>46119</v>
      </c>
      <c r="C2524" s="350">
        <v>46119</v>
      </c>
      <c r="D2524" s="351">
        <v>46113</v>
      </c>
      <c r="E2524" s="340" t="s">
        <v>2651</v>
      </c>
      <c r="F2524" s="340" t="s">
        <v>1078</v>
      </c>
      <c r="G2524" s="340" t="s">
        <v>1079</v>
      </c>
      <c r="H2524" s="340"/>
      <c r="I2524" s="340" t="s">
        <v>2652</v>
      </c>
      <c r="K2524" s="343">
        <v>59.54</v>
      </c>
      <c r="L2524" s="343">
        <v>0</v>
      </c>
      <c r="M2524" s="343">
        <v>-1319483.05</v>
      </c>
      <c r="O2524" s="343">
        <v>0</v>
      </c>
    </row>
    <row r="2525" spans="1:15" x14ac:dyDescent="0.3">
      <c r="A2525" s="340" t="s">
        <v>891</v>
      </c>
      <c r="B2525" s="350">
        <v>46119</v>
      </c>
      <c r="C2525" s="350">
        <v>46119</v>
      </c>
      <c r="D2525" s="351">
        <v>46113</v>
      </c>
      <c r="E2525" s="340" t="s">
        <v>2651</v>
      </c>
      <c r="F2525" s="340" t="s">
        <v>1078</v>
      </c>
      <c r="G2525" s="340" t="s">
        <v>1079</v>
      </c>
      <c r="H2525" s="340"/>
      <c r="I2525" s="340" t="s">
        <v>2652</v>
      </c>
      <c r="K2525" s="343">
        <v>59.54</v>
      </c>
      <c r="L2525" s="343">
        <v>0</v>
      </c>
      <c r="M2525" s="343">
        <v>-1319423.51</v>
      </c>
      <c r="O2525" s="343">
        <v>0</v>
      </c>
    </row>
    <row r="2526" spans="1:15" x14ac:dyDescent="0.3">
      <c r="A2526" s="340" t="s">
        <v>891</v>
      </c>
      <c r="B2526" s="350">
        <v>46119</v>
      </c>
      <c r="C2526" s="350">
        <v>46119</v>
      </c>
      <c r="D2526" s="351">
        <v>46113</v>
      </c>
      <c r="E2526" s="340" t="s">
        <v>2653</v>
      </c>
      <c r="F2526" s="340" t="s">
        <v>1078</v>
      </c>
      <c r="G2526" s="340" t="s">
        <v>1487</v>
      </c>
      <c r="H2526" s="340"/>
      <c r="I2526" s="340" t="s">
        <v>2424</v>
      </c>
      <c r="K2526" s="343">
        <v>1</v>
      </c>
      <c r="L2526" s="343">
        <v>0</v>
      </c>
      <c r="M2526" s="343">
        <v>-1319422.51</v>
      </c>
      <c r="O2526" s="343">
        <v>0</v>
      </c>
    </row>
    <row r="2527" spans="1:15" x14ac:dyDescent="0.3">
      <c r="A2527" s="340" t="s">
        <v>891</v>
      </c>
      <c r="B2527" s="350">
        <v>46119</v>
      </c>
      <c r="C2527" s="350">
        <v>46119</v>
      </c>
      <c r="D2527" s="351">
        <v>46113</v>
      </c>
      <c r="E2527" s="340" t="s">
        <v>2654</v>
      </c>
      <c r="F2527" s="340" t="s">
        <v>1078</v>
      </c>
      <c r="G2527" s="340" t="s">
        <v>1487</v>
      </c>
      <c r="H2527" s="340"/>
      <c r="I2527" s="340" t="s">
        <v>2423</v>
      </c>
      <c r="K2527" s="343">
        <v>1</v>
      </c>
      <c r="L2527" s="343">
        <v>0</v>
      </c>
      <c r="M2527" s="343">
        <v>-1319421.51</v>
      </c>
      <c r="O2527" s="343">
        <v>0</v>
      </c>
    </row>
    <row r="2528" spans="1:15" x14ac:dyDescent="0.3">
      <c r="A2528" s="340" t="s">
        <v>891</v>
      </c>
      <c r="B2528" s="350">
        <v>46119</v>
      </c>
      <c r="C2528" s="350">
        <v>46122</v>
      </c>
      <c r="D2528" s="351">
        <v>46113</v>
      </c>
      <c r="E2528" s="340" t="s">
        <v>2655</v>
      </c>
      <c r="F2528" s="340" t="s">
        <v>894</v>
      </c>
      <c r="G2528" s="340" t="s">
        <v>2656</v>
      </c>
      <c r="H2528" s="340"/>
      <c r="I2528" s="340" t="s">
        <v>740</v>
      </c>
      <c r="K2528" s="343">
        <v>0</v>
      </c>
      <c r="L2528" s="343">
        <v>-129.9</v>
      </c>
      <c r="M2528" s="343">
        <v>-1319551.4099999999</v>
      </c>
      <c r="O2528" s="343">
        <v>0</v>
      </c>
    </row>
    <row r="2529" spans="1:15" x14ac:dyDescent="0.3">
      <c r="A2529" s="340" t="s">
        <v>891</v>
      </c>
      <c r="B2529" s="350">
        <v>46120</v>
      </c>
      <c r="C2529" s="350">
        <v>46122</v>
      </c>
      <c r="D2529" s="351">
        <v>46113</v>
      </c>
      <c r="E2529" s="340" t="s">
        <v>2657</v>
      </c>
      <c r="F2529" s="340" t="s">
        <v>894</v>
      </c>
      <c r="G2529" s="340" t="s">
        <v>2658</v>
      </c>
      <c r="H2529" s="340"/>
      <c r="I2529" s="340" t="s">
        <v>740</v>
      </c>
      <c r="K2529" s="343">
        <v>0</v>
      </c>
      <c r="L2529" s="343">
        <v>-200</v>
      </c>
      <c r="M2529" s="343">
        <v>-1319751.4099999999</v>
      </c>
      <c r="O2529" s="343">
        <v>0</v>
      </c>
    </row>
    <row r="2530" spans="1:15" x14ac:dyDescent="0.3">
      <c r="A2530" s="340" t="s">
        <v>891</v>
      </c>
      <c r="B2530" s="350">
        <v>46120</v>
      </c>
      <c r="C2530" s="350">
        <v>46122</v>
      </c>
      <c r="D2530" s="351">
        <v>46113</v>
      </c>
      <c r="E2530" s="340" t="s">
        <v>2657</v>
      </c>
      <c r="F2530" s="340" t="s">
        <v>894</v>
      </c>
      <c r="G2530" s="340" t="s">
        <v>2659</v>
      </c>
      <c r="H2530" s="340"/>
      <c r="I2530" s="340" t="s">
        <v>740</v>
      </c>
      <c r="K2530" s="343">
        <v>0</v>
      </c>
      <c r="L2530" s="343">
        <v>-250</v>
      </c>
      <c r="M2530" s="343">
        <v>-1320001.4099999999</v>
      </c>
      <c r="O2530" s="343">
        <v>0</v>
      </c>
    </row>
    <row r="2531" spans="1:15" x14ac:dyDescent="0.3">
      <c r="A2531" s="340" t="s">
        <v>891</v>
      </c>
      <c r="B2531" s="350">
        <v>46120</v>
      </c>
      <c r="C2531" s="350">
        <v>46122</v>
      </c>
      <c r="D2531" s="351">
        <v>46113</v>
      </c>
      <c r="E2531" s="340" t="s">
        <v>2657</v>
      </c>
      <c r="F2531" s="340" t="s">
        <v>894</v>
      </c>
      <c r="G2531" s="340" t="s">
        <v>2660</v>
      </c>
      <c r="H2531" s="340"/>
      <c r="I2531" s="340" t="s">
        <v>740</v>
      </c>
      <c r="K2531" s="343">
        <v>0</v>
      </c>
      <c r="L2531" s="343">
        <v>-35</v>
      </c>
      <c r="M2531" s="343">
        <v>-1320036.4099999999</v>
      </c>
      <c r="O2531" s="343">
        <v>0</v>
      </c>
    </row>
    <row r="2532" spans="1:15" x14ac:dyDescent="0.3">
      <c r="A2532" s="340" t="s">
        <v>891</v>
      </c>
      <c r="B2532" s="350">
        <v>46120</v>
      </c>
      <c r="C2532" s="350">
        <v>46122</v>
      </c>
      <c r="D2532" s="351">
        <v>46113</v>
      </c>
      <c r="E2532" s="340" t="s">
        <v>2657</v>
      </c>
      <c r="F2532" s="340" t="s">
        <v>894</v>
      </c>
      <c r="G2532" s="340" t="s">
        <v>2661</v>
      </c>
      <c r="H2532" s="340"/>
      <c r="I2532" s="340" t="s">
        <v>740</v>
      </c>
      <c r="K2532" s="343">
        <v>0</v>
      </c>
      <c r="L2532" s="343">
        <v>-35</v>
      </c>
      <c r="M2532" s="343">
        <v>-1320071.4099999999</v>
      </c>
      <c r="O2532" s="343">
        <v>0</v>
      </c>
    </row>
    <row r="2533" spans="1:15" x14ac:dyDescent="0.3">
      <c r="A2533" s="340" t="s">
        <v>891</v>
      </c>
      <c r="B2533" s="350">
        <v>46120</v>
      </c>
      <c r="C2533" s="350">
        <v>46122</v>
      </c>
      <c r="D2533" s="351">
        <v>46113</v>
      </c>
      <c r="E2533" s="340" t="s">
        <v>2662</v>
      </c>
      <c r="F2533" s="340" t="s">
        <v>894</v>
      </c>
      <c r="G2533" s="340" t="s">
        <v>2663</v>
      </c>
      <c r="H2533" s="340"/>
      <c r="I2533" s="340" t="s">
        <v>740</v>
      </c>
      <c r="K2533" s="343">
        <v>0</v>
      </c>
      <c r="L2533" s="343">
        <v>-211.09</v>
      </c>
      <c r="M2533" s="343">
        <v>-1320282.5</v>
      </c>
      <c r="O2533" s="343">
        <v>0</v>
      </c>
    </row>
    <row r="2534" spans="1:15" x14ac:dyDescent="0.3">
      <c r="A2534" s="340" t="s">
        <v>891</v>
      </c>
      <c r="B2534" s="350">
        <v>46120</v>
      </c>
      <c r="C2534" s="350">
        <v>46122</v>
      </c>
      <c r="D2534" s="351">
        <v>46113</v>
      </c>
      <c r="E2534" s="340" t="s">
        <v>2664</v>
      </c>
      <c r="F2534" s="340" t="s">
        <v>894</v>
      </c>
      <c r="G2534" s="340" t="s">
        <v>2665</v>
      </c>
      <c r="H2534" s="340"/>
      <c r="I2534" s="340" t="s">
        <v>740</v>
      </c>
      <c r="K2534" s="343">
        <v>0</v>
      </c>
      <c r="L2534" s="343">
        <v>-167.79</v>
      </c>
      <c r="M2534" s="343">
        <v>-1320450.29</v>
      </c>
      <c r="O2534" s="343">
        <v>0</v>
      </c>
    </row>
    <row r="2535" spans="1:15" x14ac:dyDescent="0.3">
      <c r="A2535" s="340" t="s">
        <v>891</v>
      </c>
      <c r="B2535" s="350">
        <v>46120</v>
      </c>
      <c r="C2535" s="350">
        <v>46122</v>
      </c>
      <c r="D2535" s="351">
        <v>46113</v>
      </c>
      <c r="E2535" s="340" t="s">
        <v>2664</v>
      </c>
      <c r="F2535" s="340" t="s">
        <v>894</v>
      </c>
      <c r="G2535" s="340" t="s">
        <v>2666</v>
      </c>
      <c r="H2535" s="340"/>
      <c r="I2535" s="340" t="s">
        <v>740</v>
      </c>
      <c r="K2535" s="343">
        <v>0</v>
      </c>
      <c r="L2535" s="343">
        <v>-65</v>
      </c>
      <c r="M2535" s="343">
        <v>-1320515.29</v>
      </c>
      <c r="O2535" s="343">
        <v>0</v>
      </c>
    </row>
    <row r="2536" spans="1:15" x14ac:dyDescent="0.3">
      <c r="A2536" s="340" t="s">
        <v>891</v>
      </c>
      <c r="B2536" s="350">
        <v>46120</v>
      </c>
      <c r="C2536" s="350">
        <v>46122</v>
      </c>
      <c r="D2536" s="351">
        <v>46113</v>
      </c>
      <c r="E2536" s="340" t="s">
        <v>2667</v>
      </c>
      <c r="F2536" s="340" t="s">
        <v>894</v>
      </c>
      <c r="G2536" s="340" t="s">
        <v>2668</v>
      </c>
      <c r="H2536" s="340"/>
      <c r="I2536" s="340" t="s">
        <v>740</v>
      </c>
      <c r="K2536" s="343">
        <v>0</v>
      </c>
      <c r="L2536" s="343">
        <v>-297.69</v>
      </c>
      <c r="M2536" s="343">
        <v>-1320812.98</v>
      </c>
      <c r="O2536" s="343">
        <v>0</v>
      </c>
    </row>
    <row r="2537" spans="1:15" x14ac:dyDescent="0.3">
      <c r="A2537" s="340" t="s">
        <v>891</v>
      </c>
      <c r="B2537" s="350">
        <v>46120</v>
      </c>
      <c r="C2537" s="350">
        <v>46122</v>
      </c>
      <c r="D2537" s="351">
        <v>46113</v>
      </c>
      <c r="E2537" s="340" t="s">
        <v>2667</v>
      </c>
      <c r="F2537" s="340" t="s">
        <v>894</v>
      </c>
      <c r="G2537" s="340" t="s">
        <v>2669</v>
      </c>
      <c r="H2537" s="340"/>
      <c r="I2537" s="340" t="s">
        <v>740</v>
      </c>
      <c r="K2537" s="343">
        <v>0</v>
      </c>
      <c r="L2537" s="343">
        <v>-248.97</v>
      </c>
      <c r="M2537" s="343">
        <v>-1321061.95</v>
      </c>
      <c r="O2537" s="343">
        <v>0</v>
      </c>
    </row>
    <row r="2538" spans="1:15" x14ac:dyDescent="0.3">
      <c r="A2538" s="340" t="s">
        <v>891</v>
      </c>
      <c r="B2538" s="350">
        <v>46120</v>
      </c>
      <c r="C2538" s="350">
        <v>46122</v>
      </c>
      <c r="D2538" s="351">
        <v>46113</v>
      </c>
      <c r="E2538" s="340" t="s">
        <v>2667</v>
      </c>
      <c r="F2538" s="340" t="s">
        <v>894</v>
      </c>
      <c r="G2538" s="340" t="s">
        <v>2670</v>
      </c>
      <c r="H2538" s="340"/>
      <c r="I2538" s="340" t="s">
        <v>740</v>
      </c>
      <c r="K2538" s="343">
        <v>0</v>
      </c>
      <c r="L2538" s="343">
        <v>-194.85</v>
      </c>
      <c r="M2538" s="343">
        <v>-1321256.8</v>
      </c>
      <c r="O2538" s="343">
        <v>0</v>
      </c>
    </row>
    <row r="2539" spans="1:15" x14ac:dyDescent="0.3">
      <c r="A2539" s="340" t="s">
        <v>891</v>
      </c>
      <c r="B2539" s="350">
        <v>46120</v>
      </c>
      <c r="C2539" s="350">
        <v>46122</v>
      </c>
      <c r="D2539" s="351">
        <v>46113</v>
      </c>
      <c r="E2539" s="340" t="s">
        <v>2667</v>
      </c>
      <c r="F2539" s="340" t="s">
        <v>894</v>
      </c>
      <c r="G2539" s="340" t="s">
        <v>2671</v>
      </c>
      <c r="H2539" s="340"/>
      <c r="I2539" s="340" t="s">
        <v>740</v>
      </c>
      <c r="K2539" s="343">
        <v>0</v>
      </c>
      <c r="L2539" s="343">
        <v>-194.85</v>
      </c>
      <c r="M2539" s="343">
        <v>-1321451.6499999999</v>
      </c>
      <c r="O2539" s="343">
        <v>0</v>
      </c>
    </row>
    <row r="2540" spans="1:15" x14ac:dyDescent="0.3">
      <c r="A2540" s="340" t="s">
        <v>891</v>
      </c>
      <c r="B2540" s="350">
        <v>46120</v>
      </c>
      <c r="C2540" s="350">
        <v>46122</v>
      </c>
      <c r="D2540" s="351">
        <v>46113</v>
      </c>
      <c r="E2540" s="340" t="s">
        <v>2667</v>
      </c>
      <c r="F2540" s="340" t="s">
        <v>894</v>
      </c>
      <c r="G2540" s="340" t="s">
        <v>2672</v>
      </c>
      <c r="H2540" s="340"/>
      <c r="I2540" s="340" t="s">
        <v>740</v>
      </c>
      <c r="K2540" s="343">
        <v>0</v>
      </c>
      <c r="L2540" s="343">
        <v>-248.97</v>
      </c>
      <c r="M2540" s="343">
        <v>-1321700.6200000001</v>
      </c>
      <c r="O2540" s="343">
        <v>0</v>
      </c>
    </row>
    <row r="2541" spans="1:15" x14ac:dyDescent="0.3">
      <c r="A2541" s="340" t="s">
        <v>891</v>
      </c>
      <c r="B2541" s="350">
        <v>46120</v>
      </c>
      <c r="C2541" s="350">
        <v>46122</v>
      </c>
      <c r="D2541" s="351">
        <v>46113</v>
      </c>
      <c r="E2541" s="340" t="s">
        <v>2667</v>
      </c>
      <c r="F2541" s="340" t="s">
        <v>894</v>
      </c>
      <c r="G2541" s="340" t="s">
        <v>2673</v>
      </c>
      <c r="H2541" s="340"/>
      <c r="I2541" s="340" t="s">
        <v>740</v>
      </c>
      <c r="K2541" s="343">
        <v>0</v>
      </c>
      <c r="L2541" s="343">
        <v>-248.97</v>
      </c>
      <c r="M2541" s="343">
        <v>-1321949.5900000001</v>
      </c>
      <c r="O2541" s="343">
        <v>0</v>
      </c>
    </row>
    <row r="2542" spans="1:15" x14ac:dyDescent="0.3">
      <c r="A2542" s="340" t="s">
        <v>891</v>
      </c>
      <c r="B2542" s="350">
        <v>46120</v>
      </c>
      <c r="C2542" s="350">
        <v>46122</v>
      </c>
      <c r="D2542" s="351">
        <v>46113</v>
      </c>
      <c r="E2542" s="340" t="s">
        <v>2667</v>
      </c>
      <c r="F2542" s="340" t="s">
        <v>894</v>
      </c>
      <c r="G2542" s="340" t="s">
        <v>2674</v>
      </c>
      <c r="H2542" s="340"/>
      <c r="I2542" s="340" t="s">
        <v>740</v>
      </c>
      <c r="K2542" s="343">
        <v>0</v>
      </c>
      <c r="L2542" s="343">
        <v>-194.85</v>
      </c>
      <c r="M2542" s="343">
        <v>-1322144.44</v>
      </c>
      <c r="O2542" s="343">
        <v>0</v>
      </c>
    </row>
    <row r="2543" spans="1:15" x14ac:dyDescent="0.3">
      <c r="A2543" s="340" t="s">
        <v>891</v>
      </c>
      <c r="B2543" s="350">
        <v>46120</v>
      </c>
      <c r="C2543" s="350">
        <v>46122</v>
      </c>
      <c r="D2543" s="351">
        <v>46113</v>
      </c>
      <c r="E2543" s="340" t="s">
        <v>2667</v>
      </c>
      <c r="F2543" s="340" t="s">
        <v>894</v>
      </c>
      <c r="G2543" s="340" t="s">
        <v>2675</v>
      </c>
      <c r="H2543" s="340"/>
      <c r="I2543" s="340" t="s">
        <v>740</v>
      </c>
      <c r="K2543" s="343">
        <v>0</v>
      </c>
      <c r="L2543" s="343">
        <v>-194.86</v>
      </c>
      <c r="M2543" s="343">
        <v>-1322339.3</v>
      </c>
      <c r="O2543" s="343">
        <v>0</v>
      </c>
    </row>
    <row r="2544" spans="1:15" x14ac:dyDescent="0.3">
      <c r="A2544" s="340" t="s">
        <v>891</v>
      </c>
      <c r="B2544" s="350">
        <v>46120</v>
      </c>
      <c r="C2544" s="350">
        <v>46136</v>
      </c>
      <c r="D2544" s="351">
        <v>46113</v>
      </c>
      <c r="E2544" s="340" t="s">
        <v>2676</v>
      </c>
      <c r="F2544" s="340" t="s">
        <v>894</v>
      </c>
      <c r="G2544" s="340" t="s">
        <v>2677</v>
      </c>
      <c r="H2544" s="340"/>
      <c r="I2544" s="340" t="s">
        <v>750</v>
      </c>
      <c r="K2544" s="343">
        <v>0</v>
      </c>
      <c r="L2544" s="343">
        <v>-319.33999999999997</v>
      </c>
      <c r="M2544" s="343">
        <v>-1322658.6399999999</v>
      </c>
      <c r="O2544" s="343">
        <v>0</v>
      </c>
    </row>
    <row r="2545" spans="1:15" x14ac:dyDescent="0.3">
      <c r="A2545" s="340" t="s">
        <v>891</v>
      </c>
      <c r="B2545" s="350">
        <v>46120</v>
      </c>
      <c r="C2545" s="350">
        <v>46148</v>
      </c>
      <c r="D2545" s="351">
        <v>46143</v>
      </c>
      <c r="E2545" s="340" t="s">
        <v>2678</v>
      </c>
      <c r="F2545" s="340" t="s">
        <v>894</v>
      </c>
      <c r="G2545" s="340" t="s">
        <v>2679</v>
      </c>
      <c r="H2545" s="340"/>
      <c r="I2545" s="340" t="s">
        <v>748</v>
      </c>
      <c r="K2545" s="343">
        <v>0</v>
      </c>
      <c r="L2545" s="343">
        <v>-51.27</v>
      </c>
      <c r="M2545" s="343">
        <v>-1322709.9099999999</v>
      </c>
      <c r="O2545" s="343">
        <v>0</v>
      </c>
    </row>
    <row r="2546" spans="1:15" x14ac:dyDescent="0.3">
      <c r="A2546" s="340" t="s">
        <v>891</v>
      </c>
      <c r="B2546" s="350">
        <v>46120</v>
      </c>
      <c r="C2546" s="350">
        <v>46148</v>
      </c>
      <c r="D2546" s="351">
        <v>46143</v>
      </c>
      <c r="E2546" s="340" t="s">
        <v>2680</v>
      </c>
      <c r="F2546" s="340" t="s">
        <v>894</v>
      </c>
      <c r="G2546" s="340" t="s">
        <v>2681</v>
      </c>
      <c r="H2546" s="340"/>
      <c r="I2546" s="340" t="s">
        <v>748</v>
      </c>
      <c r="K2546" s="343">
        <v>0</v>
      </c>
      <c r="L2546" s="343">
        <v>-215.5</v>
      </c>
      <c r="M2546" s="343">
        <v>-1322925.4099999999</v>
      </c>
      <c r="O2546" s="343">
        <v>0</v>
      </c>
    </row>
    <row r="2547" spans="1:15" x14ac:dyDescent="0.3">
      <c r="A2547" s="340" t="s">
        <v>891</v>
      </c>
      <c r="B2547" s="350">
        <v>46120</v>
      </c>
      <c r="C2547" s="350">
        <v>46161</v>
      </c>
      <c r="D2547" s="351">
        <v>46143</v>
      </c>
      <c r="E2547" s="340" t="s">
        <v>2682</v>
      </c>
      <c r="F2547" s="340" t="s">
        <v>894</v>
      </c>
      <c r="G2547" s="340" t="s">
        <v>2683</v>
      </c>
      <c r="H2547" s="340"/>
      <c r="I2547" s="340" t="s">
        <v>748</v>
      </c>
      <c r="K2547" s="343">
        <v>0</v>
      </c>
      <c r="L2547" s="343">
        <v>-1481.8</v>
      </c>
      <c r="M2547" s="343">
        <v>-1324407.21</v>
      </c>
      <c r="O2547" s="343">
        <v>0</v>
      </c>
    </row>
    <row r="2548" spans="1:15" x14ac:dyDescent="0.3">
      <c r="A2548" s="340" t="s">
        <v>891</v>
      </c>
      <c r="B2548" s="350">
        <v>46120</v>
      </c>
      <c r="C2548" s="350">
        <v>46161</v>
      </c>
      <c r="D2548" s="351">
        <v>46143</v>
      </c>
      <c r="E2548" s="340" t="s">
        <v>2682</v>
      </c>
      <c r="F2548" s="340" t="s">
        <v>894</v>
      </c>
      <c r="G2548" s="340" t="s">
        <v>2684</v>
      </c>
      <c r="H2548" s="340"/>
      <c r="I2548" s="340" t="s">
        <v>748</v>
      </c>
      <c r="K2548" s="343">
        <v>0</v>
      </c>
      <c r="L2548" s="343">
        <v>-836.34</v>
      </c>
      <c r="M2548" s="343">
        <v>-1325243.55</v>
      </c>
      <c r="O2548" s="343">
        <v>0</v>
      </c>
    </row>
    <row r="2549" spans="1:15" x14ac:dyDescent="0.3">
      <c r="A2549" s="340" t="s">
        <v>891</v>
      </c>
      <c r="B2549" s="350">
        <v>46120</v>
      </c>
      <c r="C2549" s="350">
        <v>46161</v>
      </c>
      <c r="D2549" s="351">
        <v>46143</v>
      </c>
      <c r="E2549" s="340" t="s">
        <v>2682</v>
      </c>
      <c r="F2549" s="340" t="s">
        <v>894</v>
      </c>
      <c r="G2549" s="340" t="s">
        <v>2249</v>
      </c>
      <c r="H2549" s="340"/>
      <c r="I2549" s="340" t="s">
        <v>748</v>
      </c>
      <c r="K2549" s="343">
        <v>0</v>
      </c>
      <c r="L2549" s="343">
        <v>-21.74</v>
      </c>
      <c r="M2549" s="343">
        <v>-1325265.29</v>
      </c>
      <c r="O2549" s="343">
        <v>0</v>
      </c>
    </row>
    <row r="2550" spans="1:15" x14ac:dyDescent="0.3">
      <c r="A2550" s="340" t="s">
        <v>891</v>
      </c>
      <c r="B2550" s="350">
        <v>46120</v>
      </c>
      <c r="C2550" s="350">
        <v>46161</v>
      </c>
      <c r="D2550" s="351">
        <v>46143</v>
      </c>
      <c r="E2550" s="340" t="s">
        <v>2682</v>
      </c>
      <c r="F2550" s="340" t="s">
        <v>894</v>
      </c>
      <c r="G2550" s="340" t="s">
        <v>2248</v>
      </c>
      <c r="H2550" s="340"/>
      <c r="I2550" s="340" t="s">
        <v>748</v>
      </c>
      <c r="K2550" s="343">
        <v>0</v>
      </c>
      <c r="L2550" s="343">
        <v>-40.590000000000003</v>
      </c>
      <c r="M2550" s="343">
        <v>-1325305.8799999999</v>
      </c>
      <c r="O2550" s="343">
        <v>0</v>
      </c>
    </row>
    <row r="2551" spans="1:15" x14ac:dyDescent="0.3">
      <c r="A2551" s="340" t="s">
        <v>891</v>
      </c>
      <c r="B2551" s="350">
        <v>46121</v>
      </c>
      <c r="C2551" s="350">
        <v>46121</v>
      </c>
      <c r="D2551" s="351">
        <v>46113</v>
      </c>
      <c r="E2551" s="340" t="s">
        <v>2685</v>
      </c>
      <c r="F2551" s="340" t="s">
        <v>1078</v>
      </c>
      <c r="G2551" s="340" t="s">
        <v>2016</v>
      </c>
      <c r="H2551" s="340"/>
      <c r="I2551" s="340" t="s">
        <v>753</v>
      </c>
      <c r="K2551" s="343">
        <v>791.25</v>
      </c>
      <c r="L2551" s="343">
        <v>0</v>
      </c>
      <c r="M2551" s="343">
        <v>-1324514.6299999999</v>
      </c>
      <c r="O2551" s="343">
        <v>0</v>
      </c>
    </row>
    <row r="2552" spans="1:15" x14ac:dyDescent="0.3">
      <c r="A2552" s="340" t="s">
        <v>891</v>
      </c>
      <c r="B2552" s="350">
        <v>46121</v>
      </c>
      <c r="C2552" s="350">
        <v>46121</v>
      </c>
      <c r="D2552" s="351">
        <v>46113</v>
      </c>
      <c r="E2552" s="340" t="s">
        <v>2685</v>
      </c>
      <c r="F2552" s="340" t="s">
        <v>1078</v>
      </c>
      <c r="G2552" s="340" t="s">
        <v>2244</v>
      </c>
      <c r="H2552" s="340"/>
      <c r="I2552" s="340" t="s">
        <v>753</v>
      </c>
      <c r="K2552" s="343">
        <v>2040.51</v>
      </c>
      <c r="L2552" s="343">
        <v>0</v>
      </c>
      <c r="M2552" s="343">
        <v>-1322474.1200000001</v>
      </c>
      <c r="O2552" s="343">
        <v>0</v>
      </c>
    </row>
    <row r="2553" spans="1:15" x14ac:dyDescent="0.3">
      <c r="A2553" s="340" t="s">
        <v>891</v>
      </c>
      <c r="B2553" s="350">
        <v>46121</v>
      </c>
      <c r="C2553" s="350">
        <v>46121</v>
      </c>
      <c r="D2553" s="351">
        <v>46113</v>
      </c>
      <c r="E2553" s="340" t="s">
        <v>2685</v>
      </c>
      <c r="F2553" s="340" t="s">
        <v>1078</v>
      </c>
      <c r="G2553" s="340" t="s">
        <v>1879</v>
      </c>
      <c r="H2553" s="340"/>
      <c r="I2553" s="340" t="s">
        <v>753</v>
      </c>
      <c r="K2553" s="343">
        <v>465.48</v>
      </c>
      <c r="L2553" s="343">
        <v>0</v>
      </c>
      <c r="M2553" s="343">
        <v>-1322008.6399999999</v>
      </c>
      <c r="O2553" s="343">
        <v>0</v>
      </c>
    </row>
    <row r="2554" spans="1:15" x14ac:dyDescent="0.3">
      <c r="A2554" s="340" t="s">
        <v>891</v>
      </c>
      <c r="B2554" s="350">
        <v>46121</v>
      </c>
      <c r="C2554" s="350">
        <v>46121</v>
      </c>
      <c r="D2554" s="351">
        <v>46113</v>
      </c>
      <c r="E2554" s="340" t="s">
        <v>2685</v>
      </c>
      <c r="F2554" s="340" t="s">
        <v>1078</v>
      </c>
      <c r="G2554" s="340" t="s">
        <v>1685</v>
      </c>
      <c r="H2554" s="340"/>
      <c r="I2554" s="340" t="s">
        <v>753</v>
      </c>
      <c r="K2554" s="343">
        <v>5885.55</v>
      </c>
      <c r="L2554" s="343">
        <v>0</v>
      </c>
      <c r="M2554" s="343">
        <v>-1316123.0900000001</v>
      </c>
      <c r="O2554" s="343">
        <v>0</v>
      </c>
    </row>
    <row r="2555" spans="1:15" x14ac:dyDescent="0.3">
      <c r="A2555" s="340" t="s">
        <v>891</v>
      </c>
      <c r="B2555" s="350">
        <v>46121</v>
      </c>
      <c r="C2555" s="350">
        <v>46121</v>
      </c>
      <c r="D2555" s="351">
        <v>46113</v>
      </c>
      <c r="E2555" s="340" t="s">
        <v>2685</v>
      </c>
      <c r="F2555" s="340" t="s">
        <v>1078</v>
      </c>
      <c r="G2555" s="340" t="s">
        <v>1522</v>
      </c>
      <c r="H2555" s="340"/>
      <c r="I2555" s="340" t="s">
        <v>753</v>
      </c>
      <c r="K2555" s="343">
        <v>270.63</v>
      </c>
      <c r="L2555" s="343">
        <v>0</v>
      </c>
      <c r="M2555" s="343">
        <v>-1315852.46</v>
      </c>
      <c r="O2555" s="343">
        <v>0</v>
      </c>
    </row>
    <row r="2556" spans="1:15" x14ac:dyDescent="0.3">
      <c r="A2556" s="340" t="s">
        <v>891</v>
      </c>
      <c r="B2556" s="350">
        <v>46121</v>
      </c>
      <c r="C2556" s="350">
        <v>46121</v>
      </c>
      <c r="D2556" s="351">
        <v>46113</v>
      </c>
      <c r="E2556" s="340" t="s">
        <v>2685</v>
      </c>
      <c r="F2556" s="340" t="s">
        <v>1078</v>
      </c>
      <c r="G2556" s="340" t="s">
        <v>1505</v>
      </c>
      <c r="H2556" s="340"/>
      <c r="I2556" s="340" t="s">
        <v>753</v>
      </c>
      <c r="K2556" s="343">
        <v>757.75</v>
      </c>
      <c r="L2556" s="343">
        <v>0</v>
      </c>
      <c r="M2556" s="343">
        <v>-1315094.71</v>
      </c>
      <c r="O2556" s="343">
        <v>0</v>
      </c>
    </row>
    <row r="2557" spans="1:15" x14ac:dyDescent="0.3">
      <c r="A2557" s="340" t="s">
        <v>891</v>
      </c>
      <c r="B2557" s="350">
        <v>46121</v>
      </c>
      <c r="C2557" s="350">
        <v>46121</v>
      </c>
      <c r="D2557" s="351">
        <v>46113</v>
      </c>
      <c r="E2557" s="340" t="s">
        <v>2685</v>
      </c>
      <c r="F2557" s="340" t="s">
        <v>1078</v>
      </c>
      <c r="G2557" s="340" t="s">
        <v>1493</v>
      </c>
      <c r="H2557" s="340"/>
      <c r="I2557" s="340" t="s">
        <v>753</v>
      </c>
      <c r="K2557" s="343">
        <v>556.25</v>
      </c>
      <c r="L2557" s="343">
        <v>0</v>
      </c>
      <c r="M2557" s="343">
        <v>-1314538.46</v>
      </c>
      <c r="O2557" s="343">
        <v>0</v>
      </c>
    </row>
    <row r="2558" spans="1:15" x14ac:dyDescent="0.3">
      <c r="A2558" s="340" t="s">
        <v>891</v>
      </c>
      <c r="B2558" s="350">
        <v>46121</v>
      </c>
      <c r="C2558" s="350">
        <v>46121</v>
      </c>
      <c r="D2558" s="351">
        <v>46113</v>
      </c>
      <c r="E2558" s="340" t="s">
        <v>2686</v>
      </c>
      <c r="F2558" s="340" t="s">
        <v>1078</v>
      </c>
      <c r="G2558" s="340" t="s">
        <v>1928</v>
      </c>
      <c r="H2558" s="340"/>
      <c r="I2558" s="340" t="s">
        <v>1354</v>
      </c>
      <c r="K2558" s="343">
        <v>457.63</v>
      </c>
      <c r="L2558" s="343">
        <v>0</v>
      </c>
      <c r="M2558" s="343">
        <v>-1314080.83</v>
      </c>
      <c r="O2558" s="343">
        <v>0</v>
      </c>
    </row>
    <row r="2559" spans="1:15" x14ac:dyDescent="0.3">
      <c r="A2559" s="340" t="s">
        <v>891</v>
      </c>
      <c r="B2559" s="350">
        <v>46121</v>
      </c>
      <c r="C2559" s="350">
        <v>46122</v>
      </c>
      <c r="D2559" s="351">
        <v>46113</v>
      </c>
      <c r="E2559" s="340" t="s">
        <v>2687</v>
      </c>
      <c r="F2559" s="340" t="s">
        <v>894</v>
      </c>
      <c r="G2559" s="340" t="s">
        <v>2688</v>
      </c>
      <c r="H2559" s="340"/>
      <c r="I2559" s="340" t="s">
        <v>740</v>
      </c>
      <c r="K2559" s="343">
        <v>0</v>
      </c>
      <c r="L2559" s="343">
        <v>-195</v>
      </c>
      <c r="M2559" s="343">
        <v>-1314275.83</v>
      </c>
      <c r="O2559" s="343">
        <v>0</v>
      </c>
    </row>
    <row r="2560" spans="1:15" x14ac:dyDescent="0.3">
      <c r="A2560" s="340" t="s">
        <v>891</v>
      </c>
      <c r="B2560" s="350">
        <v>46121</v>
      </c>
      <c r="C2560" s="350">
        <v>46125</v>
      </c>
      <c r="D2560" s="351">
        <v>46113</v>
      </c>
      <c r="E2560" s="340" t="s">
        <v>2689</v>
      </c>
      <c r="F2560" s="340" t="s">
        <v>894</v>
      </c>
      <c r="G2560" s="340" t="s">
        <v>2690</v>
      </c>
      <c r="H2560" s="340"/>
      <c r="I2560" s="340" t="s">
        <v>740</v>
      </c>
      <c r="K2560" s="343">
        <v>0</v>
      </c>
      <c r="L2560" s="343">
        <v>-355</v>
      </c>
      <c r="M2560" s="343">
        <v>-1314630.83</v>
      </c>
      <c r="O2560" s="343">
        <v>0</v>
      </c>
    </row>
    <row r="2561" spans="1:15" x14ac:dyDescent="0.3">
      <c r="A2561" s="340" t="s">
        <v>891</v>
      </c>
      <c r="B2561" s="350">
        <v>46121</v>
      </c>
      <c r="C2561" s="350">
        <v>46139</v>
      </c>
      <c r="D2561" s="351">
        <v>46113</v>
      </c>
      <c r="E2561" s="340" t="s">
        <v>2691</v>
      </c>
      <c r="F2561" s="340" t="s">
        <v>894</v>
      </c>
      <c r="G2561" s="340" t="s">
        <v>2692</v>
      </c>
      <c r="H2561" s="340"/>
      <c r="I2561" s="340" t="s">
        <v>759</v>
      </c>
      <c r="K2561" s="343">
        <v>0</v>
      </c>
      <c r="L2561" s="343">
        <v>-81.19</v>
      </c>
      <c r="M2561" s="343">
        <v>-1314712.02</v>
      </c>
      <c r="O2561" s="343">
        <v>0</v>
      </c>
    </row>
    <row r="2562" spans="1:15" x14ac:dyDescent="0.3">
      <c r="A2562" s="340" t="s">
        <v>891</v>
      </c>
      <c r="B2562" s="350">
        <v>46121</v>
      </c>
      <c r="C2562" s="350">
        <v>46139</v>
      </c>
      <c r="D2562" s="351">
        <v>46113</v>
      </c>
      <c r="E2562" s="340" t="s">
        <v>2693</v>
      </c>
      <c r="F2562" s="340" t="s">
        <v>894</v>
      </c>
      <c r="G2562" s="340" t="s">
        <v>2694</v>
      </c>
      <c r="H2562" s="340"/>
      <c r="I2562" s="340" t="s">
        <v>759</v>
      </c>
      <c r="K2562" s="343">
        <v>0</v>
      </c>
      <c r="L2562" s="343">
        <v>-81.19</v>
      </c>
      <c r="M2562" s="343">
        <v>-1314793.21</v>
      </c>
      <c r="O2562" s="343">
        <v>0</v>
      </c>
    </row>
    <row r="2563" spans="1:15" x14ac:dyDescent="0.3">
      <c r="A2563" s="340" t="s">
        <v>891</v>
      </c>
      <c r="B2563" s="350">
        <v>46121</v>
      </c>
      <c r="C2563" s="350">
        <v>46139</v>
      </c>
      <c r="D2563" s="351">
        <v>46113</v>
      </c>
      <c r="E2563" s="340" t="s">
        <v>2695</v>
      </c>
      <c r="F2563" s="340" t="s">
        <v>894</v>
      </c>
      <c r="G2563" s="340" t="s">
        <v>2696</v>
      </c>
      <c r="H2563" s="340"/>
      <c r="I2563" s="340" t="s">
        <v>759</v>
      </c>
      <c r="K2563" s="343">
        <v>0</v>
      </c>
      <c r="L2563" s="343">
        <v>-81.19</v>
      </c>
      <c r="M2563" s="343">
        <v>-1314874.3999999999</v>
      </c>
      <c r="O2563" s="343">
        <v>0</v>
      </c>
    </row>
    <row r="2564" spans="1:15" x14ac:dyDescent="0.3">
      <c r="A2564" s="340" t="s">
        <v>891</v>
      </c>
      <c r="B2564" s="350">
        <v>46121</v>
      </c>
      <c r="C2564" s="350">
        <v>46139</v>
      </c>
      <c r="D2564" s="351">
        <v>46113</v>
      </c>
      <c r="E2564" s="340" t="s">
        <v>2697</v>
      </c>
      <c r="F2564" s="340" t="s">
        <v>894</v>
      </c>
      <c r="G2564" s="340" t="s">
        <v>2698</v>
      </c>
      <c r="H2564" s="340"/>
      <c r="I2564" s="340" t="s">
        <v>759</v>
      </c>
      <c r="K2564" s="343">
        <v>0</v>
      </c>
      <c r="L2564" s="343">
        <v>-81.19</v>
      </c>
      <c r="M2564" s="343">
        <v>-1314955.5900000001</v>
      </c>
      <c r="O2564" s="343">
        <v>0</v>
      </c>
    </row>
    <row r="2565" spans="1:15" x14ac:dyDescent="0.3">
      <c r="A2565" s="340" t="s">
        <v>891</v>
      </c>
      <c r="B2565" s="350">
        <v>46122</v>
      </c>
      <c r="C2565" s="350">
        <v>46122</v>
      </c>
      <c r="D2565" s="351">
        <v>46113</v>
      </c>
      <c r="E2565" s="340" t="s">
        <v>2699</v>
      </c>
      <c r="F2565" s="340" t="s">
        <v>894</v>
      </c>
      <c r="G2565" s="340" t="s">
        <v>2700</v>
      </c>
      <c r="H2565" s="340"/>
      <c r="I2565" s="340" t="s">
        <v>753</v>
      </c>
      <c r="K2565" s="343">
        <v>0</v>
      </c>
      <c r="L2565" s="343">
        <v>-2008.5</v>
      </c>
      <c r="M2565" s="343">
        <v>-1316964.0900000001</v>
      </c>
      <c r="O2565" s="343">
        <v>0</v>
      </c>
    </row>
    <row r="2566" spans="1:15" x14ac:dyDescent="0.3">
      <c r="A2566" s="340" t="s">
        <v>891</v>
      </c>
      <c r="B2566" s="350">
        <v>46122</v>
      </c>
      <c r="C2566" s="350">
        <v>46125</v>
      </c>
      <c r="D2566" s="351">
        <v>46113</v>
      </c>
      <c r="E2566" s="340" t="s">
        <v>2701</v>
      </c>
      <c r="F2566" s="340" t="s">
        <v>894</v>
      </c>
      <c r="G2566" s="340" t="s">
        <v>2702</v>
      </c>
      <c r="H2566" s="340"/>
      <c r="I2566" s="340" t="s">
        <v>753</v>
      </c>
      <c r="K2566" s="343">
        <v>0</v>
      </c>
      <c r="L2566" s="343">
        <v>-541.25</v>
      </c>
      <c r="M2566" s="343">
        <v>-1317505.3400000001</v>
      </c>
      <c r="O2566" s="343">
        <v>0</v>
      </c>
    </row>
    <row r="2567" spans="1:15" x14ac:dyDescent="0.3">
      <c r="A2567" s="340" t="s">
        <v>891</v>
      </c>
      <c r="B2567" s="350">
        <v>46122</v>
      </c>
      <c r="C2567" s="350">
        <v>46125</v>
      </c>
      <c r="D2567" s="351">
        <v>46113</v>
      </c>
      <c r="E2567" s="340" t="s">
        <v>2703</v>
      </c>
      <c r="F2567" s="340" t="s">
        <v>894</v>
      </c>
      <c r="G2567" s="340" t="s">
        <v>2704</v>
      </c>
      <c r="H2567" s="340"/>
      <c r="I2567" s="340" t="s">
        <v>753</v>
      </c>
      <c r="K2567" s="343">
        <v>0</v>
      </c>
      <c r="L2567" s="343">
        <v>-1071.68</v>
      </c>
      <c r="M2567" s="343">
        <v>-1318577.02</v>
      </c>
      <c r="O2567" s="343">
        <v>0</v>
      </c>
    </row>
    <row r="2568" spans="1:15" x14ac:dyDescent="0.3">
      <c r="A2568" s="340" t="s">
        <v>891</v>
      </c>
      <c r="B2568" s="350">
        <v>46122</v>
      </c>
      <c r="C2568" s="350">
        <v>46130</v>
      </c>
      <c r="D2568" s="351">
        <v>46113</v>
      </c>
      <c r="E2568" s="340" t="s">
        <v>2705</v>
      </c>
      <c r="F2568" s="340" t="s">
        <v>894</v>
      </c>
      <c r="G2568" s="340" t="s">
        <v>1007</v>
      </c>
      <c r="H2568" s="340"/>
      <c r="I2568" s="340" t="s">
        <v>1005</v>
      </c>
      <c r="K2568" s="343">
        <v>0</v>
      </c>
      <c r="L2568" s="343">
        <v>-638.63</v>
      </c>
      <c r="M2568" s="343">
        <v>-1319215.6499999999</v>
      </c>
      <c r="O2568" s="343">
        <v>0</v>
      </c>
    </row>
    <row r="2569" spans="1:15" x14ac:dyDescent="0.3">
      <c r="A2569" s="340" t="s">
        <v>891</v>
      </c>
      <c r="B2569" s="350">
        <v>46122</v>
      </c>
      <c r="C2569" s="350">
        <v>46139</v>
      </c>
      <c r="D2569" s="351">
        <v>46113</v>
      </c>
      <c r="E2569" s="340" t="s">
        <v>2706</v>
      </c>
      <c r="F2569" s="340" t="s">
        <v>894</v>
      </c>
      <c r="G2569" s="340" t="s">
        <v>2707</v>
      </c>
      <c r="H2569" s="340"/>
      <c r="I2569" s="340" t="s">
        <v>769</v>
      </c>
      <c r="K2569" s="343">
        <v>0</v>
      </c>
      <c r="L2569" s="343">
        <v>-439</v>
      </c>
      <c r="M2569" s="343">
        <v>-1319654.6499999999</v>
      </c>
      <c r="O2569" s="343">
        <v>0</v>
      </c>
    </row>
    <row r="2570" spans="1:15" x14ac:dyDescent="0.3">
      <c r="A2570" s="340" t="s">
        <v>891</v>
      </c>
      <c r="B2570" s="350">
        <v>46122</v>
      </c>
      <c r="C2570" s="350">
        <v>46140</v>
      </c>
      <c r="D2570" s="351">
        <v>46113</v>
      </c>
      <c r="E2570" s="340" t="s">
        <v>2708</v>
      </c>
      <c r="F2570" s="340" t="s">
        <v>894</v>
      </c>
      <c r="G2570" s="340" t="s">
        <v>2709</v>
      </c>
      <c r="H2570" s="340"/>
      <c r="I2570" s="340" t="s">
        <v>740</v>
      </c>
      <c r="K2570" s="343">
        <v>0</v>
      </c>
      <c r="L2570" s="343">
        <v>-297.69</v>
      </c>
      <c r="M2570" s="343">
        <v>-1319952.3400000001</v>
      </c>
      <c r="O2570" s="343">
        <v>0</v>
      </c>
    </row>
    <row r="2571" spans="1:15" x14ac:dyDescent="0.3">
      <c r="A2571" s="340" t="s">
        <v>891</v>
      </c>
      <c r="B2571" s="350">
        <v>46122</v>
      </c>
      <c r="C2571" s="350">
        <v>46140</v>
      </c>
      <c r="D2571" s="351">
        <v>46113</v>
      </c>
      <c r="E2571" s="340" t="s">
        <v>2708</v>
      </c>
      <c r="F2571" s="340" t="s">
        <v>894</v>
      </c>
      <c r="G2571" s="340" t="s">
        <v>2710</v>
      </c>
      <c r="H2571" s="340"/>
      <c r="I2571" s="340" t="s">
        <v>740</v>
      </c>
      <c r="K2571" s="343">
        <v>0</v>
      </c>
      <c r="L2571" s="343">
        <v>-194.85</v>
      </c>
      <c r="M2571" s="343">
        <v>-1320147.19</v>
      </c>
      <c r="O2571" s="343">
        <v>0</v>
      </c>
    </row>
    <row r="2572" spans="1:15" x14ac:dyDescent="0.3">
      <c r="A2572" s="340" t="s">
        <v>891</v>
      </c>
      <c r="B2572" s="350">
        <v>46122</v>
      </c>
      <c r="C2572" s="350">
        <v>46140</v>
      </c>
      <c r="D2572" s="351">
        <v>46113</v>
      </c>
      <c r="E2572" s="340" t="s">
        <v>2708</v>
      </c>
      <c r="F2572" s="340" t="s">
        <v>894</v>
      </c>
      <c r="G2572" s="340" t="s">
        <v>2711</v>
      </c>
      <c r="H2572" s="340"/>
      <c r="I2572" s="340" t="s">
        <v>740</v>
      </c>
      <c r="K2572" s="343">
        <v>0</v>
      </c>
      <c r="L2572" s="343">
        <v>-248.97</v>
      </c>
      <c r="M2572" s="343">
        <v>-1320396.1599999999</v>
      </c>
      <c r="O2572" s="343">
        <v>0</v>
      </c>
    </row>
    <row r="2573" spans="1:15" x14ac:dyDescent="0.3">
      <c r="A2573" s="340" t="s">
        <v>891</v>
      </c>
      <c r="B2573" s="350">
        <v>46122</v>
      </c>
      <c r="C2573" s="350">
        <v>46140</v>
      </c>
      <c r="D2573" s="351">
        <v>46113</v>
      </c>
      <c r="E2573" s="340" t="s">
        <v>2708</v>
      </c>
      <c r="F2573" s="340" t="s">
        <v>894</v>
      </c>
      <c r="G2573" s="340" t="s">
        <v>2712</v>
      </c>
      <c r="H2573" s="340"/>
      <c r="I2573" s="340" t="s">
        <v>740</v>
      </c>
      <c r="K2573" s="343">
        <v>0</v>
      </c>
      <c r="L2573" s="343">
        <v>-194.85</v>
      </c>
      <c r="M2573" s="343">
        <v>-1320591.01</v>
      </c>
      <c r="O2573" s="343">
        <v>0</v>
      </c>
    </row>
    <row r="2574" spans="1:15" x14ac:dyDescent="0.3">
      <c r="A2574" s="340" t="s">
        <v>891</v>
      </c>
      <c r="B2574" s="350">
        <v>46122</v>
      </c>
      <c r="C2574" s="350">
        <v>46140</v>
      </c>
      <c r="D2574" s="351">
        <v>46113</v>
      </c>
      <c r="E2574" s="340" t="s">
        <v>2708</v>
      </c>
      <c r="F2574" s="340" t="s">
        <v>894</v>
      </c>
      <c r="G2574" s="340" t="s">
        <v>2713</v>
      </c>
      <c r="H2574" s="340"/>
      <c r="I2574" s="340" t="s">
        <v>740</v>
      </c>
      <c r="K2574" s="343">
        <v>0</v>
      </c>
      <c r="L2574" s="343">
        <v>-194.85</v>
      </c>
      <c r="M2574" s="343">
        <v>-1320785.8600000001</v>
      </c>
      <c r="O2574" s="343">
        <v>0</v>
      </c>
    </row>
    <row r="2575" spans="1:15" x14ac:dyDescent="0.3">
      <c r="A2575" s="340" t="s">
        <v>891</v>
      </c>
      <c r="B2575" s="350">
        <v>46122</v>
      </c>
      <c r="C2575" s="350">
        <v>46140</v>
      </c>
      <c r="D2575" s="351">
        <v>46113</v>
      </c>
      <c r="E2575" s="340" t="s">
        <v>2708</v>
      </c>
      <c r="F2575" s="340" t="s">
        <v>894</v>
      </c>
      <c r="G2575" s="340" t="s">
        <v>2714</v>
      </c>
      <c r="H2575" s="340"/>
      <c r="I2575" s="340" t="s">
        <v>740</v>
      </c>
      <c r="K2575" s="343">
        <v>0</v>
      </c>
      <c r="L2575" s="343">
        <v>-194.85</v>
      </c>
      <c r="M2575" s="343">
        <v>-1320980.71</v>
      </c>
      <c r="O2575" s="343">
        <v>0</v>
      </c>
    </row>
    <row r="2576" spans="1:15" x14ac:dyDescent="0.3">
      <c r="A2576" s="340" t="s">
        <v>891</v>
      </c>
      <c r="B2576" s="350">
        <v>46122</v>
      </c>
      <c r="C2576" s="350">
        <v>46148</v>
      </c>
      <c r="D2576" s="351">
        <v>46143</v>
      </c>
      <c r="E2576" s="340" t="s">
        <v>2715</v>
      </c>
      <c r="F2576" s="340" t="s">
        <v>894</v>
      </c>
      <c r="G2576" s="340" t="s">
        <v>2716</v>
      </c>
      <c r="H2576" s="340"/>
      <c r="I2576" s="340" t="s">
        <v>748</v>
      </c>
      <c r="K2576" s="343">
        <v>0</v>
      </c>
      <c r="L2576" s="343">
        <v>-384.42</v>
      </c>
      <c r="M2576" s="343">
        <v>-1321365.1299999999</v>
      </c>
      <c r="O2576" s="343">
        <v>0</v>
      </c>
    </row>
    <row r="2577" spans="1:15" x14ac:dyDescent="0.3">
      <c r="A2577" s="340" t="s">
        <v>891</v>
      </c>
      <c r="B2577" s="350">
        <v>46122</v>
      </c>
      <c r="C2577" s="350">
        <v>46148</v>
      </c>
      <c r="D2577" s="351">
        <v>46143</v>
      </c>
      <c r="E2577" s="340" t="s">
        <v>2715</v>
      </c>
      <c r="F2577" s="340" t="s">
        <v>894</v>
      </c>
      <c r="G2577" s="340" t="s">
        <v>2717</v>
      </c>
      <c r="H2577" s="340"/>
      <c r="I2577" s="340" t="s">
        <v>748</v>
      </c>
      <c r="K2577" s="343">
        <v>0</v>
      </c>
      <c r="L2577" s="343">
        <v>-127.13</v>
      </c>
      <c r="M2577" s="343">
        <v>-1321492.26</v>
      </c>
      <c r="O2577" s="343">
        <v>0</v>
      </c>
    </row>
    <row r="2578" spans="1:15" x14ac:dyDescent="0.3">
      <c r="A2578" s="340" t="s">
        <v>891</v>
      </c>
      <c r="B2578" s="350">
        <v>46122</v>
      </c>
      <c r="C2578" s="350">
        <v>46148</v>
      </c>
      <c r="D2578" s="351">
        <v>46143</v>
      </c>
      <c r="E2578" s="340" t="s">
        <v>2715</v>
      </c>
      <c r="F2578" s="340" t="s">
        <v>894</v>
      </c>
      <c r="G2578" s="340" t="s">
        <v>2718</v>
      </c>
      <c r="H2578" s="340"/>
      <c r="I2578" s="340" t="s">
        <v>748</v>
      </c>
      <c r="K2578" s="343">
        <v>0</v>
      </c>
      <c r="L2578" s="343">
        <v>-703.8</v>
      </c>
      <c r="M2578" s="343">
        <v>-1322196.06</v>
      </c>
      <c r="O2578" s="343">
        <v>0</v>
      </c>
    </row>
    <row r="2579" spans="1:15" x14ac:dyDescent="0.3">
      <c r="A2579" s="340" t="s">
        <v>891</v>
      </c>
      <c r="B2579" s="350">
        <v>46122</v>
      </c>
      <c r="C2579" s="350">
        <v>46148</v>
      </c>
      <c r="D2579" s="351">
        <v>46143</v>
      </c>
      <c r="E2579" s="340" t="s">
        <v>2715</v>
      </c>
      <c r="F2579" s="340" t="s">
        <v>894</v>
      </c>
      <c r="G2579" s="340" t="s">
        <v>2719</v>
      </c>
      <c r="H2579" s="340"/>
      <c r="I2579" s="340" t="s">
        <v>748</v>
      </c>
      <c r="K2579" s="343">
        <v>0</v>
      </c>
      <c r="L2579" s="343">
        <v>-467.73</v>
      </c>
      <c r="M2579" s="343">
        <v>-1322663.79</v>
      </c>
      <c r="O2579" s="343">
        <v>0</v>
      </c>
    </row>
    <row r="2580" spans="1:15" x14ac:dyDescent="0.3">
      <c r="A2580" s="340" t="s">
        <v>891</v>
      </c>
      <c r="B2580" s="350">
        <v>46122</v>
      </c>
      <c r="C2580" s="350">
        <v>46148</v>
      </c>
      <c r="D2580" s="351">
        <v>46143</v>
      </c>
      <c r="E2580" s="340" t="s">
        <v>2715</v>
      </c>
      <c r="F2580" s="340" t="s">
        <v>894</v>
      </c>
      <c r="G2580" s="340" t="s">
        <v>2720</v>
      </c>
      <c r="H2580" s="340"/>
      <c r="I2580" s="340" t="s">
        <v>748</v>
      </c>
      <c r="K2580" s="343">
        <v>0</v>
      </c>
      <c r="L2580" s="343">
        <v>-601.17999999999995</v>
      </c>
      <c r="M2580" s="343">
        <v>-1323264.97</v>
      </c>
      <c r="O2580" s="343">
        <v>0</v>
      </c>
    </row>
    <row r="2581" spans="1:15" x14ac:dyDescent="0.3">
      <c r="A2581" s="340" t="s">
        <v>891</v>
      </c>
      <c r="B2581" s="350">
        <v>46122</v>
      </c>
      <c r="C2581" s="350">
        <v>46148</v>
      </c>
      <c r="D2581" s="351">
        <v>46143</v>
      </c>
      <c r="E2581" s="340" t="s">
        <v>2715</v>
      </c>
      <c r="F2581" s="340" t="s">
        <v>894</v>
      </c>
      <c r="G2581" s="340" t="s">
        <v>2721</v>
      </c>
      <c r="H2581" s="340"/>
      <c r="I2581" s="340" t="s">
        <v>748</v>
      </c>
      <c r="K2581" s="343">
        <v>0</v>
      </c>
      <c r="L2581" s="343">
        <v>-271.58</v>
      </c>
      <c r="M2581" s="343">
        <v>-1323536.55</v>
      </c>
      <c r="O2581" s="343">
        <v>0</v>
      </c>
    </row>
    <row r="2582" spans="1:15" x14ac:dyDescent="0.3">
      <c r="A2582" s="340" t="s">
        <v>891</v>
      </c>
      <c r="B2582" s="350">
        <v>46122</v>
      </c>
      <c r="C2582" s="350">
        <v>46148</v>
      </c>
      <c r="D2582" s="351">
        <v>46143</v>
      </c>
      <c r="E2582" s="340" t="s">
        <v>2715</v>
      </c>
      <c r="F2582" s="340" t="s">
        <v>894</v>
      </c>
      <c r="G2582" s="340" t="s">
        <v>2722</v>
      </c>
      <c r="H2582" s="340"/>
      <c r="I2582" s="340" t="s">
        <v>748</v>
      </c>
      <c r="K2582" s="343">
        <v>0</v>
      </c>
      <c r="L2582" s="343">
        <v>-602.22</v>
      </c>
      <c r="M2582" s="343">
        <v>-1324138.77</v>
      </c>
      <c r="O2582" s="343">
        <v>0</v>
      </c>
    </row>
    <row r="2583" spans="1:15" x14ac:dyDescent="0.3">
      <c r="A2583" s="340" t="s">
        <v>891</v>
      </c>
      <c r="B2583" s="350">
        <v>46122</v>
      </c>
      <c r="C2583" s="350">
        <v>46148</v>
      </c>
      <c r="D2583" s="351">
        <v>46143</v>
      </c>
      <c r="E2583" s="340" t="s">
        <v>2715</v>
      </c>
      <c r="F2583" s="340" t="s">
        <v>894</v>
      </c>
      <c r="G2583" s="340" t="s">
        <v>2723</v>
      </c>
      <c r="H2583" s="340"/>
      <c r="I2583" s="340" t="s">
        <v>748</v>
      </c>
      <c r="K2583" s="343">
        <v>0</v>
      </c>
      <c r="L2583" s="343">
        <v>-309.68</v>
      </c>
      <c r="M2583" s="343">
        <v>-1324448.45</v>
      </c>
      <c r="O2583" s="343">
        <v>0</v>
      </c>
    </row>
    <row r="2584" spans="1:15" x14ac:dyDescent="0.3">
      <c r="A2584" s="340" t="s">
        <v>891</v>
      </c>
      <c r="B2584" s="350">
        <v>46123</v>
      </c>
      <c r="C2584" s="350">
        <v>46129</v>
      </c>
      <c r="D2584" s="351">
        <v>46113</v>
      </c>
      <c r="E2584" s="340" t="s">
        <v>2724</v>
      </c>
      <c r="F2584" s="340" t="s">
        <v>894</v>
      </c>
      <c r="G2584" s="340" t="s">
        <v>2725</v>
      </c>
      <c r="H2584" s="340"/>
      <c r="I2584" s="340" t="s">
        <v>765</v>
      </c>
      <c r="K2584" s="343">
        <v>0</v>
      </c>
      <c r="L2584" s="343">
        <v>-778.91</v>
      </c>
      <c r="M2584" s="343">
        <v>-1325227.3600000001</v>
      </c>
      <c r="O2584" s="343">
        <v>0</v>
      </c>
    </row>
    <row r="2585" spans="1:15" x14ac:dyDescent="0.3">
      <c r="A2585" s="340" t="s">
        <v>891</v>
      </c>
      <c r="B2585" s="350">
        <v>46124</v>
      </c>
      <c r="C2585" s="350">
        <v>46139</v>
      </c>
      <c r="D2585" s="351">
        <v>46113</v>
      </c>
      <c r="E2585" s="340" t="s">
        <v>2726</v>
      </c>
      <c r="F2585" s="340" t="s">
        <v>894</v>
      </c>
      <c r="G2585" s="340" t="s">
        <v>2727</v>
      </c>
      <c r="H2585" s="340"/>
      <c r="I2585" s="340" t="s">
        <v>759</v>
      </c>
      <c r="K2585" s="343">
        <v>0</v>
      </c>
      <c r="L2585" s="343">
        <v>-81.19</v>
      </c>
      <c r="M2585" s="343">
        <v>-1325308.55</v>
      </c>
      <c r="O2585" s="343">
        <v>0</v>
      </c>
    </row>
    <row r="2586" spans="1:15" x14ac:dyDescent="0.3">
      <c r="A2586" s="340" t="s">
        <v>891</v>
      </c>
      <c r="B2586" s="350">
        <v>46124</v>
      </c>
      <c r="C2586" s="350">
        <v>46139</v>
      </c>
      <c r="D2586" s="351">
        <v>46113</v>
      </c>
      <c r="E2586" s="340" t="s">
        <v>2728</v>
      </c>
      <c r="F2586" s="340" t="s">
        <v>894</v>
      </c>
      <c r="G2586" s="340" t="s">
        <v>2729</v>
      </c>
      <c r="H2586" s="340"/>
      <c r="I2586" s="340" t="s">
        <v>759</v>
      </c>
      <c r="K2586" s="343">
        <v>0</v>
      </c>
      <c r="L2586" s="343">
        <v>-81.19</v>
      </c>
      <c r="M2586" s="343">
        <v>-1325389.74</v>
      </c>
      <c r="O2586" s="343">
        <v>0</v>
      </c>
    </row>
    <row r="2587" spans="1:15" x14ac:dyDescent="0.3">
      <c r="A2587" s="340" t="s">
        <v>891</v>
      </c>
      <c r="B2587" s="350">
        <v>46125</v>
      </c>
      <c r="C2587" s="350">
        <v>46125</v>
      </c>
      <c r="D2587" s="351">
        <v>46113</v>
      </c>
      <c r="E2587" s="340" t="s">
        <v>2730</v>
      </c>
      <c r="F2587" s="340" t="s">
        <v>1078</v>
      </c>
      <c r="G2587" s="340" t="s">
        <v>1245</v>
      </c>
      <c r="H2587" s="340"/>
      <c r="I2587" s="340" t="s">
        <v>757</v>
      </c>
      <c r="K2587" s="343">
        <v>246.81</v>
      </c>
      <c r="L2587" s="343">
        <v>0</v>
      </c>
      <c r="M2587" s="343">
        <v>-1325142.93</v>
      </c>
      <c r="O2587" s="343">
        <v>0</v>
      </c>
    </row>
    <row r="2588" spans="1:15" x14ac:dyDescent="0.3">
      <c r="A2588" s="340" t="s">
        <v>891</v>
      </c>
      <c r="B2588" s="350">
        <v>46125</v>
      </c>
      <c r="C2588" s="350">
        <v>46125</v>
      </c>
      <c r="D2588" s="351">
        <v>46113</v>
      </c>
      <c r="E2588" s="340" t="s">
        <v>2730</v>
      </c>
      <c r="F2588" s="340" t="s">
        <v>1078</v>
      </c>
      <c r="G2588" s="340" t="s">
        <v>1245</v>
      </c>
      <c r="H2588" s="340"/>
      <c r="I2588" s="340" t="s">
        <v>757</v>
      </c>
      <c r="K2588" s="343">
        <v>246.82</v>
      </c>
      <c r="L2588" s="343">
        <v>0</v>
      </c>
      <c r="M2588" s="343">
        <v>-1324896.1100000001</v>
      </c>
      <c r="O2588" s="343">
        <v>0</v>
      </c>
    </row>
    <row r="2589" spans="1:15" x14ac:dyDescent="0.3">
      <c r="A2589" s="340" t="s">
        <v>891</v>
      </c>
      <c r="B2589" s="350">
        <v>46125</v>
      </c>
      <c r="C2589" s="350">
        <v>46125</v>
      </c>
      <c r="D2589" s="351">
        <v>46113</v>
      </c>
      <c r="E2589" s="340" t="s">
        <v>2730</v>
      </c>
      <c r="F2589" s="340" t="s">
        <v>1078</v>
      </c>
      <c r="G2589" s="340" t="s">
        <v>1244</v>
      </c>
      <c r="H2589" s="340"/>
      <c r="I2589" s="340" t="s">
        <v>757</v>
      </c>
      <c r="K2589" s="343">
        <v>454.61</v>
      </c>
      <c r="L2589" s="343">
        <v>0</v>
      </c>
      <c r="M2589" s="343">
        <v>-1324441.5</v>
      </c>
      <c r="O2589" s="343">
        <v>0</v>
      </c>
    </row>
    <row r="2590" spans="1:15" x14ac:dyDescent="0.3">
      <c r="A2590" s="340" t="s">
        <v>891</v>
      </c>
      <c r="B2590" s="350">
        <v>46125</v>
      </c>
      <c r="C2590" s="350">
        <v>46125</v>
      </c>
      <c r="D2590" s="351">
        <v>46113</v>
      </c>
      <c r="E2590" s="340" t="s">
        <v>2730</v>
      </c>
      <c r="F2590" s="340" t="s">
        <v>1078</v>
      </c>
      <c r="G2590" s="340" t="s">
        <v>1243</v>
      </c>
      <c r="H2590" s="340"/>
      <c r="I2590" s="340" t="s">
        <v>757</v>
      </c>
      <c r="K2590" s="343">
        <v>99.68</v>
      </c>
      <c r="L2590" s="343">
        <v>0</v>
      </c>
      <c r="M2590" s="343">
        <v>-1324341.82</v>
      </c>
      <c r="O2590" s="343">
        <v>0</v>
      </c>
    </row>
    <row r="2591" spans="1:15" x14ac:dyDescent="0.3">
      <c r="A2591" s="340" t="s">
        <v>891</v>
      </c>
      <c r="B2591" s="350">
        <v>46125</v>
      </c>
      <c r="C2591" s="350">
        <v>46125</v>
      </c>
      <c r="D2591" s="351">
        <v>46113</v>
      </c>
      <c r="E2591" s="340" t="s">
        <v>2730</v>
      </c>
      <c r="F2591" s="340" t="s">
        <v>1078</v>
      </c>
      <c r="G2591" s="340" t="s">
        <v>1242</v>
      </c>
      <c r="H2591" s="340"/>
      <c r="I2591" s="340" t="s">
        <v>757</v>
      </c>
      <c r="K2591" s="343">
        <v>198.06</v>
      </c>
      <c r="L2591" s="343">
        <v>0</v>
      </c>
      <c r="M2591" s="343">
        <v>-1324143.76</v>
      </c>
      <c r="O2591" s="343">
        <v>0</v>
      </c>
    </row>
    <row r="2592" spans="1:15" x14ac:dyDescent="0.3">
      <c r="A2592" s="340" t="s">
        <v>891</v>
      </c>
      <c r="B2592" s="350">
        <v>46125</v>
      </c>
      <c r="C2592" s="350">
        <v>46125</v>
      </c>
      <c r="D2592" s="351">
        <v>46113</v>
      </c>
      <c r="E2592" s="340" t="s">
        <v>2730</v>
      </c>
      <c r="F2592" s="340" t="s">
        <v>1078</v>
      </c>
      <c r="G2592" s="340" t="s">
        <v>1241</v>
      </c>
      <c r="H2592" s="340"/>
      <c r="I2592" s="340" t="s">
        <v>757</v>
      </c>
      <c r="K2592" s="343">
        <v>540.29999999999995</v>
      </c>
      <c r="L2592" s="343">
        <v>0</v>
      </c>
      <c r="M2592" s="343">
        <v>-1323603.46</v>
      </c>
      <c r="O2592" s="343">
        <v>0</v>
      </c>
    </row>
    <row r="2593" spans="1:15" x14ac:dyDescent="0.3">
      <c r="A2593" s="340" t="s">
        <v>891</v>
      </c>
      <c r="B2593" s="350">
        <v>46125</v>
      </c>
      <c r="C2593" s="350">
        <v>46125</v>
      </c>
      <c r="D2593" s="351">
        <v>46113</v>
      </c>
      <c r="E2593" s="340" t="s">
        <v>2730</v>
      </c>
      <c r="F2593" s="340" t="s">
        <v>1078</v>
      </c>
      <c r="G2593" s="340" t="s">
        <v>1240</v>
      </c>
      <c r="H2593" s="340"/>
      <c r="I2593" s="340" t="s">
        <v>757</v>
      </c>
      <c r="K2593" s="343">
        <v>239.34</v>
      </c>
      <c r="L2593" s="343">
        <v>0</v>
      </c>
      <c r="M2593" s="343">
        <v>-1323364.1200000001</v>
      </c>
      <c r="O2593" s="343">
        <v>0</v>
      </c>
    </row>
    <row r="2594" spans="1:15" x14ac:dyDescent="0.3">
      <c r="A2594" s="340" t="s">
        <v>891</v>
      </c>
      <c r="B2594" s="350">
        <v>46125</v>
      </c>
      <c r="C2594" s="350">
        <v>46125</v>
      </c>
      <c r="D2594" s="351">
        <v>46113</v>
      </c>
      <c r="E2594" s="340" t="s">
        <v>2730</v>
      </c>
      <c r="F2594" s="340" t="s">
        <v>1078</v>
      </c>
      <c r="G2594" s="340" t="s">
        <v>1270</v>
      </c>
      <c r="H2594" s="340"/>
      <c r="I2594" s="340" t="s">
        <v>757</v>
      </c>
      <c r="K2594" s="343">
        <v>841.69</v>
      </c>
      <c r="L2594" s="343">
        <v>0</v>
      </c>
      <c r="M2594" s="343">
        <v>-1322522.43</v>
      </c>
      <c r="O2594" s="343">
        <v>0</v>
      </c>
    </row>
    <row r="2595" spans="1:15" x14ac:dyDescent="0.3">
      <c r="A2595" s="340" t="s">
        <v>891</v>
      </c>
      <c r="B2595" s="350">
        <v>46125</v>
      </c>
      <c r="C2595" s="350">
        <v>46125</v>
      </c>
      <c r="D2595" s="351">
        <v>46113</v>
      </c>
      <c r="E2595" s="340" t="s">
        <v>2730</v>
      </c>
      <c r="F2595" s="340" t="s">
        <v>1078</v>
      </c>
      <c r="G2595" s="340" t="s">
        <v>1269</v>
      </c>
      <c r="H2595" s="340"/>
      <c r="I2595" s="340" t="s">
        <v>757</v>
      </c>
      <c r="K2595" s="343">
        <v>457.2</v>
      </c>
      <c r="L2595" s="343">
        <v>0</v>
      </c>
      <c r="M2595" s="343">
        <v>-1322065.23</v>
      </c>
      <c r="O2595" s="343">
        <v>0</v>
      </c>
    </row>
    <row r="2596" spans="1:15" x14ac:dyDescent="0.3">
      <c r="A2596" s="340" t="s">
        <v>891</v>
      </c>
      <c r="B2596" s="350">
        <v>46125</v>
      </c>
      <c r="C2596" s="350">
        <v>46125</v>
      </c>
      <c r="D2596" s="351">
        <v>46113</v>
      </c>
      <c r="E2596" s="340" t="s">
        <v>2730</v>
      </c>
      <c r="F2596" s="340" t="s">
        <v>1078</v>
      </c>
      <c r="G2596" s="340" t="s">
        <v>1268</v>
      </c>
      <c r="H2596" s="340"/>
      <c r="I2596" s="340" t="s">
        <v>757</v>
      </c>
      <c r="K2596" s="343">
        <v>97.66</v>
      </c>
      <c r="L2596" s="343">
        <v>0</v>
      </c>
      <c r="M2596" s="343">
        <v>-1321967.57</v>
      </c>
      <c r="O2596" s="343">
        <v>0</v>
      </c>
    </row>
    <row r="2597" spans="1:15" x14ac:dyDescent="0.3">
      <c r="A2597" s="340" t="s">
        <v>891</v>
      </c>
      <c r="B2597" s="350">
        <v>46125</v>
      </c>
      <c r="C2597" s="350">
        <v>46125</v>
      </c>
      <c r="D2597" s="351">
        <v>46113</v>
      </c>
      <c r="E2597" s="340" t="s">
        <v>2730</v>
      </c>
      <c r="F2597" s="340" t="s">
        <v>1078</v>
      </c>
      <c r="G2597" s="340" t="s">
        <v>1267</v>
      </c>
      <c r="H2597" s="340"/>
      <c r="I2597" s="340" t="s">
        <v>757</v>
      </c>
      <c r="K2597" s="343">
        <v>357.16</v>
      </c>
      <c r="L2597" s="343">
        <v>0</v>
      </c>
      <c r="M2597" s="343">
        <v>-1321610.4099999999</v>
      </c>
      <c r="O2597" s="343">
        <v>0</v>
      </c>
    </row>
    <row r="2598" spans="1:15" x14ac:dyDescent="0.3">
      <c r="A2598" s="340" t="s">
        <v>891</v>
      </c>
      <c r="B2598" s="350">
        <v>46125</v>
      </c>
      <c r="C2598" s="350">
        <v>46125</v>
      </c>
      <c r="D2598" s="351">
        <v>46113</v>
      </c>
      <c r="E2598" s="340" t="s">
        <v>2730</v>
      </c>
      <c r="F2598" s="340" t="s">
        <v>1078</v>
      </c>
      <c r="G2598" s="340" t="s">
        <v>1266</v>
      </c>
      <c r="H2598" s="340"/>
      <c r="I2598" s="340" t="s">
        <v>757</v>
      </c>
      <c r="K2598" s="343">
        <v>423.34</v>
      </c>
      <c r="L2598" s="343">
        <v>0</v>
      </c>
      <c r="M2598" s="343">
        <v>-1321187.07</v>
      </c>
      <c r="O2598" s="343">
        <v>0</v>
      </c>
    </row>
    <row r="2599" spans="1:15" x14ac:dyDescent="0.3">
      <c r="A2599" s="340" t="s">
        <v>891</v>
      </c>
      <c r="B2599" s="350">
        <v>46125</v>
      </c>
      <c r="C2599" s="350">
        <v>46125</v>
      </c>
      <c r="D2599" s="351">
        <v>46113</v>
      </c>
      <c r="E2599" s="340" t="s">
        <v>2730</v>
      </c>
      <c r="F2599" s="340" t="s">
        <v>1078</v>
      </c>
      <c r="G2599" s="340" t="s">
        <v>1250</v>
      </c>
      <c r="H2599" s="340"/>
      <c r="I2599" s="340" t="s">
        <v>757</v>
      </c>
      <c r="K2599" s="343">
        <v>498.64</v>
      </c>
      <c r="L2599" s="343">
        <v>0</v>
      </c>
      <c r="M2599" s="343">
        <v>-1320688.43</v>
      </c>
      <c r="O2599" s="343">
        <v>0</v>
      </c>
    </row>
    <row r="2600" spans="1:15" x14ac:dyDescent="0.3">
      <c r="A2600" s="340" t="s">
        <v>891</v>
      </c>
      <c r="B2600" s="350">
        <v>46125</v>
      </c>
      <c r="C2600" s="350">
        <v>46125</v>
      </c>
      <c r="D2600" s="351">
        <v>46113</v>
      </c>
      <c r="E2600" s="340" t="s">
        <v>2730</v>
      </c>
      <c r="F2600" s="340" t="s">
        <v>1078</v>
      </c>
      <c r="G2600" s="340" t="s">
        <v>1265</v>
      </c>
      <c r="H2600" s="340"/>
      <c r="I2600" s="340" t="s">
        <v>757</v>
      </c>
      <c r="K2600" s="343">
        <v>238.13</v>
      </c>
      <c r="L2600" s="343">
        <v>0</v>
      </c>
      <c r="M2600" s="343">
        <v>-1320450.3</v>
      </c>
      <c r="O2600" s="343">
        <v>0</v>
      </c>
    </row>
    <row r="2601" spans="1:15" x14ac:dyDescent="0.3">
      <c r="A2601" s="340" t="s">
        <v>891</v>
      </c>
      <c r="B2601" s="350">
        <v>46125</v>
      </c>
      <c r="C2601" s="350">
        <v>46125</v>
      </c>
      <c r="D2601" s="351">
        <v>46113</v>
      </c>
      <c r="E2601" s="340" t="s">
        <v>2730</v>
      </c>
      <c r="F2601" s="340" t="s">
        <v>1078</v>
      </c>
      <c r="G2601" s="340" t="s">
        <v>1264</v>
      </c>
      <c r="H2601" s="340"/>
      <c r="I2601" s="340" t="s">
        <v>757</v>
      </c>
      <c r="K2601" s="343">
        <v>34.28</v>
      </c>
      <c r="L2601" s="343">
        <v>0</v>
      </c>
      <c r="M2601" s="343">
        <v>-1320416.02</v>
      </c>
      <c r="O2601" s="343">
        <v>0</v>
      </c>
    </row>
    <row r="2602" spans="1:15" x14ac:dyDescent="0.3">
      <c r="A2602" s="340" t="s">
        <v>891</v>
      </c>
      <c r="B2602" s="350">
        <v>46125</v>
      </c>
      <c r="C2602" s="350">
        <v>46125</v>
      </c>
      <c r="D2602" s="351">
        <v>46113</v>
      </c>
      <c r="E2602" s="340" t="s">
        <v>2730</v>
      </c>
      <c r="F2602" s="340" t="s">
        <v>1078</v>
      </c>
      <c r="G2602" s="340" t="s">
        <v>1263</v>
      </c>
      <c r="H2602" s="340"/>
      <c r="I2602" s="340" t="s">
        <v>757</v>
      </c>
      <c r="K2602" s="343">
        <v>67.540000000000006</v>
      </c>
      <c r="L2602" s="343">
        <v>0</v>
      </c>
      <c r="M2602" s="343">
        <v>-1320348.48</v>
      </c>
      <c r="O2602" s="343">
        <v>0</v>
      </c>
    </row>
    <row r="2603" spans="1:15" x14ac:dyDescent="0.3">
      <c r="A2603" s="340" t="s">
        <v>891</v>
      </c>
      <c r="B2603" s="350">
        <v>46125</v>
      </c>
      <c r="C2603" s="350">
        <v>46125</v>
      </c>
      <c r="D2603" s="351">
        <v>46113</v>
      </c>
      <c r="E2603" s="340" t="s">
        <v>2730</v>
      </c>
      <c r="F2603" s="340" t="s">
        <v>1078</v>
      </c>
      <c r="G2603" s="340" t="s">
        <v>1262</v>
      </c>
      <c r="H2603" s="340"/>
      <c r="I2603" s="340" t="s">
        <v>757</v>
      </c>
      <c r="K2603" s="343">
        <v>62.34</v>
      </c>
      <c r="L2603" s="343">
        <v>0</v>
      </c>
      <c r="M2603" s="343">
        <v>-1320286.1399999999</v>
      </c>
      <c r="O2603" s="343">
        <v>0</v>
      </c>
    </row>
    <row r="2604" spans="1:15" x14ac:dyDescent="0.3">
      <c r="A2604" s="340" t="s">
        <v>891</v>
      </c>
      <c r="B2604" s="350">
        <v>46125</v>
      </c>
      <c r="C2604" s="350">
        <v>46125</v>
      </c>
      <c r="D2604" s="351">
        <v>46113</v>
      </c>
      <c r="E2604" s="340" t="s">
        <v>2730</v>
      </c>
      <c r="F2604" s="340" t="s">
        <v>1078</v>
      </c>
      <c r="G2604" s="340" t="s">
        <v>1261</v>
      </c>
      <c r="H2604" s="340"/>
      <c r="I2604" s="340" t="s">
        <v>757</v>
      </c>
      <c r="K2604" s="343">
        <v>205.7</v>
      </c>
      <c r="L2604" s="343">
        <v>0</v>
      </c>
      <c r="M2604" s="343">
        <v>-1320080.44</v>
      </c>
      <c r="O2604" s="343">
        <v>0</v>
      </c>
    </row>
    <row r="2605" spans="1:15" x14ac:dyDescent="0.3">
      <c r="A2605" s="340" t="s">
        <v>891</v>
      </c>
      <c r="B2605" s="350">
        <v>46125</v>
      </c>
      <c r="C2605" s="350">
        <v>46125</v>
      </c>
      <c r="D2605" s="351">
        <v>46113</v>
      </c>
      <c r="E2605" s="340" t="s">
        <v>2730</v>
      </c>
      <c r="F2605" s="340" t="s">
        <v>1078</v>
      </c>
      <c r="G2605" s="340" t="s">
        <v>1260</v>
      </c>
      <c r="H2605" s="340"/>
      <c r="I2605" s="340" t="s">
        <v>757</v>
      </c>
      <c r="K2605" s="343">
        <v>463.22</v>
      </c>
      <c r="L2605" s="343">
        <v>0</v>
      </c>
      <c r="M2605" s="343">
        <v>-1319617.22</v>
      </c>
      <c r="O2605" s="343">
        <v>0</v>
      </c>
    </row>
    <row r="2606" spans="1:15" x14ac:dyDescent="0.3">
      <c r="A2606" s="340" t="s">
        <v>891</v>
      </c>
      <c r="B2606" s="350">
        <v>46125</v>
      </c>
      <c r="C2606" s="350">
        <v>46125</v>
      </c>
      <c r="D2606" s="351">
        <v>46113</v>
      </c>
      <c r="E2606" s="340" t="s">
        <v>2730</v>
      </c>
      <c r="F2606" s="340" t="s">
        <v>1078</v>
      </c>
      <c r="G2606" s="340" t="s">
        <v>1259</v>
      </c>
      <c r="H2606" s="340"/>
      <c r="I2606" s="340" t="s">
        <v>757</v>
      </c>
      <c r="K2606" s="343">
        <v>145.47</v>
      </c>
      <c r="L2606" s="343">
        <v>0</v>
      </c>
      <c r="M2606" s="343">
        <v>-1319471.75</v>
      </c>
      <c r="O2606" s="343">
        <v>0</v>
      </c>
    </row>
    <row r="2607" spans="1:15" x14ac:dyDescent="0.3">
      <c r="A2607" s="340" t="s">
        <v>891</v>
      </c>
      <c r="B2607" s="350">
        <v>46125</v>
      </c>
      <c r="C2607" s="350">
        <v>46125</v>
      </c>
      <c r="D2607" s="351">
        <v>46113</v>
      </c>
      <c r="E2607" s="340" t="s">
        <v>2730</v>
      </c>
      <c r="F2607" s="340" t="s">
        <v>1078</v>
      </c>
      <c r="G2607" s="340" t="s">
        <v>1258</v>
      </c>
      <c r="H2607" s="340"/>
      <c r="I2607" s="340" t="s">
        <v>757</v>
      </c>
      <c r="K2607" s="343">
        <v>675.43</v>
      </c>
      <c r="L2607" s="343">
        <v>0</v>
      </c>
      <c r="M2607" s="343">
        <v>-1318796.32</v>
      </c>
      <c r="O2607" s="343">
        <v>0</v>
      </c>
    </row>
    <row r="2608" spans="1:15" x14ac:dyDescent="0.3">
      <c r="A2608" s="340" t="s">
        <v>891</v>
      </c>
      <c r="B2608" s="350">
        <v>46125</v>
      </c>
      <c r="C2608" s="350">
        <v>46125</v>
      </c>
      <c r="D2608" s="351">
        <v>46113</v>
      </c>
      <c r="E2608" s="340" t="s">
        <v>2730</v>
      </c>
      <c r="F2608" s="340" t="s">
        <v>1078</v>
      </c>
      <c r="G2608" s="340" t="s">
        <v>1148</v>
      </c>
      <c r="H2608" s="340"/>
      <c r="I2608" s="340" t="s">
        <v>757</v>
      </c>
      <c r="K2608" s="343">
        <v>124.85</v>
      </c>
      <c r="L2608" s="343">
        <v>0</v>
      </c>
      <c r="M2608" s="343">
        <v>-1318671.47</v>
      </c>
      <c r="O2608" s="343">
        <v>0</v>
      </c>
    </row>
    <row r="2609" spans="1:15" x14ac:dyDescent="0.3">
      <c r="A2609" s="340" t="s">
        <v>891</v>
      </c>
      <c r="B2609" s="350">
        <v>46125</v>
      </c>
      <c r="C2609" s="350">
        <v>46125</v>
      </c>
      <c r="D2609" s="351">
        <v>46113</v>
      </c>
      <c r="E2609" s="340" t="s">
        <v>2730</v>
      </c>
      <c r="F2609" s="340" t="s">
        <v>1078</v>
      </c>
      <c r="G2609" s="340" t="s">
        <v>1144</v>
      </c>
      <c r="H2609" s="340"/>
      <c r="I2609" s="340" t="s">
        <v>757</v>
      </c>
      <c r="K2609" s="343">
        <v>93.47</v>
      </c>
      <c r="L2609" s="343">
        <v>0</v>
      </c>
      <c r="M2609" s="343">
        <v>-1318578</v>
      </c>
      <c r="O2609" s="343">
        <v>0</v>
      </c>
    </row>
    <row r="2610" spans="1:15" x14ac:dyDescent="0.3">
      <c r="A2610" s="340" t="s">
        <v>891</v>
      </c>
      <c r="B2610" s="350">
        <v>46125</v>
      </c>
      <c r="C2610" s="350">
        <v>46125</v>
      </c>
      <c r="D2610" s="351">
        <v>46113</v>
      </c>
      <c r="E2610" s="340" t="s">
        <v>2730</v>
      </c>
      <c r="F2610" s="340" t="s">
        <v>1078</v>
      </c>
      <c r="G2610" s="340" t="s">
        <v>1257</v>
      </c>
      <c r="H2610" s="340"/>
      <c r="I2610" s="340" t="s">
        <v>757</v>
      </c>
      <c r="K2610" s="343">
        <v>224.4</v>
      </c>
      <c r="L2610" s="343">
        <v>0</v>
      </c>
      <c r="M2610" s="343">
        <v>-1318353.6000000001</v>
      </c>
      <c r="O2610" s="343">
        <v>0</v>
      </c>
    </row>
    <row r="2611" spans="1:15" x14ac:dyDescent="0.3">
      <c r="A2611" s="340" t="s">
        <v>891</v>
      </c>
      <c r="B2611" s="350">
        <v>46125</v>
      </c>
      <c r="C2611" s="350">
        <v>46125</v>
      </c>
      <c r="D2611" s="351">
        <v>46113</v>
      </c>
      <c r="E2611" s="340" t="s">
        <v>2730</v>
      </c>
      <c r="F2611" s="340" t="s">
        <v>1078</v>
      </c>
      <c r="G2611" s="340" t="s">
        <v>1256</v>
      </c>
      <c r="H2611" s="340"/>
      <c r="I2611" s="340" t="s">
        <v>757</v>
      </c>
      <c r="K2611" s="343">
        <v>166.55</v>
      </c>
      <c r="L2611" s="343">
        <v>0</v>
      </c>
      <c r="M2611" s="343">
        <v>-1318187.05</v>
      </c>
      <c r="O2611" s="343">
        <v>0</v>
      </c>
    </row>
    <row r="2612" spans="1:15" x14ac:dyDescent="0.3">
      <c r="A2612" s="340" t="s">
        <v>891</v>
      </c>
      <c r="B2612" s="350">
        <v>46125</v>
      </c>
      <c r="C2612" s="350">
        <v>46125</v>
      </c>
      <c r="D2612" s="351">
        <v>46113</v>
      </c>
      <c r="E2612" s="340" t="s">
        <v>2730</v>
      </c>
      <c r="F2612" s="340" t="s">
        <v>1078</v>
      </c>
      <c r="G2612" s="340" t="s">
        <v>1255</v>
      </c>
      <c r="H2612" s="340"/>
      <c r="I2612" s="340" t="s">
        <v>757</v>
      </c>
      <c r="K2612" s="343">
        <v>130.87</v>
      </c>
      <c r="L2612" s="343">
        <v>0</v>
      </c>
      <c r="M2612" s="343">
        <v>-1318056.18</v>
      </c>
      <c r="O2612" s="343">
        <v>0</v>
      </c>
    </row>
    <row r="2613" spans="1:15" x14ac:dyDescent="0.3">
      <c r="A2613" s="340" t="s">
        <v>891</v>
      </c>
      <c r="B2613" s="350">
        <v>46125</v>
      </c>
      <c r="C2613" s="350">
        <v>46125</v>
      </c>
      <c r="D2613" s="351">
        <v>46113</v>
      </c>
      <c r="E2613" s="340" t="s">
        <v>2730</v>
      </c>
      <c r="F2613" s="340" t="s">
        <v>1078</v>
      </c>
      <c r="G2613" s="340" t="s">
        <v>1254</v>
      </c>
      <c r="H2613" s="340"/>
      <c r="I2613" s="340" t="s">
        <v>757</v>
      </c>
      <c r="K2613" s="343">
        <v>252.7</v>
      </c>
      <c r="L2613" s="343">
        <v>0</v>
      </c>
      <c r="M2613" s="343">
        <v>-1317803.48</v>
      </c>
      <c r="O2613" s="343">
        <v>0</v>
      </c>
    </row>
    <row r="2614" spans="1:15" x14ac:dyDescent="0.3">
      <c r="A2614" s="340" t="s">
        <v>891</v>
      </c>
      <c r="B2614" s="350">
        <v>46125</v>
      </c>
      <c r="C2614" s="350">
        <v>46125</v>
      </c>
      <c r="D2614" s="351">
        <v>46113</v>
      </c>
      <c r="E2614" s="340" t="s">
        <v>2730</v>
      </c>
      <c r="F2614" s="340" t="s">
        <v>1078</v>
      </c>
      <c r="G2614" s="340" t="s">
        <v>1253</v>
      </c>
      <c r="H2614" s="340"/>
      <c r="I2614" s="340" t="s">
        <v>757</v>
      </c>
      <c r="K2614" s="343">
        <v>211.65</v>
      </c>
      <c r="L2614" s="343">
        <v>0</v>
      </c>
      <c r="M2614" s="343">
        <v>-1317591.83</v>
      </c>
      <c r="O2614" s="343">
        <v>0</v>
      </c>
    </row>
    <row r="2615" spans="1:15" x14ac:dyDescent="0.3">
      <c r="A2615" s="340" t="s">
        <v>891</v>
      </c>
      <c r="B2615" s="350">
        <v>46125</v>
      </c>
      <c r="C2615" s="350">
        <v>46125</v>
      </c>
      <c r="D2615" s="351">
        <v>46113</v>
      </c>
      <c r="E2615" s="340" t="s">
        <v>2730</v>
      </c>
      <c r="F2615" s="340" t="s">
        <v>1078</v>
      </c>
      <c r="G2615" s="340" t="s">
        <v>1252</v>
      </c>
      <c r="H2615" s="340"/>
      <c r="I2615" s="340" t="s">
        <v>757</v>
      </c>
      <c r="K2615" s="343">
        <v>286.47000000000003</v>
      </c>
      <c r="L2615" s="343">
        <v>0</v>
      </c>
      <c r="M2615" s="343">
        <v>-1317305.3600000001</v>
      </c>
      <c r="O2615" s="343">
        <v>0</v>
      </c>
    </row>
    <row r="2616" spans="1:15" x14ac:dyDescent="0.3">
      <c r="A2616" s="340" t="s">
        <v>891</v>
      </c>
      <c r="B2616" s="350">
        <v>46125</v>
      </c>
      <c r="C2616" s="350">
        <v>46125</v>
      </c>
      <c r="D2616" s="351">
        <v>46113</v>
      </c>
      <c r="E2616" s="340" t="s">
        <v>2730</v>
      </c>
      <c r="F2616" s="340" t="s">
        <v>1078</v>
      </c>
      <c r="G2616" s="340" t="s">
        <v>1251</v>
      </c>
      <c r="H2616" s="340"/>
      <c r="I2616" s="340" t="s">
        <v>757</v>
      </c>
      <c r="K2616" s="343">
        <v>74.650000000000006</v>
      </c>
      <c r="L2616" s="343">
        <v>0</v>
      </c>
      <c r="M2616" s="343">
        <v>-1317230.71</v>
      </c>
      <c r="O2616" s="343">
        <v>0</v>
      </c>
    </row>
    <row r="2617" spans="1:15" x14ac:dyDescent="0.3">
      <c r="A2617" s="340" t="s">
        <v>891</v>
      </c>
      <c r="B2617" s="350">
        <v>46125</v>
      </c>
      <c r="C2617" s="350">
        <v>46125</v>
      </c>
      <c r="D2617" s="351">
        <v>46113</v>
      </c>
      <c r="E2617" s="340" t="s">
        <v>2730</v>
      </c>
      <c r="F2617" s="340" t="s">
        <v>1078</v>
      </c>
      <c r="G2617" s="340" t="s">
        <v>1249</v>
      </c>
      <c r="H2617" s="340"/>
      <c r="I2617" s="340" t="s">
        <v>757</v>
      </c>
      <c r="K2617" s="343">
        <v>315.74</v>
      </c>
      <c r="L2617" s="343">
        <v>0</v>
      </c>
      <c r="M2617" s="343">
        <v>-1316914.97</v>
      </c>
      <c r="O2617" s="343">
        <v>0</v>
      </c>
    </row>
    <row r="2618" spans="1:15" x14ac:dyDescent="0.3">
      <c r="A2618" s="340" t="s">
        <v>891</v>
      </c>
      <c r="B2618" s="350">
        <v>46125</v>
      </c>
      <c r="C2618" s="350">
        <v>46125</v>
      </c>
      <c r="D2618" s="351">
        <v>46113</v>
      </c>
      <c r="E2618" s="340" t="s">
        <v>2730</v>
      </c>
      <c r="F2618" s="340" t="s">
        <v>1078</v>
      </c>
      <c r="G2618" s="340" t="s">
        <v>1055</v>
      </c>
      <c r="H2618" s="340"/>
      <c r="I2618" s="340" t="s">
        <v>757</v>
      </c>
      <c r="K2618" s="343">
        <v>378.12</v>
      </c>
      <c r="L2618" s="343">
        <v>0</v>
      </c>
      <c r="M2618" s="343">
        <v>-1316536.8500000001</v>
      </c>
      <c r="O2618" s="343">
        <v>0</v>
      </c>
    </row>
    <row r="2619" spans="1:15" x14ac:dyDescent="0.3">
      <c r="A2619" s="340" t="s">
        <v>891</v>
      </c>
      <c r="B2619" s="350">
        <v>46125</v>
      </c>
      <c r="C2619" s="350">
        <v>46125</v>
      </c>
      <c r="D2619" s="351">
        <v>46113</v>
      </c>
      <c r="E2619" s="340" t="s">
        <v>2730</v>
      </c>
      <c r="F2619" s="340" t="s">
        <v>1078</v>
      </c>
      <c r="G2619" s="340" t="s">
        <v>1248</v>
      </c>
      <c r="H2619" s="340"/>
      <c r="I2619" s="340" t="s">
        <v>757</v>
      </c>
      <c r="K2619" s="343">
        <v>54.41</v>
      </c>
      <c r="L2619" s="343">
        <v>0</v>
      </c>
      <c r="M2619" s="343">
        <v>-1316482.44</v>
      </c>
      <c r="O2619" s="343">
        <v>0</v>
      </c>
    </row>
    <row r="2620" spans="1:15" x14ac:dyDescent="0.3">
      <c r="A2620" s="340" t="s">
        <v>891</v>
      </c>
      <c r="B2620" s="350">
        <v>46125</v>
      </c>
      <c r="C2620" s="350">
        <v>46125</v>
      </c>
      <c r="D2620" s="351">
        <v>46113</v>
      </c>
      <c r="E2620" s="340" t="s">
        <v>2730</v>
      </c>
      <c r="F2620" s="340" t="s">
        <v>1078</v>
      </c>
      <c r="G2620" s="340" t="s">
        <v>1247</v>
      </c>
      <c r="H2620" s="340"/>
      <c r="I2620" s="340" t="s">
        <v>757</v>
      </c>
      <c r="K2620" s="343">
        <v>49.75</v>
      </c>
      <c r="L2620" s="343">
        <v>0</v>
      </c>
      <c r="M2620" s="343">
        <v>-1316432.69</v>
      </c>
      <c r="O2620" s="343">
        <v>0</v>
      </c>
    </row>
    <row r="2621" spans="1:15" x14ac:dyDescent="0.3">
      <c r="A2621" s="340" t="s">
        <v>891</v>
      </c>
      <c r="B2621" s="350">
        <v>46125</v>
      </c>
      <c r="C2621" s="350">
        <v>46125</v>
      </c>
      <c r="D2621" s="351">
        <v>46113</v>
      </c>
      <c r="E2621" s="340" t="s">
        <v>2730</v>
      </c>
      <c r="F2621" s="340" t="s">
        <v>1078</v>
      </c>
      <c r="G2621" s="340" t="s">
        <v>1122</v>
      </c>
      <c r="H2621" s="340"/>
      <c r="I2621" s="340" t="s">
        <v>757</v>
      </c>
      <c r="K2621" s="343">
        <v>186.25</v>
      </c>
      <c r="L2621" s="343">
        <v>0</v>
      </c>
      <c r="M2621" s="343">
        <v>-1316246.44</v>
      </c>
      <c r="O2621" s="343">
        <v>0</v>
      </c>
    </row>
    <row r="2622" spans="1:15" x14ac:dyDescent="0.3">
      <c r="A2622" s="340" t="s">
        <v>891</v>
      </c>
      <c r="B2622" s="350">
        <v>46125</v>
      </c>
      <c r="C2622" s="350">
        <v>46125</v>
      </c>
      <c r="D2622" s="351">
        <v>46113</v>
      </c>
      <c r="E2622" s="340" t="s">
        <v>2730</v>
      </c>
      <c r="F2622" s="340" t="s">
        <v>1078</v>
      </c>
      <c r="G2622" s="340" t="s">
        <v>1246</v>
      </c>
      <c r="H2622" s="340"/>
      <c r="I2622" s="340" t="s">
        <v>757</v>
      </c>
      <c r="K2622" s="343">
        <v>145.34</v>
      </c>
      <c r="L2622" s="343">
        <v>0</v>
      </c>
      <c r="M2622" s="343">
        <v>-1316101.1000000001</v>
      </c>
      <c r="O2622" s="343">
        <v>0</v>
      </c>
    </row>
    <row r="2623" spans="1:15" x14ac:dyDescent="0.3">
      <c r="A2623" s="340" t="s">
        <v>891</v>
      </c>
      <c r="B2623" s="350">
        <v>46125</v>
      </c>
      <c r="C2623" s="350">
        <v>46125</v>
      </c>
      <c r="D2623" s="351">
        <v>46113</v>
      </c>
      <c r="E2623" s="340" t="s">
        <v>2730</v>
      </c>
      <c r="F2623" s="340" t="s">
        <v>1078</v>
      </c>
      <c r="G2623" s="340" t="s">
        <v>1035</v>
      </c>
      <c r="H2623" s="340"/>
      <c r="I2623" s="340" t="s">
        <v>757</v>
      </c>
      <c r="K2623" s="343">
        <v>538.15</v>
      </c>
      <c r="L2623" s="343">
        <v>0</v>
      </c>
      <c r="M2623" s="343">
        <v>-1315562.95</v>
      </c>
      <c r="O2623" s="343">
        <v>0</v>
      </c>
    </row>
    <row r="2624" spans="1:15" x14ac:dyDescent="0.3">
      <c r="A2624" s="340" t="s">
        <v>891</v>
      </c>
      <c r="B2624" s="350">
        <v>46125</v>
      </c>
      <c r="C2624" s="350">
        <v>46125</v>
      </c>
      <c r="D2624" s="351">
        <v>46113</v>
      </c>
      <c r="E2624" s="340" t="s">
        <v>2730</v>
      </c>
      <c r="F2624" s="340" t="s">
        <v>1078</v>
      </c>
      <c r="G2624" s="340" t="s">
        <v>1164</v>
      </c>
      <c r="H2624" s="340"/>
      <c r="I2624" s="340" t="s">
        <v>757</v>
      </c>
      <c r="K2624" s="343">
        <v>133.4</v>
      </c>
      <c r="L2624" s="343">
        <v>0</v>
      </c>
      <c r="M2624" s="343">
        <v>-1315429.55</v>
      </c>
      <c r="O2624" s="343">
        <v>0</v>
      </c>
    </row>
    <row r="2625" spans="1:15" x14ac:dyDescent="0.3">
      <c r="A2625" s="340" t="s">
        <v>891</v>
      </c>
      <c r="B2625" s="350">
        <v>46125</v>
      </c>
      <c r="C2625" s="350">
        <v>46125</v>
      </c>
      <c r="D2625" s="351">
        <v>46113</v>
      </c>
      <c r="E2625" s="340" t="s">
        <v>2730</v>
      </c>
      <c r="F2625" s="340" t="s">
        <v>1078</v>
      </c>
      <c r="G2625" s="340" t="s">
        <v>1148</v>
      </c>
      <c r="H2625" s="340"/>
      <c r="I2625" s="340" t="s">
        <v>757</v>
      </c>
      <c r="K2625" s="343">
        <v>83.24</v>
      </c>
      <c r="L2625" s="343">
        <v>0</v>
      </c>
      <c r="M2625" s="343">
        <v>-1315346.31</v>
      </c>
      <c r="O2625" s="343">
        <v>0</v>
      </c>
    </row>
    <row r="2626" spans="1:15" x14ac:dyDescent="0.3">
      <c r="A2626" s="340" t="s">
        <v>891</v>
      </c>
      <c r="B2626" s="350">
        <v>46125</v>
      </c>
      <c r="C2626" s="350">
        <v>46125</v>
      </c>
      <c r="D2626" s="351">
        <v>46113</v>
      </c>
      <c r="E2626" s="340" t="s">
        <v>2730</v>
      </c>
      <c r="F2626" s="340" t="s">
        <v>1078</v>
      </c>
      <c r="G2626" s="340" t="s">
        <v>1143</v>
      </c>
      <c r="H2626" s="340"/>
      <c r="I2626" s="340" t="s">
        <v>757</v>
      </c>
      <c r="K2626" s="343">
        <v>16.850000000000001</v>
      </c>
      <c r="L2626" s="343">
        <v>0</v>
      </c>
      <c r="M2626" s="343">
        <v>-1315329.46</v>
      </c>
      <c r="O2626" s="343">
        <v>0</v>
      </c>
    </row>
    <row r="2627" spans="1:15" x14ac:dyDescent="0.3">
      <c r="A2627" s="340" t="s">
        <v>891</v>
      </c>
      <c r="B2627" s="350">
        <v>46125</v>
      </c>
      <c r="C2627" s="350">
        <v>46125</v>
      </c>
      <c r="D2627" s="351">
        <v>46113</v>
      </c>
      <c r="E2627" s="340" t="s">
        <v>2730</v>
      </c>
      <c r="F2627" s="340" t="s">
        <v>1078</v>
      </c>
      <c r="G2627" s="340" t="s">
        <v>1160</v>
      </c>
      <c r="H2627" s="340"/>
      <c r="I2627" s="340" t="s">
        <v>757</v>
      </c>
      <c r="K2627" s="343">
        <v>41.51</v>
      </c>
      <c r="L2627" s="343">
        <v>0</v>
      </c>
      <c r="M2627" s="343">
        <v>-1315287.95</v>
      </c>
      <c r="O2627" s="343">
        <v>0</v>
      </c>
    </row>
    <row r="2628" spans="1:15" x14ac:dyDescent="0.3">
      <c r="A2628" s="340" t="s">
        <v>891</v>
      </c>
      <c r="B2628" s="350">
        <v>46125</v>
      </c>
      <c r="C2628" s="350">
        <v>46125</v>
      </c>
      <c r="D2628" s="351">
        <v>46113</v>
      </c>
      <c r="E2628" s="340" t="s">
        <v>2730</v>
      </c>
      <c r="F2628" s="340" t="s">
        <v>1078</v>
      </c>
      <c r="G2628" s="340" t="s">
        <v>1159</v>
      </c>
      <c r="H2628" s="340"/>
      <c r="I2628" s="340" t="s">
        <v>757</v>
      </c>
      <c r="K2628" s="343">
        <v>39.46</v>
      </c>
      <c r="L2628" s="343">
        <v>0</v>
      </c>
      <c r="M2628" s="343">
        <v>-1315248.49</v>
      </c>
      <c r="O2628" s="343">
        <v>0</v>
      </c>
    </row>
    <row r="2629" spans="1:15" x14ac:dyDescent="0.3">
      <c r="A2629" s="340" t="s">
        <v>891</v>
      </c>
      <c r="B2629" s="350">
        <v>46125</v>
      </c>
      <c r="C2629" s="350">
        <v>46125</v>
      </c>
      <c r="D2629" s="351">
        <v>46113</v>
      </c>
      <c r="E2629" s="340" t="s">
        <v>2730</v>
      </c>
      <c r="F2629" s="340" t="s">
        <v>1078</v>
      </c>
      <c r="G2629" s="340" t="s">
        <v>1158</v>
      </c>
      <c r="H2629" s="340"/>
      <c r="I2629" s="340" t="s">
        <v>757</v>
      </c>
      <c r="K2629" s="343">
        <v>12.44</v>
      </c>
      <c r="L2629" s="343">
        <v>0</v>
      </c>
      <c r="M2629" s="343">
        <v>-1315236.05</v>
      </c>
      <c r="O2629" s="343">
        <v>0</v>
      </c>
    </row>
    <row r="2630" spans="1:15" x14ac:dyDescent="0.3">
      <c r="A2630" s="340" t="s">
        <v>891</v>
      </c>
      <c r="B2630" s="350">
        <v>46125</v>
      </c>
      <c r="C2630" s="350">
        <v>46125</v>
      </c>
      <c r="D2630" s="351">
        <v>46113</v>
      </c>
      <c r="E2630" s="340" t="s">
        <v>2730</v>
      </c>
      <c r="F2630" s="340" t="s">
        <v>1078</v>
      </c>
      <c r="G2630" s="340" t="s">
        <v>1157</v>
      </c>
      <c r="H2630" s="340"/>
      <c r="I2630" s="340" t="s">
        <v>757</v>
      </c>
      <c r="K2630" s="343">
        <v>10.35</v>
      </c>
      <c r="L2630" s="343">
        <v>0</v>
      </c>
      <c r="M2630" s="343">
        <v>-1315225.7</v>
      </c>
      <c r="O2630" s="343">
        <v>0</v>
      </c>
    </row>
    <row r="2631" spans="1:15" x14ac:dyDescent="0.3">
      <c r="A2631" s="340" t="s">
        <v>891</v>
      </c>
      <c r="B2631" s="350">
        <v>46125</v>
      </c>
      <c r="C2631" s="350">
        <v>46125</v>
      </c>
      <c r="D2631" s="351">
        <v>46113</v>
      </c>
      <c r="E2631" s="340" t="s">
        <v>2730</v>
      </c>
      <c r="F2631" s="340" t="s">
        <v>1078</v>
      </c>
      <c r="G2631" s="340" t="s">
        <v>1156</v>
      </c>
      <c r="H2631" s="340"/>
      <c r="I2631" s="340" t="s">
        <v>757</v>
      </c>
      <c r="K2631" s="343">
        <v>194.82</v>
      </c>
      <c r="L2631" s="343">
        <v>0</v>
      </c>
      <c r="M2631" s="343">
        <v>-1315030.8799999999</v>
      </c>
      <c r="O2631" s="343">
        <v>0</v>
      </c>
    </row>
    <row r="2632" spans="1:15" x14ac:dyDescent="0.3">
      <c r="A2632" s="340" t="s">
        <v>891</v>
      </c>
      <c r="B2632" s="350">
        <v>46125</v>
      </c>
      <c r="C2632" s="350">
        <v>46125</v>
      </c>
      <c r="D2632" s="351">
        <v>46113</v>
      </c>
      <c r="E2632" s="340" t="s">
        <v>2730</v>
      </c>
      <c r="F2632" s="340" t="s">
        <v>1078</v>
      </c>
      <c r="G2632" s="340" t="s">
        <v>1155</v>
      </c>
      <c r="H2632" s="340"/>
      <c r="I2632" s="340" t="s">
        <v>757</v>
      </c>
      <c r="K2632" s="343">
        <v>54.11</v>
      </c>
      <c r="L2632" s="343">
        <v>0</v>
      </c>
      <c r="M2632" s="343">
        <v>-1314976.77</v>
      </c>
      <c r="O2632" s="343">
        <v>0</v>
      </c>
    </row>
    <row r="2633" spans="1:15" x14ac:dyDescent="0.3">
      <c r="A2633" s="340" t="s">
        <v>891</v>
      </c>
      <c r="B2633" s="350">
        <v>46125</v>
      </c>
      <c r="C2633" s="350">
        <v>46125</v>
      </c>
      <c r="D2633" s="351">
        <v>46113</v>
      </c>
      <c r="E2633" s="340" t="s">
        <v>2730</v>
      </c>
      <c r="F2633" s="340" t="s">
        <v>1078</v>
      </c>
      <c r="G2633" s="340" t="s">
        <v>1154</v>
      </c>
      <c r="H2633" s="340"/>
      <c r="I2633" s="340" t="s">
        <v>757</v>
      </c>
      <c r="K2633" s="343">
        <v>139.22</v>
      </c>
      <c r="L2633" s="343">
        <v>0</v>
      </c>
      <c r="M2633" s="343">
        <v>-1314837.55</v>
      </c>
      <c r="O2633" s="343">
        <v>0</v>
      </c>
    </row>
    <row r="2634" spans="1:15" x14ac:dyDescent="0.3">
      <c r="A2634" s="340" t="s">
        <v>891</v>
      </c>
      <c r="B2634" s="350">
        <v>46125</v>
      </c>
      <c r="C2634" s="350">
        <v>46125</v>
      </c>
      <c r="D2634" s="351">
        <v>46113</v>
      </c>
      <c r="E2634" s="340" t="s">
        <v>2730</v>
      </c>
      <c r="F2634" s="340" t="s">
        <v>1078</v>
      </c>
      <c r="G2634" s="340" t="s">
        <v>1153</v>
      </c>
      <c r="H2634" s="340"/>
      <c r="I2634" s="340" t="s">
        <v>757</v>
      </c>
      <c r="K2634" s="343">
        <v>64.94</v>
      </c>
      <c r="L2634" s="343">
        <v>0</v>
      </c>
      <c r="M2634" s="343">
        <v>-1314772.6100000001</v>
      </c>
      <c r="O2634" s="343">
        <v>0</v>
      </c>
    </row>
    <row r="2635" spans="1:15" x14ac:dyDescent="0.3">
      <c r="A2635" s="340" t="s">
        <v>891</v>
      </c>
      <c r="B2635" s="350">
        <v>46125</v>
      </c>
      <c r="C2635" s="350">
        <v>46125</v>
      </c>
      <c r="D2635" s="351">
        <v>46113</v>
      </c>
      <c r="E2635" s="340" t="s">
        <v>2730</v>
      </c>
      <c r="F2635" s="340" t="s">
        <v>1078</v>
      </c>
      <c r="G2635" s="340" t="s">
        <v>1152</v>
      </c>
      <c r="H2635" s="340"/>
      <c r="I2635" s="340" t="s">
        <v>757</v>
      </c>
      <c r="K2635" s="343">
        <v>73.55</v>
      </c>
      <c r="L2635" s="343">
        <v>0</v>
      </c>
      <c r="M2635" s="343">
        <v>-1314699.06</v>
      </c>
      <c r="O2635" s="343">
        <v>0</v>
      </c>
    </row>
    <row r="2636" spans="1:15" x14ac:dyDescent="0.3">
      <c r="A2636" s="340" t="s">
        <v>891</v>
      </c>
      <c r="B2636" s="350">
        <v>46125</v>
      </c>
      <c r="C2636" s="350">
        <v>46125</v>
      </c>
      <c r="D2636" s="351">
        <v>46113</v>
      </c>
      <c r="E2636" s="340" t="s">
        <v>2730</v>
      </c>
      <c r="F2636" s="340" t="s">
        <v>1078</v>
      </c>
      <c r="G2636" s="340" t="s">
        <v>1149</v>
      </c>
      <c r="H2636" s="340"/>
      <c r="I2636" s="340" t="s">
        <v>757</v>
      </c>
      <c r="K2636" s="343">
        <v>51.92</v>
      </c>
      <c r="L2636" s="343">
        <v>0</v>
      </c>
      <c r="M2636" s="343">
        <v>-1314647.1399999999</v>
      </c>
      <c r="O2636" s="343">
        <v>0</v>
      </c>
    </row>
    <row r="2637" spans="1:15" x14ac:dyDescent="0.3">
      <c r="A2637" s="340" t="s">
        <v>891</v>
      </c>
      <c r="B2637" s="350">
        <v>46125</v>
      </c>
      <c r="C2637" s="350">
        <v>46125</v>
      </c>
      <c r="D2637" s="351">
        <v>46113</v>
      </c>
      <c r="E2637" s="340" t="s">
        <v>2730</v>
      </c>
      <c r="F2637" s="340" t="s">
        <v>1078</v>
      </c>
      <c r="G2637" s="340" t="s">
        <v>1147</v>
      </c>
      <c r="H2637" s="340"/>
      <c r="I2637" s="340" t="s">
        <v>757</v>
      </c>
      <c r="K2637" s="343">
        <v>92.46</v>
      </c>
      <c r="L2637" s="343">
        <v>0</v>
      </c>
      <c r="M2637" s="343">
        <v>-1314554.68</v>
      </c>
      <c r="O2637" s="343">
        <v>0</v>
      </c>
    </row>
    <row r="2638" spans="1:15" x14ac:dyDescent="0.3">
      <c r="A2638" s="340" t="s">
        <v>891</v>
      </c>
      <c r="B2638" s="350">
        <v>46125</v>
      </c>
      <c r="C2638" s="350">
        <v>46125</v>
      </c>
      <c r="D2638" s="351">
        <v>46113</v>
      </c>
      <c r="E2638" s="340" t="s">
        <v>2730</v>
      </c>
      <c r="F2638" s="340" t="s">
        <v>1078</v>
      </c>
      <c r="G2638" s="340" t="s">
        <v>1146</v>
      </c>
      <c r="H2638" s="340"/>
      <c r="I2638" s="340" t="s">
        <v>757</v>
      </c>
      <c r="K2638" s="343">
        <v>324.7</v>
      </c>
      <c r="L2638" s="343">
        <v>0</v>
      </c>
      <c r="M2638" s="343">
        <v>-1314229.98</v>
      </c>
      <c r="O2638" s="343">
        <v>0</v>
      </c>
    </row>
    <row r="2639" spans="1:15" x14ac:dyDescent="0.3">
      <c r="A2639" s="340" t="s">
        <v>891</v>
      </c>
      <c r="B2639" s="350">
        <v>46125</v>
      </c>
      <c r="C2639" s="350">
        <v>46125</v>
      </c>
      <c r="D2639" s="351">
        <v>46113</v>
      </c>
      <c r="E2639" s="340" t="s">
        <v>2730</v>
      </c>
      <c r="F2639" s="340" t="s">
        <v>1078</v>
      </c>
      <c r="G2639" s="340" t="s">
        <v>1145</v>
      </c>
      <c r="H2639" s="340"/>
      <c r="I2639" s="340" t="s">
        <v>757</v>
      </c>
      <c r="K2639" s="343">
        <v>145.43</v>
      </c>
      <c r="L2639" s="343">
        <v>0</v>
      </c>
      <c r="M2639" s="343">
        <v>-1314084.55</v>
      </c>
      <c r="O2639" s="343">
        <v>0</v>
      </c>
    </row>
    <row r="2640" spans="1:15" x14ac:dyDescent="0.3">
      <c r="A2640" s="340" t="s">
        <v>891</v>
      </c>
      <c r="B2640" s="350">
        <v>46125</v>
      </c>
      <c r="C2640" s="350">
        <v>46125</v>
      </c>
      <c r="D2640" s="351">
        <v>46113</v>
      </c>
      <c r="E2640" s="340" t="s">
        <v>2730</v>
      </c>
      <c r="F2640" s="340" t="s">
        <v>1078</v>
      </c>
      <c r="G2640" s="340" t="s">
        <v>1144</v>
      </c>
      <c r="H2640" s="340"/>
      <c r="I2640" s="340" t="s">
        <v>757</v>
      </c>
      <c r="K2640" s="343">
        <v>112.16</v>
      </c>
      <c r="L2640" s="343">
        <v>0</v>
      </c>
      <c r="M2640" s="343">
        <v>-1313972.3899999999</v>
      </c>
      <c r="O2640" s="343">
        <v>0</v>
      </c>
    </row>
    <row r="2641" spans="1:15" x14ac:dyDescent="0.3">
      <c r="A2641" s="340" t="s">
        <v>891</v>
      </c>
      <c r="B2641" s="350">
        <v>46125</v>
      </c>
      <c r="C2641" s="350">
        <v>46125</v>
      </c>
      <c r="D2641" s="351">
        <v>46113</v>
      </c>
      <c r="E2641" s="340" t="s">
        <v>2730</v>
      </c>
      <c r="F2641" s="340" t="s">
        <v>1078</v>
      </c>
      <c r="G2641" s="340" t="s">
        <v>1142</v>
      </c>
      <c r="H2641" s="340"/>
      <c r="I2641" s="340" t="s">
        <v>757</v>
      </c>
      <c r="K2641" s="343">
        <v>124.65</v>
      </c>
      <c r="L2641" s="343">
        <v>0</v>
      </c>
      <c r="M2641" s="343">
        <v>-1313847.74</v>
      </c>
      <c r="O2641" s="343">
        <v>0</v>
      </c>
    </row>
    <row r="2642" spans="1:15" x14ac:dyDescent="0.3">
      <c r="A2642" s="340" t="s">
        <v>891</v>
      </c>
      <c r="B2642" s="350">
        <v>46125</v>
      </c>
      <c r="C2642" s="350">
        <v>46125</v>
      </c>
      <c r="D2642" s="351">
        <v>46113</v>
      </c>
      <c r="E2642" s="340" t="s">
        <v>2730</v>
      </c>
      <c r="F2642" s="340" t="s">
        <v>1078</v>
      </c>
      <c r="G2642" s="340" t="s">
        <v>1143</v>
      </c>
      <c r="H2642" s="340"/>
      <c r="I2642" s="340" t="s">
        <v>757</v>
      </c>
      <c r="K2642" s="343">
        <v>16.61</v>
      </c>
      <c r="L2642" s="343">
        <v>0</v>
      </c>
      <c r="M2642" s="343">
        <v>-1313831.1299999999</v>
      </c>
      <c r="O2642" s="343">
        <v>0</v>
      </c>
    </row>
    <row r="2643" spans="1:15" x14ac:dyDescent="0.3">
      <c r="A2643" s="340" t="s">
        <v>891</v>
      </c>
      <c r="B2643" s="350">
        <v>46125</v>
      </c>
      <c r="C2643" s="350">
        <v>46125</v>
      </c>
      <c r="D2643" s="351">
        <v>46113</v>
      </c>
      <c r="E2643" s="340" t="s">
        <v>2730</v>
      </c>
      <c r="F2643" s="340" t="s">
        <v>1078</v>
      </c>
      <c r="G2643" s="340" t="s">
        <v>1122</v>
      </c>
      <c r="H2643" s="340"/>
      <c r="I2643" s="340" t="s">
        <v>757</v>
      </c>
      <c r="K2643" s="343">
        <v>64.89</v>
      </c>
      <c r="L2643" s="343">
        <v>0</v>
      </c>
      <c r="M2643" s="343">
        <v>-1313766.24</v>
      </c>
      <c r="O2643" s="343">
        <v>0</v>
      </c>
    </row>
    <row r="2644" spans="1:15" x14ac:dyDescent="0.3">
      <c r="A2644" s="340" t="s">
        <v>891</v>
      </c>
      <c r="B2644" s="350">
        <v>46125</v>
      </c>
      <c r="C2644" s="350">
        <v>46125</v>
      </c>
      <c r="D2644" s="351">
        <v>46113</v>
      </c>
      <c r="E2644" s="340" t="s">
        <v>2730</v>
      </c>
      <c r="F2644" s="340" t="s">
        <v>1078</v>
      </c>
      <c r="G2644" s="340" t="s">
        <v>1122</v>
      </c>
      <c r="H2644" s="340"/>
      <c r="I2644" s="340" t="s">
        <v>757</v>
      </c>
      <c r="K2644" s="343">
        <v>133.04</v>
      </c>
      <c r="L2644" s="343">
        <v>0</v>
      </c>
      <c r="M2644" s="343">
        <v>-1313633.2</v>
      </c>
      <c r="O2644" s="343">
        <v>0</v>
      </c>
    </row>
    <row r="2645" spans="1:15" x14ac:dyDescent="0.3">
      <c r="A2645" s="340" t="s">
        <v>891</v>
      </c>
      <c r="B2645" s="350">
        <v>46125</v>
      </c>
      <c r="C2645" s="350">
        <v>46125</v>
      </c>
      <c r="D2645" s="351">
        <v>46113</v>
      </c>
      <c r="E2645" s="340" t="s">
        <v>2730</v>
      </c>
      <c r="F2645" s="340" t="s">
        <v>1078</v>
      </c>
      <c r="G2645" s="340" t="s">
        <v>1048</v>
      </c>
      <c r="H2645" s="340"/>
      <c r="I2645" s="340" t="s">
        <v>757</v>
      </c>
      <c r="K2645" s="343">
        <v>68.099999999999994</v>
      </c>
      <c r="L2645" s="343">
        <v>0</v>
      </c>
      <c r="M2645" s="343">
        <v>-1313565.1000000001</v>
      </c>
      <c r="O2645" s="343">
        <v>0</v>
      </c>
    </row>
    <row r="2646" spans="1:15" x14ac:dyDescent="0.3">
      <c r="A2646" s="340" t="s">
        <v>891</v>
      </c>
      <c r="B2646" s="350">
        <v>46125</v>
      </c>
      <c r="C2646" s="350">
        <v>46125</v>
      </c>
      <c r="D2646" s="351">
        <v>46113</v>
      </c>
      <c r="E2646" s="340" t="s">
        <v>2730</v>
      </c>
      <c r="F2646" s="340" t="s">
        <v>1078</v>
      </c>
      <c r="G2646" s="340" t="s">
        <v>1141</v>
      </c>
      <c r="H2646" s="340"/>
      <c r="I2646" s="340" t="s">
        <v>757</v>
      </c>
      <c r="K2646" s="343">
        <v>18.670000000000002</v>
      </c>
      <c r="L2646" s="343">
        <v>0</v>
      </c>
      <c r="M2646" s="343">
        <v>-1313546.43</v>
      </c>
      <c r="O2646" s="343">
        <v>0</v>
      </c>
    </row>
    <row r="2647" spans="1:15" x14ac:dyDescent="0.3">
      <c r="A2647" s="340" t="s">
        <v>891</v>
      </c>
      <c r="B2647" s="350">
        <v>46125</v>
      </c>
      <c r="C2647" s="350">
        <v>46125</v>
      </c>
      <c r="D2647" s="351">
        <v>46113</v>
      </c>
      <c r="E2647" s="340" t="s">
        <v>2730</v>
      </c>
      <c r="F2647" s="340" t="s">
        <v>1078</v>
      </c>
      <c r="G2647" s="340" t="s">
        <v>1151</v>
      </c>
      <c r="H2647" s="340"/>
      <c r="I2647" s="340" t="s">
        <v>757</v>
      </c>
      <c r="K2647" s="343">
        <v>9.32</v>
      </c>
      <c r="L2647" s="343">
        <v>0</v>
      </c>
      <c r="M2647" s="343">
        <v>-1313537.1100000001</v>
      </c>
      <c r="O2647" s="343">
        <v>0</v>
      </c>
    </row>
    <row r="2648" spans="1:15" x14ac:dyDescent="0.3">
      <c r="A2648" s="340" t="s">
        <v>891</v>
      </c>
      <c r="B2648" s="350">
        <v>46125</v>
      </c>
      <c r="C2648" s="350">
        <v>46125</v>
      </c>
      <c r="D2648" s="351">
        <v>46113</v>
      </c>
      <c r="E2648" s="340" t="s">
        <v>2730</v>
      </c>
      <c r="F2648" s="340" t="s">
        <v>1078</v>
      </c>
      <c r="G2648" s="340" t="s">
        <v>1150</v>
      </c>
      <c r="H2648" s="340"/>
      <c r="I2648" s="340" t="s">
        <v>757</v>
      </c>
      <c r="K2648" s="343">
        <v>24.89</v>
      </c>
      <c r="L2648" s="343">
        <v>0</v>
      </c>
      <c r="M2648" s="343">
        <v>-1313512.22</v>
      </c>
      <c r="O2648" s="343">
        <v>0</v>
      </c>
    </row>
    <row r="2649" spans="1:15" x14ac:dyDescent="0.3">
      <c r="A2649" s="340" t="s">
        <v>891</v>
      </c>
      <c r="B2649" s="350">
        <v>46125</v>
      </c>
      <c r="C2649" s="350">
        <v>46125</v>
      </c>
      <c r="D2649" s="351">
        <v>46113</v>
      </c>
      <c r="E2649" s="340" t="s">
        <v>2731</v>
      </c>
      <c r="F2649" s="340" t="s">
        <v>1078</v>
      </c>
      <c r="G2649" s="340" t="s">
        <v>996</v>
      </c>
      <c r="H2649" s="340"/>
      <c r="I2649" s="340" t="s">
        <v>994</v>
      </c>
      <c r="K2649" s="343">
        <v>1350</v>
      </c>
      <c r="L2649" s="343">
        <v>0</v>
      </c>
      <c r="M2649" s="343">
        <v>-1312162.22</v>
      </c>
      <c r="O2649" s="343">
        <v>0</v>
      </c>
    </row>
    <row r="2650" spans="1:15" x14ac:dyDescent="0.3">
      <c r="A2650" s="340" t="s">
        <v>891</v>
      </c>
      <c r="B2650" s="350">
        <v>46125</v>
      </c>
      <c r="C2650" s="350">
        <v>46125</v>
      </c>
      <c r="D2650" s="351">
        <v>46113</v>
      </c>
      <c r="E2650" s="340" t="s">
        <v>2731</v>
      </c>
      <c r="F2650" s="340" t="s">
        <v>1078</v>
      </c>
      <c r="G2650" s="340" t="s">
        <v>993</v>
      </c>
      <c r="H2650" s="340"/>
      <c r="I2650" s="340" t="s">
        <v>994</v>
      </c>
      <c r="K2650" s="343">
        <v>1235</v>
      </c>
      <c r="L2650" s="343">
        <v>0</v>
      </c>
      <c r="M2650" s="343">
        <v>-1310927.22</v>
      </c>
      <c r="O2650" s="343">
        <v>0</v>
      </c>
    </row>
    <row r="2651" spans="1:15" x14ac:dyDescent="0.3">
      <c r="A2651" s="340" t="s">
        <v>891</v>
      </c>
      <c r="B2651" s="350">
        <v>46125</v>
      </c>
      <c r="C2651" s="350">
        <v>46125</v>
      </c>
      <c r="D2651" s="351">
        <v>46113</v>
      </c>
      <c r="E2651" s="340" t="s">
        <v>2732</v>
      </c>
      <c r="F2651" s="340" t="s">
        <v>894</v>
      </c>
      <c r="G2651" s="340" t="s">
        <v>2733</v>
      </c>
      <c r="H2651" s="340"/>
      <c r="I2651" s="340" t="s">
        <v>740</v>
      </c>
      <c r="K2651" s="343">
        <v>0</v>
      </c>
      <c r="L2651" s="343">
        <v>-520</v>
      </c>
      <c r="M2651" s="343">
        <v>-1311447.22</v>
      </c>
      <c r="O2651" s="343">
        <v>0</v>
      </c>
    </row>
    <row r="2652" spans="1:15" x14ac:dyDescent="0.3">
      <c r="A2652" s="340" t="s">
        <v>891</v>
      </c>
      <c r="B2652" s="350">
        <v>46125</v>
      </c>
      <c r="C2652" s="350">
        <v>46125</v>
      </c>
      <c r="D2652" s="351">
        <v>46113</v>
      </c>
      <c r="E2652" s="340" t="s">
        <v>2734</v>
      </c>
      <c r="F2652" s="340" t="s">
        <v>894</v>
      </c>
      <c r="G2652" s="340" t="s">
        <v>2735</v>
      </c>
      <c r="H2652" s="340"/>
      <c r="I2652" s="340" t="s">
        <v>740</v>
      </c>
      <c r="K2652" s="343">
        <v>0</v>
      </c>
      <c r="L2652" s="343">
        <v>-550</v>
      </c>
      <c r="M2652" s="343">
        <v>-1311997.22</v>
      </c>
      <c r="O2652" s="343">
        <v>0</v>
      </c>
    </row>
    <row r="2653" spans="1:15" x14ac:dyDescent="0.3">
      <c r="A2653" s="340" t="s">
        <v>891</v>
      </c>
      <c r="B2653" s="350">
        <v>46125</v>
      </c>
      <c r="C2653" s="350">
        <v>46125</v>
      </c>
      <c r="D2653" s="351">
        <v>46113</v>
      </c>
      <c r="E2653" s="340" t="s">
        <v>2736</v>
      </c>
      <c r="F2653" s="340" t="s">
        <v>894</v>
      </c>
      <c r="G2653" s="340" t="s">
        <v>2737</v>
      </c>
      <c r="H2653" s="340"/>
      <c r="I2653" s="340" t="s">
        <v>740</v>
      </c>
      <c r="K2653" s="343">
        <v>0</v>
      </c>
      <c r="L2653" s="343">
        <v>-60</v>
      </c>
      <c r="M2653" s="343">
        <v>-1312057.22</v>
      </c>
      <c r="O2653" s="343">
        <v>0</v>
      </c>
    </row>
    <row r="2654" spans="1:15" x14ac:dyDescent="0.3">
      <c r="A2654" s="340" t="s">
        <v>891</v>
      </c>
      <c r="B2654" s="350">
        <v>46125</v>
      </c>
      <c r="C2654" s="350">
        <v>46125</v>
      </c>
      <c r="D2654" s="351">
        <v>46113</v>
      </c>
      <c r="E2654" s="340" t="s">
        <v>2738</v>
      </c>
      <c r="F2654" s="340" t="s">
        <v>894</v>
      </c>
      <c r="G2654" s="340" t="s">
        <v>2739</v>
      </c>
      <c r="H2654" s="340"/>
      <c r="I2654" s="340" t="s">
        <v>740</v>
      </c>
      <c r="K2654" s="343">
        <v>0</v>
      </c>
      <c r="L2654" s="343">
        <v>-195</v>
      </c>
      <c r="M2654" s="343">
        <v>-1312252.22</v>
      </c>
      <c r="O2654" s="343">
        <v>0</v>
      </c>
    </row>
    <row r="2655" spans="1:15" x14ac:dyDescent="0.3">
      <c r="A2655" s="340" t="s">
        <v>891</v>
      </c>
      <c r="B2655" s="350">
        <v>46125</v>
      </c>
      <c r="C2655" s="350">
        <v>46125</v>
      </c>
      <c r="D2655" s="351">
        <v>46113</v>
      </c>
      <c r="E2655" s="340" t="s">
        <v>2738</v>
      </c>
      <c r="F2655" s="340" t="s">
        <v>894</v>
      </c>
      <c r="G2655" s="340" t="s">
        <v>2740</v>
      </c>
      <c r="H2655" s="340"/>
      <c r="I2655" s="340" t="s">
        <v>740</v>
      </c>
      <c r="K2655" s="343">
        <v>0</v>
      </c>
      <c r="L2655" s="343">
        <v>-146.13999999999999</v>
      </c>
      <c r="M2655" s="343">
        <v>-1312398.3600000001</v>
      </c>
      <c r="O2655" s="343">
        <v>0</v>
      </c>
    </row>
    <row r="2656" spans="1:15" x14ac:dyDescent="0.3">
      <c r="A2656" s="340" t="s">
        <v>891</v>
      </c>
      <c r="B2656" s="350">
        <v>46125</v>
      </c>
      <c r="C2656" s="350">
        <v>46125</v>
      </c>
      <c r="D2656" s="351">
        <v>46113</v>
      </c>
      <c r="E2656" s="340" t="s">
        <v>2741</v>
      </c>
      <c r="F2656" s="340" t="s">
        <v>894</v>
      </c>
      <c r="G2656" s="340" t="s">
        <v>2742</v>
      </c>
      <c r="H2656" s="340"/>
      <c r="I2656" s="340" t="s">
        <v>740</v>
      </c>
      <c r="K2656" s="343">
        <v>0</v>
      </c>
      <c r="L2656" s="343">
        <v>-165</v>
      </c>
      <c r="M2656" s="343">
        <v>-1312563.3600000001</v>
      </c>
      <c r="O2656" s="343">
        <v>0</v>
      </c>
    </row>
    <row r="2657" spans="1:15" x14ac:dyDescent="0.3">
      <c r="A2657" s="340" t="s">
        <v>891</v>
      </c>
      <c r="B2657" s="350">
        <v>46125</v>
      </c>
      <c r="C2657" s="350">
        <v>46125</v>
      </c>
      <c r="D2657" s="351">
        <v>46113</v>
      </c>
      <c r="E2657" s="340" t="s">
        <v>2741</v>
      </c>
      <c r="F2657" s="340" t="s">
        <v>894</v>
      </c>
      <c r="G2657" s="340" t="s">
        <v>2743</v>
      </c>
      <c r="H2657" s="340"/>
      <c r="I2657" s="340" t="s">
        <v>740</v>
      </c>
      <c r="K2657" s="343">
        <v>0</v>
      </c>
      <c r="L2657" s="343">
        <v>-194.85</v>
      </c>
      <c r="M2657" s="343">
        <v>-1312758.21</v>
      </c>
      <c r="O2657" s="343">
        <v>0</v>
      </c>
    </row>
    <row r="2658" spans="1:15" x14ac:dyDescent="0.3">
      <c r="A2658" s="340" t="s">
        <v>891</v>
      </c>
      <c r="B2658" s="350">
        <v>46126</v>
      </c>
      <c r="C2658" s="350">
        <v>46126</v>
      </c>
      <c r="D2658" s="351">
        <v>46113</v>
      </c>
      <c r="E2658" s="340" t="s">
        <v>2744</v>
      </c>
      <c r="F2658" s="340" t="s">
        <v>894</v>
      </c>
      <c r="G2658" s="340" t="s">
        <v>2079</v>
      </c>
      <c r="H2658" s="340"/>
      <c r="I2658" s="340" t="s">
        <v>745</v>
      </c>
      <c r="K2658" s="343">
        <v>0</v>
      </c>
      <c r="L2658" s="343">
        <v>-247.49</v>
      </c>
      <c r="M2658" s="343">
        <v>-1313005.7</v>
      </c>
      <c r="O2658" s="343">
        <v>0</v>
      </c>
    </row>
    <row r="2659" spans="1:15" x14ac:dyDescent="0.3">
      <c r="A2659" s="340" t="s">
        <v>891</v>
      </c>
      <c r="B2659" s="350">
        <v>46126</v>
      </c>
      <c r="C2659" s="350">
        <v>46126</v>
      </c>
      <c r="D2659" s="351">
        <v>46113</v>
      </c>
      <c r="E2659" s="340" t="s">
        <v>2744</v>
      </c>
      <c r="F2659" s="340" t="s">
        <v>894</v>
      </c>
      <c r="G2659" s="340" t="s">
        <v>2745</v>
      </c>
      <c r="H2659" s="340"/>
      <c r="I2659" s="340" t="s">
        <v>745</v>
      </c>
      <c r="K2659" s="343">
        <v>0</v>
      </c>
      <c r="L2659" s="343">
        <v>-228.23</v>
      </c>
      <c r="M2659" s="343">
        <v>-1313233.93</v>
      </c>
      <c r="O2659" s="343">
        <v>0</v>
      </c>
    </row>
    <row r="2660" spans="1:15" x14ac:dyDescent="0.3">
      <c r="A2660" s="340" t="s">
        <v>891</v>
      </c>
      <c r="B2660" s="350">
        <v>46126</v>
      </c>
      <c r="C2660" s="350">
        <v>46126</v>
      </c>
      <c r="D2660" s="351">
        <v>46113</v>
      </c>
      <c r="E2660" s="340" t="s">
        <v>2744</v>
      </c>
      <c r="F2660" s="340" t="s">
        <v>894</v>
      </c>
      <c r="G2660" s="340" t="s">
        <v>2746</v>
      </c>
      <c r="H2660" s="340"/>
      <c r="I2660" s="340" t="s">
        <v>745</v>
      </c>
      <c r="K2660" s="343">
        <v>0</v>
      </c>
      <c r="L2660" s="343">
        <v>-82.1</v>
      </c>
      <c r="M2660" s="343">
        <v>-1313316.03</v>
      </c>
      <c r="O2660" s="343">
        <v>0</v>
      </c>
    </row>
    <row r="2661" spans="1:15" x14ac:dyDescent="0.3">
      <c r="A2661" s="340" t="s">
        <v>891</v>
      </c>
      <c r="B2661" s="350">
        <v>46126</v>
      </c>
      <c r="C2661" s="350">
        <v>46126</v>
      </c>
      <c r="D2661" s="351">
        <v>46113</v>
      </c>
      <c r="E2661" s="340" t="s">
        <v>2744</v>
      </c>
      <c r="F2661" s="340" t="s">
        <v>894</v>
      </c>
      <c r="G2661" s="340" t="s">
        <v>2747</v>
      </c>
      <c r="H2661" s="340"/>
      <c r="I2661" s="340" t="s">
        <v>745</v>
      </c>
      <c r="K2661" s="343">
        <v>0</v>
      </c>
      <c r="L2661" s="343">
        <v>-162.08000000000001</v>
      </c>
      <c r="M2661" s="343">
        <v>-1313478.1100000001</v>
      </c>
      <c r="O2661" s="343">
        <v>0</v>
      </c>
    </row>
    <row r="2662" spans="1:15" x14ac:dyDescent="0.3">
      <c r="A2662" s="340" t="s">
        <v>891</v>
      </c>
      <c r="B2662" s="350">
        <v>46126</v>
      </c>
      <c r="C2662" s="350">
        <v>46126</v>
      </c>
      <c r="D2662" s="351">
        <v>46113</v>
      </c>
      <c r="E2662" s="340" t="s">
        <v>2744</v>
      </c>
      <c r="F2662" s="340" t="s">
        <v>894</v>
      </c>
      <c r="G2662" s="340" t="s">
        <v>1547</v>
      </c>
      <c r="H2662" s="340"/>
      <c r="I2662" s="340" t="s">
        <v>745</v>
      </c>
      <c r="K2662" s="343">
        <v>0</v>
      </c>
      <c r="L2662" s="343">
        <v>-63.75</v>
      </c>
      <c r="M2662" s="343">
        <v>-1313541.8600000001</v>
      </c>
      <c r="O2662" s="343">
        <v>0</v>
      </c>
    </row>
    <row r="2663" spans="1:15" x14ac:dyDescent="0.3">
      <c r="A2663" s="340" t="s">
        <v>891</v>
      </c>
      <c r="B2663" s="350">
        <v>46126</v>
      </c>
      <c r="C2663" s="350">
        <v>46126</v>
      </c>
      <c r="D2663" s="351">
        <v>46113</v>
      </c>
      <c r="E2663" s="340" t="s">
        <v>2744</v>
      </c>
      <c r="F2663" s="340" t="s">
        <v>894</v>
      </c>
      <c r="G2663" s="340" t="s">
        <v>1548</v>
      </c>
      <c r="H2663" s="340"/>
      <c r="I2663" s="340" t="s">
        <v>745</v>
      </c>
      <c r="K2663" s="343">
        <v>0</v>
      </c>
      <c r="L2663" s="343">
        <v>-74.56</v>
      </c>
      <c r="M2663" s="343">
        <v>-1313616.42</v>
      </c>
      <c r="O2663" s="343">
        <v>0</v>
      </c>
    </row>
    <row r="2664" spans="1:15" x14ac:dyDescent="0.3">
      <c r="A2664" s="340" t="s">
        <v>891</v>
      </c>
      <c r="B2664" s="350">
        <v>46126</v>
      </c>
      <c r="C2664" s="350">
        <v>46126</v>
      </c>
      <c r="D2664" s="351">
        <v>46113</v>
      </c>
      <c r="E2664" s="340" t="s">
        <v>2744</v>
      </c>
      <c r="F2664" s="340" t="s">
        <v>894</v>
      </c>
      <c r="G2664" s="340" t="s">
        <v>1187</v>
      </c>
      <c r="H2664" s="340"/>
      <c r="I2664" s="340" t="s">
        <v>745</v>
      </c>
      <c r="K2664" s="343">
        <v>0</v>
      </c>
      <c r="L2664" s="343">
        <v>-297.36</v>
      </c>
      <c r="M2664" s="343">
        <v>-1313913.78</v>
      </c>
      <c r="O2664" s="343">
        <v>0</v>
      </c>
    </row>
    <row r="2665" spans="1:15" x14ac:dyDescent="0.3">
      <c r="A2665" s="340" t="s">
        <v>891</v>
      </c>
      <c r="B2665" s="350">
        <v>46126</v>
      </c>
      <c r="C2665" s="350">
        <v>46126</v>
      </c>
      <c r="D2665" s="351">
        <v>46113</v>
      </c>
      <c r="E2665" s="340" t="s">
        <v>2744</v>
      </c>
      <c r="F2665" s="340" t="s">
        <v>894</v>
      </c>
      <c r="G2665" s="340" t="s">
        <v>1188</v>
      </c>
      <c r="H2665" s="340"/>
      <c r="I2665" s="340" t="s">
        <v>745</v>
      </c>
      <c r="K2665" s="343">
        <v>0</v>
      </c>
      <c r="L2665" s="343">
        <v>-365.32</v>
      </c>
      <c r="M2665" s="343">
        <v>-1314279.1000000001</v>
      </c>
      <c r="O2665" s="343">
        <v>0</v>
      </c>
    </row>
    <row r="2666" spans="1:15" x14ac:dyDescent="0.3">
      <c r="A2666" s="340" t="s">
        <v>891</v>
      </c>
      <c r="B2666" s="350">
        <v>46126</v>
      </c>
      <c r="C2666" s="350">
        <v>46126</v>
      </c>
      <c r="D2666" s="351">
        <v>46113</v>
      </c>
      <c r="E2666" s="340" t="s">
        <v>2744</v>
      </c>
      <c r="F2666" s="340" t="s">
        <v>894</v>
      </c>
      <c r="G2666" s="340" t="s">
        <v>1618</v>
      </c>
      <c r="H2666" s="340"/>
      <c r="I2666" s="340" t="s">
        <v>745</v>
      </c>
      <c r="K2666" s="343">
        <v>0</v>
      </c>
      <c r="L2666" s="343">
        <v>-471.38</v>
      </c>
      <c r="M2666" s="343">
        <v>-1314750.48</v>
      </c>
      <c r="O2666" s="343">
        <v>0</v>
      </c>
    </row>
    <row r="2667" spans="1:15" x14ac:dyDescent="0.3">
      <c r="A2667" s="340" t="s">
        <v>891</v>
      </c>
      <c r="B2667" s="350">
        <v>46126</v>
      </c>
      <c r="C2667" s="350">
        <v>46126</v>
      </c>
      <c r="D2667" s="351">
        <v>46113</v>
      </c>
      <c r="E2667" s="340" t="s">
        <v>2744</v>
      </c>
      <c r="F2667" s="340" t="s">
        <v>894</v>
      </c>
      <c r="G2667" s="340" t="s">
        <v>2748</v>
      </c>
      <c r="H2667" s="340"/>
      <c r="I2667" s="340" t="s">
        <v>745</v>
      </c>
      <c r="K2667" s="343">
        <v>0</v>
      </c>
      <c r="L2667" s="343">
        <v>-182.71</v>
      </c>
      <c r="M2667" s="343">
        <v>-1314933.19</v>
      </c>
      <c r="O2667" s="343">
        <v>0</v>
      </c>
    </row>
    <row r="2668" spans="1:15" x14ac:dyDescent="0.3">
      <c r="A2668" s="340" t="s">
        <v>891</v>
      </c>
      <c r="B2668" s="350">
        <v>46126</v>
      </c>
      <c r="C2668" s="350">
        <v>46126</v>
      </c>
      <c r="D2668" s="351">
        <v>46113</v>
      </c>
      <c r="E2668" s="340" t="s">
        <v>2744</v>
      </c>
      <c r="F2668" s="340" t="s">
        <v>894</v>
      </c>
      <c r="G2668" s="340" t="s">
        <v>2749</v>
      </c>
      <c r="H2668" s="340"/>
      <c r="I2668" s="340" t="s">
        <v>745</v>
      </c>
      <c r="K2668" s="343">
        <v>0</v>
      </c>
      <c r="L2668" s="343">
        <v>-679.46</v>
      </c>
      <c r="M2668" s="343">
        <v>-1315612.6499999999</v>
      </c>
      <c r="O2668" s="343">
        <v>0</v>
      </c>
    </row>
    <row r="2669" spans="1:15" x14ac:dyDescent="0.3">
      <c r="A2669" s="340" t="s">
        <v>891</v>
      </c>
      <c r="B2669" s="350">
        <v>46126</v>
      </c>
      <c r="C2669" s="350">
        <v>46126</v>
      </c>
      <c r="D2669" s="351">
        <v>46113</v>
      </c>
      <c r="E2669" s="340" t="s">
        <v>2744</v>
      </c>
      <c r="F2669" s="340" t="s">
        <v>894</v>
      </c>
      <c r="G2669" s="340" t="s">
        <v>2750</v>
      </c>
      <c r="H2669" s="340"/>
      <c r="I2669" s="340" t="s">
        <v>745</v>
      </c>
      <c r="K2669" s="343">
        <v>0</v>
      </c>
      <c r="L2669" s="343">
        <v>-286.8</v>
      </c>
      <c r="M2669" s="343">
        <v>-1315899.45</v>
      </c>
      <c r="O2669" s="343">
        <v>0</v>
      </c>
    </row>
    <row r="2670" spans="1:15" x14ac:dyDescent="0.3">
      <c r="A2670" s="340" t="s">
        <v>891</v>
      </c>
      <c r="B2670" s="350">
        <v>46126</v>
      </c>
      <c r="C2670" s="350">
        <v>46126</v>
      </c>
      <c r="D2670" s="351">
        <v>46113</v>
      </c>
      <c r="E2670" s="340" t="s">
        <v>2744</v>
      </c>
      <c r="F2670" s="340" t="s">
        <v>894</v>
      </c>
      <c r="G2670" s="340" t="s">
        <v>2751</v>
      </c>
      <c r="H2670" s="340"/>
      <c r="I2670" s="340" t="s">
        <v>745</v>
      </c>
      <c r="K2670" s="343">
        <v>0</v>
      </c>
      <c r="L2670" s="343">
        <v>-521.14</v>
      </c>
      <c r="M2670" s="343">
        <v>-1316420.5900000001</v>
      </c>
      <c r="O2670" s="343">
        <v>0</v>
      </c>
    </row>
    <row r="2671" spans="1:15" x14ac:dyDescent="0.3">
      <c r="A2671" s="340" t="s">
        <v>891</v>
      </c>
      <c r="B2671" s="350">
        <v>46126</v>
      </c>
      <c r="C2671" s="350">
        <v>46126</v>
      </c>
      <c r="D2671" s="351">
        <v>46113</v>
      </c>
      <c r="E2671" s="340" t="s">
        <v>2744</v>
      </c>
      <c r="F2671" s="340" t="s">
        <v>894</v>
      </c>
      <c r="G2671" s="340" t="s">
        <v>1564</v>
      </c>
      <c r="H2671" s="340"/>
      <c r="I2671" s="340" t="s">
        <v>745</v>
      </c>
      <c r="K2671" s="343">
        <v>0</v>
      </c>
      <c r="L2671" s="343">
        <v>-795.61</v>
      </c>
      <c r="M2671" s="343">
        <v>-1317216.2</v>
      </c>
      <c r="O2671" s="343">
        <v>0</v>
      </c>
    </row>
    <row r="2672" spans="1:15" x14ac:dyDescent="0.3">
      <c r="A2672" s="340" t="s">
        <v>891</v>
      </c>
      <c r="B2672" s="350">
        <v>46126</v>
      </c>
      <c r="C2672" s="350">
        <v>46126</v>
      </c>
      <c r="D2672" s="351">
        <v>46113</v>
      </c>
      <c r="E2672" s="340" t="s">
        <v>2744</v>
      </c>
      <c r="F2672" s="340" t="s">
        <v>894</v>
      </c>
      <c r="G2672" s="340" t="s">
        <v>2752</v>
      </c>
      <c r="H2672" s="340"/>
      <c r="I2672" s="340" t="s">
        <v>745</v>
      </c>
      <c r="K2672" s="343">
        <v>0</v>
      </c>
      <c r="L2672" s="343">
        <v>-681.9</v>
      </c>
      <c r="M2672" s="343">
        <v>-1317898.1000000001</v>
      </c>
      <c r="O2672" s="343">
        <v>0</v>
      </c>
    </row>
    <row r="2673" spans="1:15" x14ac:dyDescent="0.3">
      <c r="A2673" s="340" t="s">
        <v>891</v>
      </c>
      <c r="B2673" s="350">
        <v>46126</v>
      </c>
      <c r="C2673" s="350">
        <v>46126</v>
      </c>
      <c r="D2673" s="351">
        <v>46113</v>
      </c>
      <c r="E2673" s="340" t="s">
        <v>2744</v>
      </c>
      <c r="F2673" s="340" t="s">
        <v>894</v>
      </c>
      <c r="G2673" s="340" t="s">
        <v>2753</v>
      </c>
      <c r="H2673" s="340"/>
      <c r="I2673" s="340" t="s">
        <v>745</v>
      </c>
      <c r="K2673" s="343">
        <v>0</v>
      </c>
      <c r="L2673" s="343">
        <v>-103.69</v>
      </c>
      <c r="M2673" s="343">
        <v>-1318001.79</v>
      </c>
      <c r="O2673" s="343">
        <v>0</v>
      </c>
    </row>
    <row r="2674" spans="1:15" x14ac:dyDescent="0.3">
      <c r="A2674" s="340" t="s">
        <v>891</v>
      </c>
      <c r="B2674" s="350">
        <v>46126</v>
      </c>
      <c r="C2674" s="350">
        <v>46126</v>
      </c>
      <c r="D2674" s="351">
        <v>46113</v>
      </c>
      <c r="E2674" s="340" t="s">
        <v>2744</v>
      </c>
      <c r="F2674" s="340" t="s">
        <v>894</v>
      </c>
      <c r="G2674" s="340" t="s">
        <v>2754</v>
      </c>
      <c r="H2674" s="340"/>
      <c r="I2674" s="340" t="s">
        <v>745</v>
      </c>
      <c r="K2674" s="343">
        <v>0</v>
      </c>
      <c r="L2674" s="343">
        <v>-204.54</v>
      </c>
      <c r="M2674" s="343">
        <v>-1318206.33</v>
      </c>
      <c r="O2674" s="343">
        <v>0</v>
      </c>
    </row>
    <row r="2675" spans="1:15" x14ac:dyDescent="0.3">
      <c r="A2675" s="340" t="s">
        <v>891</v>
      </c>
      <c r="B2675" s="350">
        <v>46126</v>
      </c>
      <c r="C2675" s="350">
        <v>46126</v>
      </c>
      <c r="D2675" s="351">
        <v>46113</v>
      </c>
      <c r="E2675" s="340" t="s">
        <v>2744</v>
      </c>
      <c r="F2675" s="340" t="s">
        <v>894</v>
      </c>
      <c r="G2675" s="340" t="s">
        <v>2755</v>
      </c>
      <c r="H2675" s="340"/>
      <c r="I2675" s="340" t="s">
        <v>745</v>
      </c>
      <c r="K2675" s="343">
        <v>0</v>
      </c>
      <c r="L2675" s="343">
        <v>-709.62</v>
      </c>
      <c r="M2675" s="343">
        <v>-1318915.95</v>
      </c>
      <c r="O2675" s="343">
        <v>0</v>
      </c>
    </row>
    <row r="2676" spans="1:15" x14ac:dyDescent="0.3">
      <c r="A2676" s="340" t="s">
        <v>891</v>
      </c>
      <c r="B2676" s="350">
        <v>46126</v>
      </c>
      <c r="C2676" s="350">
        <v>46126</v>
      </c>
      <c r="D2676" s="351">
        <v>46113</v>
      </c>
      <c r="E2676" s="340" t="s">
        <v>2744</v>
      </c>
      <c r="F2676" s="340" t="s">
        <v>894</v>
      </c>
      <c r="G2676" s="340" t="s">
        <v>2756</v>
      </c>
      <c r="H2676" s="340"/>
      <c r="I2676" s="340" t="s">
        <v>745</v>
      </c>
      <c r="K2676" s="343">
        <v>0</v>
      </c>
      <c r="L2676" s="343">
        <v>-169.98</v>
      </c>
      <c r="M2676" s="343">
        <v>-1319085.93</v>
      </c>
      <c r="O2676" s="343">
        <v>0</v>
      </c>
    </row>
    <row r="2677" spans="1:15" x14ac:dyDescent="0.3">
      <c r="A2677" s="340" t="s">
        <v>891</v>
      </c>
      <c r="B2677" s="350">
        <v>46126</v>
      </c>
      <c r="C2677" s="350">
        <v>46126</v>
      </c>
      <c r="D2677" s="351">
        <v>46113</v>
      </c>
      <c r="E2677" s="340" t="s">
        <v>2744</v>
      </c>
      <c r="F2677" s="340" t="s">
        <v>894</v>
      </c>
      <c r="G2677" s="340" t="s">
        <v>1518</v>
      </c>
      <c r="H2677" s="340"/>
      <c r="I2677" s="340" t="s">
        <v>745</v>
      </c>
      <c r="K2677" s="343">
        <v>0</v>
      </c>
      <c r="L2677" s="343">
        <v>-130.08000000000001</v>
      </c>
      <c r="M2677" s="343">
        <v>-1319216.01</v>
      </c>
      <c r="O2677" s="343">
        <v>0</v>
      </c>
    </row>
    <row r="2678" spans="1:15" x14ac:dyDescent="0.3">
      <c r="A2678" s="340" t="s">
        <v>891</v>
      </c>
      <c r="B2678" s="350">
        <v>46126</v>
      </c>
      <c r="C2678" s="350">
        <v>46126</v>
      </c>
      <c r="D2678" s="351">
        <v>46113</v>
      </c>
      <c r="E2678" s="340" t="s">
        <v>2744</v>
      </c>
      <c r="F2678" s="340" t="s">
        <v>894</v>
      </c>
      <c r="G2678" s="340" t="s">
        <v>2182</v>
      </c>
      <c r="H2678" s="340"/>
      <c r="I2678" s="340" t="s">
        <v>745</v>
      </c>
      <c r="K2678" s="343">
        <v>0</v>
      </c>
      <c r="L2678" s="343">
        <v>-388.57</v>
      </c>
      <c r="M2678" s="343">
        <v>-1319604.58</v>
      </c>
      <c r="O2678" s="343">
        <v>0</v>
      </c>
    </row>
    <row r="2679" spans="1:15" x14ac:dyDescent="0.3">
      <c r="A2679" s="340" t="s">
        <v>891</v>
      </c>
      <c r="B2679" s="350">
        <v>46126</v>
      </c>
      <c r="C2679" s="350">
        <v>46126</v>
      </c>
      <c r="D2679" s="351">
        <v>46113</v>
      </c>
      <c r="E2679" s="340" t="s">
        <v>2744</v>
      </c>
      <c r="F2679" s="340" t="s">
        <v>894</v>
      </c>
      <c r="G2679" s="340" t="s">
        <v>2757</v>
      </c>
      <c r="H2679" s="340"/>
      <c r="I2679" s="340" t="s">
        <v>745</v>
      </c>
      <c r="K2679" s="343">
        <v>0</v>
      </c>
      <c r="L2679" s="343">
        <v>-91.23</v>
      </c>
      <c r="M2679" s="343">
        <v>-1319695.81</v>
      </c>
      <c r="O2679" s="343">
        <v>0</v>
      </c>
    </row>
    <row r="2680" spans="1:15" x14ac:dyDescent="0.3">
      <c r="A2680" s="340" t="s">
        <v>891</v>
      </c>
      <c r="B2680" s="350">
        <v>46126</v>
      </c>
      <c r="C2680" s="350">
        <v>46126</v>
      </c>
      <c r="D2680" s="351">
        <v>46113</v>
      </c>
      <c r="E2680" s="340" t="s">
        <v>2744</v>
      </c>
      <c r="F2680" s="340" t="s">
        <v>894</v>
      </c>
      <c r="G2680" s="340" t="s">
        <v>2758</v>
      </c>
      <c r="H2680" s="340"/>
      <c r="I2680" s="340" t="s">
        <v>745</v>
      </c>
      <c r="K2680" s="343">
        <v>0</v>
      </c>
      <c r="L2680" s="343">
        <v>-45.41</v>
      </c>
      <c r="M2680" s="343">
        <v>-1319741.22</v>
      </c>
      <c r="O2680" s="343">
        <v>0</v>
      </c>
    </row>
    <row r="2681" spans="1:15" x14ac:dyDescent="0.3">
      <c r="A2681" s="340" t="s">
        <v>891</v>
      </c>
      <c r="B2681" s="350">
        <v>46126</v>
      </c>
      <c r="C2681" s="350">
        <v>46126</v>
      </c>
      <c r="D2681" s="351">
        <v>46113</v>
      </c>
      <c r="E2681" s="340" t="s">
        <v>2744</v>
      </c>
      <c r="F2681" s="340" t="s">
        <v>894</v>
      </c>
      <c r="G2681" s="340" t="s">
        <v>1554</v>
      </c>
      <c r="H2681" s="340"/>
      <c r="I2681" s="340" t="s">
        <v>745</v>
      </c>
      <c r="K2681" s="343">
        <v>0</v>
      </c>
      <c r="L2681" s="343">
        <v>-402.67</v>
      </c>
      <c r="M2681" s="343">
        <v>-1320143.8899999999</v>
      </c>
      <c r="O2681" s="343">
        <v>0</v>
      </c>
    </row>
    <row r="2682" spans="1:15" x14ac:dyDescent="0.3">
      <c r="A2682" s="340" t="s">
        <v>891</v>
      </c>
      <c r="B2682" s="350">
        <v>46126</v>
      </c>
      <c r="C2682" s="350">
        <v>46126</v>
      </c>
      <c r="D2682" s="351">
        <v>46113</v>
      </c>
      <c r="E2682" s="340" t="s">
        <v>2744</v>
      </c>
      <c r="F2682" s="340" t="s">
        <v>894</v>
      </c>
      <c r="G2682" s="340" t="s">
        <v>1553</v>
      </c>
      <c r="H2682" s="340"/>
      <c r="I2682" s="340" t="s">
        <v>745</v>
      </c>
      <c r="K2682" s="343">
        <v>0</v>
      </c>
      <c r="L2682" s="343">
        <v>-535.61</v>
      </c>
      <c r="M2682" s="343">
        <v>-1320679.5</v>
      </c>
      <c r="O2682" s="343">
        <v>0</v>
      </c>
    </row>
    <row r="2683" spans="1:15" x14ac:dyDescent="0.3">
      <c r="A2683" s="340" t="s">
        <v>891</v>
      </c>
      <c r="B2683" s="350">
        <v>46126</v>
      </c>
      <c r="C2683" s="350">
        <v>46126</v>
      </c>
      <c r="D2683" s="351">
        <v>46113</v>
      </c>
      <c r="E2683" s="340" t="s">
        <v>2744</v>
      </c>
      <c r="F2683" s="340" t="s">
        <v>894</v>
      </c>
      <c r="G2683" s="340" t="s">
        <v>1893</v>
      </c>
      <c r="H2683" s="340"/>
      <c r="I2683" s="340" t="s">
        <v>745</v>
      </c>
      <c r="K2683" s="343">
        <v>0</v>
      </c>
      <c r="L2683" s="343">
        <v>-242.76</v>
      </c>
      <c r="M2683" s="343">
        <v>-1320922.26</v>
      </c>
      <c r="O2683" s="343">
        <v>0</v>
      </c>
    </row>
    <row r="2684" spans="1:15" x14ac:dyDescent="0.3">
      <c r="A2684" s="340" t="s">
        <v>891</v>
      </c>
      <c r="B2684" s="350">
        <v>46126</v>
      </c>
      <c r="C2684" s="350">
        <v>46126</v>
      </c>
      <c r="D2684" s="351">
        <v>46113</v>
      </c>
      <c r="E2684" s="340" t="s">
        <v>2744</v>
      </c>
      <c r="F2684" s="340" t="s">
        <v>894</v>
      </c>
      <c r="G2684" s="340" t="s">
        <v>2759</v>
      </c>
      <c r="H2684" s="340"/>
      <c r="I2684" s="340" t="s">
        <v>745</v>
      </c>
      <c r="K2684" s="343">
        <v>0</v>
      </c>
      <c r="L2684" s="343">
        <v>-34.25</v>
      </c>
      <c r="M2684" s="343">
        <v>-1320956.51</v>
      </c>
      <c r="O2684" s="343">
        <v>0</v>
      </c>
    </row>
    <row r="2685" spans="1:15" x14ac:dyDescent="0.3">
      <c r="A2685" s="340" t="s">
        <v>891</v>
      </c>
      <c r="B2685" s="350">
        <v>46126</v>
      </c>
      <c r="C2685" s="350">
        <v>46126</v>
      </c>
      <c r="D2685" s="351">
        <v>46113</v>
      </c>
      <c r="E2685" s="340" t="s">
        <v>2744</v>
      </c>
      <c r="F2685" s="340" t="s">
        <v>894</v>
      </c>
      <c r="G2685" s="340" t="s">
        <v>2760</v>
      </c>
      <c r="H2685" s="340"/>
      <c r="I2685" s="340" t="s">
        <v>745</v>
      </c>
      <c r="K2685" s="343">
        <v>0</v>
      </c>
      <c r="L2685" s="343">
        <v>-117.66</v>
      </c>
      <c r="M2685" s="343">
        <v>-1321074.17</v>
      </c>
      <c r="O2685" s="343">
        <v>0</v>
      </c>
    </row>
    <row r="2686" spans="1:15" x14ac:dyDescent="0.3">
      <c r="A2686" s="340" t="s">
        <v>891</v>
      </c>
      <c r="B2686" s="350">
        <v>46126</v>
      </c>
      <c r="C2686" s="350">
        <v>46126</v>
      </c>
      <c r="D2686" s="351">
        <v>46113</v>
      </c>
      <c r="E2686" s="340" t="s">
        <v>2744</v>
      </c>
      <c r="F2686" s="340" t="s">
        <v>894</v>
      </c>
      <c r="G2686" s="340" t="s">
        <v>2761</v>
      </c>
      <c r="H2686" s="340"/>
      <c r="I2686" s="340" t="s">
        <v>745</v>
      </c>
      <c r="K2686" s="343">
        <v>0</v>
      </c>
      <c r="L2686" s="343">
        <v>-203.73</v>
      </c>
      <c r="M2686" s="343">
        <v>-1321277.8999999999</v>
      </c>
      <c r="O2686" s="343">
        <v>0</v>
      </c>
    </row>
    <row r="2687" spans="1:15" x14ac:dyDescent="0.3">
      <c r="A2687" s="340" t="s">
        <v>891</v>
      </c>
      <c r="B2687" s="350">
        <v>46126</v>
      </c>
      <c r="C2687" s="350">
        <v>46126</v>
      </c>
      <c r="D2687" s="351">
        <v>46113</v>
      </c>
      <c r="E2687" s="340" t="s">
        <v>2744</v>
      </c>
      <c r="F2687" s="340" t="s">
        <v>894</v>
      </c>
      <c r="G2687" s="340" t="s">
        <v>2074</v>
      </c>
      <c r="H2687" s="340"/>
      <c r="I2687" s="340" t="s">
        <v>745</v>
      </c>
      <c r="K2687" s="343">
        <v>0</v>
      </c>
      <c r="L2687" s="343">
        <v>-205.37</v>
      </c>
      <c r="M2687" s="343">
        <v>-1321483.27</v>
      </c>
      <c r="O2687" s="343">
        <v>0</v>
      </c>
    </row>
    <row r="2688" spans="1:15" x14ac:dyDescent="0.3">
      <c r="A2688" s="340" t="s">
        <v>891</v>
      </c>
      <c r="B2688" s="350">
        <v>46126</v>
      </c>
      <c r="C2688" s="350">
        <v>46126</v>
      </c>
      <c r="D2688" s="351">
        <v>46113</v>
      </c>
      <c r="E2688" s="340" t="s">
        <v>2744</v>
      </c>
      <c r="F2688" s="340" t="s">
        <v>894</v>
      </c>
      <c r="G2688" s="340" t="s">
        <v>1911</v>
      </c>
      <c r="H2688" s="340"/>
      <c r="I2688" s="340" t="s">
        <v>745</v>
      </c>
      <c r="K2688" s="343">
        <v>0</v>
      </c>
      <c r="L2688" s="343">
        <v>-209.34</v>
      </c>
      <c r="M2688" s="343">
        <v>-1321692.6100000001</v>
      </c>
      <c r="O2688" s="343">
        <v>0</v>
      </c>
    </row>
    <row r="2689" spans="1:15" x14ac:dyDescent="0.3">
      <c r="A2689" s="340" t="s">
        <v>891</v>
      </c>
      <c r="B2689" s="350">
        <v>46126</v>
      </c>
      <c r="C2689" s="350">
        <v>46126</v>
      </c>
      <c r="D2689" s="351">
        <v>46113</v>
      </c>
      <c r="E2689" s="340" t="s">
        <v>2744</v>
      </c>
      <c r="F2689" s="340" t="s">
        <v>894</v>
      </c>
      <c r="G2689" s="340" t="s">
        <v>2762</v>
      </c>
      <c r="H2689" s="340"/>
      <c r="I2689" s="340" t="s">
        <v>745</v>
      </c>
      <c r="K2689" s="343">
        <v>0</v>
      </c>
      <c r="L2689" s="343">
        <v>-94.78</v>
      </c>
      <c r="M2689" s="343">
        <v>-1321787.3899999999</v>
      </c>
      <c r="O2689" s="343">
        <v>0</v>
      </c>
    </row>
    <row r="2690" spans="1:15" x14ac:dyDescent="0.3">
      <c r="A2690" s="340" t="s">
        <v>891</v>
      </c>
      <c r="B2690" s="350">
        <v>46126</v>
      </c>
      <c r="C2690" s="350">
        <v>46126</v>
      </c>
      <c r="D2690" s="351">
        <v>46113</v>
      </c>
      <c r="E2690" s="340" t="s">
        <v>2744</v>
      </c>
      <c r="F2690" s="340" t="s">
        <v>894</v>
      </c>
      <c r="G2690" s="340" t="s">
        <v>2763</v>
      </c>
      <c r="H2690" s="340"/>
      <c r="I2690" s="340" t="s">
        <v>745</v>
      </c>
      <c r="K2690" s="343">
        <v>0</v>
      </c>
      <c r="L2690" s="343">
        <v>-42.15</v>
      </c>
      <c r="M2690" s="343">
        <v>-1321829.54</v>
      </c>
      <c r="O2690" s="343">
        <v>0</v>
      </c>
    </row>
    <row r="2691" spans="1:15" x14ac:dyDescent="0.3">
      <c r="A2691" s="340" t="s">
        <v>891</v>
      </c>
      <c r="B2691" s="350">
        <v>46126</v>
      </c>
      <c r="C2691" s="350">
        <v>46126</v>
      </c>
      <c r="D2691" s="351">
        <v>46113</v>
      </c>
      <c r="E2691" s="340" t="s">
        <v>2744</v>
      </c>
      <c r="F2691" s="340" t="s">
        <v>894</v>
      </c>
      <c r="G2691" s="340" t="s">
        <v>2764</v>
      </c>
      <c r="H2691" s="340"/>
      <c r="I2691" s="340" t="s">
        <v>745</v>
      </c>
      <c r="K2691" s="343">
        <v>0</v>
      </c>
      <c r="L2691" s="343">
        <v>-16.52</v>
      </c>
      <c r="M2691" s="343">
        <v>-1321846.06</v>
      </c>
      <c r="O2691" s="343">
        <v>0</v>
      </c>
    </row>
    <row r="2692" spans="1:15" x14ac:dyDescent="0.3">
      <c r="A2692" s="340" t="s">
        <v>891</v>
      </c>
      <c r="B2692" s="350">
        <v>46126</v>
      </c>
      <c r="C2692" s="350">
        <v>46126</v>
      </c>
      <c r="D2692" s="351">
        <v>46113</v>
      </c>
      <c r="E2692" s="340" t="s">
        <v>2744</v>
      </c>
      <c r="F2692" s="340" t="s">
        <v>894</v>
      </c>
      <c r="G2692" s="340" t="s">
        <v>1517</v>
      </c>
      <c r="H2692" s="340"/>
      <c r="I2692" s="340" t="s">
        <v>745</v>
      </c>
      <c r="K2692" s="343">
        <v>0</v>
      </c>
      <c r="L2692" s="343">
        <v>-139.33000000000001</v>
      </c>
      <c r="M2692" s="343">
        <v>-1321985.3899999999</v>
      </c>
      <c r="O2692" s="343">
        <v>0</v>
      </c>
    </row>
    <row r="2693" spans="1:15" x14ac:dyDescent="0.3">
      <c r="A2693" s="340" t="s">
        <v>891</v>
      </c>
      <c r="B2693" s="350">
        <v>46126</v>
      </c>
      <c r="C2693" s="350">
        <v>46126</v>
      </c>
      <c r="D2693" s="351">
        <v>46113</v>
      </c>
      <c r="E2693" s="340" t="s">
        <v>2744</v>
      </c>
      <c r="F2693" s="340" t="s">
        <v>894</v>
      </c>
      <c r="G2693" s="340" t="s">
        <v>1795</v>
      </c>
      <c r="H2693" s="340"/>
      <c r="I2693" s="340" t="s">
        <v>745</v>
      </c>
      <c r="K2693" s="343">
        <v>0</v>
      </c>
      <c r="L2693" s="343">
        <v>-75.489999999999995</v>
      </c>
      <c r="M2693" s="343">
        <v>-1322060.8799999999</v>
      </c>
      <c r="O2693" s="343">
        <v>0</v>
      </c>
    </row>
    <row r="2694" spans="1:15" x14ac:dyDescent="0.3">
      <c r="A2694" s="340" t="s">
        <v>891</v>
      </c>
      <c r="B2694" s="350">
        <v>46126</v>
      </c>
      <c r="C2694" s="350">
        <v>46126</v>
      </c>
      <c r="D2694" s="351">
        <v>46113</v>
      </c>
      <c r="E2694" s="340" t="s">
        <v>2744</v>
      </c>
      <c r="F2694" s="340" t="s">
        <v>894</v>
      </c>
      <c r="G2694" s="340" t="s">
        <v>2765</v>
      </c>
      <c r="H2694" s="340"/>
      <c r="I2694" s="340" t="s">
        <v>745</v>
      </c>
      <c r="K2694" s="343">
        <v>0</v>
      </c>
      <c r="L2694" s="343">
        <v>-84.54</v>
      </c>
      <c r="M2694" s="343">
        <v>-1322145.42</v>
      </c>
      <c r="O2694" s="343">
        <v>0</v>
      </c>
    </row>
    <row r="2695" spans="1:15" x14ac:dyDescent="0.3">
      <c r="A2695" s="340" t="s">
        <v>891</v>
      </c>
      <c r="B2695" s="350">
        <v>46126</v>
      </c>
      <c r="C2695" s="350">
        <v>46126</v>
      </c>
      <c r="D2695" s="351">
        <v>46113</v>
      </c>
      <c r="E2695" s="340" t="s">
        <v>2744</v>
      </c>
      <c r="F2695" s="340" t="s">
        <v>894</v>
      </c>
      <c r="G2695" s="340" t="s">
        <v>2766</v>
      </c>
      <c r="H2695" s="340"/>
      <c r="I2695" s="340" t="s">
        <v>745</v>
      </c>
      <c r="K2695" s="343">
        <v>0</v>
      </c>
      <c r="L2695" s="343">
        <v>-90.23</v>
      </c>
      <c r="M2695" s="343">
        <v>-1322235.6499999999</v>
      </c>
      <c r="O2695" s="343">
        <v>0</v>
      </c>
    </row>
    <row r="2696" spans="1:15" x14ac:dyDescent="0.3">
      <c r="A2696" s="340" t="s">
        <v>891</v>
      </c>
      <c r="B2696" s="350">
        <v>46126</v>
      </c>
      <c r="C2696" s="350">
        <v>46126</v>
      </c>
      <c r="D2696" s="351">
        <v>46113</v>
      </c>
      <c r="E2696" s="340" t="s">
        <v>2744</v>
      </c>
      <c r="F2696" s="340" t="s">
        <v>894</v>
      </c>
      <c r="G2696" s="340" t="s">
        <v>2767</v>
      </c>
      <c r="H2696" s="340"/>
      <c r="I2696" s="340" t="s">
        <v>745</v>
      </c>
      <c r="K2696" s="343">
        <v>0</v>
      </c>
      <c r="L2696" s="343">
        <v>-228.53</v>
      </c>
      <c r="M2696" s="343">
        <v>-1322464.18</v>
      </c>
      <c r="O2696" s="343">
        <v>0</v>
      </c>
    </row>
    <row r="2697" spans="1:15" x14ac:dyDescent="0.3">
      <c r="A2697" s="340" t="s">
        <v>891</v>
      </c>
      <c r="B2697" s="350">
        <v>46126</v>
      </c>
      <c r="C2697" s="350">
        <v>46126</v>
      </c>
      <c r="D2697" s="351">
        <v>46113</v>
      </c>
      <c r="E2697" s="340" t="s">
        <v>2744</v>
      </c>
      <c r="F2697" s="340" t="s">
        <v>894</v>
      </c>
      <c r="G2697" s="340" t="s">
        <v>2078</v>
      </c>
      <c r="H2697" s="340"/>
      <c r="I2697" s="340" t="s">
        <v>745</v>
      </c>
      <c r="K2697" s="343">
        <v>0</v>
      </c>
      <c r="L2697" s="343">
        <v>-746.87</v>
      </c>
      <c r="M2697" s="343">
        <v>-1323211.05</v>
      </c>
      <c r="O2697" s="343">
        <v>0</v>
      </c>
    </row>
    <row r="2698" spans="1:15" x14ac:dyDescent="0.3">
      <c r="A2698" s="340" t="s">
        <v>891</v>
      </c>
      <c r="B2698" s="350">
        <v>46126</v>
      </c>
      <c r="C2698" s="350">
        <v>46126</v>
      </c>
      <c r="D2698" s="351">
        <v>46113</v>
      </c>
      <c r="E2698" s="340" t="s">
        <v>2744</v>
      </c>
      <c r="F2698" s="340" t="s">
        <v>894</v>
      </c>
      <c r="G2698" s="340" t="s">
        <v>2768</v>
      </c>
      <c r="H2698" s="340"/>
      <c r="I2698" s="340" t="s">
        <v>745</v>
      </c>
      <c r="K2698" s="343">
        <v>0</v>
      </c>
      <c r="L2698" s="343">
        <v>-42.79</v>
      </c>
      <c r="M2698" s="343">
        <v>-1323253.8400000001</v>
      </c>
      <c r="O2698" s="343">
        <v>0</v>
      </c>
    </row>
    <row r="2699" spans="1:15" x14ac:dyDescent="0.3">
      <c r="A2699" s="340" t="s">
        <v>891</v>
      </c>
      <c r="B2699" s="350">
        <v>46126</v>
      </c>
      <c r="C2699" s="350">
        <v>46126</v>
      </c>
      <c r="D2699" s="351">
        <v>46113</v>
      </c>
      <c r="E2699" s="340" t="s">
        <v>2744</v>
      </c>
      <c r="F2699" s="340" t="s">
        <v>894</v>
      </c>
      <c r="G2699" s="340" t="s">
        <v>2769</v>
      </c>
      <c r="H2699" s="340"/>
      <c r="I2699" s="340" t="s">
        <v>745</v>
      </c>
      <c r="K2699" s="343">
        <v>0</v>
      </c>
      <c r="L2699" s="343">
        <v>-42.79</v>
      </c>
      <c r="M2699" s="343">
        <v>-1323296.6299999999</v>
      </c>
      <c r="O2699" s="343">
        <v>0</v>
      </c>
    </row>
    <row r="2700" spans="1:15" x14ac:dyDescent="0.3">
      <c r="A2700" s="340" t="s">
        <v>891</v>
      </c>
      <c r="B2700" s="350">
        <v>46126</v>
      </c>
      <c r="C2700" s="350">
        <v>46126</v>
      </c>
      <c r="D2700" s="351">
        <v>46113</v>
      </c>
      <c r="E2700" s="340" t="s">
        <v>2744</v>
      </c>
      <c r="F2700" s="340" t="s">
        <v>894</v>
      </c>
      <c r="G2700" s="340" t="s">
        <v>1508</v>
      </c>
      <c r="H2700" s="340"/>
      <c r="I2700" s="340" t="s">
        <v>745</v>
      </c>
      <c r="K2700" s="343">
        <v>0</v>
      </c>
      <c r="L2700" s="343">
        <v>-136.54</v>
      </c>
      <c r="M2700" s="343">
        <v>-1323433.17</v>
      </c>
      <c r="O2700" s="343">
        <v>0</v>
      </c>
    </row>
    <row r="2701" spans="1:15" x14ac:dyDescent="0.3">
      <c r="A2701" s="340" t="s">
        <v>891</v>
      </c>
      <c r="B2701" s="350">
        <v>46126</v>
      </c>
      <c r="C2701" s="350">
        <v>46129</v>
      </c>
      <c r="D2701" s="351">
        <v>46113</v>
      </c>
      <c r="E2701" s="340" t="s">
        <v>2770</v>
      </c>
      <c r="F2701" s="340" t="s">
        <v>894</v>
      </c>
      <c r="G2701" s="340" t="s">
        <v>2771</v>
      </c>
      <c r="H2701" s="340"/>
      <c r="I2701" s="340" t="s">
        <v>742</v>
      </c>
      <c r="K2701" s="343">
        <v>0.39</v>
      </c>
      <c r="L2701" s="343">
        <v>0</v>
      </c>
      <c r="M2701" s="343">
        <v>-1323432.78</v>
      </c>
      <c r="O2701" s="343">
        <v>0</v>
      </c>
    </row>
    <row r="2702" spans="1:15" x14ac:dyDescent="0.3">
      <c r="A2702" s="340" t="s">
        <v>891</v>
      </c>
      <c r="B2702" s="350">
        <v>46126</v>
      </c>
      <c r="C2702" s="350">
        <v>46129</v>
      </c>
      <c r="D2702" s="351">
        <v>46113</v>
      </c>
      <c r="E2702" s="340" t="s">
        <v>2770</v>
      </c>
      <c r="F2702" s="340" t="s">
        <v>894</v>
      </c>
      <c r="G2702" s="340" t="s">
        <v>2772</v>
      </c>
      <c r="H2702" s="340"/>
      <c r="I2702" s="340" t="s">
        <v>742</v>
      </c>
      <c r="K2702" s="343">
        <v>0</v>
      </c>
      <c r="L2702" s="343">
        <v>-88.01</v>
      </c>
      <c r="M2702" s="343">
        <v>-1323520.79</v>
      </c>
      <c r="O2702" s="343">
        <v>0</v>
      </c>
    </row>
    <row r="2703" spans="1:15" x14ac:dyDescent="0.3">
      <c r="A2703" s="340" t="s">
        <v>891</v>
      </c>
      <c r="B2703" s="350">
        <v>46126</v>
      </c>
      <c r="C2703" s="350">
        <v>46129</v>
      </c>
      <c r="D2703" s="351">
        <v>46113</v>
      </c>
      <c r="E2703" s="340" t="s">
        <v>2770</v>
      </c>
      <c r="F2703" s="340" t="s">
        <v>894</v>
      </c>
      <c r="G2703" s="340" t="s">
        <v>2773</v>
      </c>
      <c r="H2703" s="340"/>
      <c r="I2703" s="340" t="s">
        <v>742</v>
      </c>
      <c r="K2703" s="343">
        <v>0</v>
      </c>
      <c r="L2703" s="343">
        <v>-0.02</v>
      </c>
      <c r="M2703" s="343">
        <v>-1323520.81</v>
      </c>
      <c r="O2703" s="343">
        <v>0</v>
      </c>
    </row>
    <row r="2704" spans="1:15" x14ac:dyDescent="0.3">
      <c r="A2704" s="340" t="s">
        <v>891</v>
      </c>
      <c r="B2704" s="350">
        <v>46126</v>
      </c>
      <c r="C2704" s="350">
        <v>46129</v>
      </c>
      <c r="D2704" s="351">
        <v>46113</v>
      </c>
      <c r="E2704" s="340" t="s">
        <v>2770</v>
      </c>
      <c r="F2704" s="340" t="s">
        <v>894</v>
      </c>
      <c r="G2704" s="340" t="s">
        <v>2774</v>
      </c>
      <c r="H2704" s="340"/>
      <c r="I2704" s="340" t="s">
        <v>742</v>
      </c>
      <c r="K2704" s="343">
        <v>0</v>
      </c>
      <c r="L2704" s="343">
        <v>-1.02</v>
      </c>
      <c r="M2704" s="343">
        <v>-1323521.83</v>
      </c>
      <c r="O2704" s="343">
        <v>0</v>
      </c>
    </row>
    <row r="2705" spans="1:15" x14ac:dyDescent="0.3">
      <c r="A2705" s="340" t="s">
        <v>891</v>
      </c>
      <c r="B2705" s="350">
        <v>46126</v>
      </c>
      <c r="C2705" s="350">
        <v>46129</v>
      </c>
      <c r="D2705" s="351">
        <v>46113</v>
      </c>
      <c r="E2705" s="340" t="s">
        <v>2770</v>
      </c>
      <c r="F2705" s="340" t="s">
        <v>894</v>
      </c>
      <c r="G2705" s="340" t="s">
        <v>2775</v>
      </c>
      <c r="H2705" s="340"/>
      <c r="I2705" s="340" t="s">
        <v>742</v>
      </c>
      <c r="K2705" s="343">
        <v>0</v>
      </c>
      <c r="L2705" s="343">
        <v>-14.09</v>
      </c>
      <c r="M2705" s="343">
        <v>-1323535.92</v>
      </c>
      <c r="O2705" s="343">
        <v>0</v>
      </c>
    </row>
    <row r="2706" spans="1:15" x14ac:dyDescent="0.3">
      <c r="A2706" s="340" t="s">
        <v>891</v>
      </c>
      <c r="B2706" s="350">
        <v>46126</v>
      </c>
      <c r="C2706" s="350">
        <v>46129</v>
      </c>
      <c r="D2706" s="351">
        <v>46113</v>
      </c>
      <c r="E2706" s="340" t="s">
        <v>2770</v>
      </c>
      <c r="F2706" s="340" t="s">
        <v>894</v>
      </c>
      <c r="G2706" s="340" t="s">
        <v>2776</v>
      </c>
      <c r="H2706" s="340"/>
      <c r="I2706" s="340" t="s">
        <v>742</v>
      </c>
      <c r="K2706" s="343">
        <v>0</v>
      </c>
      <c r="L2706" s="343">
        <v>-28.13</v>
      </c>
      <c r="M2706" s="343">
        <v>-1323564.05</v>
      </c>
      <c r="O2706" s="343">
        <v>0</v>
      </c>
    </row>
    <row r="2707" spans="1:15" x14ac:dyDescent="0.3">
      <c r="A2707" s="340" t="s">
        <v>891</v>
      </c>
      <c r="B2707" s="350">
        <v>46126</v>
      </c>
      <c r="C2707" s="350">
        <v>46129</v>
      </c>
      <c r="D2707" s="351">
        <v>46113</v>
      </c>
      <c r="E2707" s="340" t="s">
        <v>2770</v>
      </c>
      <c r="F2707" s="340" t="s">
        <v>894</v>
      </c>
      <c r="G2707" s="340" t="s">
        <v>2777</v>
      </c>
      <c r="H2707" s="340"/>
      <c r="I2707" s="340" t="s">
        <v>742</v>
      </c>
      <c r="K2707" s="343">
        <v>0</v>
      </c>
      <c r="L2707" s="343">
        <v>-29.62</v>
      </c>
      <c r="M2707" s="343">
        <v>-1323593.67</v>
      </c>
      <c r="O2707" s="343">
        <v>0</v>
      </c>
    </row>
    <row r="2708" spans="1:15" x14ac:dyDescent="0.3">
      <c r="A2708" s="340" t="s">
        <v>891</v>
      </c>
      <c r="B2708" s="350">
        <v>46126</v>
      </c>
      <c r="C2708" s="350">
        <v>46129</v>
      </c>
      <c r="D2708" s="351">
        <v>46113</v>
      </c>
      <c r="E2708" s="340" t="s">
        <v>2770</v>
      </c>
      <c r="F2708" s="340" t="s">
        <v>894</v>
      </c>
      <c r="G2708" s="340" t="s">
        <v>2778</v>
      </c>
      <c r="H2708" s="340"/>
      <c r="I2708" s="340" t="s">
        <v>742</v>
      </c>
      <c r="K2708" s="343">
        <v>0</v>
      </c>
      <c r="L2708" s="343">
        <v>-70.45</v>
      </c>
      <c r="M2708" s="343">
        <v>-1323664.1200000001</v>
      </c>
      <c r="O2708" s="343">
        <v>0</v>
      </c>
    </row>
    <row r="2709" spans="1:15" x14ac:dyDescent="0.3">
      <c r="A2709" s="340" t="s">
        <v>891</v>
      </c>
      <c r="B2709" s="350">
        <v>46126</v>
      </c>
      <c r="C2709" s="350">
        <v>46129</v>
      </c>
      <c r="D2709" s="351">
        <v>46113</v>
      </c>
      <c r="E2709" s="340" t="s">
        <v>2770</v>
      </c>
      <c r="F2709" s="340" t="s">
        <v>894</v>
      </c>
      <c r="G2709" s="340" t="s">
        <v>2779</v>
      </c>
      <c r="H2709" s="340"/>
      <c r="I2709" s="340" t="s">
        <v>742</v>
      </c>
      <c r="K2709" s="343">
        <v>0</v>
      </c>
      <c r="L2709" s="343">
        <v>-216.34</v>
      </c>
      <c r="M2709" s="343">
        <v>-1323880.46</v>
      </c>
      <c r="O2709" s="343">
        <v>0</v>
      </c>
    </row>
    <row r="2710" spans="1:15" x14ac:dyDescent="0.3">
      <c r="A2710" s="340" t="s">
        <v>891</v>
      </c>
      <c r="B2710" s="350">
        <v>46126</v>
      </c>
      <c r="C2710" s="350">
        <v>46129</v>
      </c>
      <c r="D2710" s="351">
        <v>46113</v>
      </c>
      <c r="E2710" s="340" t="s">
        <v>2770</v>
      </c>
      <c r="F2710" s="340" t="s">
        <v>894</v>
      </c>
      <c r="G2710" s="340" t="s">
        <v>2780</v>
      </c>
      <c r="H2710" s="340"/>
      <c r="I2710" s="340" t="s">
        <v>742</v>
      </c>
      <c r="K2710" s="343">
        <v>0</v>
      </c>
      <c r="L2710" s="343">
        <v>-1132.21</v>
      </c>
      <c r="M2710" s="343">
        <v>-1325012.67</v>
      </c>
      <c r="O2710" s="343">
        <v>0</v>
      </c>
    </row>
    <row r="2711" spans="1:15" x14ac:dyDescent="0.3">
      <c r="A2711" s="340" t="s">
        <v>891</v>
      </c>
      <c r="B2711" s="350">
        <v>46126</v>
      </c>
      <c r="C2711" s="350">
        <v>46129</v>
      </c>
      <c r="D2711" s="351">
        <v>46113</v>
      </c>
      <c r="E2711" s="340" t="s">
        <v>2781</v>
      </c>
      <c r="F2711" s="340" t="s">
        <v>894</v>
      </c>
      <c r="G2711" s="340" t="s">
        <v>2771</v>
      </c>
      <c r="H2711" s="340"/>
      <c r="I2711" s="340" t="s">
        <v>742</v>
      </c>
      <c r="K2711" s="343">
        <v>0.39</v>
      </c>
      <c r="L2711" s="343">
        <v>0</v>
      </c>
      <c r="M2711" s="343">
        <v>-1325012.28</v>
      </c>
      <c r="O2711" s="343">
        <v>0</v>
      </c>
    </row>
    <row r="2712" spans="1:15" x14ac:dyDescent="0.3">
      <c r="A2712" s="340" t="s">
        <v>891</v>
      </c>
      <c r="B2712" s="350">
        <v>46126</v>
      </c>
      <c r="C2712" s="350">
        <v>46129</v>
      </c>
      <c r="D2712" s="351">
        <v>46113</v>
      </c>
      <c r="E2712" s="340" t="s">
        <v>2781</v>
      </c>
      <c r="F2712" s="340" t="s">
        <v>894</v>
      </c>
      <c r="G2712" s="340" t="s">
        <v>2773</v>
      </c>
      <c r="H2712" s="340"/>
      <c r="I2712" s="340" t="s">
        <v>742</v>
      </c>
      <c r="K2712" s="343">
        <v>0</v>
      </c>
      <c r="L2712" s="343">
        <v>-0.02</v>
      </c>
      <c r="M2712" s="343">
        <v>-1325012.3</v>
      </c>
      <c r="O2712" s="343">
        <v>0</v>
      </c>
    </row>
    <row r="2713" spans="1:15" x14ac:dyDescent="0.3">
      <c r="A2713" s="340" t="s">
        <v>891</v>
      </c>
      <c r="B2713" s="350">
        <v>46126</v>
      </c>
      <c r="C2713" s="350">
        <v>46129</v>
      </c>
      <c r="D2713" s="351">
        <v>46113</v>
      </c>
      <c r="E2713" s="340" t="s">
        <v>2781</v>
      </c>
      <c r="F2713" s="340" t="s">
        <v>894</v>
      </c>
      <c r="G2713" s="340" t="s">
        <v>2782</v>
      </c>
      <c r="H2713" s="340"/>
      <c r="I2713" s="340" t="s">
        <v>742</v>
      </c>
      <c r="K2713" s="343">
        <v>0</v>
      </c>
      <c r="L2713" s="343">
        <v>-31.66</v>
      </c>
      <c r="M2713" s="343">
        <v>-1325043.96</v>
      </c>
      <c r="O2713" s="343">
        <v>0</v>
      </c>
    </row>
    <row r="2714" spans="1:15" x14ac:dyDescent="0.3">
      <c r="A2714" s="340" t="s">
        <v>891</v>
      </c>
      <c r="B2714" s="350">
        <v>46126</v>
      </c>
      <c r="C2714" s="350">
        <v>46129</v>
      </c>
      <c r="D2714" s="351">
        <v>46113</v>
      </c>
      <c r="E2714" s="340" t="s">
        <v>2781</v>
      </c>
      <c r="F2714" s="340" t="s">
        <v>894</v>
      </c>
      <c r="G2714" s="340" t="s">
        <v>2775</v>
      </c>
      <c r="H2714" s="340"/>
      <c r="I2714" s="340" t="s">
        <v>742</v>
      </c>
      <c r="K2714" s="343">
        <v>0</v>
      </c>
      <c r="L2714" s="343">
        <v>-31.66</v>
      </c>
      <c r="M2714" s="343">
        <v>-1325075.6200000001</v>
      </c>
      <c r="O2714" s="343">
        <v>0</v>
      </c>
    </row>
    <row r="2715" spans="1:15" x14ac:dyDescent="0.3">
      <c r="A2715" s="340" t="s">
        <v>891</v>
      </c>
      <c r="B2715" s="350">
        <v>46126</v>
      </c>
      <c r="C2715" s="350">
        <v>46129</v>
      </c>
      <c r="D2715" s="351">
        <v>46113</v>
      </c>
      <c r="E2715" s="340" t="s">
        <v>2781</v>
      </c>
      <c r="F2715" s="340" t="s">
        <v>894</v>
      </c>
      <c r="G2715" s="340" t="s">
        <v>2776</v>
      </c>
      <c r="H2715" s="340"/>
      <c r="I2715" s="340" t="s">
        <v>742</v>
      </c>
      <c r="K2715" s="343">
        <v>0</v>
      </c>
      <c r="L2715" s="343">
        <v>-63.21</v>
      </c>
      <c r="M2715" s="343">
        <v>-1325138.83</v>
      </c>
      <c r="O2715" s="343">
        <v>0</v>
      </c>
    </row>
    <row r="2716" spans="1:15" x14ac:dyDescent="0.3">
      <c r="A2716" s="340" t="s">
        <v>891</v>
      </c>
      <c r="B2716" s="350">
        <v>46126</v>
      </c>
      <c r="C2716" s="350">
        <v>46129</v>
      </c>
      <c r="D2716" s="351">
        <v>46113</v>
      </c>
      <c r="E2716" s="340" t="s">
        <v>2781</v>
      </c>
      <c r="F2716" s="340" t="s">
        <v>894</v>
      </c>
      <c r="G2716" s="340" t="s">
        <v>2777</v>
      </c>
      <c r="H2716" s="340"/>
      <c r="I2716" s="340" t="s">
        <v>742</v>
      </c>
      <c r="K2716" s="343">
        <v>0</v>
      </c>
      <c r="L2716" s="343">
        <v>-69.209999999999994</v>
      </c>
      <c r="M2716" s="343">
        <v>-1325208.04</v>
      </c>
      <c r="O2716" s="343">
        <v>0</v>
      </c>
    </row>
    <row r="2717" spans="1:15" x14ac:dyDescent="0.3">
      <c r="A2717" s="340" t="s">
        <v>891</v>
      </c>
      <c r="B2717" s="350">
        <v>46126</v>
      </c>
      <c r="C2717" s="350">
        <v>46129</v>
      </c>
      <c r="D2717" s="351">
        <v>46113</v>
      </c>
      <c r="E2717" s="340" t="s">
        <v>2781</v>
      </c>
      <c r="F2717" s="340" t="s">
        <v>894</v>
      </c>
      <c r="G2717" s="340" t="s">
        <v>2772</v>
      </c>
      <c r="H2717" s="340"/>
      <c r="I2717" s="340" t="s">
        <v>742</v>
      </c>
      <c r="K2717" s="343">
        <v>0</v>
      </c>
      <c r="L2717" s="343">
        <v>-88.01</v>
      </c>
      <c r="M2717" s="343">
        <v>-1325296.05</v>
      </c>
      <c r="O2717" s="343">
        <v>0</v>
      </c>
    </row>
    <row r="2718" spans="1:15" x14ac:dyDescent="0.3">
      <c r="A2718" s="340" t="s">
        <v>891</v>
      </c>
      <c r="B2718" s="350">
        <v>46126</v>
      </c>
      <c r="C2718" s="350">
        <v>46129</v>
      </c>
      <c r="D2718" s="351">
        <v>46113</v>
      </c>
      <c r="E2718" s="340" t="s">
        <v>2781</v>
      </c>
      <c r="F2718" s="340" t="s">
        <v>894</v>
      </c>
      <c r="G2718" s="340" t="s">
        <v>2778</v>
      </c>
      <c r="H2718" s="340"/>
      <c r="I2718" s="340" t="s">
        <v>742</v>
      </c>
      <c r="K2718" s="343">
        <v>0</v>
      </c>
      <c r="L2718" s="343">
        <v>-158.32</v>
      </c>
      <c r="M2718" s="343">
        <v>-1325454.3700000001</v>
      </c>
      <c r="O2718" s="343">
        <v>0</v>
      </c>
    </row>
    <row r="2719" spans="1:15" x14ac:dyDescent="0.3">
      <c r="A2719" s="340" t="s">
        <v>891</v>
      </c>
      <c r="B2719" s="350">
        <v>46126</v>
      </c>
      <c r="C2719" s="350">
        <v>46129</v>
      </c>
      <c r="D2719" s="351">
        <v>46113</v>
      </c>
      <c r="E2719" s="340" t="s">
        <v>2781</v>
      </c>
      <c r="F2719" s="340" t="s">
        <v>894</v>
      </c>
      <c r="G2719" s="340" t="s">
        <v>2783</v>
      </c>
      <c r="H2719" s="340"/>
      <c r="I2719" s="340" t="s">
        <v>742</v>
      </c>
      <c r="K2719" s="343">
        <v>0</v>
      </c>
      <c r="L2719" s="343">
        <v>-197.9</v>
      </c>
      <c r="M2719" s="343">
        <v>-1325652.27</v>
      </c>
      <c r="O2719" s="343">
        <v>0</v>
      </c>
    </row>
    <row r="2720" spans="1:15" x14ac:dyDescent="0.3">
      <c r="A2720" s="340" t="s">
        <v>891</v>
      </c>
      <c r="B2720" s="350">
        <v>46126</v>
      </c>
      <c r="C2720" s="350">
        <v>46129</v>
      </c>
      <c r="D2720" s="351">
        <v>46113</v>
      </c>
      <c r="E2720" s="340" t="s">
        <v>2781</v>
      </c>
      <c r="F2720" s="340" t="s">
        <v>894</v>
      </c>
      <c r="G2720" s="340" t="s">
        <v>2779</v>
      </c>
      <c r="H2720" s="340"/>
      <c r="I2720" s="340" t="s">
        <v>742</v>
      </c>
      <c r="K2720" s="343">
        <v>0</v>
      </c>
      <c r="L2720" s="343">
        <v>-505.52</v>
      </c>
      <c r="M2720" s="343">
        <v>-1326157.79</v>
      </c>
      <c r="O2720" s="343">
        <v>0</v>
      </c>
    </row>
    <row r="2721" spans="1:15" x14ac:dyDescent="0.3">
      <c r="A2721" s="340" t="s">
        <v>891</v>
      </c>
      <c r="B2721" s="350">
        <v>46126</v>
      </c>
      <c r="C2721" s="350">
        <v>46129</v>
      </c>
      <c r="D2721" s="351">
        <v>46113</v>
      </c>
      <c r="E2721" s="340" t="s">
        <v>2781</v>
      </c>
      <c r="F2721" s="340" t="s">
        <v>894</v>
      </c>
      <c r="G2721" s="340" t="s">
        <v>2780</v>
      </c>
      <c r="H2721" s="340"/>
      <c r="I2721" s="340" t="s">
        <v>742</v>
      </c>
      <c r="K2721" s="343">
        <v>0</v>
      </c>
      <c r="L2721" s="343">
        <v>-2645.6</v>
      </c>
      <c r="M2721" s="343">
        <v>-1328803.3899999999</v>
      </c>
      <c r="O2721" s="343">
        <v>0</v>
      </c>
    </row>
    <row r="2722" spans="1:15" x14ac:dyDescent="0.3">
      <c r="A2722" s="340" t="s">
        <v>891</v>
      </c>
      <c r="B2722" s="350">
        <v>46126</v>
      </c>
      <c r="C2722" s="350">
        <v>46129</v>
      </c>
      <c r="D2722" s="351">
        <v>46113</v>
      </c>
      <c r="E2722" s="340" t="s">
        <v>2781</v>
      </c>
      <c r="F2722" s="340" t="s">
        <v>894</v>
      </c>
      <c r="G2722" s="340" t="s">
        <v>2774</v>
      </c>
      <c r="H2722" s="340"/>
      <c r="I2722" s="340" t="s">
        <v>742</v>
      </c>
      <c r="K2722" s="343">
        <v>0</v>
      </c>
      <c r="L2722" s="343">
        <v>-1.02</v>
      </c>
      <c r="M2722" s="343">
        <v>-1328804.4099999999</v>
      </c>
      <c r="O2722" s="343">
        <v>0</v>
      </c>
    </row>
    <row r="2723" spans="1:15" x14ac:dyDescent="0.3">
      <c r="A2723" s="340" t="s">
        <v>891</v>
      </c>
      <c r="B2723" s="350">
        <v>46126</v>
      </c>
      <c r="C2723" s="350">
        <v>46134</v>
      </c>
      <c r="D2723" s="351">
        <v>46113</v>
      </c>
      <c r="E2723" s="340" t="s">
        <v>2784</v>
      </c>
      <c r="F2723" s="340" t="s">
        <v>894</v>
      </c>
      <c r="G2723" s="340" t="s">
        <v>2771</v>
      </c>
      <c r="H2723" s="340"/>
      <c r="I2723" s="340" t="s">
        <v>742</v>
      </c>
      <c r="K2723" s="343">
        <v>0.39</v>
      </c>
      <c r="L2723" s="343">
        <v>0</v>
      </c>
      <c r="M2723" s="343">
        <v>-1328804.02</v>
      </c>
      <c r="O2723" s="343">
        <v>0</v>
      </c>
    </row>
    <row r="2724" spans="1:15" x14ac:dyDescent="0.3">
      <c r="A2724" s="340" t="s">
        <v>891</v>
      </c>
      <c r="B2724" s="350">
        <v>46126</v>
      </c>
      <c r="C2724" s="350">
        <v>46134</v>
      </c>
      <c r="D2724" s="351">
        <v>46113</v>
      </c>
      <c r="E2724" s="340" t="s">
        <v>2784</v>
      </c>
      <c r="F2724" s="340" t="s">
        <v>894</v>
      </c>
      <c r="G2724" s="340" t="s">
        <v>2773</v>
      </c>
      <c r="H2724" s="340"/>
      <c r="I2724" s="340" t="s">
        <v>742</v>
      </c>
      <c r="K2724" s="343">
        <v>0</v>
      </c>
      <c r="L2724" s="343">
        <v>-0.02</v>
      </c>
      <c r="M2724" s="343">
        <v>-1328804.04</v>
      </c>
      <c r="O2724" s="343">
        <v>0</v>
      </c>
    </row>
    <row r="2725" spans="1:15" x14ac:dyDescent="0.3">
      <c r="A2725" s="340" t="s">
        <v>891</v>
      </c>
      <c r="B2725" s="350">
        <v>46126</v>
      </c>
      <c r="C2725" s="350">
        <v>46134</v>
      </c>
      <c r="D2725" s="351">
        <v>46113</v>
      </c>
      <c r="E2725" s="340" t="s">
        <v>2784</v>
      </c>
      <c r="F2725" s="340" t="s">
        <v>894</v>
      </c>
      <c r="G2725" s="340" t="s">
        <v>2774</v>
      </c>
      <c r="H2725" s="340"/>
      <c r="I2725" s="340" t="s">
        <v>742</v>
      </c>
      <c r="K2725" s="343">
        <v>0</v>
      </c>
      <c r="L2725" s="343">
        <v>-1.02</v>
      </c>
      <c r="M2725" s="343">
        <v>-1328805.06</v>
      </c>
      <c r="O2725" s="343">
        <v>0</v>
      </c>
    </row>
    <row r="2726" spans="1:15" x14ac:dyDescent="0.3">
      <c r="A2726" s="340" t="s">
        <v>891</v>
      </c>
      <c r="B2726" s="350">
        <v>46126</v>
      </c>
      <c r="C2726" s="350">
        <v>46134</v>
      </c>
      <c r="D2726" s="351">
        <v>46113</v>
      </c>
      <c r="E2726" s="340" t="s">
        <v>2784</v>
      </c>
      <c r="F2726" s="340" t="s">
        <v>894</v>
      </c>
      <c r="G2726" s="340" t="s">
        <v>2782</v>
      </c>
      <c r="H2726" s="340"/>
      <c r="I2726" s="340" t="s">
        <v>742</v>
      </c>
      <c r="K2726" s="343">
        <v>0</v>
      </c>
      <c r="L2726" s="343">
        <v>-32.22</v>
      </c>
      <c r="M2726" s="343">
        <v>-1328837.28</v>
      </c>
      <c r="O2726" s="343">
        <v>0</v>
      </c>
    </row>
    <row r="2727" spans="1:15" x14ac:dyDescent="0.3">
      <c r="A2727" s="340" t="s">
        <v>891</v>
      </c>
      <c r="B2727" s="350">
        <v>46126</v>
      </c>
      <c r="C2727" s="350">
        <v>46134</v>
      </c>
      <c r="D2727" s="351">
        <v>46113</v>
      </c>
      <c r="E2727" s="340" t="s">
        <v>2784</v>
      </c>
      <c r="F2727" s="340" t="s">
        <v>894</v>
      </c>
      <c r="G2727" s="340" t="s">
        <v>2775</v>
      </c>
      <c r="H2727" s="340"/>
      <c r="I2727" s="340" t="s">
        <v>742</v>
      </c>
      <c r="K2727" s="343">
        <v>0</v>
      </c>
      <c r="L2727" s="343">
        <v>-32.22</v>
      </c>
      <c r="M2727" s="343">
        <v>-1328869.5</v>
      </c>
      <c r="O2727" s="343">
        <v>0</v>
      </c>
    </row>
    <row r="2728" spans="1:15" x14ac:dyDescent="0.3">
      <c r="A2728" s="340" t="s">
        <v>891</v>
      </c>
      <c r="B2728" s="350">
        <v>46126</v>
      </c>
      <c r="C2728" s="350">
        <v>46134</v>
      </c>
      <c r="D2728" s="351">
        <v>46113</v>
      </c>
      <c r="E2728" s="340" t="s">
        <v>2784</v>
      </c>
      <c r="F2728" s="340" t="s">
        <v>894</v>
      </c>
      <c r="G2728" s="340" t="s">
        <v>2776</v>
      </c>
      <c r="H2728" s="340"/>
      <c r="I2728" s="340" t="s">
        <v>742</v>
      </c>
      <c r="K2728" s="343">
        <v>0</v>
      </c>
      <c r="L2728" s="343">
        <v>-64.33</v>
      </c>
      <c r="M2728" s="343">
        <v>-1328933.83</v>
      </c>
      <c r="O2728" s="343">
        <v>0</v>
      </c>
    </row>
    <row r="2729" spans="1:15" x14ac:dyDescent="0.3">
      <c r="A2729" s="340" t="s">
        <v>891</v>
      </c>
      <c r="B2729" s="350">
        <v>46126</v>
      </c>
      <c r="C2729" s="350">
        <v>46134</v>
      </c>
      <c r="D2729" s="351">
        <v>46113</v>
      </c>
      <c r="E2729" s="340" t="s">
        <v>2784</v>
      </c>
      <c r="F2729" s="340" t="s">
        <v>894</v>
      </c>
      <c r="G2729" s="340" t="s">
        <v>2777</v>
      </c>
      <c r="H2729" s="340"/>
      <c r="I2729" s="340" t="s">
        <v>742</v>
      </c>
      <c r="K2729" s="343">
        <v>0</v>
      </c>
      <c r="L2729" s="343">
        <v>-70.459999999999994</v>
      </c>
      <c r="M2729" s="343">
        <v>-1329004.29</v>
      </c>
      <c r="O2729" s="343">
        <v>0</v>
      </c>
    </row>
    <row r="2730" spans="1:15" x14ac:dyDescent="0.3">
      <c r="A2730" s="340" t="s">
        <v>891</v>
      </c>
      <c r="B2730" s="350">
        <v>46126</v>
      </c>
      <c r="C2730" s="350">
        <v>46134</v>
      </c>
      <c r="D2730" s="351">
        <v>46113</v>
      </c>
      <c r="E2730" s="340" t="s">
        <v>2784</v>
      </c>
      <c r="F2730" s="340" t="s">
        <v>894</v>
      </c>
      <c r="G2730" s="340" t="s">
        <v>2772</v>
      </c>
      <c r="H2730" s="340"/>
      <c r="I2730" s="340" t="s">
        <v>742</v>
      </c>
      <c r="K2730" s="343">
        <v>0</v>
      </c>
      <c r="L2730" s="343">
        <v>-88.01</v>
      </c>
      <c r="M2730" s="343">
        <v>-1329092.3</v>
      </c>
      <c r="O2730" s="343">
        <v>0</v>
      </c>
    </row>
    <row r="2731" spans="1:15" x14ac:dyDescent="0.3">
      <c r="A2731" s="340" t="s">
        <v>891</v>
      </c>
      <c r="B2731" s="350">
        <v>46126</v>
      </c>
      <c r="C2731" s="350">
        <v>46134</v>
      </c>
      <c r="D2731" s="351">
        <v>46113</v>
      </c>
      <c r="E2731" s="340" t="s">
        <v>2784</v>
      </c>
      <c r="F2731" s="340" t="s">
        <v>894</v>
      </c>
      <c r="G2731" s="340" t="s">
        <v>2778</v>
      </c>
      <c r="H2731" s="340"/>
      <c r="I2731" s="340" t="s">
        <v>742</v>
      </c>
      <c r="K2731" s="343">
        <v>0</v>
      </c>
      <c r="L2731" s="343">
        <v>-161.11000000000001</v>
      </c>
      <c r="M2731" s="343">
        <v>-1329253.4099999999</v>
      </c>
      <c r="O2731" s="343">
        <v>0</v>
      </c>
    </row>
    <row r="2732" spans="1:15" x14ac:dyDescent="0.3">
      <c r="A2732" s="340" t="s">
        <v>891</v>
      </c>
      <c r="B2732" s="350">
        <v>46126</v>
      </c>
      <c r="C2732" s="350">
        <v>46134</v>
      </c>
      <c r="D2732" s="351">
        <v>46113</v>
      </c>
      <c r="E2732" s="340" t="s">
        <v>2784</v>
      </c>
      <c r="F2732" s="340" t="s">
        <v>894</v>
      </c>
      <c r="G2732" s="340" t="s">
        <v>2783</v>
      </c>
      <c r="H2732" s="340"/>
      <c r="I2732" s="340" t="s">
        <v>742</v>
      </c>
      <c r="K2732" s="343">
        <v>0</v>
      </c>
      <c r="L2732" s="343">
        <v>-201.39</v>
      </c>
      <c r="M2732" s="343">
        <v>-1329454.8</v>
      </c>
      <c r="O2732" s="343">
        <v>0</v>
      </c>
    </row>
    <row r="2733" spans="1:15" x14ac:dyDescent="0.3">
      <c r="A2733" s="340" t="s">
        <v>891</v>
      </c>
      <c r="B2733" s="350">
        <v>46126</v>
      </c>
      <c r="C2733" s="350">
        <v>46134</v>
      </c>
      <c r="D2733" s="351">
        <v>46113</v>
      </c>
      <c r="E2733" s="340" t="s">
        <v>2784</v>
      </c>
      <c r="F2733" s="340" t="s">
        <v>894</v>
      </c>
      <c r="G2733" s="340" t="s">
        <v>2779</v>
      </c>
      <c r="H2733" s="340"/>
      <c r="I2733" s="340" t="s">
        <v>742</v>
      </c>
      <c r="K2733" s="343">
        <v>0</v>
      </c>
      <c r="L2733" s="343">
        <v>-514.71</v>
      </c>
      <c r="M2733" s="343">
        <v>-1329969.51</v>
      </c>
      <c r="O2733" s="343">
        <v>0</v>
      </c>
    </row>
    <row r="2734" spans="1:15" x14ac:dyDescent="0.3">
      <c r="A2734" s="340" t="s">
        <v>891</v>
      </c>
      <c r="B2734" s="350">
        <v>46126</v>
      </c>
      <c r="C2734" s="350">
        <v>46134</v>
      </c>
      <c r="D2734" s="351">
        <v>46113</v>
      </c>
      <c r="E2734" s="340" t="s">
        <v>2784</v>
      </c>
      <c r="F2734" s="340" t="s">
        <v>894</v>
      </c>
      <c r="G2734" s="340" t="s">
        <v>2780</v>
      </c>
      <c r="H2734" s="340"/>
      <c r="I2734" s="340" t="s">
        <v>742</v>
      </c>
      <c r="K2734" s="343">
        <v>0</v>
      </c>
      <c r="L2734" s="343">
        <v>-2693.68</v>
      </c>
      <c r="M2734" s="343">
        <v>-1332663.19</v>
      </c>
      <c r="O2734" s="343">
        <v>0</v>
      </c>
    </row>
    <row r="2735" spans="1:15" x14ac:dyDescent="0.3">
      <c r="A2735" s="340" t="s">
        <v>891</v>
      </c>
      <c r="B2735" s="350">
        <v>46126</v>
      </c>
      <c r="C2735" s="350">
        <v>46136</v>
      </c>
      <c r="D2735" s="351">
        <v>46113</v>
      </c>
      <c r="E2735" s="340" t="s">
        <v>2785</v>
      </c>
      <c r="F2735" s="340" t="s">
        <v>894</v>
      </c>
      <c r="G2735" s="340" t="s">
        <v>2786</v>
      </c>
      <c r="H2735" s="340"/>
      <c r="I2735" s="340" t="s">
        <v>752</v>
      </c>
      <c r="K2735" s="343">
        <v>0</v>
      </c>
      <c r="L2735" s="343">
        <v>-244.82</v>
      </c>
      <c r="M2735" s="343">
        <v>-1332908.01</v>
      </c>
      <c r="O2735" s="343">
        <v>0</v>
      </c>
    </row>
    <row r="2736" spans="1:15" x14ac:dyDescent="0.3">
      <c r="A2736" s="340" t="s">
        <v>891</v>
      </c>
      <c r="B2736" s="350">
        <v>46126</v>
      </c>
      <c r="C2736" s="350">
        <v>46139</v>
      </c>
      <c r="D2736" s="351">
        <v>46113</v>
      </c>
      <c r="E2736" s="340" t="s">
        <v>2787</v>
      </c>
      <c r="F2736" s="340" t="s">
        <v>894</v>
      </c>
      <c r="G2736" s="340" t="s">
        <v>2788</v>
      </c>
      <c r="H2736" s="340"/>
      <c r="I2736" s="340" t="s">
        <v>765</v>
      </c>
      <c r="K2736" s="343">
        <v>0</v>
      </c>
      <c r="L2736" s="343">
        <v>-2775.34</v>
      </c>
      <c r="M2736" s="343">
        <v>-1335683.3500000001</v>
      </c>
      <c r="O2736" s="343">
        <v>0</v>
      </c>
    </row>
    <row r="2737" spans="1:15" x14ac:dyDescent="0.3">
      <c r="A2737" s="340" t="s">
        <v>891</v>
      </c>
      <c r="B2737" s="350">
        <v>46126</v>
      </c>
      <c r="C2737" s="350">
        <v>46153</v>
      </c>
      <c r="D2737" s="351">
        <v>46143</v>
      </c>
      <c r="E2737" s="340" t="s">
        <v>2789</v>
      </c>
      <c r="F2737" s="340" t="s">
        <v>894</v>
      </c>
      <c r="G2737" s="340" t="s">
        <v>2790</v>
      </c>
      <c r="H2737" s="340"/>
      <c r="I2737" s="340" t="s">
        <v>749</v>
      </c>
      <c r="K2737" s="343">
        <v>0</v>
      </c>
      <c r="L2737" s="343">
        <v>-750</v>
      </c>
      <c r="M2737" s="343">
        <v>-1336433.3500000001</v>
      </c>
      <c r="O2737" s="343">
        <v>0</v>
      </c>
    </row>
    <row r="2738" spans="1:15" x14ac:dyDescent="0.3">
      <c r="A2738" s="340" t="s">
        <v>891</v>
      </c>
      <c r="B2738" s="350">
        <v>46127</v>
      </c>
      <c r="C2738" s="350">
        <v>46127</v>
      </c>
      <c r="D2738" s="351">
        <v>46113</v>
      </c>
      <c r="E2738" s="340" t="s">
        <v>2791</v>
      </c>
      <c r="F2738" s="340" t="s">
        <v>1078</v>
      </c>
      <c r="G2738" s="340" t="s">
        <v>2013</v>
      </c>
      <c r="H2738" s="340"/>
      <c r="I2738" s="340" t="s">
        <v>762</v>
      </c>
      <c r="K2738" s="343">
        <v>5645.36</v>
      </c>
      <c r="L2738" s="343">
        <v>0</v>
      </c>
      <c r="M2738" s="343">
        <v>-1330787.99</v>
      </c>
      <c r="O2738" s="343">
        <v>0</v>
      </c>
    </row>
    <row r="2739" spans="1:15" x14ac:dyDescent="0.3">
      <c r="A2739" s="340" t="s">
        <v>891</v>
      </c>
      <c r="B2739" s="350">
        <v>46127</v>
      </c>
      <c r="C2739" s="350">
        <v>46127</v>
      </c>
      <c r="D2739" s="351">
        <v>46113</v>
      </c>
      <c r="E2739" s="340" t="s">
        <v>2791</v>
      </c>
      <c r="F2739" s="340" t="s">
        <v>1078</v>
      </c>
      <c r="G2739" s="340" t="s">
        <v>2012</v>
      </c>
      <c r="H2739" s="340"/>
      <c r="I2739" s="340" t="s">
        <v>762</v>
      </c>
      <c r="K2739" s="343">
        <v>435</v>
      </c>
      <c r="L2739" s="343">
        <v>0</v>
      </c>
      <c r="M2739" s="343">
        <v>-1330352.99</v>
      </c>
      <c r="O2739" s="343">
        <v>0</v>
      </c>
    </row>
    <row r="2740" spans="1:15" x14ac:dyDescent="0.3">
      <c r="A2740" s="340" t="s">
        <v>891</v>
      </c>
      <c r="B2740" s="350">
        <v>46127</v>
      </c>
      <c r="C2740" s="350">
        <v>46134</v>
      </c>
      <c r="D2740" s="351">
        <v>46113</v>
      </c>
      <c r="E2740" s="340" t="s">
        <v>2792</v>
      </c>
      <c r="F2740" s="340" t="s">
        <v>894</v>
      </c>
      <c r="G2740" s="340" t="s">
        <v>2771</v>
      </c>
      <c r="H2740" s="340"/>
      <c r="I2740" s="340" t="s">
        <v>742</v>
      </c>
      <c r="K2740" s="343">
        <v>0.39</v>
      </c>
      <c r="L2740" s="343">
        <v>0</v>
      </c>
      <c r="M2740" s="343">
        <v>-1330352.6000000001</v>
      </c>
      <c r="O2740" s="343">
        <v>0</v>
      </c>
    </row>
    <row r="2741" spans="1:15" x14ac:dyDescent="0.3">
      <c r="A2741" s="340" t="s">
        <v>891</v>
      </c>
      <c r="B2741" s="350">
        <v>46127</v>
      </c>
      <c r="C2741" s="350">
        <v>46134</v>
      </c>
      <c r="D2741" s="351">
        <v>46113</v>
      </c>
      <c r="E2741" s="340" t="s">
        <v>2792</v>
      </c>
      <c r="F2741" s="340" t="s">
        <v>894</v>
      </c>
      <c r="G2741" s="340" t="s">
        <v>2773</v>
      </c>
      <c r="H2741" s="340"/>
      <c r="I2741" s="340" t="s">
        <v>742</v>
      </c>
      <c r="K2741" s="343">
        <v>0</v>
      </c>
      <c r="L2741" s="343">
        <v>-0.02</v>
      </c>
      <c r="M2741" s="343">
        <v>-1330352.6200000001</v>
      </c>
      <c r="O2741" s="343">
        <v>0</v>
      </c>
    </row>
    <row r="2742" spans="1:15" x14ac:dyDescent="0.3">
      <c r="A2742" s="340" t="s">
        <v>891</v>
      </c>
      <c r="B2742" s="350">
        <v>46127</v>
      </c>
      <c r="C2742" s="350">
        <v>46134</v>
      </c>
      <c r="D2742" s="351">
        <v>46113</v>
      </c>
      <c r="E2742" s="340" t="s">
        <v>2792</v>
      </c>
      <c r="F2742" s="340" t="s">
        <v>894</v>
      </c>
      <c r="G2742" s="340" t="s">
        <v>2774</v>
      </c>
      <c r="H2742" s="340"/>
      <c r="I2742" s="340" t="s">
        <v>742</v>
      </c>
      <c r="K2742" s="343">
        <v>0</v>
      </c>
      <c r="L2742" s="343">
        <v>-1.02</v>
      </c>
      <c r="M2742" s="343">
        <v>-1330353.6399999999</v>
      </c>
      <c r="O2742" s="343">
        <v>0</v>
      </c>
    </row>
    <row r="2743" spans="1:15" x14ac:dyDescent="0.3">
      <c r="A2743" s="340" t="s">
        <v>891</v>
      </c>
      <c r="B2743" s="350">
        <v>46127</v>
      </c>
      <c r="C2743" s="350">
        <v>46134</v>
      </c>
      <c r="D2743" s="351">
        <v>46113</v>
      </c>
      <c r="E2743" s="340" t="s">
        <v>2792</v>
      </c>
      <c r="F2743" s="340" t="s">
        <v>894</v>
      </c>
      <c r="G2743" s="340" t="s">
        <v>2775</v>
      </c>
      <c r="H2743" s="340"/>
      <c r="I2743" s="340" t="s">
        <v>742</v>
      </c>
      <c r="K2743" s="343">
        <v>0</v>
      </c>
      <c r="L2743" s="343">
        <v>-34.15</v>
      </c>
      <c r="M2743" s="343">
        <v>-1330387.79</v>
      </c>
      <c r="O2743" s="343">
        <v>0</v>
      </c>
    </row>
    <row r="2744" spans="1:15" x14ac:dyDescent="0.3">
      <c r="A2744" s="340" t="s">
        <v>891</v>
      </c>
      <c r="B2744" s="350">
        <v>46127</v>
      </c>
      <c r="C2744" s="350">
        <v>46134</v>
      </c>
      <c r="D2744" s="351">
        <v>46113</v>
      </c>
      <c r="E2744" s="340" t="s">
        <v>2792</v>
      </c>
      <c r="F2744" s="340" t="s">
        <v>894</v>
      </c>
      <c r="G2744" s="340" t="s">
        <v>2776</v>
      </c>
      <c r="H2744" s="340"/>
      <c r="I2744" s="340" t="s">
        <v>742</v>
      </c>
      <c r="K2744" s="343">
        <v>0</v>
      </c>
      <c r="L2744" s="343">
        <v>-68.180000000000007</v>
      </c>
      <c r="M2744" s="343">
        <v>-1330455.97</v>
      </c>
      <c r="O2744" s="343">
        <v>0</v>
      </c>
    </row>
    <row r="2745" spans="1:15" x14ac:dyDescent="0.3">
      <c r="A2745" s="340" t="s">
        <v>891</v>
      </c>
      <c r="B2745" s="350">
        <v>46127</v>
      </c>
      <c r="C2745" s="350">
        <v>46134</v>
      </c>
      <c r="D2745" s="351">
        <v>46113</v>
      </c>
      <c r="E2745" s="340" t="s">
        <v>2792</v>
      </c>
      <c r="F2745" s="340" t="s">
        <v>894</v>
      </c>
      <c r="G2745" s="340" t="s">
        <v>2777</v>
      </c>
      <c r="H2745" s="340"/>
      <c r="I2745" s="340" t="s">
        <v>742</v>
      </c>
      <c r="K2745" s="343">
        <v>0</v>
      </c>
      <c r="L2745" s="343">
        <v>-74.81</v>
      </c>
      <c r="M2745" s="343">
        <v>-1330530.78</v>
      </c>
      <c r="O2745" s="343">
        <v>0</v>
      </c>
    </row>
    <row r="2746" spans="1:15" x14ac:dyDescent="0.3">
      <c r="A2746" s="340" t="s">
        <v>891</v>
      </c>
      <c r="B2746" s="350">
        <v>46127</v>
      </c>
      <c r="C2746" s="350">
        <v>46134</v>
      </c>
      <c r="D2746" s="351">
        <v>46113</v>
      </c>
      <c r="E2746" s="340" t="s">
        <v>2792</v>
      </c>
      <c r="F2746" s="340" t="s">
        <v>894</v>
      </c>
      <c r="G2746" s="340" t="s">
        <v>2772</v>
      </c>
      <c r="H2746" s="340"/>
      <c r="I2746" s="340" t="s">
        <v>742</v>
      </c>
      <c r="K2746" s="343">
        <v>0</v>
      </c>
      <c r="L2746" s="343">
        <v>-88.01</v>
      </c>
      <c r="M2746" s="343">
        <v>-1330618.79</v>
      </c>
      <c r="O2746" s="343">
        <v>0</v>
      </c>
    </row>
    <row r="2747" spans="1:15" x14ac:dyDescent="0.3">
      <c r="A2747" s="340" t="s">
        <v>891</v>
      </c>
      <c r="B2747" s="350">
        <v>46127</v>
      </c>
      <c r="C2747" s="350">
        <v>46134</v>
      </c>
      <c r="D2747" s="351">
        <v>46113</v>
      </c>
      <c r="E2747" s="340" t="s">
        <v>2792</v>
      </c>
      <c r="F2747" s="340" t="s">
        <v>894</v>
      </c>
      <c r="G2747" s="340" t="s">
        <v>2778</v>
      </c>
      <c r="H2747" s="340"/>
      <c r="I2747" s="340" t="s">
        <v>742</v>
      </c>
      <c r="K2747" s="343">
        <v>0</v>
      </c>
      <c r="L2747" s="343">
        <v>-170.75</v>
      </c>
      <c r="M2747" s="343">
        <v>-1330789.54</v>
      </c>
      <c r="O2747" s="343">
        <v>0</v>
      </c>
    </row>
    <row r="2748" spans="1:15" x14ac:dyDescent="0.3">
      <c r="A2748" s="340" t="s">
        <v>891</v>
      </c>
      <c r="B2748" s="350">
        <v>46127</v>
      </c>
      <c r="C2748" s="350">
        <v>46134</v>
      </c>
      <c r="D2748" s="351">
        <v>46113</v>
      </c>
      <c r="E2748" s="340" t="s">
        <v>2792</v>
      </c>
      <c r="F2748" s="340" t="s">
        <v>894</v>
      </c>
      <c r="G2748" s="340" t="s">
        <v>2779</v>
      </c>
      <c r="H2748" s="340"/>
      <c r="I2748" s="340" t="s">
        <v>742</v>
      </c>
      <c r="K2748" s="343">
        <v>0</v>
      </c>
      <c r="L2748" s="343">
        <v>-546.45000000000005</v>
      </c>
      <c r="M2748" s="343">
        <v>-1331335.99</v>
      </c>
      <c r="O2748" s="343">
        <v>0</v>
      </c>
    </row>
    <row r="2749" spans="1:15" x14ac:dyDescent="0.3">
      <c r="A2749" s="340" t="s">
        <v>891</v>
      </c>
      <c r="B2749" s="350">
        <v>46127</v>
      </c>
      <c r="C2749" s="350">
        <v>46134</v>
      </c>
      <c r="D2749" s="351">
        <v>46113</v>
      </c>
      <c r="E2749" s="340" t="s">
        <v>2792</v>
      </c>
      <c r="F2749" s="340" t="s">
        <v>894</v>
      </c>
      <c r="G2749" s="340" t="s">
        <v>2780</v>
      </c>
      <c r="H2749" s="340"/>
      <c r="I2749" s="340" t="s">
        <v>742</v>
      </c>
      <c r="K2749" s="343">
        <v>0</v>
      </c>
      <c r="L2749" s="343">
        <v>-2859.8</v>
      </c>
      <c r="M2749" s="343">
        <v>-1334195.79</v>
      </c>
      <c r="O2749" s="343">
        <v>0</v>
      </c>
    </row>
    <row r="2750" spans="1:15" x14ac:dyDescent="0.3">
      <c r="A2750" s="340" t="s">
        <v>891</v>
      </c>
      <c r="B2750" s="350">
        <v>46127</v>
      </c>
      <c r="C2750" s="350">
        <v>46136</v>
      </c>
      <c r="D2750" s="351">
        <v>46113</v>
      </c>
      <c r="E2750" s="340" t="s">
        <v>2793</v>
      </c>
      <c r="F2750" s="340" t="s">
        <v>894</v>
      </c>
      <c r="G2750" s="340" t="s">
        <v>2794</v>
      </c>
      <c r="H2750" s="340"/>
      <c r="I2750" s="340" t="s">
        <v>765</v>
      </c>
      <c r="K2750" s="343">
        <v>0</v>
      </c>
      <c r="L2750" s="343">
        <v>-1825.38</v>
      </c>
      <c r="M2750" s="343">
        <v>-1336021.17</v>
      </c>
      <c r="O2750" s="343">
        <v>0</v>
      </c>
    </row>
    <row r="2751" spans="1:15" x14ac:dyDescent="0.3">
      <c r="A2751" s="340" t="s">
        <v>891</v>
      </c>
      <c r="B2751" s="350">
        <v>46127</v>
      </c>
      <c r="C2751" s="350">
        <v>46136</v>
      </c>
      <c r="D2751" s="351">
        <v>46113</v>
      </c>
      <c r="E2751" s="340" t="s">
        <v>2795</v>
      </c>
      <c r="F2751" s="340" t="s">
        <v>894</v>
      </c>
      <c r="G2751" s="340" t="s">
        <v>2796</v>
      </c>
      <c r="H2751" s="340"/>
      <c r="I2751" s="340" t="s">
        <v>765</v>
      </c>
      <c r="K2751" s="343">
        <v>0</v>
      </c>
      <c r="L2751" s="343">
        <v>-704.36</v>
      </c>
      <c r="M2751" s="343">
        <v>-1336725.53</v>
      </c>
      <c r="O2751" s="343">
        <v>0</v>
      </c>
    </row>
    <row r="2752" spans="1:15" x14ac:dyDescent="0.3">
      <c r="A2752" s="340" t="s">
        <v>891</v>
      </c>
      <c r="B2752" s="350">
        <v>46127</v>
      </c>
      <c r="C2752" s="350">
        <v>46136</v>
      </c>
      <c r="D2752" s="351">
        <v>46113</v>
      </c>
      <c r="E2752" s="340" t="s">
        <v>2797</v>
      </c>
      <c r="F2752" s="340" t="s">
        <v>894</v>
      </c>
      <c r="G2752" s="340" t="s">
        <v>2798</v>
      </c>
      <c r="H2752" s="340"/>
      <c r="I2752" s="340" t="s">
        <v>765</v>
      </c>
      <c r="K2752" s="343">
        <v>0</v>
      </c>
      <c r="L2752" s="343">
        <v>-700.08</v>
      </c>
      <c r="M2752" s="343">
        <v>-1337425.6100000001</v>
      </c>
      <c r="O2752" s="343">
        <v>0</v>
      </c>
    </row>
    <row r="2753" spans="1:15" x14ac:dyDescent="0.3">
      <c r="A2753" s="340" t="s">
        <v>891</v>
      </c>
      <c r="B2753" s="350">
        <v>46127</v>
      </c>
      <c r="C2753" s="350">
        <v>46139</v>
      </c>
      <c r="D2753" s="351">
        <v>46113</v>
      </c>
      <c r="E2753" s="340" t="s">
        <v>2799</v>
      </c>
      <c r="F2753" s="340" t="s">
        <v>894</v>
      </c>
      <c r="G2753" s="340" t="s">
        <v>1587</v>
      </c>
      <c r="H2753" s="340"/>
      <c r="I2753" s="340" t="s">
        <v>755</v>
      </c>
      <c r="K2753" s="343">
        <v>0</v>
      </c>
      <c r="L2753" s="343">
        <v>-12937.33</v>
      </c>
      <c r="M2753" s="343">
        <v>-1350362.94</v>
      </c>
      <c r="O2753" s="343">
        <v>0</v>
      </c>
    </row>
    <row r="2754" spans="1:15" x14ac:dyDescent="0.3">
      <c r="A2754" s="340" t="s">
        <v>891</v>
      </c>
      <c r="B2754" s="350">
        <v>46128</v>
      </c>
      <c r="C2754" s="350">
        <v>46128</v>
      </c>
      <c r="D2754" s="351">
        <v>46113</v>
      </c>
      <c r="E2754" s="340" t="s">
        <v>2800</v>
      </c>
      <c r="F2754" s="340" t="s">
        <v>1078</v>
      </c>
      <c r="G2754" s="340" t="s">
        <v>1637</v>
      </c>
      <c r="H2754" s="340"/>
      <c r="I2754" s="340" t="s">
        <v>1638</v>
      </c>
      <c r="K2754" s="343">
        <v>1827.69</v>
      </c>
      <c r="L2754" s="343">
        <v>0</v>
      </c>
      <c r="M2754" s="343">
        <v>-1348535.25</v>
      </c>
      <c r="O2754" s="343">
        <v>0</v>
      </c>
    </row>
    <row r="2755" spans="1:15" x14ac:dyDescent="0.3">
      <c r="A2755" s="340" t="s">
        <v>891</v>
      </c>
      <c r="B2755" s="350">
        <v>46128</v>
      </c>
      <c r="C2755" s="350">
        <v>46128</v>
      </c>
      <c r="D2755" s="351">
        <v>46113</v>
      </c>
      <c r="E2755" s="340" t="s">
        <v>2801</v>
      </c>
      <c r="F2755" s="340" t="s">
        <v>1078</v>
      </c>
      <c r="G2755" s="340" t="s">
        <v>1575</v>
      </c>
      <c r="H2755" s="340"/>
      <c r="I2755" s="340" t="s">
        <v>739</v>
      </c>
      <c r="K2755" s="343">
        <v>632</v>
      </c>
      <c r="L2755" s="343">
        <v>0</v>
      </c>
      <c r="M2755" s="343">
        <v>-1347903.25</v>
      </c>
      <c r="O2755" s="343">
        <v>0</v>
      </c>
    </row>
    <row r="2756" spans="1:15" x14ac:dyDescent="0.3">
      <c r="A2756" s="340" t="s">
        <v>891</v>
      </c>
      <c r="B2756" s="350">
        <v>46128</v>
      </c>
      <c r="C2756" s="350">
        <v>46128</v>
      </c>
      <c r="D2756" s="351">
        <v>46113</v>
      </c>
      <c r="E2756" s="340" t="s">
        <v>2801</v>
      </c>
      <c r="F2756" s="340" t="s">
        <v>1078</v>
      </c>
      <c r="G2756" s="340" t="s">
        <v>1576</v>
      </c>
      <c r="H2756" s="340"/>
      <c r="I2756" s="340" t="s">
        <v>739</v>
      </c>
      <c r="K2756" s="343">
        <v>471.94</v>
      </c>
      <c r="L2756" s="343">
        <v>0</v>
      </c>
      <c r="M2756" s="343">
        <v>-1347431.31</v>
      </c>
      <c r="O2756" s="343">
        <v>0</v>
      </c>
    </row>
    <row r="2757" spans="1:15" x14ac:dyDescent="0.3">
      <c r="A2757" s="340" t="s">
        <v>891</v>
      </c>
      <c r="B2757" s="350">
        <v>46128</v>
      </c>
      <c r="C2757" s="350">
        <v>46128</v>
      </c>
      <c r="D2757" s="351">
        <v>46113</v>
      </c>
      <c r="E2757" s="340" t="s">
        <v>2802</v>
      </c>
      <c r="F2757" s="340" t="s">
        <v>1078</v>
      </c>
      <c r="G2757" s="340" t="s">
        <v>1079</v>
      </c>
      <c r="H2757" s="340"/>
      <c r="I2757" s="340" t="s">
        <v>2803</v>
      </c>
      <c r="K2757" s="343">
        <v>39</v>
      </c>
      <c r="L2757" s="343">
        <v>0</v>
      </c>
      <c r="M2757" s="343">
        <v>-1347392.31</v>
      </c>
      <c r="O2757" s="343">
        <v>0</v>
      </c>
    </row>
    <row r="2758" spans="1:15" x14ac:dyDescent="0.3">
      <c r="A2758" s="340" t="s">
        <v>891</v>
      </c>
      <c r="B2758" s="350">
        <v>46128</v>
      </c>
      <c r="C2758" s="350">
        <v>46128</v>
      </c>
      <c r="D2758" s="351">
        <v>46113</v>
      </c>
      <c r="E2758" s="340" t="s">
        <v>2804</v>
      </c>
      <c r="F2758" s="340" t="s">
        <v>1078</v>
      </c>
      <c r="G2758" s="340" t="s">
        <v>1079</v>
      </c>
      <c r="H2758" s="340"/>
      <c r="I2758" s="340" t="s">
        <v>1022</v>
      </c>
      <c r="K2758" s="343">
        <v>133.66</v>
      </c>
      <c r="L2758" s="343">
        <v>0</v>
      </c>
      <c r="M2758" s="343">
        <v>-1347258.65</v>
      </c>
      <c r="O2758" s="343">
        <v>0</v>
      </c>
    </row>
    <row r="2759" spans="1:15" x14ac:dyDescent="0.3">
      <c r="A2759" s="340" t="s">
        <v>891</v>
      </c>
      <c r="B2759" s="350">
        <v>46128</v>
      </c>
      <c r="C2759" s="350">
        <v>46128</v>
      </c>
      <c r="D2759" s="351">
        <v>46113</v>
      </c>
      <c r="E2759" s="340" t="s">
        <v>2804</v>
      </c>
      <c r="F2759" s="340" t="s">
        <v>1078</v>
      </c>
      <c r="G2759" s="340" t="s">
        <v>1079</v>
      </c>
      <c r="H2759" s="340"/>
      <c r="I2759" s="340" t="s">
        <v>1022</v>
      </c>
      <c r="K2759" s="343">
        <v>2579.0300000000002</v>
      </c>
      <c r="L2759" s="343">
        <v>0</v>
      </c>
      <c r="M2759" s="343">
        <v>-1344679.62</v>
      </c>
      <c r="O2759" s="343">
        <v>0</v>
      </c>
    </row>
    <row r="2760" spans="1:15" x14ac:dyDescent="0.3">
      <c r="A2760" s="340" t="s">
        <v>891</v>
      </c>
      <c r="B2760" s="350">
        <v>46128</v>
      </c>
      <c r="C2760" s="350">
        <v>46128</v>
      </c>
      <c r="D2760" s="351">
        <v>46113</v>
      </c>
      <c r="E2760" s="340" t="s">
        <v>2805</v>
      </c>
      <c r="F2760" s="340" t="s">
        <v>1078</v>
      </c>
      <c r="G2760" s="340" t="s">
        <v>1058</v>
      </c>
      <c r="H2760" s="340"/>
      <c r="I2760" s="340" t="s">
        <v>740</v>
      </c>
      <c r="K2760" s="343">
        <v>520</v>
      </c>
      <c r="L2760" s="343">
        <v>0</v>
      </c>
      <c r="M2760" s="343">
        <v>-1344159.62</v>
      </c>
      <c r="O2760" s="343">
        <v>0</v>
      </c>
    </row>
    <row r="2761" spans="1:15" x14ac:dyDescent="0.3">
      <c r="A2761" s="340" t="s">
        <v>891</v>
      </c>
      <c r="B2761" s="350">
        <v>46128</v>
      </c>
      <c r="C2761" s="350">
        <v>46128</v>
      </c>
      <c r="D2761" s="351">
        <v>46113</v>
      </c>
      <c r="E2761" s="340" t="s">
        <v>2805</v>
      </c>
      <c r="F2761" s="340" t="s">
        <v>1078</v>
      </c>
      <c r="G2761" s="340" t="s">
        <v>1060</v>
      </c>
      <c r="H2761" s="340"/>
      <c r="I2761" s="340" t="s">
        <v>740</v>
      </c>
      <c r="K2761" s="343">
        <v>102.84</v>
      </c>
      <c r="L2761" s="343">
        <v>0</v>
      </c>
      <c r="M2761" s="343">
        <v>-1344056.78</v>
      </c>
      <c r="O2761" s="343">
        <v>0</v>
      </c>
    </row>
    <row r="2762" spans="1:15" x14ac:dyDescent="0.3">
      <c r="A2762" s="340" t="s">
        <v>891</v>
      </c>
      <c r="B2762" s="350">
        <v>46128</v>
      </c>
      <c r="C2762" s="350">
        <v>46128</v>
      </c>
      <c r="D2762" s="351">
        <v>46113</v>
      </c>
      <c r="E2762" s="340" t="s">
        <v>2805</v>
      </c>
      <c r="F2762" s="340" t="s">
        <v>1078</v>
      </c>
      <c r="G2762" s="340" t="s">
        <v>1062</v>
      </c>
      <c r="H2762" s="340"/>
      <c r="I2762" s="340" t="s">
        <v>740</v>
      </c>
      <c r="K2762" s="343">
        <v>146.13999999999999</v>
      </c>
      <c r="L2762" s="343">
        <v>0</v>
      </c>
      <c r="M2762" s="343">
        <v>-1343910.64</v>
      </c>
      <c r="O2762" s="343">
        <v>0</v>
      </c>
    </row>
    <row r="2763" spans="1:15" x14ac:dyDescent="0.3">
      <c r="A2763" s="340" t="s">
        <v>891</v>
      </c>
      <c r="B2763" s="350">
        <v>46128</v>
      </c>
      <c r="C2763" s="350">
        <v>46128</v>
      </c>
      <c r="D2763" s="351">
        <v>46113</v>
      </c>
      <c r="E2763" s="340" t="s">
        <v>2805</v>
      </c>
      <c r="F2763" s="340" t="s">
        <v>1078</v>
      </c>
      <c r="G2763" s="340" t="s">
        <v>1064</v>
      </c>
      <c r="H2763" s="340"/>
      <c r="I2763" s="340" t="s">
        <v>740</v>
      </c>
      <c r="K2763" s="343">
        <v>280</v>
      </c>
      <c r="L2763" s="343">
        <v>0</v>
      </c>
      <c r="M2763" s="343">
        <v>-1343630.64</v>
      </c>
      <c r="O2763" s="343">
        <v>0</v>
      </c>
    </row>
    <row r="2764" spans="1:15" x14ac:dyDescent="0.3">
      <c r="A2764" s="340" t="s">
        <v>891</v>
      </c>
      <c r="B2764" s="350">
        <v>46128</v>
      </c>
      <c r="C2764" s="350">
        <v>46128</v>
      </c>
      <c r="D2764" s="351">
        <v>46113</v>
      </c>
      <c r="E2764" s="340" t="s">
        <v>2805</v>
      </c>
      <c r="F2764" s="340" t="s">
        <v>1078</v>
      </c>
      <c r="G2764" s="340" t="s">
        <v>1065</v>
      </c>
      <c r="H2764" s="340"/>
      <c r="I2764" s="340" t="s">
        <v>740</v>
      </c>
      <c r="K2764" s="343">
        <v>90</v>
      </c>
      <c r="L2764" s="343">
        <v>0</v>
      </c>
      <c r="M2764" s="343">
        <v>-1343540.64</v>
      </c>
      <c r="O2764" s="343">
        <v>0</v>
      </c>
    </row>
    <row r="2765" spans="1:15" x14ac:dyDescent="0.3">
      <c r="A2765" s="340" t="s">
        <v>891</v>
      </c>
      <c r="B2765" s="350">
        <v>46128</v>
      </c>
      <c r="C2765" s="350">
        <v>46128</v>
      </c>
      <c r="D2765" s="351">
        <v>46113</v>
      </c>
      <c r="E2765" s="340" t="s">
        <v>2805</v>
      </c>
      <c r="F2765" s="340" t="s">
        <v>1078</v>
      </c>
      <c r="G2765" s="340" t="s">
        <v>1066</v>
      </c>
      <c r="H2765" s="340"/>
      <c r="I2765" s="340" t="s">
        <v>740</v>
      </c>
      <c r="K2765" s="343">
        <v>200</v>
      </c>
      <c r="L2765" s="343">
        <v>0</v>
      </c>
      <c r="M2765" s="343">
        <v>-1343340.64</v>
      </c>
      <c r="O2765" s="343">
        <v>0</v>
      </c>
    </row>
    <row r="2766" spans="1:15" x14ac:dyDescent="0.3">
      <c r="A2766" s="340" t="s">
        <v>891</v>
      </c>
      <c r="B2766" s="350">
        <v>46128</v>
      </c>
      <c r="C2766" s="350">
        <v>46128</v>
      </c>
      <c r="D2766" s="351">
        <v>46113</v>
      </c>
      <c r="E2766" s="340" t="s">
        <v>2805</v>
      </c>
      <c r="F2766" s="340" t="s">
        <v>1078</v>
      </c>
      <c r="G2766" s="340" t="s">
        <v>1096</v>
      </c>
      <c r="H2766" s="340"/>
      <c r="I2766" s="340" t="s">
        <v>740</v>
      </c>
      <c r="K2766" s="343">
        <v>630</v>
      </c>
      <c r="L2766" s="343">
        <v>0</v>
      </c>
      <c r="M2766" s="343">
        <v>-1342710.64</v>
      </c>
      <c r="O2766" s="343">
        <v>0</v>
      </c>
    </row>
    <row r="2767" spans="1:15" x14ac:dyDescent="0.3">
      <c r="A2767" s="340" t="s">
        <v>891</v>
      </c>
      <c r="B2767" s="350">
        <v>46128</v>
      </c>
      <c r="C2767" s="350">
        <v>46128</v>
      </c>
      <c r="D2767" s="351">
        <v>46113</v>
      </c>
      <c r="E2767" s="340" t="s">
        <v>2805</v>
      </c>
      <c r="F2767" s="340" t="s">
        <v>1078</v>
      </c>
      <c r="G2767" s="340" t="s">
        <v>1097</v>
      </c>
      <c r="H2767" s="340"/>
      <c r="I2767" s="340" t="s">
        <v>740</v>
      </c>
      <c r="K2767" s="343">
        <v>520</v>
      </c>
      <c r="L2767" s="343">
        <v>0</v>
      </c>
      <c r="M2767" s="343">
        <v>-1342190.64</v>
      </c>
      <c r="O2767" s="343">
        <v>0</v>
      </c>
    </row>
    <row r="2768" spans="1:15" x14ac:dyDescent="0.3">
      <c r="A2768" s="340" t="s">
        <v>891</v>
      </c>
      <c r="B2768" s="350">
        <v>46128</v>
      </c>
      <c r="C2768" s="350">
        <v>46128</v>
      </c>
      <c r="D2768" s="351">
        <v>46113</v>
      </c>
      <c r="E2768" s="340" t="s">
        <v>2805</v>
      </c>
      <c r="F2768" s="340" t="s">
        <v>1078</v>
      </c>
      <c r="G2768" s="340" t="s">
        <v>1099</v>
      </c>
      <c r="H2768" s="340"/>
      <c r="I2768" s="340" t="s">
        <v>740</v>
      </c>
      <c r="K2768" s="343">
        <v>276.04000000000002</v>
      </c>
      <c r="L2768" s="343">
        <v>0</v>
      </c>
      <c r="M2768" s="343">
        <v>-1341914.6000000001</v>
      </c>
      <c r="O2768" s="343">
        <v>0</v>
      </c>
    </row>
    <row r="2769" spans="1:15" x14ac:dyDescent="0.3">
      <c r="A2769" s="340" t="s">
        <v>891</v>
      </c>
      <c r="B2769" s="350">
        <v>46128</v>
      </c>
      <c r="C2769" s="350">
        <v>46128</v>
      </c>
      <c r="D2769" s="351">
        <v>46113</v>
      </c>
      <c r="E2769" s="340" t="s">
        <v>2805</v>
      </c>
      <c r="F2769" s="340" t="s">
        <v>1078</v>
      </c>
      <c r="G2769" s="340" t="s">
        <v>1101</v>
      </c>
      <c r="H2769" s="340"/>
      <c r="I2769" s="340" t="s">
        <v>740</v>
      </c>
      <c r="K2769" s="343">
        <v>129.9</v>
      </c>
      <c r="L2769" s="343">
        <v>0</v>
      </c>
      <c r="M2769" s="343">
        <v>-1341784.7</v>
      </c>
      <c r="O2769" s="343">
        <v>0</v>
      </c>
    </row>
    <row r="2770" spans="1:15" x14ac:dyDescent="0.3">
      <c r="A2770" s="340" t="s">
        <v>891</v>
      </c>
      <c r="B2770" s="350">
        <v>46128</v>
      </c>
      <c r="C2770" s="350">
        <v>46128</v>
      </c>
      <c r="D2770" s="351">
        <v>46113</v>
      </c>
      <c r="E2770" s="340" t="s">
        <v>2805</v>
      </c>
      <c r="F2770" s="340" t="s">
        <v>1078</v>
      </c>
      <c r="G2770" s="340" t="s">
        <v>1103</v>
      </c>
      <c r="H2770" s="340"/>
      <c r="I2770" s="340" t="s">
        <v>740</v>
      </c>
      <c r="K2770" s="343">
        <v>155</v>
      </c>
      <c r="L2770" s="343">
        <v>0</v>
      </c>
      <c r="M2770" s="343">
        <v>-1341629.7</v>
      </c>
      <c r="O2770" s="343">
        <v>0</v>
      </c>
    </row>
    <row r="2771" spans="1:15" x14ac:dyDescent="0.3">
      <c r="A2771" s="340" t="s">
        <v>891</v>
      </c>
      <c r="B2771" s="350">
        <v>46128</v>
      </c>
      <c r="C2771" s="350">
        <v>46128</v>
      </c>
      <c r="D2771" s="351">
        <v>46113</v>
      </c>
      <c r="E2771" s="340" t="s">
        <v>2805</v>
      </c>
      <c r="F2771" s="340" t="s">
        <v>1078</v>
      </c>
      <c r="G2771" s="340" t="s">
        <v>1105</v>
      </c>
      <c r="H2771" s="340"/>
      <c r="I2771" s="340" t="s">
        <v>740</v>
      </c>
      <c r="K2771" s="343">
        <v>178.61</v>
      </c>
      <c r="L2771" s="343">
        <v>0</v>
      </c>
      <c r="M2771" s="343">
        <v>-1341451.0900000001</v>
      </c>
      <c r="O2771" s="343">
        <v>0</v>
      </c>
    </row>
    <row r="2772" spans="1:15" x14ac:dyDescent="0.3">
      <c r="A2772" s="340" t="s">
        <v>891</v>
      </c>
      <c r="B2772" s="350">
        <v>46128</v>
      </c>
      <c r="C2772" s="350">
        <v>46128</v>
      </c>
      <c r="D2772" s="351">
        <v>46113</v>
      </c>
      <c r="E2772" s="340" t="s">
        <v>2805</v>
      </c>
      <c r="F2772" s="340" t="s">
        <v>1078</v>
      </c>
      <c r="G2772" s="340" t="s">
        <v>1107</v>
      </c>
      <c r="H2772" s="340"/>
      <c r="I2772" s="340" t="s">
        <v>740</v>
      </c>
      <c r="K2772" s="343">
        <v>310</v>
      </c>
      <c r="L2772" s="343">
        <v>0</v>
      </c>
      <c r="M2772" s="343">
        <v>-1341141.0900000001</v>
      </c>
      <c r="O2772" s="343">
        <v>0</v>
      </c>
    </row>
    <row r="2773" spans="1:15" x14ac:dyDescent="0.3">
      <c r="A2773" s="340" t="s">
        <v>891</v>
      </c>
      <c r="B2773" s="350">
        <v>46128</v>
      </c>
      <c r="C2773" s="350">
        <v>46128</v>
      </c>
      <c r="D2773" s="351">
        <v>46113</v>
      </c>
      <c r="E2773" s="340" t="s">
        <v>2806</v>
      </c>
      <c r="F2773" s="340" t="s">
        <v>1078</v>
      </c>
      <c r="G2773" s="340" t="s">
        <v>1189</v>
      </c>
      <c r="H2773" s="340"/>
      <c r="I2773" s="340" t="s">
        <v>745</v>
      </c>
      <c r="K2773" s="343">
        <v>171.28</v>
      </c>
      <c r="L2773" s="343">
        <v>0</v>
      </c>
      <c r="M2773" s="343">
        <v>-1340969.81</v>
      </c>
      <c r="O2773" s="343">
        <v>0</v>
      </c>
    </row>
    <row r="2774" spans="1:15" x14ac:dyDescent="0.3">
      <c r="A2774" s="340" t="s">
        <v>891</v>
      </c>
      <c r="B2774" s="350">
        <v>46128</v>
      </c>
      <c r="C2774" s="350">
        <v>46128</v>
      </c>
      <c r="D2774" s="351">
        <v>46113</v>
      </c>
      <c r="E2774" s="340" t="s">
        <v>2805</v>
      </c>
      <c r="F2774" s="340" t="s">
        <v>1078</v>
      </c>
      <c r="G2774" s="340" t="s">
        <v>1108</v>
      </c>
      <c r="H2774" s="340"/>
      <c r="I2774" s="340" t="s">
        <v>740</v>
      </c>
      <c r="K2774" s="343">
        <v>200</v>
      </c>
      <c r="L2774" s="343">
        <v>0</v>
      </c>
      <c r="M2774" s="343">
        <v>-1340769.81</v>
      </c>
      <c r="O2774" s="343">
        <v>0</v>
      </c>
    </row>
    <row r="2775" spans="1:15" x14ac:dyDescent="0.3">
      <c r="A2775" s="340" t="s">
        <v>891</v>
      </c>
      <c r="B2775" s="350">
        <v>46128</v>
      </c>
      <c r="C2775" s="350">
        <v>46128</v>
      </c>
      <c r="D2775" s="351">
        <v>46113</v>
      </c>
      <c r="E2775" s="340" t="s">
        <v>2805</v>
      </c>
      <c r="F2775" s="340" t="s">
        <v>1078</v>
      </c>
      <c r="G2775" s="340" t="s">
        <v>1110</v>
      </c>
      <c r="H2775" s="340"/>
      <c r="I2775" s="340" t="s">
        <v>740</v>
      </c>
      <c r="K2775" s="343">
        <v>156.96</v>
      </c>
      <c r="L2775" s="343">
        <v>0</v>
      </c>
      <c r="M2775" s="343">
        <v>-1340612.8500000001</v>
      </c>
      <c r="O2775" s="343">
        <v>0</v>
      </c>
    </row>
    <row r="2776" spans="1:15" x14ac:dyDescent="0.3">
      <c r="A2776" s="340" t="s">
        <v>891</v>
      </c>
      <c r="B2776" s="350">
        <v>46128</v>
      </c>
      <c r="C2776" s="350">
        <v>46128</v>
      </c>
      <c r="D2776" s="351">
        <v>46113</v>
      </c>
      <c r="E2776" s="340" t="s">
        <v>2805</v>
      </c>
      <c r="F2776" s="340" t="s">
        <v>1078</v>
      </c>
      <c r="G2776" s="340" t="s">
        <v>1112</v>
      </c>
      <c r="H2776" s="340"/>
      <c r="I2776" s="340" t="s">
        <v>740</v>
      </c>
      <c r="K2776" s="343">
        <v>211.09</v>
      </c>
      <c r="L2776" s="343">
        <v>0</v>
      </c>
      <c r="M2776" s="343">
        <v>-1340401.76</v>
      </c>
      <c r="O2776" s="343">
        <v>0</v>
      </c>
    </row>
    <row r="2777" spans="1:15" x14ac:dyDescent="0.3">
      <c r="A2777" s="340" t="s">
        <v>891</v>
      </c>
      <c r="B2777" s="350">
        <v>46128</v>
      </c>
      <c r="C2777" s="350">
        <v>46128</v>
      </c>
      <c r="D2777" s="351">
        <v>46113</v>
      </c>
      <c r="E2777" s="340" t="s">
        <v>2805</v>
      </c>
      <c r="F2777" s="340" t="s">
        <v>1078</v>
      </c>
      <c r="G2777" s="340" t="s">
        <v>1113</v>
      </c>
      <c r="H2777" s="340"/>
      <c r="I2777" s="340" t="s">
        <v>740</v>
      </c>
      <c r="K2777" s="343">
        <v>20</v>
      </c>
      <c r="L2777" s="343">
        <v>0</v>
      </c>
      <c r="M2777" s="343">
        <v>-1340381.76</v>
      </c>
      <c r="O2777" s="343">
        <v>0</v>
      </c>
    </row>
    <row r="2778" spans="1:15" x14ac:dyDescent="0.3">
      <c r="A2778" s="340" t="s">
        <v>891</v>
      </c>
      <c r="B2778" s="350">
        <v>46128</v>
      </c>
      <c r="C2778" s="350">
        <v>46128</v>
      </c>
      <c r="D2778" s="351">
        <v>46113</v>
      </c>
      <c r="E2778" s="340" t="s">
        <v>2805</v>
      </c>
      <c r="F2778" s="340" t="s">
        <v>1078</v>
      </c>
      <c r="G2778" s="340" t="s">
        <v>1115</v>
      </c>
      <c r="H2778" s="340"/>
      <c r="I2778" s="340" t="s">
        <v>740</v>
      </c>
      <c r="K2778" s="343">
        <v>243.56</v>
      </c>
      <c r="L2778" s="343">
        <v>0</v>
      </c>
      <c r="M2778" s="343">
        <v>-1340138.2</v>
      </c>
      <c r="O2778" s="343">
        <v>0</v>
      </c>
    </row>
    <row r="2779" spans="1:15" x14ac:dyDescent="0.3">
      <c r="A2779" s="340" t="s">
        <v>891</v>
      </c>
      <c r="B2779" s="350">
        <v>46128</v>
      </c>
      <c r="C2779" s="350">
        <v>46128</v>
      </c>
      <c r="D2779" s="351">
        <v>46113</v>
      </c>
      <c r="E2779" s="340" t="s">
        <v>2806</v>
      </c>
      <c r="F2779" s="340" t="s">
        <v>1078</v>
      </c>
      <c r="G2779" s="340" t="s">
        <v>1190</v>
      </c>
      <c r="H2779" s="340"/>
      <c r="I2779" s="340" t="s">
        <v>745</v>
      </c>
      <c r="K2779" s="343">
        <v>282.51</v>
      </c>
      <c r="L2779" s="343">
        <v>0</v>
      </c>
      <c r="M2779" s="343">
        <v>-1339855.69</v>
      </c>
      <c r="O2779" s="343">
        <v>0</v>
      </c>
    </row>
    <row r="2780" spans="1:15" x14ac:dyDescent="0.3">
      <c r="A2780" s="340" t="s">
        <v>891</v>
      </c>
      <c r="B2780" s="350">
        <v>46128</v>
      </c>
      <c r="C2780" s="350">
        <v>46128</v>
      </c>
      <c r="D2780" s="351">
        <v>46113</v>
      </c>
      <c r="E2780" s="340" t="s">
        <v>2805</v>
      </c>
      <c r="F2780" s="340" t="s">
        <v>1078</v>
      </c>
      <c r="G2780" s="340" t="s">
        <v>1085</v>
      </c>
      <c r="H2780" s="340"/>
      <c r="I2780" s="340" t="s">
        <v>740</v>
      </c>
      <c r="K2780" s="343">
        <v>290</v>
      </c>
      <c r="L2780" s="343">
        <v>0</v>
      </c>
      <c r="M2780" s="343">
        <v>-1339565.69</v>
      </c>
      <c r="O2780" s="343">
        <v>0</v>
      </c>
    </row>
    <row r="2781" spans="1:15" x14ac:dyDescent="0.3">
      <c r="A2781" s="340" t="s">
        <v>891</v>
      </c>
      <c r="B2781" s="350">
        <v>46128</v>
      </c>
      <c r="C2781" s="350">
        <v>46128</v>
      </c>
      <c r="D2781" s="351">
        <v>46113</v>
      </c>
      <c r="E2781" s="340" t="s">
        <v>2805</v>
      </c>
      <c r="F2781" s="340" t="s">
        <v>1078</v>
      </c>
      <c r="G2781" s="340" t="s">
        <v>1086</v>
      </c>
      <c r="H2781" s="340"/>
      <c r="I2781" s="340" t="s">
        <v>740</v>
      </c>
      <c r="K2781" s="343">
        <v>365</v>
      </c>
      <c r="L2781" s="343">
        <v>0</v>
      </c>
      <c r="M2781" s="343">
        <v>-1339200.69</v>
      </c>
      <c r="O2781" s="343">
        <v>0</v>
      </c>
    </row>
    <row r="2782" spans="1:15" x14ac:dyDescent="0.3">
      <c r="A2782" s="340" t="s">
        <v>891</v>
      </c>
      <c r="B2782" s="350">
        <v>46128</v>
      </c>
      <c r="C2782" s="350">
        <v>46128</v>
      </c>
      <c r="D2782" s="351">
        <v>46113</v>
      </c>
      <c r="E2782" s="340" t="s">
        <v>2805</v>
      </c>
      <c r="F2782" s="340" t="s">
        <v>1078</v>
      </c>
      <c r="G2782" s="340" t="s">
        <v>1117</v>
      </c>
      <c r="H2782" s="340"/>
      <c r="I2782" s="340" t="s">
        <v>740</v>
      </c>
      <c r="K2782" s="343">
        <v>155</v>
      </c>
      <c r="L2782" s="343">
        <v>0</v>
      </c>
      <c r="M2782" s="343">
        <v>-1339045.69</v>
      </c>
      <c r="O2782" s="343">
        <v>0</v>
      </c>
    </row>
    <row r="2783" spans="1:15" x14ac:dyDescent="0.3">
      <c r="A2783" s="340" t="s">
        <v>891</v>
      </c>
      <c r="B2783" s="350">
        <v>46128</v>
      </c>
      <c r="C2783" s="350">
        <v>46128</v>
      </c>
      <c r="D2783" s="351">
        <v>46113</v>
      </c>
      <c r="E2783" s="340" t="s">
        <v>2805</v>
      </c>
      <c r="F2783" s="340" t="s">
        <v>1078</v>
      </c>
      <c r="G2783" s="340" t="s">
        <v>1199</v>
      </c>
      <c r="H2783" s="340"/>
      <c r="I2783" s="340" t="s">
        <v>740</v>
      </c>
      <c r="K2783" s="343">
        <v>770</v>
      </c>
      <c r="L2783" s="343">
        <v>0</v>
      </c>
      <c r="M2783" s="343">
        <v>-1338275.69</v>
      </c>
      <c r="O2783" s="343">
        <v>0</v>
      </c>
    </row>
    <row r="2784" spans="1:15" x14ac:dyDescent="0.3">
      <c r="A2784" s="340" t="s">
        <v>891</v>
      </c>
      <c r="B2784" s="350">
        <v>46128</v>
      </c>
      <c r="C2784" s="350">
        <v>46128</v>
      </c>
      <c r="D2784" s="351">
        <v>46113</v>
      </c>
      <c r="E2784" s="340" t="s">
        <v>2805</v>
      </c>
      <c r="F2784" s="340" t="s">
        <v>1078</v>
      </c>
      <c r="G2784" s="340" t="s">
        <v>1201</v>
      </c>
      <c r="H2784" s="340"/>
      <c r="I2784" s="340" t="s">
        <v>740</v>
      </c>
      <c r="K2784" s="343">
        <v>265.20999999999998</v>
      </c>
      <c r="L2784" s="343">
        <v>0</v>
      </c>
      <c r="M2784" s="343">
        <v>-1338010.48</v>
      </c>
      <c r="O2784" s="343">
        <v>0</v>
      </c>
    </row>
    <row r="2785" spans="1:15" x14ac:dyDescent="0.3">
      <c r="A2785" s="340" t="s">
        <v>891</v>
      </c>
      <c r="B2785" s="350">
        <v>46128</v>
      </c>
      <c r="C2785" s="350">
        <v>46128</v>
      </c>
      <c r="D2785" s="351">
        <v>46113</v>
      </c>
      <c r="E2785" s="340" t="s">
        <v>2806</v>
      </c>
      <c r="F2785" s="340" t="s">
        <v>1078</v>
      </c>
      <c r="G2785" s="340" t="s">
        <v>1191</v>
      </c>
      <c r="H2785" s="340"/>
      <c r="I2785" s="340" t="s">
        <v>745</v>
      </c>
      <c r="K2785" s="343">
        <v>161.65</v>
      </c>
      <c r="L2785" s="343">
        <v>0</v>
      </c>
      <c r="M2785" s="343">
        <v>-1337848.83</v>
      </c>
      <c r="O2785" s="343">
        <v>0</v>
      </c>
    </row>
    <row r="2786" spans="1:15" x14ac:dyDescent="0.3">
      <c r="A2786" s="340" t="s">
        <v>891</v>
      </c>
      <c r="B2786" s="350">
        <v>46128</v>
      </c>
      <c r="C2786" s="350">
        <v>46128</v>
      </c>
      <c r="D2786" s="351">
        <v>46113</v>
      </c>
      <c r="E2786" s="340" t="s">
        <v>2806</v>
      </c>
      <c r="F2786" s="340" t="s">
        <v>1078</v>
      </c>
      <c r="G2786" s="340" t="s">
        <v>1192</v>
      </c>
      <c r="H2786" s="340"/>
      <c r="I2786" s="340" t="s">
        <v>745</v>
      </c>
      <c r="K2786" s="343">
        <v>137.9</v>
      </c>
      <c r="L2786" s="343">
        <v>0</v>
      </c>
      <c r="M2786" s="343">
        <v>-1337710.93</v>
      </c>
      <c r="O2786" s="343">
        <v>0</v>
      </c>
    </row>
    <row r="2787" spans="1:15" x14ac:dyDescent="0.3">
      <c r="A2787" s="340" t="s">
        <v>891</v>
      </c>
      <c r="B2787" s="350">
        <v>46128</v>
      </c>
      <c r="C2787" s="350">
        <v>46128</v>
      </c>
      <c r="D2787" s="351">
        <v>46113</v>
      </c>
      <c r="E2787" s="340" t="s">
        <v>2805</v>
      </c>
      <c r="F2787" s="340" t="s">
        <v>1078</v>
      </c>
      <c r="G2787" s="340" t="s">
        <v>1203</v>
      </c>
      <c r="H2787" s="340"/>
      <c r="I2787" s="340" t="s">
        <v>740</v>
      </c>
      <c r="K2787" s="343">
        <v>365</v>
      </c>
      <c r="L2787" s="343">
        <v>0</v>
      </c>
      <c r="M2787" s="343">
        <v>-1337345.93</v>
      </c>
      <c r="O2787" s="343">
        <v>0</v>
      </c>
    </row>
    <row r="2788" spans="1:15" x14ac:dyDescent="0.3">
      <c r="A2788" s="340" t="s">
        <v>891</v>
      </c>
      <c r="B2788" s="350">
        <v>46128</v>
      </c>
      <c r="C2788" s="350">
        <v>46128</v>
      </c>
      <c r="D2788" s="351">
        <v>46113</v>
      </c>
      <c r="E2788" s="340" t="s">
        <v>2805</v>
      </c>
      <c r="F2788" s="340" t="s">
        <v>1078</v>
      </c>
      <c r="G2788" s="340" t="s">
        <v>1205</v>
      </c>
      <c r="H2788" s="340"/>
      <c r="I2788" s="340" t="s">
        <v>740</v>
      </c>
      <c r="K2788" s="343">
        <v>520</v>
      </c>
      <c r="L2788" s="343">
        <v>0</v>
      </c>
      <c r="M2788" s="343">
        <v>-1336825.93</v>
      </c>
      <c r="O2788" s="343">
        <v>0</v>
      </c>
    </row>
    <row r="2789" spans="1:15" x14ac:dyDescent="0.3">
      <c r="A2789" s="340" t="s">
        <v>891</v>
      </c>
      <c r="B2789" s="350">
        <v>46128</v>
      </c>
      <c r="C2789" s="350">
        <v>46128</v>
      </c>
      <c r="D2789" s="351">
        <v>46113</v>
      </c>
      <c r="E2789" s="340" t="s">
        <v>2805</v>
      </c>
      <c r="F2789" s="340" t="s">
        <v>1078</v>
      </c>
      <c r="G2789" s="340" t="s">
        <v>1206</v>
      </c>
      <c r="H2789" s="340"/>
      <c r="I2789" s="340" t="s">
        <v>740</v>
      </c>
      <c r="K2789" s="343">
        <v>520</v>
      </c>
      <c r="L2789" s="343">
        <v>0</v>
      </c>
      <c r="M2789" s="343">
        <v>-1336305.93</v>
      </c>
      <c r="O2789" s="343">
        <v>0</v>
      </c>
    </row>
    <row r="2790" spans="1:15" x14ac:dyDescent="0.3">
      <c r="A2790" s="340" t="s">
        <v>891</v>
      </c>
      <c r="B2790" s="350">
        <v>46128</v>
      </c>
      <c r="C2790" s="350">
        <v>46128</v>
      </c>
      <c r="D2790" s="351">
        <v>46113</v>
      </c>
      <c r="E2790" s="340" t="s">
        <v>2805</v>
      </c>
      <c r="F2790" s="340" t="s">
        <v>1078</v>
      </c>
      <c r="G2790" s="340" t="s">
        <v>1208</v>
      </c>
      <c r="H2790" s="340"/>
      <c r="I2790" s="340" t="s">
        <v>740</v>
      </c>
      <c r="K2790" s="343">
        <v>260</v>
      </c>
      <c r="L2790" s="343">
        <v>0</v>
      </c>
      <c r="M2790" s="343">
        <v>-1336045.93</v>
      </c>
      <c r="O2790" s="343">
        <v>0</v>
      </c>
    </row>
    <row r="2791" spans="1:15" x14ac:dyDescent="0.3">
      <c r="A2791" s="340" t="s">
        <v>891</v>
      </c>
      <c r="B2791" s="350">
        <v>46128</v>
      </c>
      <c r="C2791" s="350">
        <v>46128</v>
      </c>
      <c r="D2791" s="351">
        <v>46113</v>
      </c>
      <c r="E2791" s="340" t="s">
        <v>2805</v>
      </c>
      <c r="F2791" s="340" t="s">
        <v>1078</v>
      </c>
      <c r="G2791" s="340" t="s">
        <v>1209</v>
      </c>
      <c r="H2791" s="340"/>
      <c r="I2791" s="340" t="s">
        <v>740</v>
      </c>
      <c r="K2791" s="343">
        <v>260</v>
      </c>
      <c r="L2791" s="343">
        <v>0</v>
      </c>
      <c r="M2791" s="343">
        <v>-1335785.93</v>
      </c>
      <c r="O2791" s="343">
        <v>0</v>
      </c>
    </row>
    <row r="2792" spans="1:15" x14ac:dyDescent="0.3">
      <c r="A2792" s="340" t="s">
        <v>891</v>
      </c>
      <c r="B2792" s="350">
        <v>46128</v>
      </c>
      <c r="C2792" s="350">
        <v>46128</v>
      </c>
      <c r="D2792" s="351">
        <v>46113</v>
      </c>
      <c r="E2792" s="340" t="s">
        <v>2805</v>
      </c>
      <c r="F2792" s="340" t="s">
        <v>1078</v>
      </c>
      <c r="G2792" s="340" t="s">
        <v>1212</v>
      </c>
      <c r="H2792" s="340"/>
      <c r="I2792" s="340" t="s">
        <v>740</v>
      </c>
      <c r="K2792" s="343">
        <v>260</v>
      </c>
      <c r="L2792" s="343">
        <v>0</v>
      </c>
      <c r="M2792" s="343">
        <v>-1335525.93</v>
      </c>
      <c r="O2792" s="343">
        <v>0</v>
      </c>
    </row>
    <row r="2793" spans="1:15" x14ac:dyDescent="0.3">
      <c r="A2793" s="340" t="s">
        <v>891</v>
      </c>
      <c r="B2793" s="350">
        <v>46128</v>
      </c>
      <c r="C2793" s="350">
        <v>46128</v>
      </c>
      <c r="D2793" s="351">
        <v>46113</v>
      </c>
      <c r="E2793" s="340" t="s">
        <v>2805</v>
      </c>
      <c r="F2793" s="340" t="s">
        <v>1078</v>
      </c>
      <c r="G2793" s="340" t="s">
        <v>1213</v>
      </c>
      <c r="H2793" s="340"/>
      <c r="I2793" s="340" t="s">
        <v>740</v>
      </c>
      <c r="K2793" s="343">
        <v>260</v>
      </c>
      <c r="L2793" s="343">
        <v>0</v>
      </c>
      <c r="M2793" s="343">
        <v>-1335265.93</v>
      </c>
      <c r="O2793" s="343">
        <v>0</v>
      </c>
    </row>
    <row r="2794" spans="1:15" x14ac:dyDescent="0.3">
      <c r="A2794" s="340" t="s">
        <v>891</v>
      </c>
      <c r="B2794" s="350">
        <v>46128</v>
      </c>
      <c r="C2794" s="350">
        <v>46128</v>
      </c>
      <c r="D2794" s="351">
        <v>46113</v>
      </c>
      <c r="E2794" s="340" t="s">
        <v>2805</v>
      </c>
      <c r="F2794" s="340" t="s">
        <v>1078</v>
      </c>
      <c r="G2794" s="340" t="s">
        <v>1214</v>
      </c>
      <c r="H2794" s="340"/>
      <c r="I2794" s="340" t="s">
        <v>740</v>
      </c>
      <c r="K2794" s="343">
        <v>260</v>
      </c>
      <c r="L2794" s="343">
        <v>0</v>
      </c>
      <c r="M2794" s="343">
        <v>-1335005.93</v>
      </c>
      <c r="O2794" s="343">
        <v>0</v>
      </c>
    </row>
    <row r="2795" spans="1:15" x14ac:dyDescent="0.3">
      <c r="A2795" s="340" t="s">
        <v>891</v>
      </c>
      <c r="B2795" s="350">
        <v>46128</v>
      </c>
      <c r="C2795" s="350">
        <v>46128</v>
      </c>
      <c r="D2795" s="351">
        <v>46113</v>
      </c>
      <c r="E2795" s="340" t="s">
        <v>2805</v>
      </c>
      <c r="F2795" s="340" t="s">
        <v>1078</v>
      </c>
      <c r="G2795" s="340" t="s">
        <v>1211</v>
      </c>
      <c r="H2795" s="340"/>
      <c r="I2795" s="340" t="s">
        <v>740</v>
      </c>
      <c r="K2795" s="343">
        <v>520</v>
      </c>
      <c r="L2795" s="343">
        <v>0</v>
      </c>
      <c r="M2795" s="343">
        <v>-1334485.93</v>
      </c>
      <c r="O2795" s="343">
        <v>0</v>
      </c>
    </row>
    <row r="2796" spans="1:15" x14ac:dyDescent="0.3">
      <c r="A2796" s="340" t="s">
        <v>891</v>
      </c>
      <c r="B2796" s="350">
        <v>46128</v>
      </c>
      <c r="C2796" s="350">
        <v>46128</v>
      </c>
      <c r="D2796" s="351">
        <v>46113</v>
      </c>
      <c r="E2796" s="340" t="s">
        <v>2805</v>
      </c>
      <c r="F2796" s="340" t="s">
        <v>1078</v>
      </c>
      <c r="G2796" s="340" t="s">
        <v>1216</v>
      </c>
      <c r="H2796" s="340"/>
      <c r="I2796" s="340" t="s">
        <v>740</v>
      </c>
      <c r="K2796" s="343">
        <v>520</v>
      </c>
      <c r="L2796" s="343">
        <v>0</v>
      </c>
      <c r="M2796" s="343">
        <v>-1333965.93</v>
      </c>
      <c r="O2796" s="343">
        <v>0</v>
      </c>
    </row>
    <row r="2797" spans="1:15" x14ac:dyDescent="0.3">
      <c r="A2797" s="340" t="s">
        <v>891</v>
      </c>
      <c r="B2797" s="350">
        <v>46128</v>
      </c>
      <c r="C2797" s="350">
        <v>46128</v>
      </c>
      <c r="D2797" s="351">
        <v>46113</v>
      </c>
      <c r="E2797" s="340" t="s">
        <v>2805</v>
      </c>
      <c r="F2797" s="340" t="s">
        <v>1078</v>
      </c>
      <c r="G2797" s="340" t="s">
        <v>1217</v>
      </c>
      <c r="H2797" s="340"/>
      <c r="I2797" s="340" t="s">
        <v>740</v>
      </c>
      <c r="K2797" s="343">
        <v>520</v>
      </c>
      <c r="L2797" s="343">
        <v>0</v>
      </c>
      <c r="M2797" s="343">
        <v>-1333445.93</v>
      </c>
      <c r="O2797" s="343">
        <v>0</v>
      </c>
    </row>
    <row r="2798" spans="1:15" x14ac:dyDescent="0.3">
      <c r="A2798" s="340" t="s">
        <v>891</v>
      </c>
      <c r="B2798" s="350">
        <v>46128</v>
      </c>
      <c r="C2798" s="350">
        <v>46128</v>
      </c>
      <c r="D2798" s="351">
        <v>46113</v>
      </c>
      <c r="E2798" s="340" t="s">
        <v>2805</v>
      </c>
      <c r="F2798" s="340" t="s">
        <v>1078</v>
      </c>
      <c r="G2798" s="340" t="s">
        <v>1221</v>
      </c>
      <c r="H2798" s="340"/>
      <c r="I2798" s="340" t="s">
        <v>740</v>
      </c>
      <c r="K2798" s="343">
        <v>610</v>
      </c>
      <c r="L2798" s="343">
        <v>0</v>
      </c>
      <c r="M2798" s="343">
        <v>-1332835.93</v>
      </c>
      <c r="O2798" s="343">
        <v>0</v>
      </c>
    </row>
    <row r="2799" spans="1:15" x14ac:dyDescent="0.3">
      <c r="A2799" s="340" t="s">
        <v>891</v>
      </c>
      <c r="B2799" s="350">
        <v>46128</v>
      </c>
      <c r="C2799" s="350">
        <v>46128</v>
      </c>
      <c r="D2799" s="351">
        <v>46113</v>
      </c>
      <c r="E2799" s="340" t="s">
        <v>2805</v>
      </c>
      <c r="F2799" s="340" t="s">
        <v>1078</v>
      </c>
      <c r="G2799" s="340" t="s">
        <v>1222</v>
      </c>
      <c r="H2799" s="340"/>
      <c r="I2799" s="340" t="s">
        <v>740</v>
      </c>
      <c r="K2799" s="343">
        <v>260</v>
      </c>
      <c r="L2799" s="343">
        <v>0</v>
      </c>
      <c r="M2799" s="343">
        <v>-1332575.93</v>
      </c>
      <c r="O2799" s="343">
        <v>0</v>
      </c>
    </row>
    <row r="2800" spans="1:15" x14ac:dyDescent="0.3">
      <c r="A2800" s="340" t="s">
        <v>891</v>
      </c>
      <c r="B2800" s="350">
        <v>46128</v>
      </c>
      <c r="C2800" s="350">
        <v>46128</v>
      </c>
      <c r="D2800" s="351">
        <v>46113</v>
      </c>
      <c r="E2800" s="340" t="s">
        <v>2805</v>
      </c>
      <c r="F2800" s="340" t="s">
        <v>1078</v>
      </c>
      <c r="G2800" s="340" t="s">
        <v>1224</v>
      </c>
      <c r="H2800" s="340"/>
      <c r="I2800" s="340" t="s">
        <v>740</v>
      </c>
      <c r="K2800" s="343">
        <v>350</v>
      </c>
      <c r="L2800" s="343">
        <v>0</v>
      </c>
      <c r="M2800" s="343">
        <v>-1332225.93</v>
      </c>
      <c r="O2800" s="343">
        <v>0</v>
      </c>
    </row>
    <row r="2801" spans="1:15" x14ac:dyDescent="0.3">
      <c r="A2801" s="340" t="s">
        <v>891</v>
      </c>
      <c r="B2801" s="350">
        <v>46128</v>
      </c>
      <c r="C2801" s="350">
        <v>46128</v>
      </c>
      <c r="D2801" s="351">
        <v>46113</v>
      </c>
      <c r="E2801" s="340" t="s">
        <v>2805</v>
      </c>
      <c r="F2801" s="340" t="s">
        <v>1078</v>
      </c>
      <c r="G2801" s="340" t="s">
        <v>1291</v>
      </c>
      <c r="H2801" s="340"/>
      <c r="I2801" s="340" t="s">
        <v>740</v>
      </c>
      <c r="K2801" s="343">
        <v>730</v>
      </c>
      <c r="L2801" s="343">
        <v>0</v>
      </c>
      <c r="M2801" s="343">
        <v>-1331495.93</v>
      </c>
      <c r="O2801" s="343">
        <v>0</v>
      </c>
    </row>
    <row r="2802" spans="1:15" x14ac:dyDescent="0.3">
      <c r="A2802" s="340" t="s">
        <v>891</v>
      </c>
      <c r="B2802" s="350">
        <v>46128</v>
      </c>
      <c r="C2802" s="350">
        <v>46128</v>
      </c>
      <c r="D2802" s="351">
        <v>46113</v>
      </c>
      <c r="E2802" s="340" t="s">
        <v>2805</v>
      </c>
      <c r="F2802" s="340" t="s">
        <v>1078</v>
      </c>
      <c r="G2802" s="340" t="s">
        <v>1293</v>
      </c>
      <c r="H2802" s="340"/>
      <c r="I2802" s="340" t="s">
        <v>740</v>
      </c>
      <c r="K2802" s="343">
        <v>129.9</v>
      </c>
      <c r="L2802" s="343">
        <v>0</v>
      </c>
      <c r="M2802" s="343">
        <v>-1331366.03</v>
      </c>
      <c r="O2802" s="343">
        <v>0</v>
      </c>
    </row>
    <row r="2803" spans="1:15" x14ac:dyDescent="0.3">
      <c r="A2803" s="340" t="s">
        <v>891</v>
      </c>
      <c r="B2803" s="350">
        <v>46128</v>
      </c>
      <c r="C2803" s="350">
        <v>46128</v>
      </c>
      <c r="D2803" s="351">
        <v>46113</v>
      </c>
      <c r="E2803" s="340" t="s">
        <v>2805</v>
      </c>
      <c r="F2803" s="340" t="s">
        <v>1078</v>
      </c>
      <c r="G2803" s="340" t="s">
        <v>1344</v>
      </c>
      <c r="H2803" s="340"/>
      <c r="I2803" s="340" t="s">
        <v>740</v>
      </c>
      <c r="K2803" s="343">
        <v>102.84</v>
      </c>
      <c r="L2803" s="343">
        <v>0</v>
      </c>
      <c r="M2803" s="343">
        <v>-1331263.19</v>
      </c>
      <c r="O2803" s="343">
        <v>0</v>
      </c>
    </row>
    <row r="2804" spans="1:15" x14ac:dyDescent="0.3">
      <c r="A2804" s="340" t="s">
        <v>891</v>
      </c>
      <c r="B2804" s="350">
        <v>46128</v>
      </c>
      <c r="C2804" s="350">
        <v>46128</v>
      </c>
      <c r="D2804" s="351">
        <v>46113</v>
      </c>
      <c r="E2804" s="340" t="s">
        <v>2806</v>
      </c>
      <c r="F2804" s="340" t="s">
        <v>1078</v>
      </c>
      <c r="G2804" s="340" t="s">
        <v>1193</v>
      </c>
      <c r="H2804" s="340"/>
      <c r="I2804" s="340" t="s">
        <v>745</v>
      </c>
      <c r="K2804" s="343">
        <v>336.02</v>
      </c>
      <c r="L2804" s="343">
        <v>0</v>
      </c>
      <c r="M2804" s="343">
        <v>-1330927.17</v>
      </c>
      <c r="O2804" s="343">
        <v>0</v>
      </c>
    </row>
    <row r="2805" spans="1:15" x14ac:dyDescent="0.3">
      <c r="A2805" s="340" t="s">
        <v>891</v>
      </c>
      <c r="B2805" s="350">
        <v>46128</v>
      </c>
      <c r="C2805" s="350">
        <v>46128</v>
      </c>
      <c r="D2805" s="351">
        <v>46113</v>
      </c>
      <c r="E2805" s="340" t="s">
        <v>2806</v>
      </c>
      <c r="F2805" s="340" t="s">
        <v>1078</v>
      </c>
      <c r="G2805" s="340" t="s">
        <v>1194</v>
      </c>
      <c r="H2805" s="340"/>
      <c r="I2805" s="340" t="s">
        <v>745</v>
      </c>
      <c r="K2805" s="343">
        <v>100.88</v>
      </c>
      <c r="L2805" s="343">
        <v>0</v>
      </c>
      <c r="M2805" s="343">
        <v>-1330826.29</v>
      </c>
      <c r="O2805" s="343">
        <v>0</v>
      </c>
    </row>
    <row r="2806" spans="1:15" x14ac:dyDescent="0.3">
      <c r="A2806" s="340" t="s">
        <v>891</v>
      </c>
      <c r="B2806" s="350">
        <v>46128</v>
      </c>
      <c r="C2806" s="350">
        <v>46128</v>
      </c>
      <c r="D2806" s="351">
        <v>46113</v>
      </c>
      <c r="E2806" s="340" t="s">
        <v>2805</v>
      </c>
      <c r="F2806" s="340" t="s">
        <v>1078</v>
      </c>
      <c r="G2806" s="340" t="s">
        <v>1295</v>
      </c>
      <c r="H2806" s="340"/>
      <c r="I2806" s="340" t="s">
        <v>740</v>
      </c>
      <c r="K2806" s="343">
        <v>48.71</v>
      </c>
      <c r="L2806" s="343">
        <v>0</v>
      </c>
      <c r="M2806" s="343">
        <v>-1330777.58</v>
      </c>
      <c r="O2806" s="343">
        <v>0</v>
      </c>
    </row>
    <row r="2807" spans="1:15" x14ac:dyDescent="0.3">
      <c r="A2807" s="340" t="s">
        <v>891</v>
      </c>
      <c r="B2807" s="350">
        <v>46128</v>
      </c>
      <c r="C2807" s="350">
        <v>46128</v>
      </c>
      <c r="D2807" s="351">
        <v>46113</v>
      </c>
      <c r="E2807" s="340" t="s">
        <v>2805</v>
      </c>
      <c r="F2807" s="340" t="s">
        <v>1078</v>
      </c>
      <c r="G2807" s="340" t="s">
        <v>1297</v>
      </c>
      <c r="H2807" s="340"/>
      <c r="I2807" s="340" t="s">
        <v>740</v>
      </c>
      <c r="K2807" s="343">
        <v>55</v>
      </c>
      <c r="L2807" s="343">
        <v>0</v>
      </c>
      <c r="M2807" s="343">
        <v>-1330722.58</v>
      </c>
      <c r="O2807" s="343">
        <v>0</v>
      </c>
    </row>
    <row r="2808" spans="1:15" x14ac:dyDescent="0.3">
      <c r="A2808" s="340" t="s">
        <v>891</v>
      </c>
      <c r="B2808" s="350">
        <v>46128</v>
      </c>
      <c r="C2808" s="350">
        <v>46128</v>
      </c>
      <c r="D2808" s="351">
        <v>46113</v>
      </c>
      <c r="E2808" s="340" t="s">
        <v>2805</v>
      </c>
      <c r="F2808" s="340" t="s">
        <v>1078</v>
      </c>
      <c r="G2808" s="340" t="s">
        <v>1298</v>
      </c>
      <c r="H2808" s="340"/>
      <c r="I2808" s="340" t="s">
        <v>740</v>
      </c>
      <c r="K2808" s="343">
        <v>64.95</v>
      </c>
      <c r="L2808" s="343">
        <v>0</v>
      </c>
      <c r="M2808" s="343">
        <v>-1330657.6299999999</v>
      </c>
      <c r="O2808" s="343">
        <v>0</v>
      </c>
    </row>
    <row r="2809" spans="1:15" x14ac:dyDescent="0.3">
      <c r="A2809" s="340" t="s">
        <v>891</v>
      </c>
      <c r="B2809" s="350">
        <v>46128</v>
      </c>
      <c r="C2809" s="350">
        <v>46128</v>
      </c>
      <c r="D2809" s="351">
        <v>46113</v>
      </c>
      <c r="E2809" s="340" t="s">
        <v>2805</v>
      </c>
      <c r="F2809" s="340" t="s">
        <v>1078</v>
      </c>
      <c r="G2809" s="340" t="s">
        <v>1300</v>
      </c>
      <c r="H2809" s="340"/>
      <c r="I2809" s="340" t="s">
        <v>740</v>
      </c>
      <c r="K2809" s="343">
        <v>129.9</v>
      </c>
      <c r="L2809" s="343">
        <v>0</v>
      </c>
      <c r="M2809" s="343">
        <v>-1330527.73</v>
      </c>
      <c r="O2809" s="343">
        <v>0</v>
      </c>
    </row>
    <row r="2810" spans="1:15" x14ac:dyDescent="0.3">
      <c r="A2810" s="340" t="s">
        <v>891</v>
      </c>
      <c r="B2810" s="350">
        <v>46128</v>
      </c>
      <c r="C2810" s="350">
        <v>46128</v>
      </c>
      <c r="D2810" s="351">
        <v>46113</v>
      </c>
      <c r="E2810" s="340" t="s">
        <v>2805</v>
      </c>
      <c r="F2810" s="340" t="s">
        <v>1078</v>
      </c>
      <c r="G2810" s="340" t="s">
        <v>1302</v>
      </c>
      <c r="H2810" s="340"/>
      <c r="I2810" s="340" t="s">
        <v>740</v>
      </c>
      <c r="K2810" s="343">
        <v>160</v>
      </c>
      <c r="L2810" s="343">
        <v>0</v>
      </c>
      <c r="M2810" s="343">
        <v>-1330367.73</v>
      </c>
      <c r="O2810" s="343">
        <v>0</v>
      </c>
    </row>
    <row r="2811" spans="1:15" x14ac:dyDescent="0.3">
      <c r="A2811" s="340" t="s">
        <v>891</v>
      </c>
      <c r="B2811" s="350">
        <v>46128</v>
      </c>
      <c r="C2811" s="350">
        <v>46128</v>
      </c>
      <c r="D2811" s="351">
        <v>46113</v>
      </c>
      <c r="E2811" s="340" t="s">
        <v>2806</v>
      </c>
      <c r="F2811" s="340" t="s">
        <v>1078</v>
      </c>
      <c r="G2811" s="340" t="s">
        <v>1195</v>
      </c>
      <c r="H2811" s="340"/>
      <c r="I2811" s="340" t="s">
        <v>745</v>
      </c>
      <c r="K2811" s="343">
        <v>487.05</v>
      </c>
      <c r="L2811" s="343">
        <v>0</v>
      </c>
      <c r="M2811" s="343">
        <v>-1329880.68</v>
      </c>
      <c r="O2811" s="343">
        <v>0</v>
      </c>
    </row>
    <row r="2812" spans="1:15" x14ac:dyDescent="0.3">
      <c r="A2812" s="340" t="s">
        <v>891</v>
      </c>
      <c r="B2812" s="350">
        <v>46128</v>
      </c>
      <c r="C2812" s="350">
        <v>46128</v>
      </c>
      <c r="D2812" s="351">
        <v>46113</v>
      </c>
      <c r="E2812" s="340" t="s">
        <v>2806</v>
      </c>
      <c r="F2812" s="340" t="s">
        <v>1078</v>
      </c>
      <c r="G2812" s="340" t="s">
        <v>1196</v>
      </c>
      <c r="H2812" s="340"/>
      <c r="I2812" s="340" t="s">
        <v>745</v>
      </c>
      <c r="K2812" s="343">
        <v>124.85</v>
      </c>
      <c r="L2812" s="343">
        <v>0</v>
      </c>
      <c r="M2812" s="343">
        <v>-1329755.83</v>
      </c>
      <c r="O2812" s="343">
        <v>0</v>
      </c>
    </row>
    <row r="2813" spans="1:15" x14ac:dyDescent="0.3">
      <c r="A2813" s="340" t="s">
        <v>891</v>
      </c>
      <c r="B2813" s="350">
        <v>46128</v>
      </c>
      <c r="C2813" s="350">
        <v>46128</v>
      </c>
      <c r="D2813" s="351">
        <v>46113</v>
      </c>
      <c r="E2813" s="340" t="s">
        <v>2805</v>
      </c>
      <c r="F2813" s="340" t="s">
        <v>1078</v>
      </c>
      <c r="G2813" s="340" t="s">
        <v>1304</v>
      </c>
      <c r="H2813" s="340"/>
      <c r="I2813" s="340" t="s">
        <v>740</v>
      </c>
      <c r="K2813" s="343">
        <v>680</v>
      </c>
      <c r="L2813" s="343">
        <v>0</v>
      </c>
      <c r="M2813" s="343">
        <v>-1329075.83</v>
      </c>
      <c r="O2813" s="343">
        <v>0</v>
      </c>
    </row>
    <row r="2814" spans="1:15" x14ac:dyDescent="0.3">
      <c r="A2814" s="340" t="s">
        <v>891</v>
      </c>
      <c r="B2814" s="350">
        <v>46128</v>
      </c>
      <c r="C2814" s="350">
        <v>46128</v>
      </c>
      <c r="D2814" s="351">
        <v>46113</v>
      </c>
      <c r="E2814" s="340" t="s">
        <v>2805</v>
      </c>
      <c r="F2814" s="340" t="s">
        <v>1078</v>
      </c>
      <c r="G2814" s="340" t="s">
        <v>1306</v>
      </c>
      <c r="H2814" s="340"/>
      <c r="I2814" s="340" t="s">
        <v>740</v>
      </c>
      <c r="K2814" s="343">
        <v>555</v>
      </c>
      <c r="L2814" s="343">
        <v>0</v>
      </c>
      <c r="M2814" s="343">
        <v>-1328520.83</v>
      </c>
      <c r="O2814" s="343">
        <v>0</v>
      </c>
    </row>
    <row r="2815" spans="1:15" x14ac:dyDescent="0.3">
      <c r="A2815" s="340" t="s">
        <v>891</v>
      </c>
      <c r="B2815" s="350">
        <v>46128</v>
      </c>
      <c r="C2815" s="350">
        <v>46128</v>
      </c>
      <c r="D2815" s="351">
        <v>46113</v>
      </c>
      <c r="E2815" s="340" t="s">
        <v>2805</v>
      </c>
      <c r="F2815" s="340" t="s">
        <v>1078</v>
      </c>
      <c r="G2815" s="340" t="s">
        <v>1308</v>
      </c>
      <c r="H2815" s="340"/>
      <c r="I2815" s="340" t="s">
        <v>740</v>
      </c>
      <c r="K2815" s="343">
        <v>850</v>
      </c>
      <c r="L2815" s="343">
        <v>0</v>
      </c>
      <c r="M2815" s="343">
        <v>-1327670.83</v>
      </c>
      <c r="O2815" s="343">
        <v>0</v>
      </c>
    </row>
    <row r="2816" spans="1:15" x14ac:dyDescent="0.3">
      <c r="A2816" s="340" t="s">
        <v>891</v>
      </c>
      <c r="B2816" s="350">
        <v>46128</v>
      </c>
      <c r="C2816" s="350">
        <v>46128</v>
      </c>
      <c r="D2816" s="351">
        <v>46113</v>
      </c>
      <c r="E2816" s="340" t="s">
        <v>2805</v>
      </c>
      <c r="F2816" s="340" t="s">
        <v>1078</v>
      </c>
      <c r="G2816" s="340" t="s">
        <v>1309</v>
      </c>
      <c r="H2816" s="340"/>
      <c r="I2816" s="340" t="s">
        <v>740</v>
      </c>
      <c r="K2816" s="343">
        <v>195</v>
      </c>
      <c r="L2816" s="343">
        <v>0</v>
      </c>
      <c r="M2816" s="343">
        <v>-1327475.83</v>
      </c>
      <c r="O2816" s="343">
        <v>0</v>
      </c>
    </row>
    <row r="2817" spans="1:15" x14ac:dyDescent="0.3">
      <c r="A2817" s="340" t="s">
        <v>891</v>
      </c>
      <c r="B2817" s="350">
        <v>46128</v>
      </c>
      <c r="C2817" s="350">
        <v>46128</v>
      </c>
      <c r="D2817" s="351">
        <v>46113</v>
      </c>
      <c r="E2817" s="340" t="s">
        <v>2805</v>
      </c>
      <c r="F2817" s="340" t="s">
        <v>1078</v>
      </c>
      <c r="G2817" s="340" t="s">
        <v>1311</v>
      </c>
      <c r="H2817" s="340"/>
      <c r="I2817" s="340" t="s">
        <v>740</v>
      </c>
      <c r="K2817" s="343">
        <v>870</v>
      </c>
      <c r="L2817" s="343">
        <v>0</v>
      </c>
      <c r="M2817" s="343">
        <v>-1326605.83</v>
      </c>
      <c r="O2817" s="343">
        <v>0</v>
      </c>
    </row>
    <row r="2818" spans="1:15" x14ac:dyDescent="0.3">
      <c r="A2818" s="340" t="s">
        <v>891</v>
      </c>
      <c r="B2818" s="350">
        <v>46128</v>
      </c>
      <c r="C2818" s="350">
        <v>46128</v>
      </c>
      <c r="D2818" s="351">
        <v>46113</v>
      </c>
      <c r="E2818" s="340" t="s">
        <v>2806</v>
      </c>
      <c r="F2818" s="340" t="s">
        <v>1078</v>
      </c>
      <c r="G2818" s="340" t="s">
        <v>1197</v>
      </c>
      <c r="H2818" s="340"/>
      <c r="I2818" s="340" t="s">
        <v>745</v>
      </c>
      <c r="K2818" s="343">
        <v>299.06</v>
      </c>
      <c r="L2818" s="343">
        <v>0</v>
      </c>
      <c r="M2818" s="343">
        <v>-1326306.77</v>
      </c>
      <c r="O2818" s="343">
        <v>0</v>
      </c>
    </row>
    <row r="2819" spans="1:15" x14ac:dyDescent="0.3">
      <c r="A2819" s="340" t="s">
        <v>891</v>
      </c>
      <c r="B2819" s="350">
        <v>46128</v>
      </c>
      <c r="C2819" s="350">
        <v>46128</v>
      </c>
      <c r="D2819" s="351">
        <v>46113</v>
      </c>
      <c r="E2819" s="340" t="s">
        <v>2805</v>
      </c>
      <c r="F2819" s="340" t="s">
        <v>1078</v>
      </c>
      <c r="G2819" s="340" t="s">
        <v>1312</v>
      </c>
      <c r="H2819" s="340"/>
      <c r="I2819" s="340" t="s">
        <v>740</v>
      </c>
      <c r="K2819" s="343">
        <v>260</v>
      </c>
      <c r="L2819" s="343">
        <v>0</v>
      </c>
      <c r="M2819" s="343">
        <v>-1326046.77</v>
      </c>
      <c r="O2819" s="343">
        <v>0</v>
      </c>
    </row>
    <row r="2820" spans="1:15" x14ac:dyDescent="0.3">
      <c r="A2820" s="340" t="s">
        <v>891</v>
      </c>
      <c r="B2820" s="350">
        <v>46128</v>
      </c>
      <c r="C2820" s="350">
        <v>46128</v>
      </c>
      <c r="D2820" s="351">
        <v>46113</v>
      </c>
      <c r="E2820" s="340" t="s">
        <v>2805</v>
      </c>
      <c r="F2820" s="340" t="s">
        <v>1078</v>
      </c>
      <c r="G2820" s="340" t="s">
        <v>1229</v>
      </c>
      <c r="H2820" s="340"/>
      <c r="I2820" s="340" t="s">
        <v>740</v>
      </c>
      <c r="K2820" s="343">
        <v>300</v>
      </c>
      <c r="L2820" s="343">
        <v>0</v>
      </c>
      <c r="M2820" s="343">
        <v>-1325746.77</v>
      </c>
      <c r="O2820" s="343">
        <v>0</v>
      </c>
    </row>
    <row r="2821" spans="1:15" x14ac:dyDescent="0.3">
      <c r="A2821" s="340" t="s">
        <v>891</v>
      </c>
      <c r="B2821" s="350">
        <v>46128</v>
      </c>
      <c r="C2821" s="350">
        <v>46128</v>
      </c>
      <c r="D2821" s="351">
        <v>46113</v>
      </c>
      <c r="E2821" s="340" t="s">
        <v>2805</v>
      </c>
      <c r="F2821" s="340" t="s">
        <v>1078</v>
      </c>
      <c r="G2821" s="340" t="s">
        <v>1230</v>
      </c>
      <c r="H2821" s="340"/>
      <c r="I2821" s="340" t="s">
        <v>740</v>
      </c>
      <c r="K2821" s="343">
        <v>770</v>
      </c>
      <c r="L2821" s="343">
        <v>0</v>
      </c>
      <c r="M2821" s="343">
        <v>-1324976.77</v>
      </c>
      <c r="O2821" s="343">
        <v>0</v>
      </c>
    </row>
    <row r="2822" spans="1:15" x14ac:dyDescent="0.3">
      <c r="A2822" s="340" t="s">
        <v>891</v>
      </c>
      <c r="B2822" s="350">
        <v>46128</v>
      </c>
      <c r="C2822" s="350">
        <v>46128</v>
      </c>
      <c r="D2822" s="351">
        <v>46113</v>
      </c>
      <c r="E2822" s="340" t="s">
        <v>2805</v>
      </c>
      <c r="F2822" s="340" t="s">
        <v>1078</v>
      </c>
      <c r="G2822" s="340" t="s">
        <v>1454</v>
      </c>
      <c r="H2822" s="340"/>
      <c r="I2822" s="340" t="s">
        <v>740</v>
      </c>
      <c r="K2822" s="343">
        <v>95</v>
      </c>
      <c r="L2822" s="343">
        <v>0</v>
      </c>
      <c r="M2822" s="343">
        <v>-1324881.77</v>
      </c>
      <c r="O2822" s="343">
        <v>0</v>
      </c>
    </row>
    <row r="2823" spans="1:15" x14ac:dyDescent="0.3">
      <c r="A2823" s="340" t="s">
        <v>891</v>
      </c>
      <c r="B2823" s="350">
        <v>46128</v>
      </c>
      <c r="C2823" s="350">
        <v>46128</v>
      </c>
      <c r="D2823" s="351">
        <v>46113</v>
      </c>
      <c r="E2823" s="340" t="s">
        <v>2805</v>
      </c>
      <c r="F2823" s="340" t="s">
        <v>1078</v>
      </c>
      <c r="G2823" s="340" t="s">
        <v>1455</v>
      </c>
      <c r="H2823" s="340"/>
      <c r="I2823" s="340" t="s">
        <v>740</v>
      </c>
      <c r="K2823" s="343">
        <v>495</v>
      </c>
      <c r="L2823" s="343">
        <v>0</v>
      </c>
      <c r="M2823" s="343">
        <v>-1324386.77</v>
      </c>
      <c r="O2823" s="343">
        <v>0</v>
      </c>
    </row>
    <row r="2824" spans="1:15" x14ac:dyDescent="0.3">
      <c r="A2824" s="340" t="s">
        <v>891</v>
      </c>
      <c r="B2824" s="350">
        <v>46128</v>
      </c>
      <c r="C2824" s="350">
        <v>46128</v>
      </c>
      <c r="D2824" s="351">
        <v>46113</v>
      </c>
      <c r="E2824" s="340" t="s">
        <v>2806</v>
      </c>
      <c r="F2824" s="340" t="s">
        <v>1078</v>
      </c>
      <c r="G2824" s="340" t="s">
        <v>1193</v>
      </c>
      <c r="H2824" s="340"/>
      <c r="I2824" s="340" t="s">
        <v>745</v>
      </c>
      <c r="K2824" s="343">
        <v>112.02</v>
      </c>
      <c r="L2824" s="343">
        <v>0</v>
      </c>
      <c r="M2824" s="343">
        <v>-1324274.75</v>
      </c>
      <c r="O2824" s="343">
        <v>0</v>
      </c>
    </row>
    <row r="2825" spans="1:15" x14ac:dyDescent="0.3">
      <c r="A2825" s="340" t="s">
        <v>891</v>
      </c>
      <c r="B2825" s="350">
        <v>46128</v>
      </c>
      <c r="C2825" s="350">
        <v>46128</v>
      </c>
      <c r="D2825" s="351">
        <v>46113</v>
      </c>
      <c r="E2825" s="340" t="s">
        <v>2807</v>
      </c>
      <c r="F2825" s="340" t="s">
        <v>1078</v>
      </c>
      <c r="G2825" s="340" t="s">
        <v>1079</v>
      </c>
      <c r="H2825" s="340"/>
      <c r="I2825" s="340" t="s">
        <v>2808</v>
      </c>
      <c r="K2825" s="343">
        <v>2255</v>
      </c>
      <c r="L2825" s="343">
        <v>0</v>
      </c>
      <c r="M2825" s="343">
        <v>-1322019.75</v>
      </c>
      <c r="O2825" s="343">
        <v>0</v>
      </c>
    </row>
    <row r="2826" spans="1:15" x14ac:dyDescent="0.3">
      <c r="A2826" s="340" t="s">
        <v>891</v>
      </c>
      <c r="B2826" s="350">
        <v>46128</v>
      </c>
      <c r="C2826" s="350">
        <v>46128</v>
      </c>
      <c r="D2826" s="351">
        <v>46113</v>
      </c>
      <c r="E2826" s="340" t="s">
        <v>2805</v>
      </c>
      <c r="F2826" s="340" t="s">
        <v>1078</v>
      </c>
      <c r="G2826" s="340" t="s">
        <v>1456</v>
      </c>
      <c r="H2826" s="340"/>
      <c r="I2826" s="340" t="s">
        <v>740</v>
      </c>
      <c r="K2826" s="343">
        <v>295</v>
      </c>
      <c r="L2826" s="343">
        <v>0</v>
      </c>
      <c r="M2826" s="343">
        <v>-1321724.75</v>
      </c>
      <c r="O2826" s="343">
        <v>0</v>
      </c>
    </row>
    <row r="2827" spans="1:15" x14ac:dyDescent="0.3">
      <c r="A2827" s="340" t="s">
        <v>891</v>
      </c>
      <c r="B2827" s="350">
        <v>46128</v>
      </c>
      <c r="C2827" s="350">
        <v>46128</v>
      </c>
      <c r="D2827" s="351">
        <v>46113</v>
      </c>
      <c r="E2827" s="340" t="s">
        <v>2805</v>
      </c>
      <c r="F2827" s="340" t="s">
        <v>1078</v>
      </c>
      <c r="G2827" s="340" t="s">
        <v>1340</v>
      </c>
      <c r="H2827" s="340"/>
      <c r="I2827" s="340" t="s">
        <v>740</v>
      </c>
      <c r="K2827" s="343">
        <v>950</v>
      </c>
      <c r="L2827" s="343">
        <v>0</v>
      </c>
      <c r="M2827" s="343">
        <v>-1320774.75</v>
      </c>
      <c r="O2827" s="343">
        <v>0</v>
      </c>
    </row>
    <row r="2828" spans="1:15" x14ac:dyDescent="0.3">
      <c r="A2828" s="340" t="s">
        <v>891</v>
      </c>
      <c r="B2828" s="350">
        <v>46128</v>
      </c>
      <c r="C2828" s="350">
        <v>46128</v>
      </c>
      <c r="D2828" s="351">
        <v>46113</v>
      </c>
      <c r="E2828" s="340" t="s">
        <v>2805</v>
      </c>
      <c r="F2828" s="340" t="s">
        <v>1078</v>
      </c>
      <c r="G2828" s="340" t="s">
        <v>1341</v>
      </c>
      <c r="H2828" s="340"/>
      <c r="I2828" s="340" t="s">
        <v>740</v>
      </c>
      <c r="K2828" s="343">
        <v>200</v>
      </c>
      <c r="L2828" s="343">
        <v>0</v>
      </c>
      <c r="M2828" s="343">
        <v>-1320574.75</v>
      </c>
      <c r="O2828" s="343">
        <v>0</v>
      </c>
    </row>
    <row r="2829" spans="1:15" x14ac:dyDescent="0.3">
      <c r="A2829" s="340" t="s">
        <v>891</v>
      </c>
      <c r="B2829" s="350">
        <v>46128</v>
      </c>
      <c r="C2829" s="350">
        <v>46128</v>
      </c>
      <c r="D2829" s="351">
        <v>46113</v>
      </c>
      <c r="E2829" s="340" t="s">
        <v>2805</v>
      </c>
      <c r="F2829" s="340" t="s">
        <v>1078</v>
      </c>
      <c r="G2829" s="340" t="s">
        <v>1342</v>
      </c>
      <c r="H2829" s="340"/>
      <c r="I2829" s="340" t="s">
        <v>740</v>
      </c>
      <c r="K2829" s="343">
        <v>765</v>
      </c>
      <c r="L2829" s="343">
        <v>0</v>
      </c>
      <c r="M2829" s="343">
        <v>-1319809.75</v>
      </c>
      <c r="O2829" s="343">
        <v>0</v>
      </c>
    </row>
    <row r="2830" spans="1:15" x14ac:dyDescent="0.3">
      <c r="A2830" s="340" t="s">
        <v>891</v>
      </c>
      <c r="B2830" s="350">
        <v>46128</v>
      </c>
      <c r="C2830" s="350">
        <v>46128</v>
      </c>
      <c r="D2830" s="351">
        <v>46113</v>
      </c>
      <c r="E2830" s="340" t="s">
        <v>2805</v>
      </c>
      <c r="F2830" s="340" t="s">
        <v>1078</v>
      </c>
      <c r="G2830" s="340" t="s">
        <v>1317</v>
      </c>
      <c r="H2830" s="340"/>
      <c r="I2830" s="340" t="s">
        <v>740</v>
      </c>
      <c r="K2830" s="343">
        <v>335.58</v>
      </c>
      <c r="L2830" s="343">
        <v>0</v>
      </c>
      <c r="M2830" s="343">
        <v>-1319474.17</v>
      </c>
      <c r="O2830" s="343">
        <v>0</v>
      </c>
    </row>
    <row r="2831" spans="1:15" x14ac:dyDescent="0.3">
      <c r="A2831" s="340" t="s">
        <v>891</v>
      </c>
      <c r="B2831" s="350">
        <v>46128</v>
      </c>
      <c r="C2831" s="350">
        <v>46128</v>
      </c>
      <c r="D2831" s="351">
        <v>46113</v>
      </c>
      <c r="E2831" s="340" t="s">
        <v>2806</v>
      </c>
      <c r="F2831" s="340" t="s">
        <v>1078</v>
      </c>
      <c r="G2831" s="340" t="s">
        <v>1508</v>
      </c>
      <c r="H2831" s="340"/>
      <c r="I2831" s="340" t="s">
        <v>745</v>
      </c>
      <c r="K2831" s="343">
        <v>58.54</v>
      </c>
      <c r="L2831" s="343">
        <v>0</v>
      </c>
      <c r="M2831" s="343">
        <v>-1319415.6299999999</v>
      </c>
      <c r="O2831" s="343">
        <v>0</v>
      </c>
    </row>
    <row r="2832" spans="1:15" x14ac:dyDescent="0.3">
      <c r="A2832" s="340" t="s">
        <v>891</v>
      </c>
      <c r="B2832" s="350">
        <v>46128</v>
      </c>
      <c r="C2832" s="350">
        <v>46128</v>
      </c>
      <c r="D2832" s="351">
        <v>46113</v>
      </c>
      <c r="E2832" s="340" t="s">
        <v>2805</v>
      </c>
      <c r="F2832" s="340" t="s">
        <v>1078</v>
      </c>
      <c r="G2832" s="340" t="s">
        <v>1365</v>
      </c>
      <c r="H2832" s="340"/>
      <c r="I2832" s="340" t="s">
        <v>740</v>
      </c>
      <c r="K2832" s="343">
        <v>260</v>
      </c>
      <c r="L2832" s="343">
        <v>0</v>
      </c>
      <c r="M2832" s="343">
        <v>-1319155.6299999999</v>
      </c>
      <c r="O2832" s="343">
        <v>0</v>
      </c>
    </row>
    <row r="2833" spans="1:15" x14ac:dyDescent="0.3">
      <c r="A2833" s="340" t="s">
        <v>891</v>
      </c>
      <c r="B2833" s="350">
        <v>46128</v>
      </c>
      <c r="C2833" s="350">
        <v>46128</v>
      </c>
      <c r="D2833" s="351">
        <v>46113</v>
      </c>
      <c r="E2833" s="340" t="s">
        <v>2805</v>
      </c>
      <c r="F2833" s="340" t="s">
        <v>1078</v>
      </c>
      <c r="G2833" s="340" t="s">
        <v>1366</v>
      </c>
      <c r="H2833" s="340"/>
      <c r="I2833" s="340" t="s">
        <v>740</v>
      </c>
      <c r="K2833" s="343">
        <v>700</v>
      </c>
      <c r="L2833" s="343">
        <v>0</v>
      </c>
      <c r="M2833" s="343">
        <v>-1318455.6299999999</v>
      </c>
      <c r="O2833" s="343">
        <v>0</v>
      </c>
    </row>
    <row r="2834" spans="1:15" x14ac:dyDescent="0.3">
      <c r="A2834" s="340" t="s">
        <v>891</v>
      </c>
      <c r="B2834" s="350">
        <v>46128</v>
      </c>
      <c r="C2834" s="350">
        <v>46128</v>
      </c>
      <c r="D2834" s="351">
        <v>46113</v>
      </c>
      <c r="E2834" s="340" t="s">
        <v>2805</v>
      </c>
      <c r="F2834" s="340" t="s">
        <v>1078</v>
      </c>
      <c r="G2834" s="340" t="s">
        <v>1367</v>
      </c>
      <c r="H2834" s="340"/>
      <c r="I2834" s="340" t="s">
        <v>740</v>
      </c>
      <c r="K2834" s="343">
        <v>216.5</v>
      </c>
      <c r="L2834" s="343">
        <v>0</v>
      </c>
      <c r="M2834" s="343">
        <v>-1318239.1299999999</v>
      </c>
      <c r="O2834" s="343">
        <v>0</v>
      </c>
    </row>
    <row r="2835" spans="1:15" x14ac:dyDescent="0.3">
      <c r="A2835" s="340" t="s">
        <v>891</v>
      </c>
      <c r="B2835" s="350">
        <v>46128</v>
      </c>
      <c r="C2835" s="350">
        <v>46128</v>
      </c>
      <c r="D2835" s="351">
        <v>46113</v>
      </c>
      <c r="E2835" s="340" t="s">
        <v>2805</v>
      </c>
      <c r="F2835" s="340" t="s">
        <v>1078</v>
      </c>
      <c r="G2835" s="340" t="s">
        <v>1346</v>
      </c>
      <c r="H2835" s="340"/>
      <c r="I2835" s="340" t="s">
        <v>740</v>
      </c>
      <c r="K2835" s="343">
        <v>525</v>
      </c>
      <c r="L2835" s="343">
        <v>0</v>
      </c>
      <c r="M2835" s="343">
        <v>-1317714.1299999999</v>
      </c>
      <c r="O2835" s="343">
        <v>0</v>
      </c>
    </row>
    <row r="2836" spans="1:15" x14ac:dyDescent="0.3">
      <c r="A2836" s="340" t="s">
        <v>891</v>
      </c>
      <c r="B2836" s="350">
        <v>46128</v>
      </c>
      <c r="C2836" s="350">
        <v>46128</v>
      </c>
      <c r="D2836" s="351">
        <v>46113</v>
      </c>
      <c r="E2836" s="340" t="s">
        <v>2805</v>
      </c>
      <c r="F2836" s="340" t="s">
        <v>1078</v>
      </c>
      <c r="G2836" s="340" t="s">
        <v>1317</v>
      </c>
      <c r="H2836" s="340"/>
      <c r="I2836" s="340" t="s">
        <v>740</v>
      </c>
      <c r="K2836" s="343">
        <v>216.5</v>
      </c>
      <c r="L2836" s="343">
        <v>0</v>
      </c>
      <c r="M2836" s="343">
        <v>-1317497.6299999999</v>
      </c>
      <c r="O2836" s="343">
        <v>0</v>
      </c>
    </row>
    <row r="2837" spans="1:15" x14ac:dyDescent="0.3">
      <c r="A2837" s="340" t="s">
        <v>891</v>
      </c>
      <c r="B2837" s="350">
        <v>46128</v>
      </c>
      <c r="C2837" s="350">
        <v>46128</v>
      </c>
      <c r="D2837" s="351">
        <v>46113</v>
      </c>
      <c r="E2837" s="340" t="s">
        <v>2805</v>
      </c>
      <c r="F2837" s="340" t="s">
        <v>1078</v>
      </c>
      <c r="G2837" s="340" t="s">
        <v>1317</v>
      </c>
      <c r="H2837" s="340"/>
      <c r="I2837" s="340" t="s">
        <v>740</v>
      </c>
      <c r="K2837" s="343">
        <v>292.27999999999997</v>
      </c>
      <c r="L2837" s="343">
        <v>0</v>
      </c>
      <c r="M2837" s="343">
        <v>-1317205.3500000001</v>
      </c>
      <c r="O2837" s="343">
        <v>0</v>
      </c>
    </row>
    <row r="2838" spans="1:15" x14ac:dyDescent="0.3">
      <c r="A2838" s="340" t="s">
        <v>891</v>
      </c>
      <c r="B2838" s="350">
        <v>46128</v>
      </c>
      <c r="C2838" s="350">
        <v>46128</v>
      </c>
      <c r="D2838" s="351">
        <v>46113</v>
      </c>
      <c r="E2838" s="340" t="s">
        <v>2805</v>
      </c>
      <c r="F2838" s="340" t="s">
        <v>1078</v>
      </c>
      <c r="G2838" s="340" t="s">
        <v>1348</v>
      </c>
      <c r="H2838" s="340"/>
      <c r="I2838" s="340" t="s">
        <v>740</v>
      </c>
      <c r="K2838" s="343">
        <v>830</v>
      </c>
      <c r="L2838" s="343">
        <v>0</v>
      </c>
      <c r="M2838" s="343">
        <v>-1316375.3500000001</v>
      </c>
      <c r="O2838" s="343">
        <v>0</v>
      </c>
    </row>
    <row r="2839" spans="1:15" x14ac:dyDescent="0.3">
      <c r="A2839" s="340" t="s">
        <v>891</v>
      </c>
      <c r="B2839" s="350">
        <v>46128</v>
      </c>
      <c r="C2839" s="350">
        <v>46128</v>
      </c>
      <c r="D2839" s="351">
        <v>46113</v>
      </c>
      <c r="E2839" s="340" t="s">
        <v>2805</v>
      </c>
      <c r="F2839" s="340" t="s">
        <v>1078</v>
      </c>
      <c r="G2839" s="340" t="s">
        <v>1349</v>
      </c>
      <c r="H2839" s="340"/>
      <c r="I2839" s="340" t="s">
        <v>740</v>
      </c>
      <c r="K2839" s="343">
        <v>455</v>
      </c>
      <c r="L2839" s="343">
        <v>0</v>
      </c>
      <c r="M2839" s="343">
        <v>-1315920.3500000001</v>
      </c>
      <c r="O2839" s="343">
        <v>0</v>
      </c>
    </row>
    <row r="2840" spans="1:15" x14ac:dyDescent="0.3">
      <c r="A2840" s="340" t="s">
        <v>891</v>
      </c>
      <c r="B2840" s="350">
        <v>46128</v>
      </c>
      <c r="C2840" s="350">
        <v>46128</v>
      </c>
      <c r="D2840" s="351">
        <v>46113</v>
      </c>
      <c r="E2840" s="340" t="s">
        <v>2805</v>
      </c>
      <c r="F2840" s="340" t="s">
        <v>1078</v>
      </c>
      <c r="G2840" s="340" t="s">
        <v>1317</v>
      </c>
      <c r="H2840" s="340"/>
      <c r="I2840" s="340" t="s">
        <v>740</v>
      </c>
      <c r="K2840" s="343">
        <v>292.27999999999997</v>
      </c>
      <c r="L2840" s="343">
        <v>0</v>
      </c>
      <c r="M2840" s="343">
        <v>-1315628.07</v>
      </c>
      <c r="O2840" s="343">
        <v>0</v>
      </c>
    </row>
    <row r="2841" spans="1:15" x14ac:dyDescent="0.3">
      <c r="A2841" s="340" t="s">
        <v>891</v>
      </c>
      <c r="B2841" s="350">
        <v>46128</v>
      </c>
      <c r="C2841" s="350">
        <v>46128</v>
      </c>
      <c r="D2841" s="351">
        <v>46113</v>
      </c>
      <c r="E2841" s="340" t="s">
        <v>2805</v>
      </c>
      <c r="F2841" s="340" t="s">
        <v>1078</v>
      </c>
      <c r="G2841" s="340" t="s">
        <v>1351</v>
      </c>
      <c r="H2841" s="340"/>
      <c r="I2841" s="340" t="s">
        <v>740</v>
      </c>
      <c r="K2841" s="343">
        <v>900</v>
      </c>
      <c r="L2841" s="343">
        <v>0</v>
      </c>
      <c r="M2841" s="343">
        <v>-1314728.07</v>
      </c>
      <c r="O2841" s="343">
        <v>0</v>
      </c>
    </row>
    <row r="2842" spans="1:15" x14ac:dyDescent="0.3">
      <c r="A2842" s="340" t="s">
        <v>891</v>
      </c>
      <c r="B2842" s="350">
        <v>46128</v>
      </c>
      <c r="C2842" s="350">
        <v>46128</v>
      </c>
      <c r="D2842" s="351">
        <v>46113</v>
      </c>
      <c r="E2842" s="340" t="s">
        <v>2805</v>
      </c>
      <c r="F2842" s="340" t="s">
        <v>1078</v>
      </c>
      <c r="G2842" s="340" t="s">
        <v>1325</v>
      </c>
      <c r="H2842" s="340"/>
      <c r="I2842" s="340" t="s">
        <v>740</v>
      </c>
      <c r="K2842" s="343">
        <v>455</v>
      </c>
      <c r="L2842" s="343">
        <v>0</v>
      </c>
      <c r="M2842" s="343">
        <v>-1314273.07</v>
      </c>
      <c r="O2842" s="343">
        <v>0</v>
      </c>
    </row>
    <row r="2843" spans="1:15" x14ac:dyDescent="0.3">
      <c r="A2843" s="340" t="s">
        <v>891</v>
      </c>
      <c r="B2843" s="350">
        <v>46128</v>
      </c>
      <c r="C2843" s="350">
        <v>46128</v>
      </c>
      <c r="D2843" s="351">
        <v>46113</v>
      </c>
      <c r="E2843" s="340" t="s">
        <v>2806</v>
      </c>
      <c r="F2843" s="340" t="s">
        <v>1078</v>
      </c>
      <c r="G2843" s="340" t="s">
        <v>1509</v>
      </c>
      <c r="H2843" s="340"/>
      <c r="I2843" s="340" t="s">
        <v>745</v>
      </c>
      <c r="K2843" s="343">
        <v>560.13</v>
      </c>
      <c r="L2843" s="343">
        <v>0</v>
      </c>
      <c r="M2843" s="343">
        <v>-1313712.94</v>
      </c>
      <c r="O2843" s="343">
        <v>0</v>
      </c>
    </row>
    <row r="2844" spans="1:15" x14ac:dyDescent="0.3">
      <c r="A2844" s="340" t="s">
        <v>891</v>
      </c>
      <c r="B2844" s="350">
        <v>46128</v>
      </c>
      <c r="C2844" s="350">
        <v>46128</v>
      </c>
      <c r="D2844" s="351">
        <v>46113</v>
      </c>
      <c r="E2844" s="340" t="s">
        <v>2805</v>
      </c>
      <c r="F2844" s="340" t="s">
        <v>1078</v>
      </c>
      <c r="G2844" s="340" t="s">
        <v>1319</v>
      </c>
      <c r="H2844" s="340"/>
      <c r="I2844" s="340" t="s">
        <v>740</v>
      </c>
      <c r="K2844" s="343">
        <v>780</v>
      </c>
      <c r="L2844" s="343">
        <v>0</v>
      </c>
      <c r="M2844" s="343">
        <v>-1312932.94</v>
      </c>
      <c r="O2844" s="343">
        <v>0</v>
      </c>
    </row>
    <row r="2845" spans="1:15" x14ac:dyDescent="0.3">
      <c r="A2845" s="340" t="s">
        <v>891</v>
      </c>
      <c r="B2845" s="350">
        <v>46128</v>
      </c>
      <c r="C2845" s="350">
        <v>46128</v>
      </c>
      <c r="D2845" s="351">
        <v>46113</v>
      </c>
      <c r="E2845" s="340" t="s">
        <v>2805</v>
      </c>
      <c r="F2845" s="340" t="s">
        <v>1078</v>
      </c>
      <c r="G2845" s="340" t="s">
        <v>1320</v>
      </c>
      <c r="H2845" s="340"/>
      <c r="I2845" s="340" t="s">
        <v>740</v>
      </c>
      <c r="K2845" s="343">
        <v>260</v>
      </c>
      <c r="L2845" s="343">
        <v>0</v>
      </c>
      <c r="M2845" s="343">
        <v>-1312672.94</v>
      </c>
      <c r="O2845" s="343">
        <v>0</v>
      </c>
    </row>
    <row r="2846" spans="1:15" x14ac:dyDescent="0.3">
      <c r="A2846" s="340" t="s">
        <v>891</v>
      </c>
      <c r="B2846" s="350">
        <v>46128</v>
      </c>
      <c r="C2846" s="350">
        <v>46128</v>
      </c>
      <c r="D2846" s="351">
        <v>46113</v>
      </c>
      <c r="E2846" s="340" t="s">
        <v>2805</v>
      </c>
      <c r="F2846" s="340" t="s">
        <v>1078</v>
      </c>
      <c r="G2846" s="340" t="s">
        <v>1317</v>
      </c>
      <c r="H2846" s="340"/>
      <c r="I2846" s="340" t="s">
        <v>740</v>
      </c>
      <c r="K2846" s="343">
        <v>216.5</v>
      </c>
      <c r="L2846" s="343">
        <v>0</v>
      </c>
      <c r="M2846" s="343">
        <v>-1312456.44</v>
      </c>
      <c r="O2846" s="343">
        <v>0</v>
      </c>
    </row>
    <row r="2847" spans="1:15" x14ac:dyDescent="0.3">
      <c r="A2847" s="340" t="s">
        <v>891</v>
      </c>
      <c r="B2847" s="350">
        <v>46128</v>
      </c>
      <c r="C2847" s="350">
        <v>46128</v>
      </c>
      <c r="D2847" s="351">
        <v>46113</v>
      </c>
      <c r="E2847" s="340" t="s">
        <v>2805</v>
      </c>
      <c r="F2847" s="340" t="s">
        <v>1078</v>
      </c>
      <c r="G2847" s="340" t="s">
        <v>1322</v>
      </c>
      <c r="H2847" s="340"/>
      <c r="I2847" s="340" t="s">
        <v>740</v>
      </c>
      <c r="K2847" s="343">
        <v>530</v>
      </c>
      <c r="L2847" s="343">
        <v>0</v>
      </c>
      <c r="M2847" s="343">
        <v>-1311926.44</v>
      </c>
      <c r="O2847" s="343">
        <v>0</v>
      </c>
    </row>
    <row r="2848" spans="1:15" x14ac:dyDescent="0.3">
      <c r="A2848" s="340" t="s">
        <v>891</v>
      </c>
      <c r="B2848" s="350">
        <v>46128</v>
      </c>
      <c r="C2848" s="350">
        <v>46128</v>
      </c>
      <c r="D2848" s="351">
        <v>46113</v>
      </c>
      <c r="E2848" s="340" t="s">
        <v>2805</v>
      </c>
      <c r="F2848" s="340" t="s">
        <v>1078</v>
      </c>
      <c r="G2848" s="340" t="s">
        <v>1320</v>
      </c>
      <c r="H2848" s="340"/>
      <c r="I2848" s="340" t="s">
        <v>740</v>
      </c>
      <c r="K2848" s="343">
        <v>260</v>
      </c>
      <c r="L2848" s="343">
        <v>0</v>
      </c>
      <c r="M2848" s="343">
        <v>-1311666.44</v>
      </c>
      <c r="O2848" s="343">
        <v>0</v>
      </c>
    </row>
    <row r="2849" spans="1:15" x14ac:dyDescent="0.3">
      <c r="A2849" s="340" t="s">
        <v>891</v>
      </c>
      <c r="B2849" s="350">
        <v>46128</v>
      </c>
      <c r="C2849" s="350">
        <v>46128</v>
      </c>
      <c r="D2849" s="351">
        <v>46113</v>
      </c>
      <c r="E2849" s="340" t="s">
        <v>2806</v>
      </c>
      <c r="F2849" s="340" t="s">
        <v>1078</v>
      </c>
      <c r="G2849" s="340" t="s">
        <v>1510</v>
      </c>
      <c r="H2849" s="340"/>
      <c r="I2849" s="340" t="s">
        <v>745</v>
      </c>
      <c r="K2849" s="343">
        <v>181.33</v>
      </c>
      <c r="L2849" s="343">
        <v>0</v>
      </c>
      <c r="M2849" s="343">
        <v>-1311485.1100000001</v>
      </c>
      <c r="O2849" s="343">
        <v>0</v>
      </c>
    </row>
    <row r="2850" spans="1:15" x14ac:dyDescent="0.3">
      <c r="A2850" s="340" t="s">
        <v>891</v>
      </c>
      <c r="B2850" s="350">
        <v>46128</v>
      </c>
      <c r="C2850" s="350">
        <v>46128</v>
      </c>
      <c r="D2850" s="351">
        <v>46113</v>
      </c>
      <c r="E2850" s="340" t="s">
        <v>2809</v>
      </c>
      <c r="F2850" s="340" t="s">
        <v>1078</v>
      </c>
      <c r="G2850" s="340" t="s">
        <v>979</v>
      </c>
      <c r="H2850" s="340"/>
      <c r="I2850" s="340" t="s">
        <v>980</v>
      </c>
      <c r="K2850" s="343">
        <v>5668.2</v>
      </c>
      <c r="L2850" s="343">
        <v>0</v>
      </c>
      <c r="M2850" s="343">
        <v>-1305816.9099999999</v>
      </c>
      <c r="O2850" s="343">
        <v>0</v>
      </c>
    </row>
    <row r="2851" spans="1:15" x14ac:dyDescent="0.3">
      <c r="A2851" s="340" t="s">
        <v>891</v>
      </c>
      <c r="B2851" s="350">
        <v>46128</v>
      </c>
      <c r="C2851" s="350">
        <v>46128</v>
      </c>
      <c r="D2851" s="351">
        <v>46113</v>
      </c>
      <c r="E2851" s="340" t="s">
        <v>2805</v>
      </c>
      <c r="F2851" s="340" t="s">
        <v>1078</v>
      </c>
      <c r="G2851" s="340" t="s">
        <v>1317</v>
      </c>
      <c r="H2851" s="340"/>
      <c r="I2851" s="340" t="s">
        <v>740</v>
      </c>
      <c r="K2851" s="343">
        <v>216.5</v>
      </c>
      <c r="L2851" s="343">
        <v>0</v>
      </c>
      <c r="M2851" s="343">
        <v>-1305600.4099999999</v>
      </c>
      <c r="O2851" s="343">
        <v>0</v>
      </c>
    </row>
    <row r="2852" spans="1:15" x14ac:dyDescent="0.3">
      <c r="A2852" s="340" t="s">
        <v>891</v>
      </c>
      <c r="B2852" s="350">
        <v>46128</v>
      </c>
      <c r="C2852" s="350">
        <v>46128</v>
      </c>
      <c r="D2852" s="351">
        <v>46113</v>
      </c>
      <c r="E2852" s="340" t="s">
        <v>2805</v>
      </c>
      <c r="F2852" s="340" t="s">
        <v>1078</v>
      </c>
      <c r="G2852" s="340" t="s">
        <v>1372</v>
      </c>
      <c r="H2852" s="340"/>
      <c r="I2852" s="340" t="s">
        <v>740</v>
      </c>
      <c r="K2852" s="343">
        <v>260</v>
      </c>
      <c r="L2852" s="343">
        <v>0</v>
      </c>
      <c r="M2852" s="343">
        <v>-1305340.4099999999</v>
      </c>
      <c r="O2852" s="343">
        <v>0</v>
      </c>
    </row>
    <row r="2853" spans="1:15" x14ac:dyDescent="0.3">
      <c r="A2853" s="340" t="s">
        <v>891</v>
      </c>
      <c r="B2853" s="350">
        <v>46128</v>
      </c>
      <c r="C2853" s="350">
        <v>46128</v>
      </c>
      <c r="D2853" s="351">
        <v>46113</v>
      </c>
      <c r="E2853" s="340" t="s">
        <v>2805</v>
      </c>
      <c r="F2853" s="340" t="s">
        <v>1078</v>
      </c>
      <c r="G2853" s="340" t="s">
        <v>1373</v>
      </c>
      <c r="H2853" s="340"/>
      <c r="I2853" s="340" t="s">
        <v>740</v>
      </c>
      <c r="K2853" s="343">
        <v>590</v>
      </c>
      <c r="L2853" s="343">
        <v>0</v>
      </c>
      <c r="M2853" s="343">
        <v>-1304750.4099999999</v>
      </c>
      <c r="O2853" s="343">
        <v>0</v>
      </c>
    </row>
    <row r="2854" spans="1:15" x14ac:dyDescent="0.3">
      <c r="A2854" s="340" t="s">
        <v>891</v>
      </c>
      <c r="B2854" s="350">
        <v>46128</v>
      </c>
      <c r="C2854" s="350">
        <v>46128</v>
      </c>
      <c r="D2854" s="351">
        <v>46113</v>
      </c>
      <c r="E2854" s="340" t="s">
        <v>2805</v>
      </c>
      <c r="F2854" s="340" t="s">
        <v>1078</v>
      </c>
      <c r="G2854" s="340" t="s">
        <v>1335</v>
      </c>
      <c r="H2854" s="340"/>
      <c r="I2854" s="340" t="s">
        <v>740</v>
      </c>
      <c r="K2854" s="343">
        <v>194.85</v>
      </c>
      <c r="L2854" s="343">
        <v>0</v>
      </c>
      <c r="M2854" s="343">
        <v>-1304555.56</v>
      </c>
      <c r="O2854" s="343">
        <v>0</v>
      </c>
    </row>
    <row r="2855" spans="1:15" x14ac:dyDescent="0.3">
      <c r="A2855" s="340" t="s">
        <v>891</v>
      </c>
      <c r="B2855" s="350">
        <v>46128</v>
      </c>
      <c r="C2855" s="350">
        <v>46128</v>
      </c>
      <c r="D2855" s="351">
        <v>46113</v>
      </c>
      <c r="E2855" s="340" t="s">
        <v>2805</v>
      </c>
      <c r="F2855" s="340" t="s">
        <v>1078</v>
      </c>
      <c r="G2855" s="340" t="s">
        <v>1327</v>
      </c>
      <c r="H2855" s="340"/>
      <c r="I2855" s="340" t="s">
        <v>740</v>
      </c>
      <c r="K2855" s="343">
        <v>720</v>
      </c>
      <c r="L2855" s="343">
        <v>0</v>
      </c>
      <c r="M2855" s="343">
        <v>-1303835.56</v>
      </c>
      <c r="O2855" s="343">
        <v>0</v>
      </c>
    </row>
    <row r="2856" spans="1:15" x14ac:dyDescent="0.3">
      <c r="A2856" s="340" t="s">
        <v>891</v>
      </c>
      <c r="B2856" s="350">
        <v>46128</v>
      </c>
      <c r="C2856" s="350">
        <v>46128</v>
      </c>
      <c r="D2856" s="351">
        <v>46113</v>
      </c>
      <c r="E2856" s="340" t="s">
        <v>2805</v>
      </c>
      <c r="F2856" s="340" t="s">
        <v>1078</v>
      </c>
      <c r="G2856" s="340" t="s">
        <v>1316</v>
      </c>
      <c r="H2856" s="340"/>
      <c r="I2856" s="340" t="s">
        <v>740</v>
      </c>
      <c r="K2856" s="343">
        <v>520</v>
      </c>
      <c r="L2856" s="343">
        <v>0</v>
      </c>
      <c r="M2856" s="343">
        <v>-1303315.56</v>
      </c>
      <c r="O2856" s="343">
        <v>0</v>
      </c>
    </row>
    <row r="2857" spans="1:15" x14ac:dyDescent="0.3">
      <c r="A2857" s="340" t="s">
        <v>891</v>
      </c>
      <c r="B2857" s="350">
        <v>46128</v>
      </c>
      <c r="C2857" s="350">
        <v>46128</v>
      </c>
      <c r="D2857" s="351">
        <v>46113</v>
      </c>
      <c r="E2857" s="340" t="s">
        <v>2805</v>
      </c>
      <c r="F2857" s="340" t="s">
        <v>1078</v>
      </c>
      <c r="G2857" s="340" t="s">
        <v>1328</v>
      </c>
      <c r="H2857" s="340"/>
      <c r="I2857" s="340" t="s">
        <v>740</v>
      </c>
      <c r="K2857" s="343">
        <v>445</v>
      </c>
      <c r="L2857" s="343">
        <v>0</v>
      </c>
      <c r="M2857" s="343">
        <v>-1302870.56</v>
      </c>
      <c r="O2857" s="343">
        <v>0</v>
      </c>
    </row>
    <row r="2858" spans="1:15" x14ac:dyDescent="0.3">
      <c r="A2858" s="340" t="s">
        <v>891</v>
      </c>
      <c r="B2858" s="350">
        <v>46128</v>
      </c>
      <c r="C2858" s="350">
        <v>46128</v>
      </c>
      <c r="D2858" s="351">
        <v>46113</v>
      </c>
      <c r="E2858" s="340" t="s">
        <v>2805</v>
      </c>
      <c r="F2858" s="340" t="s">
        <v>1078</v>
      </c>
      <c r="G2858" s="340" t="s">
        <v>1317</v>
      </c>
      <c r="H2858" s="340"/>
      <c r="I2858" s="340" t="s">
        <v>740</v>
      </c>
      <c r="K2858" s="343">
        <v>297.69</v>
      </c>
      <c r="L2858" s="343">
        <v>0</v>
      </c>
      <c r="M2858" s="343">
        <v>-1302572.8700000001</v>
      </c>
      <c r="O2858" s="343">
        <v>0</v>
      </c>
    </row>
    <row r="2859" spans="1:15" x14ac:dyDescent="0.3">
      <c r="A2859" s="340" t="s">
        <v>891</v>
      </c>
      <c r="B2859" s="350">
        <v>46128</v>
      </c>
      <c r="C2859" s="350">
        <v>46128</v>
      </c>
      <c r="D2859" s="351">
        <v>46113</v>
      </c>
      <c r="E2859" s="340" t="s">
        <v>2805</v>
      </c>
      <c r="F2859" s="340" t="s">
        <v>1078</v>
      </c>
      <c r="G2859" s="340" t="s">
        <v>1331</v>
      </c>
      <c r="H2859" s="340"/>
      <c r="I2859" s="340" t="s">
        <v>740</v>
      </c>
      <c r="K2859" s="343">
        <v>1000</v>
      </c>
      <c r="L2859" s="343">
        <v>0</v>
      </c>
      <c r="M2859" s="343">
        <v>-1301572.8700000001</v>
      </c>
      <c r="O2859" s="343">
        <v>0</v>
      </c>
    </row>
    <row r="2860" spans="1:15" x14ac:dyDescent="0.3">
      <c r="A2860" s="340" t="s">
        <v>891</v>
      </c>
      <c r="B2860" s="350">
        <v>46128</v>
      </c>
      <c r="C2860" s="350">
        <v>46128</v>
      </c>
      <c r="D2860" s="351">
        <v>46113</v>
      </c>
      <c r="E2860" s="340" t="s">
        <v>2805</v>
      </c>
      <c r="F2860" s="340" t="s">
        <v>1078</v>
      </c>
      <c r="G2860" s="340" t="s">
        <v>1330</v>
      </c>
      <c r="H2860" s="340"/>
      <c r="I2860" s="340" t="s">
        <v>740</v>
      </c>
      <c r="K2860" s="343">
        <v>520</v>
      </c>
      <c r="L2860" s="343">
        <v>0</v>
      </c>
      <c r="M2860" s="343">
        <v>-1301052.8700000001</v>
      </c>
      <c r="O2860" s="343">
        <v>0</v>
      </c>
    </row>
    <row r="2861" spans="1:15" x14ac:dyDescent="0.3">
      <c r="A2861" s="340" t="s">
        <v>891</v>
      </c>
      <c r="B2861" s="350">
        <v>46128</v>
      </c>
      <c r="C2861" s="350">
        <v>46128</v>
      </c>
      <c r="D2861" s="351">
        <v>46113</v>
      </c>
      <c r="E2861" s="340" t="s">
        <v>2805</v>
      </c>
      <c r="F2861" s="340" t="s">
        <v>1078</v>
      </c>
      <c r="G2861" s="340" t="s">
        <v>1317</v>
      </c>
      <c r="H2861" s="340"/>
      <c r="I2861" s="340" t="s">
        <v>740</v>
      </c>
      <c r="K2861" s="343">
        <v>373.46</v>
      </c>
      <c r="L2861" s="343">
        <v>0</v>
      </c>
      <c r="M2861" s="343">
        <v>-1300679.4099999999</v>
      </c>
      <c r="O2861" s="343">
        <v>0</v>
      </c>
    </row>
    <row r="2862" spans="1:15" x14ac:dyDescent="0.3">
      <c r="A2862" s="340" t="s">
        <v>891</v>
      </c>
      <c r="B2862" s="350">
        <v>46128</v>
      </c>
      <c r="C2862" s="350">
        <v>46128</v>
      </c>
      <c r="D2862" s="351">
        <v>46113</v>
      </c>
      <c r="E2862" s="340" t="s">
        <v>2806</v>
      </c>
      <c r="F2862" s="340" t="s">
        <v>1078</v>
      </c>
      <c r="G2862" s="340" t="s">
        <v>1511</v>
      </c>
      <c r="H2862" s="340"/>
      <c r="I2862" s="340" t="s">
        <v>745</v>
      </c>
      <c r="K2862" s="343">
        <v>62.79</v>
      </c>
      <c r="L2862" s="343">
        <v>0</v>
      </c>
      <c r="M2862" s="343">
        <v>-1300616.6200000001</v>
      </c>
      <c r="O2862" s="343">
        <v>0</v>
      </c>
    </row>
    <row r="2863" spans="1:15" x14ac:dyDescent="0.3">
      <c r="A2863" s="340" t="s">
        <v>891</v>
      </c>
      <c r="B2863" s="350">
        <v>46128</v>
      </c>
      <c r="C2863" s="350">
        <v>46128</v>
      </c>
      <c r="D2863" s="351">
        <v>46113</v>
      </c>
      <c r="E2863" s="340" t="s">
        <v>2810</v>
      </c>
      <c r="F2863" s="340" t="s">
        <v>1078</v>
      </c>
      <c r="G2863" s="340" t="s">
        <v>1079</v>
      </c>
      <c r="H2863" s="340"/>
      <c r="I2863" s="340" t="s">
        <v>2811</v>
      </c>
      <c r="K2863" s="343">
        <v>1500</v>
      </c>
      <c r="L2863" s="343">
        <v>0</v>
      </c>
      <c r="M2863" s="343">
        <v>-1299116.6200000001</v>
      </c>
      <c r="O2863" s="343">
        <v>0</v>
      </c>
    </row>
    <row r="2864" spans="1:15" x14ac:dyDescent="0.3">
      <c r="A2864" s="340" t="s">
        <v>891</v>
      </c>
      <c r="B2864" s="350">
        <v>46128</v>
      </c>
      <c r="C2864" s="350">
        <v>46128</v>
      </c>
      <c r="D2864" s="351">
        <v>46113</v>
      </c>
      <c r="E2864" s="340" t="s">
        <v>2805</v>
      </c>
      <c r="F2864" s="340" t="s">
        <v>1078</v>
      </c>
      <c r="G2864" s="340" t="s">
        <v>1324</v>
      </c>
      <c r="H2864" s="340"/>
      <c r="I2864" s="340" t="s">
        <v>740</v>
      </c>
      <c r="K2864" s="343">
        <v>830</v>
      </c>
      <c r="L2864" s="343">
        <v>0</v>
      </c>
      <c r="M2864" s="343">
        <v>-1298286.6200000001</v>
      </c>
      <c r="O2864" s="343">
        <v>0</v>
      </c>
    </row>
    <row r="2865" spans="1:15" x14ac:dyDescent="0.3">
      <c r="A2865" s="340" t="s">
        <v>891</v>
      </c>
      <c r="B2865" s="350">
        <v>46128</v>
      </c>
      <c r="C2865" s="350">
        <v>46128</v>
      </c>
      <c r="D2865" s="351">
        <v>46113</v>
      </c>
      <c r="E2865" s="340" t="s">
        <v>2805</v>
      </c>
      <c r="F2865" s="340" t="s">
        <v>1078</v>
      </c>
      <c r="G2865" s="340" t="s">
        <v>1325</v>
      </c>
      <c r="H2865" s="340"/>
      <c r="I2865" s="340" t="s">
        <v>740</v>
      </c>
      <c r="K2865" s="343">
        <v>455</v>
      </c>
      <c r="L2865" s="343">
        <v>0</v>
      </c>
      <c r="M2865" s="343">
        <v>-1297831.6200000001</v>
      </c>
      <c r="O2865" s="343">
        <v>0</v>
      </c>
    </row>
    <row r="2866" spans="1:15" x14ac:dyDescent="0.3">
      <c r="A2866" s="340" t="s">
        <v>891</v>
      </c>
      <c r="B2866" s="350">
        <v>46128</v>
      </c>
      <c r="C2866" s="350">
        <v>46128</v>
      </c>
      <c r="D2866" s="351">
        <v>46113</v>
      </c>
      <c r="E2866" s="340" t="s">
        <v>2805</v>
      </c>
      <c r="F2866" s="340" t="s">
        <v>1078</v>
      </c>
      <c r="G2866" s="340" t="s">
        <v>1317</v>
      </c>
      <c r="H2866" s="340"/>
      <c r="I2866" s="340" t="s">
        <v>740</v>
      </c>
      <c r="K2866" s="343">
        <v>270.63</v>
      </c>
      <c r="L2866" s="343">
        <v>0</v>
      </c>
      <c r="M2866" s="343">
        <v>-1297560.99</v>
      </c>
      <c r="O2866" s="343">
        <v>0</v>
      </c>
    </row>
    <row r="2867" spans="1:15" x14ac:dyDescent="0.3">
      <c r="A2867" s="340" t="s">
        <v>891</v>
      </c>
      <c r="B2867" s="350">
        <v>46128</v>
      </c>
      <c r="C2867" s="350">
        <v>46128</v>
      </c>
      <c r="D2867" s="351">
        <v>46113</v>
      </c>
      <c r="E2867" s="340" t="s">
        <v>2805</v>
      </c>
      <c r="F2867" s="340" t="s">
        <v>1078</v>
      </c>
      <c r="G2867" s="340" t="s">
        <v>1314</v>
      </c>
      <c r="H2867" s="340"/>
      <c r="I2867" s="340" t="s">
        <v>740</v>
      </c>
      <c r="K2867" s="343">
        <v>750</v>
      </c>
      <c r="L2867" s="343">
        <v>0</v>
      </c>
      <c r="M2867" s="343">
        <v>-1296810.99</v>
      </c>
      <c r="O2867" s="343">
        <v>0</v>
      </c>
    </row>
    <row r="2868" spans="1:15" x14ac:dyDescent="0.3">
      <c r="A2868" s="340" t="s">
        <v>891</v>
      </c>
      <c r="B2868" s="350">
        <v>46128</v>
      </c>
      <c r="C2868" s="350">
        <v>46128</v>
      </c>
      <c r="D2868" s="351">
        <v>46113</v>
      </c>
      <c r="E2868" s="340" t="s">
        <v>2805</v>
      </c>
      <c r="F2868" s="340" t="s">
        <v>1078</v>
      </c>
      <c r="G2868" s="340" t="s">
        <v>1315</v>
      </c>
      <c r="H2868" s="340"/>
      <c r="I2868" s="340" t="s">
        <v>740</v>
      </c>
      <c r="K2868" s="343">
        <v>150</v>
      </c>
      <c r="L2868" s="343">
        <v>0</v>
      </c>
      <c r="M2868" s="343">
        <v>-1296660.99</v>
      </c>
      <c r="O2868" s="343">
        <v>0</v>
      </c>
    </row>
    <row r="2869" spans="1:15" x14ac:dyDescent="0.3">
      <c r="A2869" s="340" t="s">
        <v>891</v>
      </c>
      <c r="B2869" s="350">
        <v>46128</v>
      </c>
      <c r="C2869" s="350">
        <v>46128</v>
      </c>
      <c r="D2869" s="351">
        <v>46113</v>
      </c>
      <c r="E2869" s="340" t="s">
        <v>2806</v>
      </c>
      <c r="F2869" s="340" t="s">
        <v>1078</v>
      </c>
      <c r="G2869" s="340" t="s">
        <v>1512</v>
      </c>
      <c r="H2869" s="340"/>
      <c r="I2869" s="340" t="s">
        <v>745</v>
      </c>
      <c r="K2869" s="343">
        <v>332.98</v>
      </c>
      <c r="L2869" s="343">
        <v>0</v>
      </c>
      <c r="M2869" s="343">
        <v>-1296328.01</v>
      </c>
      <c r="O2869" s="343">
        <v>0</v>
      </c>
    </row>
    <row r="2870" spans="1:15" x14ac:dyDescent="0.3">
      <c r="A2870" s="340" t="s">
        <v>891</v>
      </c>
      <c r="B2870" s="350">
        <v>46128</v>
      </c>
      <c r="C2870" s="350">
        <v>46128</v>
      </c>
      <c r="D2870" s="351">
        <v>46113</v>
      </c>
      <c r="E2870" s="340" t="s">
        <v>2805</v>
      </c>
      <c r="F2870" s="340" t="s">
        <v>1078</v>
      </c>
      <c r="G2870" s="340" t="s">
        <v>1317</v>
      </c>
      <c r="H2870" s="340"/>
      <c r="I2870" s="340" t="s">
        <v>740</v>
      </c>
      <c r="K2870" s="343">
        <v>476.3</v>
      </c>
      <c r="L2870" s="343">
        <v>0</v>
      </c>
      <c r="M2870" s="343">
        <v>-1295851.71</v>
      </c>
      <c r="O2870" s="343">
        <v>0</v>
      </c>
    </row>
    <row r="2871" spans="1:15" x14ac:dyDescent="0.3">
      <c r="A2871" s="340" t="s">
        <v>891</v>
      </c>
      <c r="B2871" s="350">
        <v>46128</v>
      </c>
      <c r="C2871" s="350">
        <v>46128</v>
      </c>
      <c r="D2871" s="351">
        <v>46113</v>
      </c>
      <c r="E2871" s="340" t="s">
        <v>2805</v>
      </c>
      <c r="F2871" s="340" t="s">
        <v>1078</v>
      </c>
      <c r="G2871" s="340" t="s">
        <v>1369</v>
      </c>
      <c r="H2871" s="340"/>
      <c r="I2871" s="340" t="s">
        <v>740</v>
      </c>
      <c r="K2871" s="343">
        <v>850</v>
      </c>
      <c r="L2871" s="343">
        <v>0</v>
      </c>
      <c r="M2871" s="343">
        <v>-1295001.71</v>
      </c>
      <c r="O2871" s="343">
        <v>0</v>
      </c>
    </row>
    <row r="2872" spans="1:15" x14ac:dyDescent="0.3">
      <c r="A2872" s="340" t="s">
        <v>891</v>
      </c>
      <c r="B2872" s="350">
        <v>46128</v>
      </c>
      <c r="C2872" s="350">
        <v>46128</v>
      </c>
      <c r="D2872" s="351">
        <v>46113</v>
      </c>
      <c r="E2872" s="340" t="s">
        <v>2805</v>
      </c>
      <c r="F2872" s="340" t="s">
        <v>1078</v>
      </c>
      <c r="G2872" s="340" t="s">
        <v>1320</v>
      </c>
      <c r="H2872" s="340"/>
      <c r="I2872" s="340" t="s">
        <v>740</v>
      </c>
      <c r="K2872" s="343">
        <v>260</v>
      </c>
      <c r="L2872" s="343">
        <v>0</v>
      </c>
      <c r="M2872" s="343">
        <v>-1294741.71</v>
      </c>
      <c r="O2872" s="343">
        <v>0</v>
      </c>
    </row>
    <row r="2873" spans="1:15" x14ac:dyDescent="0.3">
      <c r="A2873" s="340" t="s">
        <v>891</v>
      </c>
      <c r="B2873" s="350">
        <v>46128</v>
      </c>
      <c r="C2873" s="350">
        <v>46128</v>
      </c>
      <c r="D2873" s="351">
        <v>46113</v>
      </c>
      <c r="E2873" s="340" t="s">
        <v>2805</v>
      </c>
      <c r="F2873" s="340" t="s">
        <v>1078</v>
      </c>
      <c r="G2873" s="340" t="s">
        <v>1370</v>
      </c>
      <c r="H2873" s="340"/>
      <c r="I2873" s="340" t="s">
        <v>740</v>
      </c>
      <c r="K2873" s="343">
        <v>190</v>
      </c>
      <c r="L2873" s="343">
        <v>0</v>
      </c>
      <c r="M2873" s="343">
        <v>-1294551.71</v>
      </c>
      <c r="O2873" s="343">
        <v>0</v>
      </c>
    </row>
    <row r="2874" spans="1:15" x14ac:dyDescent="0.3">
      <c r="A2874" s="340" t="s">
        <v>891</v>
      </c>
      <c r="B2874" s="350">
        <v>46128</v>
      </c>
      <c r="C2874" s="350">
        <v>46128</v>
      </c>
      <c r="D2874" s="351">
        <v>46113</v>
      </c>
      <c r="E2874" s="340" t="s">
        <v>2805</v>
      </c>
      <c r="F2874" s="340" t="s">
        <v>1078</v>
      </c>
      <c r="G2874" s="340" t="s">
        <v>1317</v>
      </c>
      <c r="H2874" s="340"/>
      <c r="I2874" s="340" t="s">
        <v>740</v>
      </c>
      <c r="K2874" s="343">
        <v>611.61</v>
      </c>
      <c r="L2874" s="343">
        <v>0</v>
      </c>
      <c r="M2874" s="343">
        <v>-1293940.1000000001</v>
      </c>
      <c r="O2874" s="343">
        <v>0</v>
      </c>
    </row>
    <row r="2875" spans="1:15" x14ac:dyDescent="0.3">
      <c r="A2875" s="340" t="s">
        <v>891</v>
      </c>
      <c r="B2875" s="350">
        <v>46128</v>
      </c>
      <c r="C2875" s="350">
        <v>46128</v>
      </c>
      <c r="D2875" s="351">
        <v>46113</v>
      </c>
      <c r="E2875" s="340" t="s">
        <v>2806</v>
      </c>
      <c r="F2875" s="340" t="s">
        <v>1078</v>
      </c>
      <c r="G2875" s="340" t="s">
        <v>1513</v>
      </c>
      <c r="H2875" s="340"/>
      <c r="I2875" s="340" t="s">
        <v>745</v>
      </c>
      <c r="K2875" s="343">
        <v>11.98</v>
      </c>
      <c r="L2875" s="343">
        <v>0</v>
      </c>
      <c r="M2875" s="343">
        <v>-1293928.1200000001</v>
      </c>
      <c r="O2875" s="343">
        <v>0</v>
      </c>
    </row>
    <row r="2876" spans="1:15" x14ac:dyDescent="0.3">
      <c r="A2876" s="340" t="s">
        <v>891</v>
      </c>
      <c r="B2876" s="350">
        <v>46128</v>
      </c>
      <c r="C2876" s="350">
        <v>46128</v>
      </c>
      <c r="D2876" s="351">
        <v>46113</v>
      </c>
      <c r="E2876" s="340" t="s">
        <v>2806</v>
      </c>
      <c r="F2876" s="340" t="s">
        <v>1078</v>
      </c>
      <c r="G2876" s="340" t="s">
        <v>1538</v>
      </c>
      <c r="H2876" s="340"/>
      <c r="I2876" s="340" t="s">
        <v>745</v>
      </c>
      <c r="K2876" s="343">
        <v>10.98</v>
      </c>
      <c r="L2876" s="343">
        <v>0</v>
      </c>
      <c r="M2876" s="343">
        <v>-1293917.1399999999</v>
      </c>
      <c r="O2876" s="343">
        <v>0</v>
      </c>
    </row>
    <row r="2877" spans="1:15" x14ac:dyDescent="0.3">
      <c r="A2877" s="340" t="s">
        <v>891</v>
      </c>
      <c r="B2877" s="350">
        <v>46128</v>
      </c>
      <c r="C2877" s="350">
        <v>46128</v>
      </c>
      <c r="D2877" s="351">
        <v>46113</v>
      </c>
      <c r="E2877" s="340" t="s">
        <v>2805</v>
      </c>
      <c r="F2877" s="340" t="s">
        <v>1078</v>
      </c>
      <c r="G2877" s="340" t="s">
        <v>1333</v>
      </c>
      <c r="H2877" s="340"/>
      <c r="I2877" s="340" t="s">
        <v>740</v>
      </c>
      <c r="K2877" s="343">
        <v>830</v>
      </c>
      <c r="L2877" s="343">
        <v>0</v>
      </c>
      <c r="M2877" s="343">
        <v>-1293087.1399999999</v>
      </c>
      <c r="O2877" s="343">
        <v>0</v>
      </c>
    </row>
    <row r="2878" spans="1:15" x14ac:dyDescent="0.3">
      <c r="A2878" s="340" t="s">
        <v>891</v>
      </c>
      <c r="B2878" s="350">
        <v>46128</v>
      </c>
      <c r="C2878" s="350">
        <v>46128</v>
      </c>
      <c r="D2878" s="351">
        <v>46113</v>
      </c>
      <c r="E2878" s="340" t="s">
        <v>2805</v>
      </c>
      <c r="F2878" s="340" t="s">
        <v>1078</v>
      </c>
      <c r="G2878" s="340" t="s">
        <v>1334</v>
      </c>
      <c r="H2878" s="340"/>
      <c r="I2878" s="340" t="s">
        <v>740</v>
      </c>
      <c r="K2878" s="343">
        <v>70</v>
      </c>
      <c r="L2878" s="343">
        <v>0</v>
      </c>
      <c r="M2878" s="343">
        <v>-1293017.1399999999</v>
      </c>
      <c r="O2878" s="343">
        <v>0</v>
      </c>
    </row>
    <row r="2879" spans="1:15" x14ac:dyDescent="0.3">
      <c r="A2879" s="340" t="s">
        <v>891</v>
      </c>
      <c r="B2879" s="350">
        <v>46128</v>
      </c>
      <c r="C2879" s="350">
        <v>46128</v>
      </c>
      <c r="D2879" s="351">
        <v>46113</v>
      </c>
      <c r="E2879" s="340" t="s">
        <v>2805</v>
      </c>
      <c r="F2879" s="340" t="s">
        <v>1078</v>
      </c>
      <c r="G2879" s="340" t="s">
        <v>1335</v>
      </c>
      <c r="H2879" s="340"/>
      <c r="I2879" s="340" t="s">
        <v>740</v>
      </c>
      <c r="K2879" s="343">
        <v>335.58</v>
      </c>
      <c r="L2879" s="343">
        <v>0</v>
      </c>
      <c r="M2879" s="343">
        <v>-1292681.56</v>
      </c>
      <c r="O2879" s="343">
        <v>0</v>
      </c>
    </row>
    <row r="2880" spans="1:15" x14ac:dyDescent="0.3">
      <c r="A2880" s="340" t="s">
        <v>891</v>
      </c>
      <c r="B2880" s="350">
        <v>46128</v>
      </c>
      <c r="C2880" s="350">
        <v>46128</v>
      </c>
      <c r="D2880" s="351">
        <v>46113</v>
      </c>
      <c r="E2880" s="340" t="s">
        <v>2805</v>
      </c>
      <c r="F2880" s="340" t="s">
        <v>1078</v>
      </c>
      <c r="G2880" s="340" t="s">
        <v>1495</v>
      </c>
      <c r="H2880" s="340"/>
      <c r="I2880" s="340" t="s">
        <v>740</v>
      </c>
      <c r="K2880" s="343">
        <v>81.19</v>
      </c>
      <c r="L2880" s="343">
        <v>0</v>
      </c>
      <c r="M2880" s="343">
        <v>-1292600.3700000001</v>
      </c>
      <c r="O2880" s="343">
        <v>0</v>
      </c>
    </row>
    <row r="2881" spans="1:15" x14ac:dyDescent="0.3">
      <c r="A2881" s="340" t="s">
        <v>891</v>
      </c>
      <c r="B2881" s="350">
        <v>46128</v>
      </c>
      <c r="C2881" s="350">
        <v>46128</v>
      </c>
      <c r="D2881" s="351">
        <v>46113</v>
      </c>
      <c r="E2881" s="340" t="s">
        <v>2805</v>
      </c>
      <c r="F2881" s="340" t="s">
        <v>1078</v>
      </c>
      <c r="G2881" s="340" t="s">
        <v>1497</v>
      </c>
      <c r="H2881" s="340"/>
      <c r="I2881" s="340" t="s">
        <v>740</v>
      </c>
      <c r="K2881" s="343">
        <v>200.26</v>
      </c>
      <c r="L2881" s="343">
        <v>0</v>
      </c>
      <c r="M2881" s="343">
        <v>-1292400.1100000001</v>
      </c>
      <c r="O2881" s="343">
        <v>0</v>
      </c>
    </row>
    <row r="2882" spans="1:15" x14ac:dyDescent="0.3">
      <c r="A2882" s="340" t="s">
        <v>891</v>
      </c>
      <c r="B2882" s="350">
        <v>46128</v>
      </c>
      <c r="C2882" s="350">
        <v>46128</v>
      </c>
      <c r="D2882" s="351">
        <v>46113</v>
      </c>
      <c r="E2882" s="340" t="s">
        <v>2805</v>
      </c>
      <c r="F2882" s="340" t="s">
        <v>1078</v>
      </c>
      <c r="G2882" s="340" t="s">
        <v>1500</v>
      </c>
      <c r="H2882" s="340"/>
      <c r="I2882" s="340" t="s">
        <v>740</v>
      </c>
      <c r="K2882" s="343">
        <v>129.9</v>
      </c>
      <c r="L2882" s="343">
        <v>0</v>
      </c>
      <c r="M2882" s="343">
        <v>-1292270.21</v>
      </c>
      <c r="O2882" s="343">
        <v>0</v>
      </c>
    </row>
    <row r="2883" spans="1:15" x14ac:dyDescent="0.3">
      <c r="A2883" s="340" t="s">
        <v>891</v>
      </c>
      <c r="B2883" s="350">
        <v>46128</v>
      </c>
      <c r="C2883" s="350">
        <v>46128</v>
      </c>
      <c r="D2883" s="351">
        <v>46113</v>
      </c>
      <c r="E2883" s="340" t="s">
        <v>2805</v>
      </c>
      <c r="F2883" s="340" t="s">
        <v>1078</v>
      </c>
      <c r="G2883" s="340" t="s">
        <v>1501</v>
      </c>
      <c r="H2883" s="340"/>
      <c r="I2883" s="340" t="s">
        <v>740</v>
      </c>
      <c r="K2883" s="343">
        <v>129.9</v>
      </c>
      <c r="L2883" s="343">
        <v>0</v>
      </c>
      <c r="M2883" s="343">
        <v>-1292140.31</v>
      </c>
      <c r="O2883" s="343">
        <v>0</v>
      </c>
    </row>
    <row r="2884" spans="1:15" x14ac:dyDescent="0.3">
      <c r="A2884" s="340" t="s">
        <v>891</v>
      </c>
      <c r="B2884" s="350">
        <v>46128</v>
      </c>
      <c r="C2884" s="350">
        <v>46128</v>
      </c>
      <c r="D2884" s="351">
        <v>46113</v>
      </c>
      <c r="E2884" s="340" t="s">
        <v>2805</v>
      </c>
      <c r="F2884" s="340" t="s">
        <v>1078</v>
      </c>
      <c r="G2884" s="340" t="s">
        <v>1499</v>
      </c>
      <c r="H2884" s="340"/>
      <c r="I2884" s="340" t="s">
        <v>740</v>
      </c>
      <c r="K2884" s="343">
        <v>15</v>
      </c>
      <c r="L2884" s="343">
        <v>0</v>
      </c>
      <c r="M2884" s="343">
        <v>-1292125.31</v>
      </c>
      <c r="O2884" s="343">
        <v>0</v>
      </c>
    </row>
    <row r="2885" spans="1:15" x14ac:dyDescent="0.3">
      <c r="A2885" s="340" t="s">
        <v>891</v>
      </c>
      <c r="B2885" s="350">
        <v>46128</v>
      </c>
      <c r="C2885" s="350">
        <v>46128</v>
      </c>
      <c r="D2885" s="351">
        <v>46113</v>
      </c>
      <c r="E2885" s="340" t="s">
        <v>2805</v>
      </c>
      <c r="F2885" s="340" t="s">
        <v>1078</v>
      </c>
      <c r="G2885" s="340" t="s">
        <v>1649</v>
      </c>
      <c r="H2885" s="340"/>
      <c r="I2885" s="340" t="s">
        <v>740</v>
      </c>
      <c r="K2885" s="343">
        <v>129.9</v>
      </c>
      <c r="L2885" s="343">
        <v>0</v>
      </c>
      <c r="M2885" s="343">
        <v>-1291995.4099999999</v>
      </c>
      <c r="O2885" s="343">
        <v>0</v>
      </c>
    </row>
    <row r="2886" spans="1:15" x14ac:dyDescent="0.3">
      <c r="A2886" s="340" t="s">
        <v>891</v>
      </c>
      <c r="B2886" s="350">
        <v>46128</v>
      </c>
      <c r="C2886" s="350">
        <v>46128</v>
      </c>
      <c r="D2886" s="351">
        <v>46113</v>
      </c>
      <c r="E2886" s="340" t="s">
        <v>2805</v>
      </c>
      <c r="F2886" s="340" t="s">
        <v>1078</v>
      </c>
      <c r="G2886" s="340" t="s">
        <v>1650</v>
      </c>
      <c r="H2886" s="340"/>
      <c r="I2886" s="340" t="s">
        <v>740</v>
      </c>
      <c r="K2886" s="343">
        <v>770</v>
      </c>
      <c r="L2886" s="343">
        <v>0</v>
      </c>
      <c r="M2886" s="343">
        <v>-1291225.4099999999</v>
      </c>
      <c r="O2886" s="343">
        <v>0</v>
      </c>
    </row>
    <row r="2887" spans="1:15" x14ac:dyDescent="0.3">
      <c r="A2887" s="340" t="s">
        <v>891</v>
      </c>
      <c r="B2887" s="350">
        <v>46128</v>
      </c>
      <c r="C2887" s="350">
        <v>46128</v>
      </c>
      <c r="D2887" s="351">
        <v>46113</v>
      </c>
      <c r="E2887" s="340" t="s">
        <v>2805</v>
      </c>
      <c r="F2887" s="340" t="s">
        <v>1078</v>
      </c>
      <c r="G2887" s="340" t="s">
        <v>1652</v>
      </c>
      <c r="H2887" s="340"/>
      <c r="I2887" s="340" t="s">
        <v>740</v>
      </c>
      <c r="K2887" s="343">
        <v>260</v>
      </c>
      <c r="L2887" s="343">
        <v>0</v>
      </c>
      <c r="M2887" s="343">
        <v>-1290965.4099999999</v>
      </c>
      <c r="O2887" s="343">
        <v>0</v>
      </c>
    </row>
    <row r="2888" spans="1:15" x14ac:dyDescent="0.3">
      <c r="A2888" s="340" t="s">
        <v>891</v>
      </c>
      <c r="B2888" s="350">
        <v>46128</v>
      </c>
      <c r="C2888" s="350">
        <v>46128</v>
      </c>
      <c r="D2888" s="351">
        <v>46113</v>
      </c>
      <c r="E2888" s="340" t="s">
        <v>2805</v>
      </c>
      <c r="F2888" s="340" t="s">
        <v>1078</v>
      </c>
      <c r="G2888" s="340" t="s">
        <v>1653</v>
      </c>
      <c r="H2888" s="340"/>
      <c r="I2888" s="340" t="s">
        <v>740</v>
      </c>
      <c r="K2888" s="343">
        <v>150</v>
      </c>
      <c r="L2888" s="343">
        <v>0</v>
      </c>
      <c r="M2888" s="343">
        <v>-1290815.4099999999</v>
      </c>
      <c r="O2888" s="343">
        <v>0</v>
      </c>
    </row>
    <row r="2889" spans="1:15" x14ac:dyDescent="0.3">
      <c r="A2889" s="340" t="s">
        <v>891</v>
      </c>
      <c r="B2889" s="350">
        <v>46128</v>
      </c>
      <c r="C2889" s="350">
        <v>46128</v>
      </c>
      <c r="D2889" s="351">
        <v>46113</v>
      </c>
      <c r="E2889" s="340" t="s">
        <v>2805</v>
      </c>
      <c r="F2889" s="340" t="s">
        <v>1078</v>
      </c>
      <c r="G2889" s="340" t="s">
        <v>1655</v>
      </c>
      <c r="H2889" s="340"/>
      <c r="I2889" s="340" t="s">
        <v>740</v>
      </c>
      <c r="K2889" s="343">
        <v>870</v>
      </c>
      <c r="L2889" s="343">
        <v>0</v>
      </c>
      <c r="M2889" s="343">
        <v>-1289945.4099999999</v>
      </c>
      <c r="O2889" s="343">
        <v>0</v>
      </c>
    </row>
    <row r="2890" spans="1:15" x14ac:dyDescent="0.3">
      <c r="A2890" s="340" t="s">
        <v>891</v>
      </c>
      <c r="B2890" s="350">
        <v>46128</v>
      </c>
      <c r="C2890" s="350">
        <v>46128</v>
      </c>
      <c r="D2890" s="351">
        <v>46113</v>
      </c>
      <c r="E2890" s="340" t="s">
        <v>2805</v>
      </c>
      <c r="F2890" s="340" t="s">
        <v>1078</v>
      </c>
      <c r="G2890" s="340" t="s">
        <v>1699</v>
      </c>
      <c r="H2890" s="340"/>
      <c r="I2890" s="340" t="s">
        <v>740</v>
      </c>
      <c r="K2890" s="343">
        <v>324.75</v>
      </c>
      <c r="L2890" s="343">
        <v>0</v>
      </c>
      <c r="M2890" s="343">
        <v>-1289620.6599999999</v>
      </c>
      <c r="O2890" s="343">
        <v>0</v>
      </c>
    </row>
    <row r="2891" spans="1:15" x14ac:dyDescent="0.3">
      <c r="A2891" s="340" t="s">
        <v>891</v>
      </c>
      <c r="B2891" s="350">
        <v>46128</v>
      </c>
      <c r="C2891" s="350">
        <v>46128</v>
      </c>
      <c r="D2891" s="351">
        <v>46113</v>
      </c>
      <c r="E2891" s="340" t="s">
        <v>2805</v>
      </c>
      <c r="F2891" s="340" t="s">
        <v>1078</v>
      </c>
      <c r="G2891" s="340" t="s">
        <v>1688</v>
      </c>
      <c r="H2891" s="340"/>
      <c r="I2891" s="340" t="s">
        <v>740</v>
      </c>
      <c r="K2891" s="343">
        <v>64.95</v>
      </c>
      <c r="L2891" s="343">
        <v>0</v>
      </c>
      <c r="M2891" s="343">
        <v>-1289555.71</v>
      </c>
      <c r="O2891" s="343">
        <v>0</v>
      </c>
    </row>
    <row r="2892" spans="1:15" x14ac:dyDescent="0.3">
      <c r="A2892" s="340" t="s">
        <v>891</v>
      </c>
      <c r="B2892" s="350">
        <v>46128</v>
      </c>
      <c r="C2892" s="350">
        <v>46128</v>
      </c>
      <c r="D2892" s="351">
        <v>46113</v>
      </c>
      <c r="E2892" s="340" t="s">
        <v>2805</v>
      </c>
      <c r="F2892" s="340" t="s">
        <v>1078</v>
      </c>
      <c r="G2892" s="340" t="s">
        <v>1687</v>
      </c>
      <c r="H2892" s="340"/>
      <c r="I2892" s="340" t="s">
        <v>740</v>
      </c>
      <c r="K2892" s="343">
        <v>562.9</v>
      </c>
      <c r="L2892" s="343">
        <v>0</v>
      </c>
      <c r="M2892" s="343">
        <v>-1288992.81</v>
      </c>
      <c r="O2892" s="343">
        <v>0</v>
      </c>
    </row>
    <row r="2893" spans="1:15" x14ac:dyDescent="0.3">
      <c r="A2893" s="340" t="s">
        <v>891</v>
      </c>
      <c r="B2893" s="350">
        <v>46128</v>
      </c>
      <c r="C2893" s="350">
        <v>46128</v>
      </c>
      <c r="D2893" s="351">
        <v>46113</v>
      </c>
      <c r="E2893" s="340" t="s">
        <v>2805</v>
      </c>
      <c r="F2893" s="340" t="s">
        <v>1078</v>
      </c>
      <c r="G2893" s="340" t="s">
        <v>1688</v>
      </c>
      <c r="H2893" s="340"/>
      <c r="I2893" s="340" t="s">
        <v>740</v>
      </c>
      <c r="K2893" s="343">
        <v>64.95</v>
      </c>
      <c r="L2893" s="343">
        <v>0</v>
      </c>
      <c r="M2893" s="343">
        <v>-1288927.8600000001</v>
      </c>
      <c r="O2893" s="343">
        <v>0</v>
      </c>
    </row>
    <row r="2894" spans="1:15" x14ac:dyDescent="0.3">
      <c r="A2894" s="340" t="s">
        <v>891</v>
      </c>
      <c r="B2894" s="350">
        <v>46128</v>
      </c>
      <c r="C2894" s="350">
        <v>46128</v>
      </c>
      <c r="D2894" s="351">
        <v>46113</v>
      </c>
      <c r="E2894" s="340" t="s">
        <v>2806</v>
      </c>
      <c r="F2894" s="340" t="s">
        <v>1078</v>
      </c>
      <c r="G2894" s="340" t="s">
        <v>1514</v>
      </c>
      <c r="H2894" s="340"/>
      <c r="I2894" s="340" t="s">
        <v>745</v>
      </c>
      <c r="K2894" s="343">
        <v>315.82</v>
      </c>
      <c r="L2894" s="343">
        <v>0</v>
      </c>
      <c r="M2894" s="343">
        <v>-1288612.04</v>
      </c>
      <c r="O2894" s="343">
        <v>0</v>
      </c>
    </row>
    <row r="2895" spans="1:15" x14ac:dyDescent="0.3">
      <c r="A2895" s="340" t="s">
        <v>891</v>
      </c>
      <c r="B2895" s="350">
        <v>46128</v>
      </c>
      <c r="C2895" s="350">
        <v>46128</v>
      </c>
      <c r="D2895" s="351">
        <v>46113</v>
      </c>
      <c r="E2895" s="340" t="s">
        <v>2812</v>
      </c>
      <c r="F2895" s="340" t="s">
        <v>1078</v>
      </c>
      <c r="G2895" s="340" t="s">
        <v>1079</v>
      </c>
      <c r="H2895" s="340"/>
      <c r="I2895" s="340" t="s">
        <v>2813</v>
      </c>
      <c r="K2895" s="343">
        <v>125</v>
      </c>
      <c r="L2895" s="343">
        <v>0</v>
      </c>
      <c r="M2895" s="343">
        <v>-1288487.04</v>
      </c>
      <c r="O2895" s="343">
        <v>0</v>
      </c>
    </row>
    <row r="2896" spans="1:15" x14ac:dyDescent="0.3">
      <c r="A2896" s="340" t="s">
        <v>891</v>
      </c>
      <c r="B2896" s="350">
        <v>46128</v>
      </c>
      <c r="C2896" s="350">
        <v>46128</v>
      </c>
      <c r="D2896" s="351">
        <v>46113</v>
      </c>
      <c r="E2896" s="340" t="s">
        <v>2805</v>
      </c>
      <c r="F2896" s="340" t="s">
        <v>1078</v>
      </c>
      <c r="G2896" s="340" t="s">
        <v>1690</v>
      </c>
      <c r="H2896" s="340"/>
      <c r="I2896" s="340" t="s">
        <v>740</v>
      </c>
      <c r="K2896" s="343">
        <v>750</v>
      </c>
      <c r="L2896" s="343">
        <v>0</v>
      </c>
      <c r="M2896" s="343">
        <v>-1287737.04</v>
      </c>
      <c r="O2896" s="343">
        <v>0</v>
      </c>
    </row>
    <row r="2897" spans="1:15" x14ac:dyDescent="0.3">
      <c r="A2897" s="340" t="s">
        <v>891</v>
      </c>
      <c r="B2897" s="350">
        <v>46128</v>
      </c>
      <c r="C2897" s="350">
        <v>46128</v>
      </c>
      <c r="D2897" s="351">
        <v>46113</v>
      </c>
      <c r="E2897" s="340" t="s">
        <v>2805</v>
      </c>
      <c r="F2897" s="340" t="s">
        <v>1078</v>
      </c>
      <c r="G2897" s="340" t="s">
        <v>1692</v>
      </c>
      <c r="H2897" s="340"/>
      <c r="I2897" s="340" t="s">
        <v>740</v>
      </c>
      <c r="K2897" s="343">
        <v>520</v>
      </c>
      <c r="L2897" s="343">
        <v>0</v>
      </c>
      <c r="M2897" s="343">
        <v>-1287217.04</v>
      </c>
      <c r="O2897" s="343">
        <v>0</v>
      </c>
    </row>
    <row r="2898" spans="1:15" x14ac:dyDescent="0.3">
      <c r="A2898" s="340" t="s">
        <v>891</v>
      </c>
      <c r="B2898" s="350">
        <v>46128</v>
      </c>
      <c r="C2898" s="350">
        <v>46128</v>
      </c>
      <c r="D2898" s="351">
        <v>46113</v>
      </c>
      <c r="E2898" s="340" t="s">
        <v>2805</v>
      </c>
      <c r="F2898" s="340" t="s">
        <v>1078</v>
      </c>
      <c r="G2898" s="340" t="s">
        <v>1694</v>
      </c>
      <c r="H2898" s="340"/>
      <c r="I2898" s="340" t="s">
        <v>740</v>
      </c>
      <c r="K2898" s="343">
        <v>55</v>
      </c>
      <c r="L2898" s="343">
        <v>0</v>
      </c>
      <c r="M2898" s="343">
        <v>-1287162.04</v>
      </c>
      <c r="O2898" s="343">
        <v>0</v>
      </c>
    </row>
    <row r="2899" spans="1:15" x14ac:dyDescent="0.3">
      <c r="A2899" s="340" t="s">
        <v>891</v>
      </c>
      <c r="B2899" s="350">
        <v>46128</v>
      </c>
      <c r="C2899" s="350">
        <v>46128</v>
      </c>
      <c r="D2899" s="351">
        <v>46113</v>
      </c>
      <c r="E2899" s="340" t="s">
        <v>2805</v>
      </c>
      <c r="F2899" s="340" t="s">
        <v>1078</v>
      </c>
      <c r="G2899" s="340" t="s">
        <v>1701</v>
      </c>
      <c r="H2899" s="340"/>
      <c r="I2899" s="340" t="s">
        <v>740</v>
      </c>
      <c r="K2899" s="343">
        <v>48.71</v>
      </c>
      <c r="L2899" s="343">
        <v>0</v>
      </c>
      <c r="M2899" s="343">
        <v>-1287113.33</v>
      </c>
      <c r="O2899" s="343">
        <v>0</v>
      </c>
    </row>
    <row r="2900" spans="1:15" x14ac:dyDescent="0.3">
      <c r="A2900" s="340" t="s">
        <v>891</v>
      </c>
      <c r="B2900" s="350">
        <v>46128</v>
      </c>
      <c r="C2900" s="350">
        <v>46128</v>
      </c>
      <c r="D2900" s="351">
        <v>46113</v>
      </c>
      <c r="E2900" s="340" t="s">
        <v>2805</v>
      </c>
      <c r="F2900" s="340" t="s">
        <v>1078</v>
      </c>
      <c r="G2900" s="340" t="s">
        <v>1696</v>
      </c>
      <c r="H2900" s="340"/>
      <c r="I2900" s="340" t="s">
        <v>740</v>
      </c>
      <c r="K2900" s="343">
        <v>70.36</v>
      </c>
      <c r="L2900" s="343">
        <v>0</v>
      </c>
      <c r="M2900" s="343">
        <v>-1287042.97</v>
      </c>
      <c r="O2900" s="343">
        <v>0</v>
      </c>
    </row>
    <row r="2901" spans="1:15" x14ac:dyDescent="0.3">
      <c r="A2901" s="340" t="s">
        <v>891</v>
      </c>
      <c r="B2901" s="350">
        <v>46128</v>
      </c>
      <c r="C2901" s="350">
        <v>46128</v>
      </c>
      <c r="D2901" s="351">
        <v>46113</v>
      </c>
      <c r="E2901" s="340" t="s">
        <v>2806</v>
      </c>
      <c r="F2901" s="340" t="s">
        <v>1078</v>
      </c>
      <c r="G2901" s="340" t="s">
        <v>1515</v>
      </c>
      <c r="H2901" s="340"/>
      <c r="I2901" s="340" t="s">
        <v>745</v>
      </c>
      <c r="K2901" s="343">
        <v>23.69</v>
      </c>
      <c r="L2901" s="343">
        <v>0</v>
      </c>
      <c r="M2901" s="343">
        <v>-1287019.28</v>
      </c>
      <c r="O2901" s="343">
        <v>0</v>
      </c>
    </row>
    <row r="2902" spans="1:15" x14ac:dyDescent="0.3">
      <c r="A2902" s="340" t="s">
        <v>891</v>
      </c>
      <c r="B2902" s="350">
        <v>46128</v>
      </c>
      <c r="C2902" s="350">
        <v>46128</v>
      </c>
      <c r="D2902" s="351">
        <v>46113</v>
      </c>
      <c r="E2902" s="340" t="s">
        <v>2812</v>
      </c>
      <c r="F2902" s="340" t="s">
        <v>1078</v>
      </c>
      <c r="G2902" s="340" t="s">
        <v>1079</v>
      </c>
      <c r="H2902" s="340"/>
      <c r="I2902" s="340" t="s">
        <v>2813</v>
      </c>
      <c r="K2902" s="343">
        <v>710</v>
      </c>
      <c r="L2902" s="343">
        <v>0</v>
      </c>
      <c r="M2902" s="343">
        <v>-1286309.28</v>
      </c>
      <c r="O2902" s="343">
        <v>0</v>
      </c>
    </row>
    <row r="2903" spans="1:15" x14ac:dyDescent="0.3">
      <c r="A2903" s="340" t="s">
        <v>891</v>
      </c>
      <c r="B2903" s="350">
        <v>46128</v>
      </c>
      <c r="C2903" s="350">
        <v>46128</v>
      </c>
      <c r="D2903" s="351">
        <v>46113</v>
      </c>
      <c r="E2903" s="340" t="s">
        <v>2805</v>
      </c>
      <c r="F2903" s="340" t="s">
        <v>1078</v>
      </c>
      <c r="G2903" s="340" t="s">
        <v>1710</v>
      </c>
      <c r="H2903" s="340"/>
      <c r="I2903" s="340" t="s">
        <v>740</v>
      </c>
      <c r="K2903" s="343">
        <v>129.9</v>
      </c>
      <c r="L2903" s="343">
        <v>0</v>
      </c>
      <c r="M2903" s="343">
        <v>-1286179.3799999999</v>
      </c>
      <c r="O2903" s="343">
        <v>0</v>
      </c>
    </row>
    <row r="2904" spans="1:15" x14ac:dyDescent="0.3">
      <c r="A2904" s="340" t="s">
        <v>891</v>
      </c>
      <c r="B2904" s="350">
        <v>46128</v>
      </c>
      <c r="C2904" s="350">
        <v>46128</v>
      </c>
      <c r="D2904" s="351">
        <v>46113</v>
      </c>
      <c r="E2904" s="340" t="s">
        <v>2805</v>
      </c>
      <c r="F2904" s="340" t="s">
        <v>1078</v>
      </c>
      <c r="G2904" s="340" t="s">
        <v>1712</v>
      </c>
      <c r="H2904" s="340"/>
      <c r="I2904" s="340" t="s">
        <v>740</v>
      </c>
      <c r="K2904" s="343">
        <v>129.9</v>
      </c>
      <c r="L2904" s="343">
        <v>0</v>
      </c>
      <c r="M2904" s="343">
        <v>-1286049.48</v>
      </c>
      <c r="O2904" s="343">
        <v>0</v>
      </c>
    </row>
    <row r="2905" spans="1:15" x14ac:dyDescent="0.3">
      <c r="A2905" s="340" t="s">
        <v>891</v>
      </c>
      <c r="B2905" s="350">
        <v>46128</v>
      </c>
      <c r="C2905" s="350">
        <v>46128</v>
      </c>
      <c r="D2905" s="351">
        <v>46113</v>
      </c>
      <c r="E2905" s="340" t="s">
        <v>2805</v>
      </c>
      <c r="F2905" s="340" t="s">
        <v>1078</v>
      </c>
      <c r="G2905" s="340" t="s">
        <v>1714</v>
      </c>
      <c r="H2905" s="340"/>
      <c r="I2905" s="340" t="s">
        <v>740</v>
      </c>
      <c r="K2905" s="343">
        <v>129.9</v>
      </c>
      <c r="L2905" s="343">
        <v>0</v>
      </c>
      <c r="M2905" s="343">
        <v>-1285919.58</v>
      </c>
      <c r="O2905" s="343">
        <v>0</v>
      </c>
    </row>
    <row r="2906" spans="1:15" x14ac:dyDescent="0.3">
      <c r="A2906" s="340" t="s">
        <v>891</v>
      </c>
      <c r="B2906" s="350">
        <v>46128</v>
      </c>
      <c r="C2906" s="350">
        <v>46128</v>
      </c>
      <c r="D2906" s="351">
        <v>46113</v>
      </c>
      <c r="E2906" s="340" t="s">
        <v>2805</v>
      </c>
      <c r="F2906" s="340" t="s">
        <v>1078</v>
      </c>
      <c r="G2906" s="340" t="s">
        <v>1716</v>
      </c>
      <c r="H2906" s="340"/>
      <c r="I2906" s="340" t="s">
        <v>740</v>
      </c>
      <c r="K2906" s="343">
        <v>200.26</v>
      </c>
      <c r="L2906" s="343">
        <v>0</v>
      </c>
      <c r="M2906" s="343">
        <v>-1285719.32</v>
      </c>
      <c r="O2906" s="343">
        <v>0</v>
      </c>
    </row>
    <row r="2907" spans="1:15" x14ac:dyDescent="0.3">
      <c r="A2907" s="340" t="s">
        <v>891</v>
      </c>
      <c r="B2907" s="350">
        <v>46128</v>
      </c>
      <c r="C2907" s="350">
        <v>46128</v>
      </c>
      <c r="D2907" s="351">
        <v>46113</v>
      </c>
      <c r="E2907" s="340" t="s">
        <v>2805</v>
      </c>
      <c r="F2907" s="340" t="s">
        <v>1078</v>
      </c>
      <c r="G2907" s="340" t="s">
        <v>1718</v>
      </c>
      <c r="H2907" s="340"/>
      <c r="I2907" s="340" t="s">
        <v>740</v>
      </c>
      <c r="K2907" s="343">
        <v>487.13</v>
      </c>
      <c r="L2907" s="343">
        <v>0</v>
      </c>
      <c r="M2907" s="343">
        <v>-1285232.19</v>
      </c>
      <c r="O2907" s="343">
        <v>0</v>
      </c>
    </row>
    <row r="2908" spans="1:15" x14ac:dyDescent="0.3">
      <c r="A2908" s="340" t="s">
        <v>891</v>
      </c>
      <c r="B2908" s="350">
        <v>46128</v>
      </c>
      <c r="C2908" s="350">
        <v>46128</v>
      </c>
      <c r="D2908" s="351">
        <v>46113</v>
      </c>
      <c r="E2908" s="340" t="s">
        <v>2806</v>
      </c>
      <c r="F2908" s="340" t="s">
        <v>1078</v>
      </c>
      <c r="G2908" s="340" t="s">
        <v>1516</v>
      </c>
      <c r="H2908" s="340"/>
      <c r="I2908" s="340" t="s">
        <v>745</v>
      </c>
      <c r="K2908" s="343">
        <v>112.54</v>
      </c>
      <c r="L2908" s="343">
        <v>0</v>
      </c>
      <c r="M2908" s="343">
        <v>-1285119.6499999999</v>
      </c>
      <c r="O2908" s="343">
        <v>0</v>
      </c>
    </row>
    <row r="2909" spans="1:15" x14ac:dyDescent="0.3">
      <c r="A2909" s="340" t="s">
        <v>891</v>
      </c>
      <c r="B2909" s="350">
        <v>46128</v>
      </c>
      <c r="C2909" s="350">
        <v>46128</v>
      </c>
      <c r="D2909" s="351">
        <v>46113</v>
      </c>
      <c r="E2909" s="340" t="s">
        <v>2805</v>
      </c>
      <c r="F2909" s="340" t="s">
        <v>1078</v>
      </c>
      <c r="G2909" s="340" t="s">
        <v>1720</v>
      </c>
      <c r="H2909" s="340"/>
      <c r="I2909" s="340" t="s">
        <v>740</v>
      </c>
      <c r="K2909" s="343">
        <v>48.71</v>
      </c>
      <c r="L2909" s="343">
        <v>0</v>
      </c>
      <c r="M2909" s="343">
        <v>-1285070.94</v>
      </c>
      <c r="O2909" s="343">
        <v>0</v>
      </c>
    </row>
    <row r="2910" spans="1:15" x14ac:dyDescent="0.3">
      <c r="A2910" s="340" t="s">
        <v>891</v>
      </c>
      <c r="B2910" s="350">
        <v>46128</v>
      </c>
      <c r="C2910" s="350">
        <v>46128</v>
      </c>
      <c r="D2910" s="351">
        <v>46113</v>
      </c>
      <c r="E2910" s="340" t="s">
        <v>2805</v>
      </c>
      <c r="F2910" s="340" t="s">
        <v>1078</v>
      </c>
      <c r="G2910" s="340" t="s">
        <v>1722</v>
      </c>
      <c r="H2910" s="340"/>
      <c r="I2910" s="340" t="s">
        <v>740</v>
      </c>
      <c r="K2910" s="343">
        <v>146.13999999999999</v>
      </c>
      <c r="L2910" s="343">
        <v>0</v>
      </c>
      <c r="M2910" s="343">
        <v>-1284924.8</v>
      </c>
      <c r="O2910" s="343">
        <v>0</v>
      </c>
    </row>
    <row r="2911" spans="1:15" x14ac:dyDescent="0.3">
      <c r="A2911" s="340" t="s">
        <v>891</v>
      </c>
      <c r="B2911" s="350">
        <v>46128</v>
      </c>
      <c r="C2911" s="350">
        <v>46128</v>
      </c>
      <c r="D2911" s="351">
        <v>46113</v>
      </c>
      <c r="E2911" s="340" t="s">
        <v>2805</v>
      </c>
      <c r="F2911" s="340" t="s">
        <v>1078</v>
      </c>
      <c r="G2911" s="340" t="s">
        <v>1724</v>
      </c>
      <c r="H2911" s="340"/>
      <c r="I2911" s="340" t="s">
        <v>740</v>
      </c>
      <c r="K2911" s="343">
        <v>48.71</v>
      </c>
      <c r="L2911" s="343">
        <v>0</v>
      </c>
      <c r="M2911" s="343">
        <v>-1284876.0900000001</v>
      </c>
      <c r="O2911" s="343">
        <v>0</v>
      </c>
    </row>
    <row r="2912" spans="1:15" x14ac:dyDescent="0.3">
      <c r="A2912" s="340" t="s">
        <v>891</v>
      </c>
      <c r="B2912" s="350">
        <v>46128</v>
      </c>
      <c r="C2912" s="350">
        <v>46128</v>
      </c>
      <c r="D2912" s="351">
        <v>46113</v>
      </c>
      <c r="E2912" s="340" t="s">
        <v>2805</v>
      </c>
      <c r="F2912" s="340" t="s">
        <v>1078</v>
      </c>
      <c r="G2912" s="340" t="s">
        <v>1726</v>
      </c>
      <c r="H2912" s="340"/>
      <c r="I2912" s="340" t="s">
        <v>740</v>
      </c>
      <c r="K2912" s="343">
        <v>97.43</v>
      </c>
      <c r="L2912" s="343">
        <v>0</v>
      </c>
      <c r="M2912" s="343">
        <v>-1284778.6599999999</v>
      </c>
      <c r="O2912" s="343">
        <v>0</v>
      </c>
    </row>
    <row r="2913" spans="1:15" x14ac:dyDescent="0.3">
      <c r="A2913" s="340" t="s">
        <v>891</v>
      </c>
      <c r="B2913" s="350">
        <v>46128</v>
      </c>
      <c r="C2913" s="350">
        <v>46128</v>
      </c>
      <c r="D2913" s="351">
        <v>46113</v>
      </c>
      <c r="E2913" s="340" t="s">
        <v>2805</v>
      </c>
      <c r="F2913" s="340" t="s">
        <v>1078</v>
      </c>
      <c r="G2913" s="340" t="s">
        <v>1728</v>
      </c>
      <c r="H2913" s="340"/>
      <c r="I2913" s="340" t="s">
        <v>740</v>
      </c>
      <c r="K2913" s="343">
        <v>530</v>
      </c>
      <c r="L2913" s="343">
        <v>0</v>
      </c>
      <c r="M2913" s="343">
        <v>-1284248.6599999999</v>
      </c>
      <c r="O2913" s="343">
        <v>0</v>
      </c>
    </row>
    <row r="2914" spans="1:15" x14ac:dyDescent="0.3">
      <c r="A2914" s="340" t="s">
        <v>891</v>
      </c>
      <c r="B2914" s="350">
        <v>46128</v>
      </c>
      <c r="C2914" s="350">
        <v>46128</v>
      </c>
      <c r="D2914" s="351">
        <v>46113</v>
      </c>
      <c r="E2914" s="340" t="s">
        <v>2806</v>
      </c>
      <c r="F2914" s="340" t="s">
        <v>1078</v>
      </c>
      <c r="G2914" s="340" t="s">
        <v>1517</v>
      </c>
      <c r="H2914" s="340"/>
      <c r="I2914" s="340" t="s">
        <v>745</v>
      </c>
      <c r="K2914" s="343">
        <v>63.97</v>
      </c>
      <c r="L2914" s="343">
        <v>0</v>
      </c>
      <c r="M2914" s="343">
        <v>-1284184.69</v>
      </c>
      <c r="O2914" s="343">
        <v>0</v>
      </c>
    </row>
    <row r="2915" spans="1:15" x14ac:dyDescent="0.3">
      <c r="A2915" s="340" t="s">
        <v>891</v>
      </c>
      <c r="B2915" s="350">
        <v>46128</v>
      </c>
      <c r="C2915" s="350">
        <v>46128</v>
      </c>
      <c r="D2915" s="351">
        <v>46113</v>
      </c>
      <c r="E2915" s="340" t="s">
        <v>2806</v>
      </c>
      <c r="F2915" s="340" t="s">
        <v>1078</v>
      </c>
      <c r="G2915" s="340" t="s">
        <v>1518</v>
      </c>
      <c r="H2915" s="340"/>
      <c r="I2915" s="340" t="s">
        <v>745</v>
      </c>
      <c r="K2915" s="343">
        <v>65.069999999999993</v>
      </c>
      <c r="L2915" s="343">
        <v>0</v>
      </c>
      <c r="M2915" s="343">
        <v>-1284119.6200000001</v>
      </c>
      <c r="O2915" s="343">
        <v>0</v>
      </c>
    </row>
    <row r="2916" spans="1:15" x14ac:dyDescent="0.3">
      <c r="A2916" s="340" t="s">
        <v>891</v>
      </c>
      <c r="B2916" s="350">
        <v>46128</v>
      </c>
      <c r="C2916" s="350">
        <v>46128</v>
      </c>
      <c r="D2916" s="351">
        <v>46113</v>
      </c>
      <c r="E2916" s="340" t="s">
        <v>2805</v>
      </c>
      <c r="F2916" s="340" t="s">
        <v>1078</v>
      </c>
      <c r="G2916" s="340" t="s">
        <v>1730</v>
      </c>
      <c r="H2916" s="340"/>
      <c r="I2916" s="340" t="s">
        <v>740</v>
      </c>
      <c r="K2916" s="343">
        <v>295</v>
      </c>
      <c r="L2916" s="343">
        <v>0</v>
      </c>
      <c r="M2916" s="343">
        <v>-1283824.6200000001</v>
      </c>
      <c r="O2916" s="343">
        <v>0</v>
      </c>
    </row>
    <row r="2917" spans="1:15" x14ac:dyDescent="0.3">
      <c r="A2917" s="340" t="s">
        <v>891</v>
      </c>
      <c r="B2917" s="350">
        <v>46128</v>
      </c>
      <c r="C2917" s="350">
        <v>46128</v>
      </c>
      <c r="D2917" s="351">
        <v>46113</v>
      </c>
      <c r="E2917" s="340" t="s">
        <v>2805</v>
      </c>
      <c r="F2917" s="340" t="s">
        <v>1078</v>
      </c>
      <c r="G2917" s="340" t="s">
        <v>1732</v>
      </c>
      <c r="H2917" s="340"/>
      <c r="I2917" s="340" t="s">
        <v>740</v>
      </c>
      <c r="K2917" s="343">
        <v>178.61</v>
      </c>
      <c r="L2917" s="343">
        <v>0</v>
      </c>
      <c r="M2917" s="343">
        <v>-1283646.01</v>
      </c>
      <c r="O2917" s="343">
        <v>0</v>
      </c>
    </row>
    <row r="2918" spans="1:15" x14ac:dyDescent="0.3">
      <c r="A2918" s="340" t="s">
        <v>891</v>
      </c>
      <c r="B2918" s="350">
        <v>46128</v>
      </c>
      <c r="C2918" s="350">
        <v>46128</v>
      </c>
      <c r="D2918" s="351">
        <v>46113</v>
      </c>
      <c r="E2918" s="340" t="s">
        <v>2805</v>
      </c>
      <c r="F2918" s="340" t="s">
        <v>1078</v>
      </c>
      <c r="G2918" s="340" t="s">
        <v>1734</v>
      </c>
      <c r="H2918" s="340"/>
      <c r="I2918" s="340" t="s">
        <v>740</v>
      </c>
      <c r="K2918" s="343">
        <v>81.19</v>
      </c>
      <c r="L2918" s="343">
        <v>0</v>
      </c>
      <c r="M2918" s="343">
        <v>-1283564.82</v>
      </c>
      <c r="O2918" s="343">
        <v>0</v>
      </c>
    </row>
    <row r="2919" spans="1:15" x14ac:dyDescent="0.3">
      <c r="A2919" s="340" t="s">
        <v>891</v>
      </c>
      <c r="B2919" s="350">
        <v>46128</v>
      </c>
      <c r="C2919" s="350">
        <v>46128</v>
      </c>
      <c r="D2919" s="351">
        <v>46113</v>
      </c>
      <c r="E2919" s="340" t="s">
        <v>2805</v>
      </c>
      <c r="F2919" s="340" t="s">
        <v>1078</v>
      </c>
      <c r="G2919" s="340" t="s">
        <v>1736</v>
      </c>
      <c r="H2919" s="340"/>
      <c r="I2919" s="340" t="s">
        <v>740</v>
      </c>
      <c r="K2919" s="343">
        <v>129.9</v>
      </c>
      <c r="L2919" s="343">
        <v>0</v>
      </c>
      <c r="M2919" s="343">
        <v>-1283434.92</v>
      </c>
      <c r="O2919" s="343">
        <v>0</v>
      </c>
    </row>
    <row r="2920" spans="1:15" x14ac:dyDescent="0.3">
      <c r="A2920" s="340" t="s">
        <v>891</v>
      </c>
      <c r="B2920" s="350">
        <v>46128</v>
      </c>
      <c r="C2920" s="350">
        <v>46128</v>
      </c>
      <c r="D2920" s="351">
        <v>46113</v>
      </c>
      <c r="E2920" s="340" t="s">
        <v>2805</v>
      </c>
      <c r="F2920" s="340" t="s">
        <v>1078</v>
      </c>
      <c r="G2920" s="340" t="s">
        <v>1738</v>
      </c>
      <c r="H2920" s="340"/>
      <c r="I2920" s="340" t="s">
        <v>740</v>
      </c>
      <c r="K2920" s="343">
        <v>129.9</v>
      </c>
      <c r="L2920" s="343">
        <v>0</v>
      </c>
      <c r="M2920" s="343">
        <v>-1283305.02</v>
      </c>
      <c r="O2920" s="343">
        <v>0</v>
      </c>
    </row>
    <row r="2921" spans="1:15" x14ac:dyDescent="0.3">
      <c r="A2921" s="340" t="s">
        <v>891</v>
      </c>
      <c r="B2921" s="350">
        <v>46128</v>
      </c>
      <c r="C2921" s="350">
        <v>46128</v>
      </c>
      <c r="D2921" s="351">
        <v>46113</v>
      </c>
      <c r="E2921" s="340" t="s">
        <v>2806</v>
      </c>
      <c r="F2921" s="340" t="s">
        <v>1078</v>
      </c>
      <c r="G2921" s="340" t="s">
        <v>1519</v>
      </c>
      <c r="H2921" s="340"/>
      <c r="I2921" s="340" t="s">
        <v>745</v>
      </c>
      <c r="K2921" s="343">
        <v>175.87</v>
      </c>
      <c r="L2921" s="343">
        <v>0</v>
      </c>
      <c r="M2921" s="343">
        <v>-1283129.1499999999</v>
      </c>
      <c r="O2921" s="343">
        <v>0</v>
      </c>
    </row>
    <row r="2922" spans="1:15" x14ac:dyDescent="0.3">
      <c r="A2922" s="340" t="s">
        <v>891</v>
      </c>
      <c r="B2922" s="350">
        <v>46128</v>
      </c>
      <c r="C2922" s="350">
        <v>46128</v>
      </c>
      <c r="D2922" s="351">
        <v>46113</v>
      </c>
      <c r="E2922" s="340" t="s">
        <v>2805</v>
      </c>
      <c r="F2922" s="340" t="s">
        <v>1078</v>
      </c>
      <c r="G2922" s="340" t="s">
        <v>1740</v>
      </c>
      <c r="H2922" s="340"/>
      <c r="I2922" s="340" t="s">
        <v>740</v>
      </c>
      <c r="K2922" s="343">
        <v>185</v>
      </c>
      <c r="L2922" s="343">
        <v>0</v>
      </c>
      <c r="M2922" s="343">
        <v>-1282944.1499999999</v>
      </c>
      <c r="O2922" s="343">
        <v>0</v>
      </c>
    </row>
    <row r="2923" spans="1:15" x14ac:dyDescent="0.3">
      <c r="A2923" s="340" t="s">
        <v>891</v>
      </c>
      <c r="B2923" s="350">
        <v>46128</v>
      </c>
      <c r="C2923" s="350">
        <v>46128</v>
      </c>
      <c r="D2923" s="351">
        <v>46113</v>
      </c>
      <c r="E2923" s="340" t="s">
        <v>2805</v>
      </c>
      <c r="F2923" s="340" t="s">
        <v>1078</v>
      </c>
      <c r="G2923" s="340" t="s">
        <v>1741</v>
      </c>
      <c r="H2923" s="340"/>
      <c r="I2923" s="340" t="s">
        <v>740</v>
      </c>
      <c r="K2923" s="343">
        <v>520</v>
      </c>
      <c r="L2923" s="343">
        <v>0</v>
      </c>
      <c r="M2923" s="343">
        <v>-1282424.1499999999</v>
      </c>
      <c r="O2923" s="343">
        <v>0</v>
      </c>
    </row>
    <row r="2924" spans="1:15" x14ac:dyDescent="0.3">
      <c r="A2924" s="340" t="s">
        <v>891</v>
      </c>
      <c r="B2924" s="350">
        <v>46128</v>
      </c>
      <c r="C2924" s="350">
        <v>46128</v>
      </c>
      <c r="D2924" s="351">
        <v>46113</v>
      </c>
      <c r="E2924" s="340" t="s">
        <v>2805</v>
      </c>
      <c r="F2924" s="340" t="s">
        <v>1078</v>
      </c>
      <c r="G2924" s="340" t="s">
        <v>1751</v>
      </c>
      <c r="H2924" s="340"/>
      <c r="I2924" s="340" t="s">
        <v>740</v>
      </c>
      <c r="K2924" s="343">
        <v>305</v>
      </c>
      <c r="L2924" s="343">
        <v>0</v>
      </c>
      <c r="M2924" s="343">
        <v>-1282119.1499999999</v>
      </c>
      <c r="O2924" s="343">
        <v>0</v>
      </c>
    </row>
    <row r="2925" spans="1:15" x14ac:dyDescent="0.3">
      <c r="A2925" s="340" t="s">
        <v>891</v>
      </c>
      <c r="B2925" s="350">
        <v>46128</v>
      </c>
      <c r="C2925" s="350">
        <v>46128</v>
      </c>
      <c r="D2925" s="351">
        <v>46113</v>
      </c>
      <c r="E2925" s="340" t="s">
        <v>2805</v>
      </c>
      <c r="F2925" s="340" t="s">
        <v>1078</v>
      </c>
      <c r="G2925" s="340" t="s">
        <v>1753</v>
      </c>
      <c r="H2925" s="340"/>
      <c r="I2925" s="340" t="s">
        <v>740</v>
      </c>
      <c r="K2925" s="343">
        <v>520</v>
      </c>
      <c r="L2925" s="343">
        <v>0</v>
      </c>
      <c r="M2925" s="343">
        <v>-1281599.1499999999</v>
      </c>
      <c r="O2925" s="343">
        <v>0</v>
      </c>
    </row>
    <row r="2926" spans="1:15" x14ac:dyDescent="0.3">
      <c r="A2926" s="340" t="s">
        <v>891</v>
      </c>
      <c r="B2926" s="350">
        <v>46128</v>
      </c>
      <c r="C2926" s="350">
        <v>46128</v>
      </c>
      <c r="D2926" s="351">
        <v>46113</v>
      </c>
      <c r="E2926" s="340" t="s">
        <v>2805</v>
      </c>
      <c r="F2926" s="340" t="s">
        <v>1078</v>
      </c>
      <c r="G2926" s="340" t="s">
        <v>1754</v>
      </c>
      <c r="H2926" s="340"/>
      <c r="I2926" s="340" t="s">
        <v>740</v>
      </c>
      <c r="K2926" s="343">
        <v>520</v>
      </c>
      <c r="L2926" s="343">
        <v>0</v>
      </c>
      <c r="M2926" s="343">
        <v>-1281079.1499999999</v>
      </c>
      <c r="O2926" s="343">
        <v>0</v>
      </c>
    </row>
    <row r="2927" spans="1:15" x14ac:dyDescent="0.3">
      <c r="A2927" s="340" t="s">
        <v>891</v>
      </c>
      <c r="B2927" s="350">
        <v>46128</v>
      </c>
      <c r="C2927" s="350">
        <v>46128</v>
      </c>
      <c r="D2927" s="351">
        <v>46113</v>
      </c>
      <c r="E2927" s="340" t="s">
        <v>2806</v>
      </c>
      <c r="F2927" s="340" t="s">
        <v>1078</v>
      </c>
      <c r="G2927" s="340" t="s">
        <v>1520</v>
      </c>
      <c r="H2927" s="340"/>
      <c r="I2927" s="340" t="s">
        <v>745</v>
      </c>
      <c r="K2927" s="343">
        <v>160.18</v>
      </c>
      <c r="L2927" s="343">
        <v>0</v>
      </c>
      <c r="M2927" s="343">
        <v>-1280918.97</v>
      </c>
      <c r="O2927" s="343">
        <v>0</v>
      </c>
    </row>
    <row r="2928" spans="1:15" x14ac:dyDescent="0.3">
      <c r="A2928" s="340" t="s">
        <v>891</v>
      </c>
      <c r="B2928" s="350">
        <v>46128</v>
      </c>
      <c r="C2928" s="350">
        <v>46128</v>
      </c>
      <c r="D2928" s="351">
        <v>46113</v>
      </c>
      <c r="E2928" s="340" t="s">
        <v>2812</v>
      </c>
      <c r="F2928" s="340" t="s">
        <v>1078</v>
      </c>
      <c r="G2928" s="340" t="s">
        <v>1079</v>
      </c>
      <c r="H2928" s="340"/>
      <c r="I2928" s="340" t="s">
        <v>2813</v>
      </c>
      <c r="K2928" s="343">
        <v>1220</v>
      </c>
      <c r="L2928" s="343">
        <v>0</v>
      </c>
      <c r="M2928" s="343">
        <v>-1279698.97</v>
      </c>
      <c r="O2928" s="343">
        <v>0</v>
      </c>
    </row>
    <row r="2929" spans="1:15" x14ac:dyDescent="0.3">
      <c r="A2929" s="340" t="s">
        <v>891</v>
      </c>
      <c r="B2929" s="350">
        <v>46128</v>
      </c>
      <c r="C2929" s="350">
        <v>46128</v>
      </c>
      <c r="D2929" s="351">
        <v>46113</v>
      </c>
      <c r="E2929" s="340" t="s">
        <v>2805</v>
      </c>
      <c r="F2929" s="340" t="s">
        <v>1078</v>
      </c>
      <c r="G2929" s="340" t="s">
        <v>1756</v>
      </c>
      <c r="H2929" s="340"/>
      <c r="I2929" s="340" t="s">
        <v>740</v>
      </c>
      <c r="K2929" s="343">
        <v>520</v>
      </c>
      <c r="L2929" s="343">
        <v>0</v>
      </c>
      <c r="M2929" s="343">
        <v>-1279178.97</v>
      </c>
      <c r="O2929" s="343">
        <v>0</v>
      </c>
    </row>
    <row r="2930" spans="1:15" x14ac:dyDescent="0.3">
      <c r="A2930" s="340" t="s">
        <v>891</v>
      </c>
      <c r="B2930" s="350">
        <v>46128</v>
      </c>
      <c r="C2930" s="350">
        <v>46128</v>
      </c>
      <c r="D2930" s="351">
        <v>46113</v>
      </c>
      <c r="E2930" s="340" t="s">
        <v>2805</v>
      </c>
      <c r="F2930" s="340" t="s">
        <v>1078</v>
      </c>
      <c r="G2930" s="340" t="s">
        <v>1758</v>
      </c>
      <c r="H2930" s="340"/>
      <c r="I2930" s="340" t="s">
        <v>740</v>
      </c>
      <c r="K2930" s="343">
        <v>119.08</v>
      </c>
      <c r="L2930" s="343">
        <v>0</v>
      </c>
      <c r="M2930" s="343">
        <v>-1279059.8899999999</v>
      </c>
      <c r="O2930" s="343">
        <v>0</v>
      </c>
    </row>
    <row r="2931" spans="1:15" x14ac:dyDescent="0.3">
      <c r="A2931" s="340" t="s">
        <v>891</v>
      </c>
      <c r="B2931" s="350">
        <v>46128</v>
      </c>
      <c r="C2931" s="350">
        <v>46128</v>
      </c>
      <c r="D2931" s="351">
        <v>46113</v>
      </c>
      <c r="E2931" s="340" t="s">
        <v>2805</v>
      </c>
      <c r="F2931" s="340" t="s">
        <v>1078</v>
      </c>
      <c r="G2931" s="340" t="s">
        <v>1759</v>
      </c>
      <c r="H2931" s="340"/>
      <c r="I2931" s="340" t="s">
        <v>740</v>
      </c>
      <c r="K2931" s="343">
        <v>119.08</v>
      </c>
      <c r="L2931" s="343">
        <v>0</v>
      </c>
      <c r="M2931" s="343">
        <v>-1278940.81</v>
      </c>
      <c r="O2931" s="343">
        <v>0</v>
      </c>
    </row>
    <row r="2932" spans="1:15" x14ac:dyDescent="0.3">
      <c r="A2932" s="340" t="s">
        <v>891</v>
      </c>
      <c r="B2932" s="350">
        <v>46128</v>
      </c>
      <c r="C2932" s="350">
        <v>46128</v>
      </c>
      <c r="D2932" s="351">
        <v>46113</v>
      </c>
      <c r="E2932" s="340" t="s">
        <v>2805</v>
      </c>
      <c r="F2932" s="340" t="s">
        <v>1078</v>
      </c>
      <c r="G2932" s="340" t="s">
        <v>1760</v>
      </c>
      <c r="H2932" s="340"/>
      <c r="I2932" s="340" t="s">
        <v>740</v>
      </c>
      <c r="K2932" s="343">
        <v>129.9</v>
      </c>
      <c r="L2932" s="343">
        <v>0</v>
      </c>
      <c r="M2932" s="343">
        <v>-1278810.9099999999</v>
      </c>
      <c r="O2932" s="343">
        <v>0</v>
      </c>
    </row>
    <row r="2933" spans="1:15" x14ac:dyDescent="0.3">
      <c r="A2933" s="340" t="s">
        <v>891</v>
      </c>
      <c r="B2933" s="350">
        <v>46128</v>
      </c>
      <c r="C2933" s="350">
        <v>46128</v>
      </c>
      <c r="D2933" s="351">
        <v>46113</v>
      </c>
      <c r="E2933" s="340" t="s">
        <v>2805</v>
      </c>
      <c r="F2933" s="340" t="s">
        <v>1078</v>
      </c>
      <c r="G2933" s="340" t="s">
        <v>1761</v>
      </c>
      <c r="H2933" s="340"/>
      <c r="I2933" s="340" t="s">
        <v>740</v>
      </c>
      <c r="K2933" s="343">
        <v>129.9</v>
      </c>
      <c r="L2933" s="343">
        <v>0</v>
      </c>
      <c r="M2933" s="343">
        <v>-1278681.01</v>
      </c>
      <c r="O2933" s="343">
        <v>0</v>
      </c>
    </row>
    <row r="2934" spans="1:15" x14ac:dyDescent="0.3">
      <c r="A2934" s="340" t="s">
        <v>891</v>
      </c>
      <c r="B2934" s="350">
        <v>46128</v>
      </c>
      <c r="C2934" s="350">
        <v>46128</v>
      </c>
      <c r="D2934" s="351">
        <v>46113</v>
      </c>
      <c r="E2934" s="340" t="s">
        <v>2805</v>
      </c>
      <c r="F2934" s="340" t="s">
        <v>1078</v>
      </c>
      <c r="G2934" s="340" t="s">
        <v>1762</v>
      </c>
      <c r="H2934" s="340"/>
      <c r="I2934" s="340" t="s">
        <v>740</v>
      </c>
      <c r="K2934" s="343">
        <v>129.9</v>
      </c>
      <c r="L2934" s="343">
        <v>0</v>
      </c>
      <c r="M2934" s="343">
        <v>-1278551.1100000001</v>
      </c>
      <c r="O2934" s="343">
        <v>0</v>
      </c>
    </row>
    <row r="2935" spans="1:15" x14ac:dyDescent="0.3">
      <c r="A2935" s="340" t="s">
        <v>891</v>
      </c>
      <c r="B2935" s="350">
        <v>46128</v>
      </c>
      <c r="C2935" s="350">
        <v>46128</v>
      </c>
      <c r="D2935" s="351">
        <v>46113</v>
      </c>
      <c r="E2935" s="340" t="s">
        <v>2805</v>
      </c>
      <c r="F2935" s="340" t="s">
        <v>1078</v>
      </c>
      <c r="G2935" s="340" t="s">
        <v>1763</v>
      </c>
      <c r="H2935" s="340"/>
      <c r="I2935" s="340" t="s">
        <v>740</v>
      </c>
      <c r="K2935" s="343">
        <v>119.07</v>
      </c>
      <c r="L2935" s="343">
        <v>0</v>
      </c>
      <c r="M2935" s="343">
        <v>-1278432.04</v>
      </c>
      <c r="O2935" s="343">
        <v>0</v>
      </c>
    </row>
    <row r="2936" spans="1:15" x14ac:dyDescent="0.3">
      <c r="A2936" s="340" t="s">
        <v>891</v>
      </c>
      <c r="B2936" s="350">
        <v>46128</v>
      </c>
      <c r="C2936" s="350">
        <v>46128</v>
      </c>
      <c r="D2936" s="351">
        <v>46113</v>
      </c>
      <c r="E2936" s="340" t="s">
        <v>2805</v>
      </c>
      <c r="F2936" s="340" t="s">
        <v>1078</v>
      </c>
      <c r="G2936" s="340" t="s">
        <v>1765</v>
      </c>
      <c r="H2936" s="340"/>
      <c r="I2936" s="340" t="s">
        <v>740</v>
      </c>
      <c r="K2936" s="343">
        <v>129.9</v>
      </c>
      <c r="L2936" s="343">
        <v>0</v>
      </c>
      <c r="M2936" s="343">
        <v>-1278302.1399999999</v>
      </c>
      <c r="O2936" s="343">
        <v>0</v>
      </c>
    </row>
    <row r="2937" spans="1:15" x14ac:dyDescent="0.3">
      <c r="A2937" s="340" t="s">
        <v>891</v>
      </c>
      <c r="B2937" s="350">
        <v>46128</v>
      </c>
      <c r="C2937" s="350">
        <v>46128</v>
      </c>
      <c r="D2937" s="351">
        <v>46113</v>
      </c>
      <c r="E2937" s="340" t="s">
        <v>2805</v>
      </c>
      <c r="F2937" s="340" t="s">
        <v>1078</v>
      </c>
      <c r="G2937" s="340" t="s">
        <v>1767</v>
      </c>
      <c r="H2937" s="340"/>
      <c r="I2937" s="340" t="s">
        <v>740</v>
      </c>
      <c r="K2937" s="343">
        <v>178.61</v>
      </c>
      <c r="L2937" s="343">
        <v>0</v>
      </c>
      <c r="M2937" s="343">
        <v>-1278123.53</v>
      </c>
      <c r="O2937" s="343">
        <v>0</v>
      </c>
    </row>
    <row r="2938" spans="1:15" x14ac:dyDescent="0.3">
      <c r="A2938" s="340" t="s">
        <v>891</v>
      </c>
      <c r="B2938" s="350">
        <v>46128</v>
      </c>
      <c r="C2938" s="350">
        <v>46128</v>
      </c>
      <c r="D2938" s="351">
        <v>46113</v>
      </c>
      <c r="E2938" s="340" t="s">
        <v>2805</v>
      </c>
      <c r="F2938" s="340" t="s">
        <v>1078</v>
      </c>
      <c r="G2938" s="340" t="s">
        <v>1769</v>
      </c>
      <c r="H2938" s="340"/>
      <c r="I2938" s="340" t="s">
        <v>740</v>
      </c>
      <c r="K2938" s="343">
        <v>156.96</v>
      </c>
      <c r="L2938" s="343">
        <v>0</v>
      </c>
      <c r="M2938" s="343">
        <v>-1277966.57</v>
      </c>
      <c r="O2938" s="343">
        <v>0</v>
      </c>
    </row>
    <row r="2939" spans="1:15" x14ac:dyDescent="0.3">
      <c r="A2939" s="340" t="s">
        <v>891</v>
      </c>
      <c r="B2939" s="350">
        <v>46128</v>
      </c>
      <c r="C2939" s="350">
        <v>46128</v>
      </c>
      <c r="D2939" s="351">
        <v>46113</v>
      </c>
      <c r="E2939" s="340" t="s">
        <v>2805</v>
      </c>
      <c r="F2939" s="340" t="s">
        <v>1078</v>
      </c>
      <c r="G2939" s="340" t="s">
        <v>1771</v>
      </c>
      <c r="H2939" s="340"/>
      <c r="I2939" s="340" t="s">
        <v>740</v>
      </c>
      <c r="K2939" s="343">
        <v>765</v>
      </c>
      <c r="L2939" s="343">
        <v>0</v>
      </c>
      <c r="M2939" s="343">
        <v>-1277201.57</v>
      </c>
      <c r="O2939" s="343">
        <v>0</v>
      </c>
    </row>
    <row r="2940" spans="1:15" x14ac:dyDescent="0.3">
      <c r="A2940" s="340" t="s">
        <v>891</v>
      </c>
      <c r="B2940" s="350">
        <v>46128</v>
      </c>
      <c r="C2940" s="350">
        <v>46128</v>
      </c>
      <c r="D2940" s="351">
        <v>46113</v>
      </c>
      <c r="E2940" s="340" t="s">
        <v>2806</v>
      </c>
      <c r="F2940" s="340" t="s">
        <v>1078</v>
      </c>
      <c r="G2940" s="340" t="s">
        <v>1541</v>
      </c>
      <c r="H2940" s="340"/>
      <c r="I2940" s="340" t="s">
        <v>745</v>
      </c>
      <c r="K2940" s="343">
        <v>122.9</v>
      </c>
      <c r="L2940" s="343">
        <v>0</v>
      </c>
      <c r="M2940" s="343">
        <v>-1277078.67</v>
      </c>
      <c r="O2940" s="343">
        <v>0</v>
      </c>
    </row>
    <row r="2941" spans="1:15" x14ac:dyDescent="0.3">
      <c r="A2941" s="340" t="s">
        <v>891</v>
      </c>
      <c r="B2941" s="350">
        <v>46128</v>
      </c>
      <c r="C2941" s="350">
        <v>46128</v>
      </c>
      <c r="D2941" s="351">
        <v>46113</v>
      </c>
      <c r="E2941" s="340" t="s">
        <v>2805</v>
      </c>
      <c r="F2941" s="340" t="s">
        <v>1078</v>
      </c>
      <c r="G2941" s="340" t="s">
        <v>1773</v>
      </c>
      <c r="H2941" s="340"/>
      <c r="I2941" s="340" t="s">
        <v>740</v>
      </c>
      <c r="K2941" s="343">
        <v>200.26</v>
      </c>
      <c r="L2941" s="343">
        <v>0</v>
      </c>
      <c r="M2941" s="343">
        <v>-1276878.4099999999</v>
      </c>
      <c r="O2941" s="343">
        <v>0</v>
      </c>
    </row>
    <row r="2942" spans="1:15" x14ac:dyDescent="0.3">
      <c r="A2942" s="340" t="s">
        <v>891</v>
      </c>
      <c r="B2942" s="350">
        <v>46128</v>
      </c>
      <c r="C2942" s="350">
        <v>46128</v>
      </c>
      <c r="D2942" s="351">
        <v>46113</v>
      </c>
      <c r="E2942" s="340" t="s">
        <v>2805</v>
      </c>
      <c r="F2942" s="340" t="s">
        <v>1078</v>
      </c>
      <c r="G2942" s="340" t="s">
        <v>1775</v>
      </c>
      <c r="H2942" s="340"/>
      <c r="I2942" s="340" t="s">
        <v>740</v>
      </c>
      <c r="K2942" s="343">
        <v>92.01</v>
      </c>
      <c r="L2942" s="343">
        <v>0</v>
      </c>
      <c r="M2942" s="343">
        <v>-1276786.3999999999</v>
      </c>
      <c r="O2942" s="343">
        <v>0</v>
      </c>
    </row>
    <row r="2943" spans="1:15" x14ac:dyDescent="0.3">
      <c r="A2943" s="340" t="s">
        <v>891</v>
      </c>
      <c r="B2943" s="350">
        <v>46128</v>
      </c>
      <c r="C2943" s="350">
        <v>46128</v>
      </c>
      <c r="D2943" s="351">
        <v>46113</v>
      </c>
      <c r="E2943" s="340" t="s">
        <v>2805</v>
      </c>
      <c r="F2943" s="340" t="s">
        <v>1078</v>
      </c>
      <c r="G2943" s="340" t="s">
        <v>1777</v>
      </c>
      <c r="H2943" s="340"/>
      <c r="I2943" s="340" t="s">
        <v>740</v>
      </c>
      <c r="K2943" s="343">
        <v>129.9</v>
      </c>
      <c r="L2943" s="343">
        <v>0</v>
      </c>
      <c r="M2943" s="343">
        <v>-1276656.5</v>
      </c>
      <c r="O2943" s="343">
        <v>0</v>
      </c>
    </row>
    <row r="2944" spans="1:15" x14ac:dyDescent="0.3">
      <c r="A2944" s="340" t="s">
        <v>891</v>
      </c>
      <c r="B2944" s="350">
        <v>46128</v>
      </c>
      <c r="C2944" s="350">
        <v>46128</v>
      </c>
      <c r="D2944" s="351">
        <v>46113</v>
      </c>
      <c r="E2944" s="340" t="s">
        <v>2805</v>
      </c>
      <c r="F2944" s="340" t="s">
        <v>1078</v>
      </c>
      <c r="G2944" s="340" t="s">
        <v>1779</v>
      </c>
      <c r="H2944" s="340"/>
      <c r="I2944" s="340" t="s">
        <v>740</v>
      </c>
      <c r="K2944" s="343">
        <v>167.79</v>
      </c>
      <c r="L2944" s="343">
        <v>0</v>
      </c>
      <c r="M2944" s="343">
        <v>-1276488.71</v>
      </c>
      <c r="O2944" s="343">
        <v>0</v>
      </c>
    </row>
    <row r="2945" spans="1:15" x14ac:dyDescent="0.3">
      <c r="A2945" s="340" t="s">
        <v>891</v>
      </c>
      <c r="B2945" s="350">
        <v>46128</v>
      </c>
      <c r="C2945" s="350">
        <v>46128</v>
      </c>
      <c r="D2945" s="351">
        <v>46113</v>
      </c>
      <c r="E2945" s="340" t="s">
        <v>2805</v>
      </c>
      <c r="F2945" s="340" t="s">
        <v>1078</v>
      </c>
      <c r="G2945" s="340" t="s">
        <v>1781</v>
      </c>
      <c r="H2945" s="340"/>
      <c r="I2945" s="340" t="s">
        <v>740</v>
      </c>
      <c r="K2945" s="343">
        <v>178.61</v>
      </c>
      <c r="L2945" s="343">
        <v>0</v>
      </c>
      <c r="M2945" s="343">
        <v>-1276310.1000000001</v>
      </c>
      <c r="O2945" s="343">
        <v>0</v>
      </c>
    </row>
    <row r="2946" spans="1:15" x14ac:dyDescent="0.3">
      <c r="A2946" s="340" t="s">
        <v>891</v>
      </c>
      <c r="B2946" s="350">
        <v>46128</v>
      </c>
      <c r="C2946" s="350">
        <v>46128</v>
      </c>
      <c r="D2946" s="351">
        <v>46113</v>
      </c>
      <c r="E2946" s="340" t="s">
        <v>2806</v>
      </c>
      <c r="F2946" s="340" t="s">
        <v>1078</v>
      </c>
      <c r="G2946" s="340" t="s">
        <v>1194</v>
      </c>
      <c r="H2946" s="340"/>
      <c r="I2946" s="340" t="s">
        <v>745</v>
      </c>
      <c r="K2946" s="343">
        <v>85.75</v>
      </c>
      <c r="L2946" s="343">
        <v>0</v>
      </c>
      <c r="M2946" s="343">
        <v>-1276224.3500000001</v>
      </c>
      <c r="O2946" s="343">
        <v>0</v>
      </c>
    </row>
    <row r="2947" spans="1:15" x14ac:dyDescent="0.3">
      <c r="A2947" s="340" t="s">
        <v>891</v>
      </c>
      <c r="B2947" s="350">
        <v>46128</v>
      </c>
      <c r="C2947" s="350">
        <v>46128</v>
      </c>
      <c r="D2947" s="351">
        <v>46113</v>
      </c>
      <c r="E2947" s="340" t="s">
        <v>2805</v>
      </c>
      <c r="F2947" s="340" t="s">
        <v>1078</v>
      </c>
      <c r="G2947" s="340" t="s">
        <v>1660</v>
      </c>
      <c r="H2947" s="340"/>
      <c r="I2947" s="340" t="s">
        <v>740</v>
      </c>
      <c r="K2947" s="343">
        <v>750</v>
      </c>
      <c r="L2947" s="343">
        <v>0</v>
      </c>
      <c r="M2947" s="343">
        <v>-1275474.3500000001</v>
      </c>
      <c r="O2947" s="343">
        <v>0</v>
      </c>
    </row>
    <row r="2948" spans="1:15" x14ac:dyDescent="0.3">
      <c r="A2948" s="340" t="s">
        <v>891</v>
      </c>
      <c r="B2948" s="350">
        <v>46128</v>
      </c>
      <c r="C2948" s="350">
        <v>46128</v>
      </c>
      <c r="D2948" s="351">
        <v>46113</v>
      </c>
      <c r="E2948" s="340" t="s">
        <v>2805</v>
      </c>
      <c r="F2948" s="340" t="s">
        <v>1078</v>
      </c>
      <c r="G2948" s="340" t="s">
        <v>1317</v>
      </c>
      <c r="H2948" s="340"/>
      <c r="I2948" s="340" t="s">
        <v>740</v>
      </c>
      <c r="K2948" s="343">
        <v>248.98</v>
      </c>
      <c r="L2948" s="343">
        <v>0</v>
      </c>
      <c r="M2948" s="343">
        <v>-1275225.3700000001</v>
      </c>
      <c r="O2948" s="343">
        <v>0</v>
      </c>
    </row>
    <row r="2949" spans="1:15" x14ac:dyDescent="0.3">
      <c r="A2949" s="340" t="s">
        <v>891</v>
      </c>
      <c r="B2949" s="350">
        <v>46128</v>
      </c>
      <c r="C2949" s="350">
        <v>46128</v>
      </c>
      <c r="D2949" s="351">
        <v>46113</v>
      </c>
      <c r="E2949" s="340" t="s">
        <v>2805</v>
      </c>
      <c r="F2949" s="340" t="s">
        <v>1078</v>
      </c>
      <c r="G2949" s="340" t="s">
        <v>1748</v>
      </c>
      <c r="H2949" s="340"/>
      <c r="I2949" s="340" t="s">
        <v>740</v>
      </c>
      <c r="K2949" s="343">
        <v>497.95</v>
      </c>
      <c r="L2949" s="343">
        <v>0</v>
      </c>
      <c r="M2949" s="343">
        <v>-1274727.42</v>
      </c>
      <c r="O2949" s="343">
        <v>0</v>
      </c>
    </row>
    <row r="2950" spans="1:15" x14ac:dyDescent="0.3">
      <c r="A2950" s="340" t="s">
        <v>891</v>
      </c>
      <c r="B2950" s="350">
        <v>46128</v>
      </c>
      <c r="C2950" s="350">
        <v>46128</v>
      </c>
      <c r="D2950" s="351">
        <v>46113</v>
      </c>
      <c r="E2950" s="340" t="s">
        <v>2805</v>
      </c>
      <c r="F2950" s="340" t="s">
        <v>1078</v>
      </c>
      <c r="G2950" s="340" t="s">
        <v>1366</v>
      </c>
      <c r="H2950" s="340"/>
      <c r="I2950" s="340" t="s">
        <v>740</v>
      </c>
      <c r="K2950" s="343">
        <v>880</v>
      </c>
      <c r="L2950" s="343">
        <v>0</v>
      </c>
      <c r="M2950" s="343">
        <v>-1273847.42</v>
      </c>
      <c r="O2950" s="343">
        <v>0</v>
      </c>
    </row>
    <row r="2951" spans="1:15" x14ac:dyDescent="0.3">
      <c r="A2951" s="340" t="s">
        <v>891</v>
      </c>
      <c r="B2951" s="350">
        <v>46128</v>
      </c>
      <c r="C2951" s="350">
        <v>46128</v>
      </c>
      <c r="D2951" s="351">
        <v>46113</v>
      </c>
      <c r="E2951" s="340" t="s">
        <v>2805</v>
      </c>
      <c r="F2951" s="340" t="s">
        <v>1078</v>
      </c>
      <c r="G2951" s="340" t="s">
        <v>1749</v>
      </c>
      <c r="H2951" s="340"/>
      <c r="I2951" s="340" t="s">
        <v>740</v>
      </c>
      <c r="K2951" s="343">
        <v>445</v>
      </c>
      <c r="L2951" s="343">
        <v>0</v>
      </c>
      <c r="M2951" s="343">
        <v>-1273402.42</v>
      </c>
      <c r="O2951" s="343">
        <v>0</v>
      </c>
    </row>
    <row r="2952" spans="1:15" x14ac:dyDescent="0.3">
      <c r="A2952" s="340" t="s">
        <v>891</v>
      </c>
      <c r="B2952" s="350">
        <v>46128</v>
      </c>
      <c r="C2952" s="350">
        <v>46128</v>
      </c>
      <c r="D2952" s="351">
        <v>46113</v>
      </c>
      <c r="E2952" s="340" t="s">
        <v>2805</v>
      </c>
      <c r="F2952" s="340" t="s">
        <v>1078</v>
      </c>
      <c r="G2952" s="340" t="s">
        <v>1317</v>
      </c>
      <c r="H2952" s="340"/>
      <c r="I2952" s="340" t="s">
        <v>740</v>
      </c>
      <c r="K2952" s="343">
        <v>411.35</v>
      </c>
      <c r="L2952" s="343">
        <v>0</v>
      </c>
      <c r="M2952" s="343">
        <v>-1272991.07</v>
      </c>
      <c r="O2952" s="343">
        <v>0</v>
      </c>
    </row>
    <row r="2953" spans="1:15" x14ac:dyDescent="0.3">
      <c r="A2953" s="340" t="s">
        <v>891</v>
      </c>
      <c r="B2953" s="350">
        <v>46128</v>
      </c>
      <c r="C2953" s="350">
        <v>46128</v>
      </c>
      <c r="D2953" s="351">
        <v>46113</v>
      </c>
      <c r="E2953" s="340" t="s">
        <v>2805</v>
      </c>
      <c r="F2953" s="340" t="s">
        <v>1078</v>
      </c>
      <c r="G2953" s="340" t="s">
        <v>1663</v>
      </c>
      <c r="H2953" s="340"/>
      <c r="I2953" s="340" t="s">
        <v>740</v>
      </c>
      <c r="K2953" s="343">
        <v>730</v>
      </c>
      <c r="L2953" s="343">
        <v>0</v>
      </c>
      <c r="M2953" s="343">
        <v>-1272261.07</v>
      </c>
      <c r="O2953" s="343">
        <v>0</v>
      </c>
    </row>
    <row r="2954" spans="1:15" x14ac:dyDescent="0.3">
      <c r="A2954" s="340" t="s">
        <v>891</v>
      </c>
      <c r="B2954" s="350">
        <v>46128</v>
      </c>
      <c r="C2954" s="350">
        <v>46128</v>
      </c>
      <c r="D2954" s="351">
        <v>46113</v>
      </c>
      <c r="E2954" s="340" t="s">
        <v>2805</v>
      </c>
      <c r="F2954" s="340" t="s">
        <v>1078</v>
      </c>
      <c r="G2954" s="340" t="s">
        <v>1662</v>
      </c>
      <c r="H2954" s="340"/>
      <c r="I2954" s="340" t="s">
        <v>740</v>
      </c>
      <c r="K2954" s="343">
        <v>60</v>
      </c>
      <c r="L2954" s="343">
        <v>0</v>
      </c>
      <c r="M2954" s="343">
        <v>-1272201.07</v>
      </c>
      <c r="O2954" s="343">
        <v>0</v>
      </c>
    </row>
    <row r="2955" spans="1:15" x14ac:dyDescent="0.3">
      <c r="A2955" s="340" t="s">
        <v>891</v>
      </c>
      <c r="B2955" s="350">
        <v>46128</v>
      </c>
      <c r="C2955" s="350">
        <v>46128</v>
      </c>
      <c r="D2955" s="351">
        <v>46113</v>
      </c>
      <c r="E2955" s="340" t="s">
        <v>2805</v>
      </c>
      <c r="F2955" s="340" t="s">
        <v>1078</v>
      </c>
      <c r="G2955" s="340" t="s">
        <v>1317</v>
      </c>
      <c r="H2955" s="340"/>
      <c r="I2955" s="340" t="s">
        <v>740</v>
      </c>
      <c r="K2955" s="343">
        <v>270.63</v>
      </c>
      <c r="L2955" s="343">
        <v>0</v>
      </c>
      <c r="M2955" s="343">
        <v>-1271930.44</v>
      </c>
      <c r="O2955" s="343">
        <v>0</v>
      </c>
    </row>
    <row r="2956" spans="1:15" x14ac:dyDescent="0.3">
      <c r="A2956" s="340" t="s">
        <v>891</v>
      </c>
      <c r="B2956" s="350">
        <v>46128</v>
      </c>
      <c r="C2956" s="350">
        <v>46128</v>
      </c>
      <c r="D2956" s="351">
        <v>46113</v>
      </c>
      <c r="E2956" s="340" t="s">
        <v>2805</v>
      </c>
      <c r="F2956" s="340" t="s">
        <v>1078</v>
      </c>
      <c r="G2956" s="340" t="s">
        <v>1666</v>
      </c>
      <c r="H2956" s="340"/>
      <c r="I2956" s="340" t="s">
        <v>740</v>
      </c>
      <c r="K2956" s="343">
        <v>1250</v>
      </c>
      <c r="L2956" s="343">
        <v>0</v>
      </c>
      <c r="M2956" s="343">
        <v>-1270680.44</v>
      </c>
      <c r="O2956" s="343">
        <v>0</v>
      </c>
    </row>
    <row r="2957" spans="1:15" x14ac:dyDescent="0.3">
      <c r="A2957" s="340" t="s">
        <v>891</v>
      </c>
      <c r="B2957" s="350">
        <v>46128</v>
      </c>
      <c r="C2957" s="350">
        <v>46128</v>
      </c>
      <c r="D2957" s="351">
        <v>46113</v>
      </c>
      <c r="E2957" s="340" t="s">
        <v>2805</v>
      </c>
      <c r="F2957" s="340" t="s">
        <v>1078</v>
      </c>
      <c r="G2957" s="340" t="s">
        <v>1316</v>
      </c>
      <c r="H2957" s="340"/>
      <c r="I2957" s="340" t="s">
        <v>740</v>
      </c>
      <c r="K2957" s="343">
        <v>520</v>
      </c>
      <c r="L2957" s="343">
        <v>0</v>
      </c>
      <c r="M2957" s="343">
        <v>-1270160.44</v>
      </c>
      <c r="O2957" s="343">
        <v>0</v>
      </c>
    </row>
    <row r="2958" spans="1:15" x14ac:dyDescent="0.3">
      <c r="A2958" s="340" t="s">
        <v>891</v>
      </c>
      <c r="B2958" s="350">
        <v>46128</v>
      </c>
      <c r="C2958" s="350">
        <v>46128</v>
      </c>
      <c r="D2958" s="351">
        <v>46113</v>
      </c>
      <c r="E2958" s="340" t="s">
        <v>2806</v>
      </c>
      <c r="F2958" s="340" t="s">
        <v>1078</v>
      </c>
      <c r="G2958" s="340" t="s">
        <v>1542</v>
      </c>
      <c r="H2958" s="340"/>
      <c r="I2958" s="340" t="s">
        <v>745</v>
      </c>
      <c r="K2958" s="343">
        <v>93.34</v>
      </c>
      <c r="L2958" s="343">
        <v>0</v>
      </c>
      <c r="M2958" s="343">
        <v>-1270067.1000000001</v>
      </c>
      <c r="O2958" s="343">
        <v>0</v>
      </c>
    </row>
    <row r="2959" spans="1:15" x14ac:dyDescent="0.3">
      <c r="A2959" s="340" t="s">
        <v>891</v>
      </c>
      <c r="B2959" s="350">
        <v>46128</v>
      </c>
      <c r="C2959" s="350">
        <v>46128</v>
      </c>
      <c r="D2959" s="351">
        <v>46113</v>
      </c>
      <c r="E2959" s="340" t="s">
        <v>2806</v>
      </c>
      <c r="F2959" s="340" t="s">
        <v>1078</v>
      </c>
      <c r="G2959" s="340" t="s">
        <v>1543</v>
      </c>
      <c r="H2959" s="340"/>
      <c r="I2959" s="340" t="s">
        <v>745</v>
      </c>
      <c r="K2959" s="343">
        <v>25.68</v>
      </c>
      <c r="L2959" s="343">
        <v>0</v>
      </c>
      <c r="M2959" s="343">
        <v>-1270041.42</v>
      </c>
      <c r="O2959" s="343">
        <v>0</v>
      </c>
    </row>
    <row r="2960" spans="1:15" x14ac:dyDescent="0.3">
      <c r="A2960" s="340" t="s">
        <v>891</v>
      </c>
      <c r="B2960" s="350">
        <v>46128</v>
      </c>
      <c r="C2960" s="350">
        <v>46128</v>
      </c>
      <c r="D2960" s="351">
        <v>46113</v>
      </c>
      <c r="E2960" s="340" t="s">
        <v>2805</v>
      </c>
      <c r="F2960" s="340" t="s">
        <v>1078</v>
      </c>
      <c r="G2960" s="340" t="s">
        <v>1668</v>
      </c>
      <c r="H2960" s="340"/>
      <c r="I2960" s="340" t="s">
        <v>740</v>
      </c>
      <c r="K2960" s="343">
        <v>850</v>
      </c>
      <c r="L2960" s="343">
        <v>0</v>
      </c>
      <c r="M2960" s="343">
        <v>-1269191.42</v>
      </c>
      <c r="O2960" s="343">
        <v>0</v>
      </c>
    </row>
    <row r="2961" spans="1:15" x14ac:dyDescent="0.3">
      <c r="A2961" s="340" t="s">
        <v>891</v>
      </c>
      <c r="B2961" s="350">
        <v>46128</v>
      </c>
      <c r="C2961" s="350">
        <v>46128</v>
      </c>
      <c r="D2961" s="351">
        <v>46113</v>
      </c>
      <c r="E2961" s="340" t="s">
        <v>2805</v>
      </c>
      <c r="F2961" s="340" t="s">
        <v>1078</v>
      </c>
      <c r="G2961" s="340" t="s">
        <v>1320</v>
      </c>
      <c r="H2961" s="340"/>
      <c r="I2961" s="340" t="s">
        <v>740</v>
      </c>
      <c r="K2961" s="343">
        <v>260</v>
      </c>
      <c r="L2961" s="343">
        <v>0</v>
      </c>
      <c r="M2961" s="343">
        <v>-1268931.42</v>
      </c>
      <c r="O2961" s="343">
        <v>0</v>
      </c>
    </row>
    <row r="2962" spans="1:15" x14ac:dyDescent="0.3">
      <c r="A2962" s="340" t="s">
        <v>891</v>
      </c>
      <c r="B2962" s="350">
        <v>46128</v>
      </c>
      <c r="C2962" s="350">
        <v>46128</v>
      </c>
      <c r="D2962" s="351">
        <v>46113</v>
      </c>
      <c r="E2962" s="340" t="s">
        <v>2805</v>
      </c>
      <c r="F2962" s="340" t="s">
        <v>1078</v>
      </c>
      <c r="G2962" s="340" t="s">
        <v>1317</v>
      </c>
      <c r="H2962" s="340"/>
      <c r="I2962" s="340" t="s">
        <v>740</v>
      </c>
      <c r="K2962" s="343">
        <v>248.98</v>
      </c>
      <c r="L2962" s="343">
        <v>0</v>
      </c>
      <c r="M2962" s="343">
        <v>-1268682.44</v>
      </c>
      <c r="O2962" s="343">
        <v>0</v>
      </c>
    </row>
    <row r="2963" spans="1:15" x14ac:dyDescent="0.3">
      <c r="A2963" s="340" t="s">
        <v>891</v>
      </c>
      <c r="B2963" s="350">
        <v>46128</v>
      </c>
      <c r="C2963" s="350">
        <v>46128</v>
      </c>
      <c r="D2963" s="351">
        <v>46113</v>
      </c>
      <c r="E2963" s="340" t="s">
        <v>2805</v>
      </c>
      <c r="F2963" s="340" t="s">
        <v>1078</v>
      </c>
      <c r="G2963" s="340" t="s">
        <v>1671</v>
      </c>
      <c r="H2963" s="340"/>
      <c r="I2963" s="340" t="s">
        <v>740</v>
      </c>
      <c r="K2963" s="343">
        <v>900</v>
      </c>
      <c r="L2963" s="343">
        <v>0</v>
      </c>
      <c r="M2963" s="343">
        <v>-1267782.44</v>
      </c>
      <c r="O2963" s="343">
        <v>0</v>
      </c>
    </row>
    <row r="2964" spans="1:15" x14ac:dyDescent="0.3">
      <c r="A2964" s="340" t="s">
        <v>891</v>
      </c>
      <c r="B2964" s="350">
        <v>46128</v>
      </c>
      <c r="C2964" s="350">
        <v>46128</v>
      </c>
      <c r="D2964" s="351">
        <v>46113</v>
      </c>
      <c r="E2964" s="340" t="s">
        <v>2805</v>
      </c>
      <c r="F2964" s="340" t="s">
        <v>1078</v>
      </c>
      <c r="G2964" s="340" t="s">
        <v>1670</v>
      </c>
      <c r="H2964" s="340"/>
      <c r="I2964" s="340" t="s">
        <v>740</v>
      </c>
      <c r="K2964" s="343">
        <v>260</v>
      </c>
      <c r="L2964" s="343">
        <v>0</v>
      </c>
      <c r="M2964" s="343">
        <v>-1267522.44</v>
      </c>
      <c r="O2964" s="343">
        <v>0</v>
      </c>
    </row>
    <row r="2965" spans="1:15" x14ac:dyDescent="0.3">
      <c r="A2965" s="340" t="s">
        <v>891</v>
      </c>
      <c r="B2965" s="350">
        <v>46128</v>
      </c>
      <c r="C2965" s="350">
        <v>46128</v>
      </c>
      <c r="D2965" s="351">
        <v>46113</v>
      </c>
      <c r="E2965" s="340" t="s">
        <v>2806</v>
      </c>
      <c r="F2965" s="340" t="s">
        <v>1078</v>
      </c>
      <c r="G2965" s="340" t="s">
        <v>1544</v>
      </c>
      <c r="H2965" s="340"/>
      <c r="I2965" s="340" t="s">
        <v>745</v>
      </c>
      <c r="K2965" s="343">
        <v>95.36</v>
      </c>
      <c r="L2965" s="343">
        <v>0</v>
      </c>
      <c r="M2965" s="343">
        <v>-1267427.08</v>
      </c>
      <c r="O2965" s="343">
        <v>0</v>
      </c>
    </row>
    <row r="2966" spans="1:15" x14ac:dyDescent="0.3">
      <c r="A2966" s="340" t="s">
        <v>891</v>
      </c>
      <c r="B2966" s="350">
        <v>46128</v>
      </c>
      <c r="C2966" s="350">
        <v>46128</v>
      </c>
      <c r="D2966" s="351">
        <v>46113</v>
      </c>
      <c r="E2966" s="340" t="s">
        <v>2812</v>
      </c>
      <c r="F2966" s="340" t="s">
        <v>1078</v>
      </c>
      <c r="G2966" s="340" t="s">
        <v>1079</v>
      </c>
      <c r="H2966" s="340"/>
      <c r="I2966" s="340" t="s">
        <v>2813</v>
      </c>
      <c r="K2966" s="343">
        <v>600</v>
      </c>
      <c r="L2966" s="343">
        <v>0</v>
      </c>
      <c r="M2966" s="343">
        <v>-1266827.08</v>
      </c>
      <c r="O2966" s="343">
        <v>0</v>
      </c>
    </row>
    <row r="2967" spans="1:15" x14ac:dyDescent="0.3">
      <c r="A2967" s="340" t="s">
        <v>891</v>
      </c>
      <c r="B2967" s="350">
        <v>46128</v>
      </c>
      <c r="C2967" s="350">
        <v>46128</v>
      </c>
      <c r="D2967" s="351">
        <v>46113</v>
      </c>
      <c r="E2967" s="340" t="s">
        <v>2805</v>
      </c>
      <c r="F2967" s="340" t="s">
        <v>1078</v>
      </c>
      <c r="G2967" s="340" t="s">
        <v>1317</v>
      </c>
      <c r="H2967" s="340"/>
      <c r="I2967" s="340" t="s">
        <v>740</v>
      </c>
      <c r="K2967" s="343">
        <v>292.27999999999997</v>
      </c>
      <c r="L2967" s="343">
        <v>0</v>
      </c>
      <c r="M2967" s="343">
        <v>-1266534.8</v>
      </c>
      <c r="O2967" s="343">
        <v>0</v>
      </c>
    </row>
    <row r="2968" spans="1:15" x14ac:dyDescent="0.3">
      <c r="A2968" s="340" t="s">
        <v>891</v>
      </c>
      <c r="B2968" s="350">
        <v>46128</v>
      </c>
      <c r="C2968" s="350">
        <v>46128</v>
      </c>
      <c r="D2968" s="351">
        <v>46113</v>
      </c>
      <c r="E2968" s="340" t="s">
        <v>2805</v>
      </c>
      <c r="F2968" s="340" t="s">
        <v>1078</v>
      </c>
      <c r="G2968" s="340" t="s">
        <v>1800</v>
      </c>
      <c r="H2968" s="340"/>
      <c r="I2968" s="340" t="s">
        <v>740</v>
      </c>
      <c r="K2968" s="343">
        <v>129.9</v>
      </c>
      <c r="L2968" s="343">
        <v>0</v>
      </c>
      <c r="M2968" s="343">
        <v>-1266404.8999999999</v>
      </c>
      <c r="O2968" s="343">
        <v>0</v>
      </c>
    </row>
    <row r="2969" spans="1:15" x14ac:dyDescent="0.3">
      <c r="A2969" s="340" t="s">
        <v>891</v>
      </c>
      <c r="B2969" s="350">
        <v>46128</v>
      </c>
      <c r="C2969" s="350">
        <v>46128</v>
      </c>
      <c r="D2969" s="351">
        <v>46113</v>
      </c>
      <c r="E2969" s="340" t="s">
        <v>2805</v>
      </c>
      <c r="F2969" s="340" t="s">
        <v>1078</v>
      </c>
      <c r="G2969" s="340" t="s">
        <v>1801</v>
      </c>
      <c r="H2969" s="340"/>
      <c r="I2969" s="340" t="s">
        <v>740</v>
      </c>
      <c r="K2969" s="343">
        <v>10</v>
      </c>
      <c r="L2969" s="343">
        <v>0</v>
      </c>
      <c r="M2969" s="343">
        <v>-1266394.8999999999</v>
      </c>
      <c r="O2969" s="343">
        <v>0</v>
      </c>
    </row>
    <row r="2970" spans="1:15" x14ac:dyDescent="0.3">
      <c r="A2970" s="340" t="s">
        <v>891</v>
      </c>
      <c r="B2970" s="350">
        <v>46128</v>
      </c>
      <c r="C2970" s="350">
        <v>46128</v>
      </c>
      <c r="D2970" s="351">
        <v>46113</v>
      </c>
      <c r="E2970" s="340" t="s">
        <v>2805</v>
      </c>
      <c r="F2970" s="340" t="s">
        <v>1078</v>
      </c>
      <c r="G2970" s="340" t="s">
        <v>1803</v>
      </c>
      <c r="H2970" s="340"/>
      <c r="I2970" s="340" t="s">
        <v>740</v>
      </c>
      <c r="K2970" s="343">
        <v>178.61</v>
      </c>
      <c r="L2970" s="343">
        <v>0</v>
      </c>
      <c r="M2970" s="343">
        <v>-1266216.29</v>
      </c>
      <c r="O2970" s="343">
        <v>0</v>
      </c>
    </row>
    <row r="2971" spans="1:15" x14ac:dyDescent="0.3">
      <c r="A2971" s="340" t="s">
        <v>891</v>
      </c>
      <c r="B2971" s="350">
        <v>46128</v>
      </c>
      <c r="C2971" s="350">
        <v>46128</v>
      </c>
      <c r="D2971" s="351">
        <v>46113</v>
      </c>
      <c r="E2971" s="340" t="s">
        <v>2805</v>
      </c>
      <c r="F2971" s="340" t="s">
        <v>1078</v>
      </c>
      <c r="G2971" s="340" t="s">
        <v>1804</v>
      </c>
      <c r="H2971" s="340"/>
      <c r="I2971" s="340" t="s">
        <v>740</v>
      </c>
      <c r="K2971" s="343">
        <v>10</v>
      </c>
      <c r="L2971" s="343">
        <v>0</v>
      </c>
      <c r="M2971" s="343">
        <v>-1266206.29</v>
      </c>
      <c r="O2971" s="343">
        <v>0</v>
      </c>
    </row>
    <row r="2972" spans="1:15" x14ac:dyDescent="0.3">
      <c r="A2972" s="340" t="s">
        <v>891</v>
      </c>
      <c r="B2972" s="350">
        <v>46128</v>
      </c>
      <c r="C2972" s="350">
        <v>46128</v>
      </c>
      <c r="D2972" s="351">
        <v>46113</v>
      </c>
      <c r="E2972" s="340" t="s">
        <v>2806</v>
      </c>
      <c r="F2972" s="340" t="s">
        <v>1078</v>
      </c>
      <c r="G2972" s="340" t="s">
        <v>1545</v>
      </c>
      <c r="H2972" s="340"/>
      <c r="I2972" s="340" t="s">
        <v>745</v>
      </c>
      <c r="K2972" s="343">
        <v>32.229999999999997</v>
      </c>
      <c r="L2972" s="343">
        <v>0</v>
      </c>
      <c r="M2972" s="343">
        <v>-1266174.06</v>
      </c>
      <c r="O2972" s="343">
        <v>0</v>
      </c>
    </row>
    <row r="2973" spans="1:15" x14ac:dyDescent="0.3">
      <c r="A2973" s="340" t="s">
        <v>891</v>
      </c>
      <c r="B2973" s="350">
        <v>46128</v>
      </c>
      <c r="C2973" s="350">
        <v>46128</v>
      </c>
      <c r="D2973" s="351">
        <v>46113</v>
      </c>
      <c r="E2973" s="340" t="s">
        <v>2806</v>
      </c>
      <c r="F2973" s="340" t="s">
        <v>1078</v>
      </c>
      <c r="G2973" s="340" t="s">
        <v>1546</v>
      </c>
      <c r="H2973" s="340"/>
      <c r="I2973" s="340" t="s">
        <v>745</v>
      </c>
      <c r="K2973" s="343">
        <v>126.64</v>
      </c>
      <c r="L2973" s="343">
        <v>0</v>
      </c>
      <c r="M2973" s="343">
        <v>-1266047.42</v>
      </c>
      <c r="O2973" s="343">
        <v>0</v>
      </c>
    </row>
    <row r="2974" spans="1:15" x14ac:dyDescent="0.3">
      <c r="A2974" s="340" t="s">
        <v>891</v>
      </c>
      <c r="B2974" s="350">
        <v>46128</v>
      </c>
      <c r="C2974" s="350">
        <v>46128</v>
      </c>
      <c r="D2974" s="351">
        <v>46113</v>
      </c>
      <c r="E2974" s="340" t="s">
        <v>2805</v>
      </c>
      <c r="F2974" s="340" t="s">
        <v>1078</v>
      </c>
      <c r="G2974" s="340" t="s">
        <v>1806</v>
      </c>
      <c r="H2974" s="340"/>
      <c r="I2974" s="340" t="s">
        <v>740</v>
      </c>
      <c r="K2974" s="343">
        <v>129.9</v>
      </c>
      <c r="L2974" s="343">
        <v>0</v>
      </c>
      <c r="M2974" s="343">
        <v>-1265917.52</v>
      </c>
      <c r="O2974" s="343">
        <v>0</v>
      </c>
    </row>
    <row r="2975" spans="1:15" x14ac:dyDescent="0.3">
      <c r="A2975" s="340" t="s">
        <v>891</v>
      </c>
      <c r="B2975" s="350">
        <v>46128</v>
      </c>
      <c r="C2975" s="350">
        <v>46128</v>
      </c>
      <c r="D2975" s="351">
        <v>46113</v>
      </c>
      <c r="E2975" s="340" t="s">
        <v>2805</v>
      </c>
      <c r="F2975" s="340" t="s">
        <v>1078</v>
      </c>
      <c r="G2975" s="340" t="s">
        <v>1807</v>
      </c>
      <c r="H2975" s="340"/>
      <c r="I2975" s="340" t="s">
        <v>740</v>
      </c>
      <c r="K2975" s="343">
        <v>45</v>
      </c>
      <c r="L2975" s="343">
        <v>0</v>
      </c>
      <c r="M2975" s="343">
        <v>-1265872.52</v>
      </c>
      <c r="O2975" s="343">
        <v>0</v>
      </c>
    </row>
    <row r="2976" spans="1:15" x14ac:dyDescent="0.3">
      <c r="A2976" s="340" t="s">
        <v>891</v>
      </c>
      <c r="B2976" s="350">
        <v>46128</v>
      </c>
      <c r="C2976" s="350">
        <v>46128</v>
      </c>
      <c r="D2976" s="351">
        <v>46113</v>
      </c>
      <c r="E2976" s="340" t="s">
        <v>2805</v>
      </c>
      <c r="F2976" s="340" t="s">
        <v>1078</v>
      </c>
      <c r="G2976" s="340" t="s">
        <v>1815</v>
      </c>
      <c r="H2976" s="340"/>
      <c r="I2976" s="340" t="s">
        <v>740</v>
      </c>
      <c r="K2976" s="343">
        <v>156.96</v>
      </c>
      <c r="L2976" s="343">
        <v>0</v>
      </c>
      <c r="M2976" s="343">
        <v>-1265715.56</v>
      </c>
      <c r="O2976" s="343">
        <v>0</v>
      </c>
    </row>
    <row r="2977" spans="1:15" x14ac:dyDescent="0.3">
      <c r="A2977" s="340" t="s">
        <v>891</v>
      </c>
      <c r="B2977" s="350">
        <v>46128</v>
      </c>
      <c r="C2977" s="350">
        <v>46128</v>
      </c>
      <c r="D2977" s="351">
        <v>46113</v>
      </c>
      <c r="E2977" s="340" t="s">
        <v>2805</v>
      </c>
      <c r="F2977" s="340" t="s">
        <v>1078</v>
      </c>
      <c r="G2977" s="340" t="s">
        <v>1816</v>
      </c>
      <c r="H2977" s="340"/>
      <c r="I2977" s="340" t="s">
        <v>740</v>
      </c>
      <c r="K2977" s="343">
        <v>146.13999999999999</v>
      </c>
      <c r="L2977" s="343">
        <v>0</v>
      </c>
      <c r="M2977" s="343">
        <v>-1265569.42</v>
      </c>
      <c r="O2977" s="343">
        <v>0</v>
      </c>
    </row>
    <row r="2978" spans="1:15" x14ac:dyDescent="0.3">
      <c r="A2978" s="340" t="s">
        <v>891</v>
      </c>
      <c r="B2978" s="350">
        <v>46128</v>
      </c>
      <c r="C2978" s="350">
        <v>46128</v>
      </c>
      <c r="D2978" s="351">
        <v>46113</v>
      </c>
      <c r="E2978" s="340" t="s">
        <v>2805</v>
      </c>
      <c r="F2978" s="340" t="s">
        <v>1078</v>
      </c>
      <c r="G2978" s="340" t="s">
        <v>1817</v>
      </c>
      <c r="H2978" s="340"/>
      <c r="I2978" s="340" t="s">
        <v>740</v>
      </c>
      <c r="K2978" s="343">
        <v>167.79</v>
      </c>
      <c r="L2978" s="343">
        <v>0</v>
      </c>
      <c r="M2978" s="343">
        <v>-1265401.6299999999</v>
      </c>
      <c r="O2978" s="343">
        <v>0</v>
      </c>
    </row>
    <row r="2979" spans="1:15" x14ac:dyDescent="0.3">
      <c r="A2979" s="340" t="s">
        <v>891</v>
      </c>
      <c r="B2979" s="350">
        <v>46128</v>
      </c>
      <c r="C2979" s="350">
        <v>46128</v>
      </c>
      <c r="D2979" s="351">
        <v>46113</v>
      </c>
      <c r="E2979" s="340" t="s">
        <v>2812</v>
      </c>
      <c r="F2979" s="340" t="s">
        <v>1078</v>
      </c>
      <c r="G2979" s="340" t="s">
        <v>1079</v>
      </c>
      <c r="H2979" s="340"/>
      <c r="I2979" s="340" t="s">
        <v>2813</v>
      </c>
      <c r="K2979" s="343">
        <v>560</v>
      </c>
      <c r="L2979" s="343">
        <v>0</v>
      </c>
      <c r="M2979" s="343">
        <v>-1264841.6299999999</v>
      </c>
      <c r="O2979" s="343">
        <v>0</v>
      </c>
    </row>
    <row r="2980" spans="1:15" x14ac:dyDescent="0.3">
      <c r="A2980" s="340" t="s">
        <v>891</v>
      </c>
      <c r="B2980" s="350">
        <v>46128</v>
      </c>
      <c r="C2980" s="350">
        <v>46128</v>
      </c>
      <c r="D2980" s="351">
        <v>46113</v>
      </c>
      <c r="E2980" s="340" t="s">
        <v>2805</v>
      </c>
      <c r="F2980" s="340" t="s">
        <v>1078</v>
      </c>
      <c r="G2980" s="340" t="s">
        <v>1818</v>
      </c>
      <c r="H2980" s="340"/>
      <c r="I2980" s="340" t="s">
        <v>740</v>
      </c>
      <c r="K2980" s="343">
        <v>129.9</v>
      </c>
      <c r="L2980" s="343">
        <v>0</v>
      </c>
      <c r="M2980" s="343">
        <v>-1264711.73</v>
      </c>
      <c r="O2980" s="343">
        <v>0</v>
      </c>
    </row>
    <row r="2981" spans="1:15" x14ac:dyDescent="0.3">
      <c r="A2981" s="340" t="s">
        <v>891</v>
      </c>
      <c r="B2981" s="350">
        <v>46128</v>
      </c>
      <c r="C2981" s="350">
        <v>46128</v>
      </c>
      <c r="D2981" s="351">
        <v>46113</v>
      </c>
      <c r="E2981" s="340" t="s">
        <v>2805</v>
      </c>
      <c r="F2981" s="340" t="s">
        <v>1078</v>
      </c>
      <c r="G2981" s="340" t="s">
        <v>1819</v>
      </c>
      <c r="H2981" s="340"/>
      <c r="I2981" s="340" t="s">
        <v>740</v>
      </c>
      <c r="K2981" s="343">
        <v>129.9</v>
      </c>
      <c r="L2981" s="343">
        <v>0</v>
      </c>
      <c r="M2981" s="343">
        <v>-1264581.83</v>
      </c>
      <c r="O2981" s="343">
        <v>0</v>
      </c>
    </row>
    <row r="2982" spans="1:15" x14ac:dyDescent="0.3">
      <c r="A2982" s="340" t="s">
        <v>891</v>
      </c>
      <c r="B2982" s="350">
        <v>46128</v>
      </c>
      <c r="C2982" s="350">
        <v>46128</v>
      </c>
      <c r="D2982" s="351">
        <v>46113</v>
      </c>
      <c r="E2982" s="340" t="s">
        <v>2805</v>
      </c>
      <c r="F2982" s="340" t="s">
        <v>1078</v>
      </c>
      <c r="G2982" s="340" t="s">
        <v>1821</v>
      </c>
      <c r="H2982" s="340"/>
      <c r="I2982" s="340" t="s">
        <v>740</v>
      </c>
      <c r="K2982" s="343">
        <v>167.79</v>
      </c>
      <c r="L2982" s="343">
        <v>0</v>
      </c>
      <c r="M2982" s="343">
        <v>-1264414.04</v>
      </c>
      <c r="O2982" s="343">
        <v>0</v>
      </c>
    </row>
    <row r="2983" spans="1:15" x14ac:dyDescent="0.3">
      <c r="A2983" s="340" t="s">
        <v>891</v>
      </c>
      <c r="B2983" s="350">
        <v>46128</v>
      </c>
      <c r="C2983" s="350">
        <v>46128</v>
      </c>
      <c r="D2983" s="351">
        <v>46113</v>
      </c>
      <c r="E2983" s="340" t="s">
        <v>2805</v>
      </c>
      <c r="F2983" s="340" t="s">
        <v>1078</v>
      </c>
      <c r="G2983" s="340" t="s">
        <v>1822</v>
      </c>
      <c r="H2983" s="340"/>
      <c r="I2983" s="340" t="s">
        <v>740</v>
      </c>
      <c r="K2983" s="343">
        <v>129.9</v>
      </c>
      <c r="L2983" s="343">
        <v>0</v>
      </c>
      <c r="M2983" s="343">
        <v>-1264284.1399999999</v>
      </c>
      <c r="O2983" s="343">
        <v>0</v>
      </c>
    </row>
    <row r="2984" spans="1:15" x14ac:dyDescent="0.3">
      <c r="A2984" s="340" t="s">
        <v>891</v>
      </c>
      <c r="B2984" s="350">
        <v>46128</v>
      </c>
      <c r="C2984" s="350">
        <v>46128</v>
      </c>
      <c r="D2984" s="351">
        <v>46113</v>
      </c>
      <c r="E2984" s="340" t="s">
        <v>2805</v>
      </c>
      <c r="F2984" s="340" t="s">
        <v>1078</v>
      </c>
      <c r="G2984" s="340" t="s">
        <v>1820</v>
      </c>
      <c r="H2984" s="340"/>
      <c r="I2984" s="340" t="s">
        <v>740</v>
      </c>
      <c r="K2984" s="343">
        <v>20</v>
      </c>
      <c r="L2984" s="343">
        <v>0</v>
      </c>
      <c r="M2984" s="343">
        <v>-1264264.1399999999</v>
      </c>
      <c r="O2984" s="343">
        <v>0</v>
      </c>
    </row>
    <row r="2985" spans="1:15" x14ac:dyDescent="0.3">
      <c r="A2985" s="340" t="s">
        <v>891</v>
      </c>
      <c r="B2985" s="350">
        <v>46128</v>
      </c>
      <c r="C2985" s="350">
        <v>46128</v>
      </c>
      <c r="D2985" s="351">
        <v>46113</v>
      </c>
      <c r="E2985" s="340" t="s">
        <v>2806</v>
      </c>
      <c r="F2985" s="340" t="s">
        <v>1078</v>
      </c>
      <c r="G2985" s="340" t="s">
        <v>1509</v>
      </c>
      <c r="H2985" s="340"/>
      <c r="I2985" s="340" t="s">
        <v>745</v>
      </c>
      <c r="K2985" s="343">
        <v>560.1</v>
      </c>
      <c r="L2985" s="343">
        <v>0</v>
      </c>
      <c r="M2985" s="343">
        <v>-1263704.04</v>
      </c>
      <c r="O2985" s="343">
        <v>0</v>
      </c>
    </row>
    <row r="2986" spans="1:15" x14ac:dyDescent="0.3">
      <c r="A2986" s="340" t="s">
        <v>891</v>
      </c>
      <c r="B2986" s="350">
        <v>46128</v>
      </c>
      <c r="C2986" s="350">
        <v>46128</v>
      </c>
      <c r="D2986" s="351">
        <v>46113</v>
      </c>
      <c r="E2986" s="340" t="s">
        <v>2805</v>
      </c>
      <c r="F2986" s="340" t="s">
        <v>1078</v>
      </c>
      <c r="G2986" s="340" t="s">
        <v>1801</v>
      </c>
      <c r="H2986" s="340"/>
      <c r="I2986" s="340" t="s">
        <v>740</v>
      </c>
      <c r="K2986" s="343">
        <v>30</v>
      </c>
      <c r="L2986" s="343">
        <v>0</v>
      </c>
      <c r="M2986" s="343">
        <v>-1263674.04</v>
      </c>
      <c r="O2986" s="343">
        <v>0</v>
      </c>
    </row>
    <row r="2987" spans="1:15" x14ac:dyDescent="0.3">
      <c r="A2987" s="340" t="s">
        <v>891</v>
      </c>
      <c r="B2987" s="350">
        <v>46128</v>
      </c>
      <c r="C2987" s="350">
        <v>46128</v>
      </c>
      <c r="D2987" s="351">
        <v>46113</v>
      </c>
      <c r="E2987" s="340" t="s">
        <v>2805</v>
      </c>
      <c r="F2987" s="340" t="s">
        <v>1078</v>
      </c>
      <c r="G2987" s="340" t="s">
        <v>1801</v>
      </c>
      <c r="H2987" s="340"/>
      <c r="I2987" s="340" t="s">
        <v>740</v>
      </c>
      <c r="K2987" s="343">
        <v>15</v>
      </c>
      <c r="L2987" s="343">
        <v>0</v>
      </c>
      <c r="M2987" s="343">
        <v>-1263659.04</v>
      </c>
      <c r="O2987" s="343">
        <v>0</v>
      </c>
    </row>
    <row r="2988" spans="1:15" x14ac:dyDescent="0.3">
      <c r="A2988" s="340" t="s">
        <v>891</v>
      </c>
      <c r="B2988" s="350">
        <v>46128</v>
      </c>
      <c r="C2988" s="350">
        <v>46128</v>
      </c>
      <c r="D2988" s="351">
        <v>46113</v>
      </c>
      <c r="E2988" s="340" t="s">
        <v>2805</v>
      </c>
      <c r="F2988" s="340" t="s">
        <v>1078</v>
      </c>
      <c r="G2988" s="340" t="s">
        <v>1809</v>
      </c>
      <c r="H2988" s="340"/>
      <c r="I2988" s="340" t="s">
        <v>740</v>
      </c>
      <c r="K2988" s="343">
        <v>129.9</v>
      </c>
      <c r="L2988" s="343">
        <v>0</v>
      </c>
      <c r="M2988" s="343">
        <v>-1263529.1399999999</v>
      </c>
      <c r="O2988" s="343">
        <v>0</v>
      </c>
    </row>
    <row r="2989" spans="1:15" x14ac:dyDescent="0.3">
      <c r="A2989" s="340" t="s">
        <v>891</v>
      </c>
      <c r="B2989" s="350">
        <v>46128</v>
      </c>
      <c r="C2989" s="350">
        <v>46128</v>
      </c>
      <c r="D2989" s="351">
        <v>46113</v>
      </c>
      <c r="E2989" s="340" t="s">
        <v>2805</v>
      </c>
      <c r="F2989" s="340" t="s">
        <v>1078</v>
      </c>
      <c r="G2989" s="340" t="s">
        <v>1801</v>
      </c>
      <c r="H2989" s="340"/>
      <c r="I2989" s="340" t="s">
        <v>740</v>
      </c>
      <c r="K2989" s="343">
        <v>20</v>
      </c>
      <c r="L2989" s="343">
        <v>0</v>
      </c>
      <c r="M2989" s="343">
        <v>-1263509.1399999999</v>
      </c>
      <c r="O2989" s="343">
        <v>0</v>
      </c>
    </row>
    <row r="2990" spans="1:15" x14ac:dyDescent="0.3">
      <c r="A2990" s="340" t="s">
        <v>891</v>
      </c>
      <c r="B2990" s="350">
        <v>46128</v>
      </c>
      <c r="C2990" s="350">
        <v>46128</v>
      </c>
      <c r="D2990" s="351">
        <v>46113</v>
      </c>
      <c r="E2990" s="340" t="s">
        <v>2805</v>
      </c>
      <c r="F2990" s="340" t="s">
        <v>1078</v>
      </c>
      <c r="G2990" s="340" t="s">
        <v>1811</v>
      </c>
      <c r="H2990" s="340"/>
      <c r="I2990" s="340" t="s">
        <v>740</v>
      </c>
      <c r="K2990" s="343">
        <v>211.09</v>
      </c>
      <c r="L2990" s="343">
        <v>0</v>
      </c>
      <c r="M2990" s="343">
        <v>-1263298.05</v>
      </c>
      <c r="O2990" s="343">
        <v>0</v>
      </c>
    </row>
    <row r="2991" spans="1:15" x14ac:dyDescent="0.3">
      <c r="A2991" s="340" t="s">
        <v>891</v>
      </c>
      <c r="B2991" s="350">
        <v>46128</v>
      </c>
      <c r="C2991" s="350">
        <v>46128</v>
      </c>
      <c r="D2991" s="351">
        <v>46113</v>
      </c>
      <c r="E2991" s="340" t="s">
        <v>2806</v>
      </c>
      <c r="F2991" s="340" t="s">
        <v>1078</v>
      </c>
      <c r="G2991" s="340" t="s">
        <v>1547</v>
      </c>
      <c r="H2991" s="340"/>
      <c r="I2991" s="340" t="s">
        <v>745</v>
      </c>
      <c r="K2991" s="343">
        <v>38.28</v>
      </c>
      <c r="L2991" s="343">
        <v>0</v>
      </c>
      <c r="M2991" s="343">
        <v>-1263259.77</v>
      </c>
      <c r="O2991" s="343">
        <v>0</v>
      </c>
    </row>
    <row r="2992" spans="1:15" x14ac:dyDescent="0.3">
      <c r="A2992" s="340" t="s">
        <v>891</v>
      </c>
      <c r="B2992" s="350">
        <v>46128</v>
      </c>
      <c r="C2992" s="350">
        <v>46128</v>
      </c>
      <c r="D2992" s="351">
        <v>46113</v>
      </c>
      <c r="E2992" s="340" t="s">
        <v>2806</v>
      </c>
      <c r="F2992" s="340" t="s">
        <v>1078</v>
      </c>
      <c r="G2992" s="340" t="s">
        <v>1548</v>
      </c>
      <c r="H2992" s="340"/>
      <c r="I2992" s="340" t="s">
        <v>745</v>
      </c>
      <c r="K2992" s="343">
        <v>44.75</v>
      </c>
      <c r="L2992" s="343">
        <v>0</v>
      </c>
      <c r="M2992" s="343">
        <v>-1263215.02</v>
      </c>
      <c r="O2992" s="343">
        <v>0</v>
      </c>
    </row>
    <row r="2993" spans="1:15" x14ac:dyDescent="0.3">
      <c r="A2993" s="340" t="s">
        <v>891</v>
      </c>
      <c r="B2993" s="350">
        <v>46128</v>
      </c>
      <c r="C2993" s="350">
        <v>46128</v>
      </c>
      <c r="D2993" s="351">
        <v>46113</v>
      </c>
      <c r="E2993" s="340" t="s">
        <v>2805</v>
      </c>
      <c r="F2993" s="340" t="s">
        <v>1078</v>
      </c>
      <c r="G2993" s="340" t="s">
        <v>1804</v>
      </c>
      <c r="H2993" s="340"/>
      <c r="I2993" s="340" t="s">
        <v>740</v>
      </c>
      <c r="K2993" s="343">
        <v>10</v>
      </c>
      <c r="L2993" s="343">
        <v>0</v>
      </c>
      <c r="M2993" s="343">
        <v>-1263205.02</v>
      </c>
      <c r="O2993" s="343">
        <v>0</v>
      </c>
    </row>
    <row r="2994" spans="1:15" x14ac:dyDescent="0.3">
      <c r="A2994" s="340" t="s">
        <v>891</v>
      </c>
      <c r="B2994" s="350">
        <v>46128</v>
      </c>
      <c r="C2994" s="350">
        <v>46128</v>
      </c>
      <c r="D2994" s="351">
        <v>46113</v>
      </c>
      <c r="E2994" s="340" t="s">
        <v>2805</v>
      </c>
      <c r="F2994" s="340" t="s">
        <v>1078</v>
      </c>
      <c r="G2994" s="340" t="s">
        <v>1813</v>
      </c>
      <c r="H2994" s="340"/>
      <c r="I2994" s="340" t="s">
        <v>740</v>
      </c>
      <c r="K2994" s="343">
        <v>211.09</v>
      </c>
      <c r="L2994" s="343">
        <v>0</v>
      </c>
      <c r="M2994" s="343">
        <v>-1262993.93</v>
      </c>
      <c r="O2994" s="343">
        <v>0</v>
      </c>
    </row>
    <row r="2995" spans="1:15" x14ac:dyDescent="0.3">
      <c r="A2995" s="340" t="s">
        <v>891</v>
      </c>
      <c r="B2995" s="350">
        <v>46128</v>
      </c>
      <c r="C2995" s="350">
        <v>46128</v>
      </c>
      <c r="D2995" s="351">
        <v>46113</v>
      </c>
      <c r="E2995" s="340" t="s">
        <v>2805</v>
      </c>
      <c r="F2995" s="340" t="s">
        <v>1078</v>
      </c>
      <c r="G2995" s="340" t="s">
        <v>1801</v>
      </c>
      <c r="H2995" s="340"/>
      <c r="I2995" s="340" t="s">
        <v>740</v>
      </c>
      <c r="K2995" s="343">
        <v>10</v>
      </c>
      <c r="L2995" s="343">
        <v>0</v>
      </c>
      <c r="M2995" s="343">
        <v>-1262983.93</v>
      </c>
      <c r="O2995" s="343">
        <v>0</v>
      </c>
    </row>
    <row r="2996" spans="1:15" x14ac:dyDescent="0.3">
      <c r="A2996" s="340" t="s">
        <v>891</v>
      </c>
      <c r="B2996" s="350">
        <v>46128</v>
      </c>
      <c r="C2996" s="350">
        <v>46128</v>
      </c>
      <c r="D2996" s="351">
        <v>46113</v>
      </c>
      <c r="E2996" s="340" t="s">
        <v>2805</v>
      </c>
      <c r="F2996" s="340" t="s">
        <v>1078</v>
      </c>
      <c r="G2996" s="340" t="s">
        <v>1745</v>
      </c>
      <c r="H2996" s="340"/>
      <c r="I2996" s="340" t="s">
        <v>740</v>
      </c>
      <c r="K2996" s="343">
        <v>129.9</v>
      </c>
      <c r="L2996" s="343">
        <v>0</v>
      </c>
      <c r="M2996" s="343">
        <v>-1262854.03</v>
      </c>
      <c r="O2996" s="343">
        <v>0</v>
      </c>
    </row>
    <row r="2997" spans="1:15" x14ac:dyDescent="0.3">
      <c r="A2997" s="340" t="s">
        <v>891</v>
      </c>
      <c r="B2997" s="350">
        <v>46128</v>
      </c>
      <c r="C2997" s="350">
        <v>46128</v>
      </c>
      <c r="D2997" s="351">
        <v>46113</v>
      </c>
      <c r="E2997" s="340" t="s">
        <v>2805</v>
      </c>
      <c r="F2997" s="340" t="s">
        <v>1078</v>
      </c>
      <c r="G2997" s="340" t="s">
        <v>1746</v>
      </c>
      <c r="H2997" s="340"/>
      <c r="I2997" s="340" t="s">
        <v>740</v>
      </c>
      <c r="K2997" s="343">
        <v>35</v>
      </c>
      <c r="L2997" s="343">
        <v>0</v>
      </c>
      <c r="M2997" s="343">
        <v>-1262819.03</v>
      </c>
      <c r="O2997" s="343">
        <v>0</v>
      </c>
    </row>
    <row r="2998" spans="1:15" x14ac:dyDescent="0.3">
      <c r="A2998" s="340" t="s">
        <v>891</v>
      </c>
      <c r="B2998" s="350">
        <v>46128</v>
      </c>
      <c r="C2998" s="350">
        <v>46128</v>
      </c>
      <c r="D2998" s="351">
        <v>46113</v>
      </c>
      <c r="E2998" s="340" t="s">
        <v>2806</v>
      </c>
      <c r="F2998" s="340" t="s">
        <v>1078</v>
      </c>
      <c r="G2998" s="340" t="s">
        <v>1188</v>
      </c>
      <c r="H2998" s="340"/>
      <c r="I2998" s="340" t="s">
        <v>745</v>
      </c>
      <c r="K2998" s="343">
        <v>58.44</v>
      </c>
      <c r="L2998" s="343">
        <v>0</v>
      </c>
      <c r="M2998" s="343">
        <v>-1262760.5900000001</v>
      </c>
      <c r="O2998" s="343">
        <v>0</v>
      </c>
    </row>
    <row r="2999" spans="1:15" x14ac:dyDescent="0.3">
      <c r="A2999" s="340" t="s">
        <v>891</v>
      </c>
      <c r="B2999" s="350">
        <v>46128</v>
      </c>
      <c r="C2999" s="350">
        <v>46128</v>
      </c>
      <c r="D2999" s="351">
        <v>46113</v>
      </c>
      <c r="E2999" s="340" t="s">
        <v>2805</v>
      </c>
      <c r="F2999" s="340" t="s">
        <v>1078</v>
      </c>
      <c r="G2999" s="340" t="s">
        <v>1933</v>
      </c>
      <c r="H2999" s="340"/>
      <c r="I2999" s="340" t="s">
        <v>740</v>
      </c>
      <c r="K2999" s="343">
        <v>520</v>
      </c>
      <c r="L2999" s="343">
        <v>0</v>
      </c>
      <c r="M2999" s="343">
        <v>-1262240.5900000001</v>
      </c>
      <c r="O2999" s="343">
        <v>0</v>
      </c>
    </row>
    <row r="3000" spans="1:15" x14ac:dyDescent="0.3">
      <c r="A3000" s="340" t="s">
        <v>891</v>
      </c>
      <c r="B3000" s="350">
        <v>46128</v>
      </c>
      <c r="C3000" s="350">
        <v>46128</v>
      </c>
      <c r="D3000" s="351">
        <v>46113</v>
      </c>
      <c r="E3000" s="340" t="s">
        <v>2805</v>
      </c>
      <c r="F3000" s="340" t="s">
        <v>1078</v>
      </c>
      <c r="G3000" s="340" t="s">
        <v>1934</v>
      </c>
      <c r="H3000" s="340"/>
      <c r="I3000" s="340" t="s">
        <v>740</v>
      </c>
      <c r="K3000" s="343">
        <v>680</v>
      </c>
      <c r="L3000" s="343">
        <v>0</v>
      </c>
      <c r="M3000" s="343">
        <v>-1261560.5900000001</v>
      </c>
      <c r="O3000" s="343">
        <v>0</v>
      </c>
    </row>
    <row r="3001" spans="1:15" x14ac:dyDescent="0.3">
      <c r="A3001" s="340" t="s">
        <v>891</v>
      </c>
      <c r="B3001" s="350">
        <v>46128</v>
      </c>
      <c r="C3001" s="350">
        <v>46128</v>
      </c>
      <c r="D3001" s="351">
        <v>46113</v>
      </c>
      <c r="E3001" s="340" t="s">
        <v>2805</v>
      </c>
      <c r="F3001" s="340" t="s">
        <v>1078</v>
      </c>
      <c r="G3001" s="340" t="s">
        <v>1936</v>
      </c>
      <c r="H3001" s="340"/>
      <c r="I3001" s="340" t="s">
        <v>740</v>
      </c>
      <c r="K3001" s="343">
        <v>485</v>
      </c>
      <c r="L3001" s="343">
        <v>0</v>
      </c>
      <c r="M3001" s="343">
        <v>-1261075.5900000001</v>
      </c>
      <c r="O3001" s="343">
        <v>0</v>
      </c>
    </row>
    <row r="3002" spans="1:15" x14ac:dyDescent="0.3">
      <c r="A3002" s="340" t="s">
        <v>891</v>
      </c>
      <c r="B3002" s="350">
        <v>46128</v>
      </c>
      <c r="C3002" s="350">
        <v>46128</v>
      </c>
      <c r="D3002" s="351">
        <v>46113</v>
      </c>
      <c r="E3002" s="340" t="s">
        <v>2805</v>
      </c>
      <c r="F3002" s="340" t="s">
        <v>1078</v>
      </c>
      <c r="G3002" s="340" t="s">
        <v>1949</v>
      </c>
      <c r="H3002" s="340"/>
      <c r="I3002" s="340" t="s">
        <v>740</v>
      </c>
      <c r="K3002" s="343">
        <v>670</v>
      </c>
      <c r="L3002" s="343">
        <v>0</v>
      </c>
      <c r="M3002" s="343">
        <v>-1260405.5900000001</v>
      </c>
      <c r="O3002" s="343">
        <v>0</v>
      </c>
    </row>
    <row r="3003" spans="1:15" x14ac:dyDescent="0.3">
      <c r="A3003" s="340" t="s">
        <v>891</v>
      </c>
      <c r="B3003" s="350">
        <v>46128</v>
      </c>
      <c r="C3003" s="350">
        <v>46128</v>
      </c>
      <c r="D3003" s="351">
        <v>46113</v>
      </c>
      <c r="E3003" s="340" t="s">
        <v>2805</v>
      </c>
      <c r="F3003" s="340" t="s">
        <v>1078</v>
      </c>
      <c r="G3003" s="340" t="s">
        <v>1951</v>
      </c>
      <c r="H3003" s="340"/>
      <c r="I3003" s="340" t="s">
        <v>740</v>
      </c>
      <c r="K3003" s="343">
        <v>530</v>
      </c>
      <c r="L3003" s="343">
        <v>0</v>
      </c>
      <c r="M3003" s="343">
        <v>-1259875.5900000001</v>
      </c>
      <c r="O3003" s="343">
        <v>0</v>
      </c>
    </row>
    <row r="3004" spans="1:15" x14ac:dyDescent="0.3">
      <c r="A3004" s="340" t="s">
        <v>891</v>
      </c>
      <c r="B3004" s="350">
        <v>46128</v>
      </c>
      <c r="C3004" s="350">
        <v>46128</v>
      </c>
      <c r="D3004" s="351">
        <v>46113</v>
      </c>
      <c r="E3004" s="340" t="s">
        <v>2806</v>
      </c>
      <c r="F3004" s="340" t="s">
        <v>1078</v>
      </c>
      <c r="G3004" s="340" t="s">
        <v>1187</v>
      </c>
      <c r="H3004" s="340"/>
      <c r="I3004" s="340" t="s">
        <v>745</v>
      </c>
      <c r="K3004" s="343">
        <v>47.57</v>
      </c>
      <c r="L3004" s="343">
        <v>0</v>
      </c>
      <c r="M3004" s="343">
        <v>-1259828.02</v>
      </c>
      <c r="O3004" s="343">
        <v>0</v>
      </c>
    </row>
    <row r="3005" spans="1:15" x14ac:dyDescent="0.3">
      <c r="A3005" s="340" t="s">
        <v>891</v>
      </c>
      <c r="B3005" s="350">
        <v>46128</v>
      </c>
      <c r="C3005" s="350">
        <v>46128</v>
      </c>
      <c r="D3005" s="351">
        <v>46113</v>
      </c>
      <c r="E3005" s="340" t="s">
        <v>2805</v>
      </c>
      <c r="F3005" s="340" t="s">
        <v>1078</v>
      </c>
      <c r="G3005" s="340" t="s">
        <v>1953</v>
      </c>
      <c r="H3005" s="340"/>
      <c r="I3005" s="340" t="s">
        <v>740</v>
      </c>
      <c r="K3005" s="343">
        <v>480</v>
      </c>
      <c r="L3005" s="343">
        <v>0</v>
      </c>
      <c r="M3005" s="343">
        <v>-1259348.02</v>
      </c>
      <c r="O3005" s="343">
        <v>0</v>
      </c>
    </row>
    <row r="3006" spans="1:15" x14ac:dyDescent="0.3">
      <c r="A3006" s="340" t="s">
        <v>891</v>
      </c>
      <c r="B3006" s="350">
        <v>46128</v>
      </c>
      <c r="C3006" s="350">
        <v>46128</v>
      </c>
      <c r="D3006" s="351">
        <v>46113</v>
      </c>
      <c r="E3006" s="340" t="s">
        <v>2805</v>
      </c>
      <c r="F3006" s="340" t="s">
        <v>1078</v>
      </c>
      <c r="G3006" s="340" t="s">
        <v>1955</v>
      </c>
      <c r="H3006" s="340"/>
      <c r="I3006" s="340" t="s">
        <v>740</v>
      </c>
      <c r="K3006" s="343">
        <v>850</v>
      </c>
      <c r="L3006" s="343">
        <v>0</v>
      </c>
      <c r="M3006" s="343">
        <v>-1258498.02</v>
      </c>
      <c r="O3006" s="343">
        <v>0</v>
      </c>
    </row>
    <row r="3007" spans="1:15" x14ac:dyDescent="0.3">
      <c r="A3007" s="340" t="s">
        <v>891</v>
      </c>
      <c r="B3007" s="350">
        <v>46128</v>
      </c>
      <c r="C3007" s="350">
        <v>46128</v>
      </c>
      <c r="D3007" s="351">
        <v>46113</v>
      </c>
      <c r="E3007" s="340" t="s">
        <v>2805</v>
      </c>
      <c r="F3007" s="340" t="s">
        <v>1078</v>
      </c>
      <c r="G3007" s="340" t="s">
        <v>1957</v>
      </c>
      <c r="H3007" s="340"/>
      <c r="I3007" s="340" t="s">
        <v>740</v>
      </c>
      <c r="K3007" s="343">
        <v>765</v>
      </c>
      <c r="L3007" s="343">
        <v>0</v>
      </c>
      <c r="M3007" s="343">
        <v>-1257733.02</v>
      </c>
      <c r="O3007" s="343">
        <v>0</v>
      </c>
    </row>
    <row r="3008" spans="1:15" x14ac:dyDescent="0.3">
      <c r="A3008" s="340" t="s">
        <v>891</v>
      </c>
      <c r="B3008" s="350">
        <v>46128</v>
      </c>
      <c r="C3008" s="350">
        <v>46128</v>
      </c>
      <c r="D3008" s="351">
        <v>46113</v>
      </c>
      <c r="E3008" s="340" t="s">
        <v>2805</v>
      </c>
      <c r="F3008" s="340" t="s">
        <v>1078</v>
      </c>
      <c r="G3008" s="340" t="s">
        <v>1959</v>
      </c>
      <c r="H3008" s="340"/>
      <c r="I3008" s="340" t="s">
        <v>740</v>
      </c>
      <c r="K3008" s="343">
        <v>243.56</v>
      </c>
      <c r="L3008" s="343">
        <v>0</v>
      </c>
      <c r="M3008" s="343">
        <v>-1257489.46</v>
      </c>
      <c r="O3008" s="343">
        <v>0</v>
      </c>
    </row>
    <row r="3009" spans="1:15" x14ac:dyDescent="0.3">
      <c r="A3009" s="340" t="s">
        <v>891</v>
      </c>
      <c r="B3009" s="350">
        <v>46128</v>
      </c>
      <c r="C3009" s="350">
        <v>46128</v>
      </c>
      <c r="D3009" s="351">
        <v>46113</v>
      </c>
      <c r="E3009" s="340" t="s">
        <v>2805</v>
      </c>
      <c r="F3009" s="340" t="s">
        <v>1078</v>
      </c>
      <c r="G3009" s="340" t="s">
        <v>1961</v>
      </c>
      <c r="H3009" s="340"/>
      <c r="I3009" s="340" t="s">
        <v>740</v>
      </c>
      <c r="K3009" s="343">
        <v>150</v>
      </c>
      <c r="L3009" s="343">
        <v>0</v>
      </c>
      <c r="M3009" s="343">
        <v>-1257339.46</v>
      </c>
      <c r="O3009" s="343">
        <v>0</v>
      </c>
    </row>
    <row r="3010" spans="1:15" x14ac:dyDescent="0.3">
      <c r="A3010" s="340" t="s">
        <v>891</v>
      </c>
      <c r="B3010" s="350">
        <v>46128</v>
      </c>
      <c r="C3010" s="350">
        <v>46128</v>
      </c>
      <c r="D3010" s="351">
        <v>46113</v>
      </c>
      <c r="E3010" s="340" t="s">
        <v>2806</v>
      </c>
      <c r="F3010" s="340" t="s">
        <v>1078</v>
      </c>
      <c r="G3010" s="340" t="s">
        <v>1549</v>
      </c>
      <c r="H3010" s="340"/>
      <c r="I3010" s="340" t="s">
        <v>745</v>
      </c>
      <c r="K3010" s="343">
        <v>177.52</v>
      </c>
      <c r="L3010" s="343">
        <v>0</v>
      </c>
      <c r="M3010" s="343">
        <v>-1257161.94</v>
      </c>
      <c r="O3010" s="343">
        <v>0</v>
      </c>
    </row>
    <row r="3011" spans="1:15" x14ac:dyDescent="0.3">
      <c r="A3011" s="340" t="s">
        <v>891</v>
      </c>
      <c r="B3011" s="350">
        <v>46128</v>
      </c>
      <c r="C3011" s="350">
        <v>46128</v>
      </c>
      <c r="D3011" s="351">
        <v>46113</v>
      </c>
      <c r="E3011" s="340" t="s">
        <v>2805</v>
      </c>
      <c r="F3011" s="340" t="s">
        <v>1078</v>
      </c>
      <c r="G3011" s="340" t="s">
        <v>1963</v>
      </c>
      <c r="H3011" s="340"/>
      <c r="I3011" s="340" t="s">
        <v>740</v>
      </c>
      <c r="K3011" s="343">
        <v>189.44</v>
      </c>
      <c r="L3011" s="343">
        <v>0</v>
      </c>
      <c r="M3011" s="343">
        <v>-1256972.5</v>
      </c>
      <c r="O3011" s="343">
        <v>0</v>
      </c>
    </row>
    <row r="3012" spans="1:15" x14ac:dyDescent="0.3">
      <c r="A3012" s="340" t="s">
        <v>891</v>
      </c>
      <c r="B3012" s="350">
        <v>46128</v>
      </c>
      <c r="C3012" s="350">
        <v>46128</v>
      </c>
      <c r="D3012" s="351">
        <v>46113</v>
      </c>
      <c r="E3012" s="340" t="s">
        <v>2805</v>
      </c>
      <c r="F3012" s="340" t="s">
        <v>1078</v>
      </c>
      <c r="G3012" s="340" t="s">
        <v>1965</v>
      </c>
      <c r="H3012" s="340"/>
      <c r="I3012" s="340" t="s">
        <v>740</v>
      </c>
      <c r="K3012" s="343">
        <v>243.56</v>
      </c>
      <c r="L3012" s="343">
        <v>0</v>
      </c>
      <c r="M3012" s="343">
        <v>-1256728.94</v>
      </c>
      <c r="O3012" s="343">
        <v>0</v>
      </c>
    </row>
    <row r="3013" spans="1:15" x14ac:dyDescent="0.3">
      <c r="A3013" s="340" t="s">
        <v>891</v>
      </c>
      <c r="B3013" s="350">
        <v>46128</v>
      </c>
      <c r="C3013" s="350">
        <v>46128</v>
      </c>
      <c r="D3013" s="351">
        <v>46113</v>
      </c>
      <c r="E3013" s="340" t="s">
        <v>2805</v>
      </c>
      <c r="F3013" s="340" t="s">
        <v>1078</v>
      </c>
      <c r="G3013" s="340" t="s">
        <v>1967</v>
      </c>
      <c r="H3013" s="340"/>
      <c r="I3013" s="340" t="s">
        <v>740</v>
      </c>
      <c r="K3013" s="343">
        <v>260</v>
      </c>
      <c r="L3013" s="343">
        <v>0</v>
      </c>
      <c r="M3013" s="343">
        <v>-1256468.94</v>
      </c>
      <c r="O3013" s="343">
        <v>0</v>
      </c>
    </row>
    <row r="3014" spans="1:15" x14ac:dyDescent="0.3">
      <c r="A3014" s="340" t="s">
        <v>891</v>
      </c>
      <c r="B3014" s="350">
        <v>46128</v>
      </c>
      <c r="C3014" s="350">
        <v>46128</v>
      </c>
      <c r="D3014" s="351">
        <v>46113</v>
      </c>
      <c r="E3014" s="340" t="s">
        <v>2805</v>
      </c>
      <c r="F3014" s="340" t="s">
        <v>1078</v>
      </c>
      <c r="G3014" s="340" t="s">
        <v>1969</v>
      </c>
      <c r="H3014" s="340"/>
      <c r="I3014" s="340" t="s">
        <v>740</v>
      </c>
      <c r="K3014" s="343">
        <v>165</v>
      </c>
      <c r="L3014" s="343">
        <v>0</v>
      </c>
      <c r="M3014" s="343">
        <v>-1256303.94</v>
      </c>
      <c r="O3014" s="343">
        <v>0</v>
      </c>
    </row>
    <row r="3015" spans="1:15" x14ac:dyDescent="0.3">
      <c r="A3015" s="340" t="s">
        <v>891</v>
      </c>
      <c r="B3015" s="350">
        <v>46128</v>
      </c>
      <c r="C3015" s="350">
        <v>46128</v>
      </c>
      <c r="D3015" s="351">
        <v>46113</v>
      </c>
      <c r="E3015" s="340" t="s">
        <v>2805</v>
      </c>
      <c r="F3015" s="340" t="s">
        <v>1078</v>
      </c>
      <c r="G3015" s="340" t="s">
        <v>1971</v>
      </c>
      <c r="H3015" s="340"/>
      <c r="I3015" s="340" t="s">
        <v>740</v>
      </c>
      <c r="K3015" s="343">
        <v>243.56</v>
      </c>
      <c r="L3015" s="343">
        <v>0</v>
      </c>
      <c r="M3015" s="343">
        <v>-1256060.3799999999</v>
      </c>
      <c r="O3015" s="343">
        <v>0</v>
      </c>
    </row>
    <row r="3016" spans="1:15" x14ac:dyDescent="0.3">
      <c r="A3016" s="340" t="s">
        <v>891</v>
      </c>
      <c r="B3016" s="350">
        <v>46128</v>
      </c>
      <c r="C3016" s="350">
        <v>46128</v>
      </c>
      <c r="D3016" s="351">
        <v>46113</v>
      </c>
      <c r="E3016" s="340" t="s">
        <v>2806</v>
      </c>
      <c r="F3016" s="340" t="s">
        <v>1078</v>
      </c>
      <c r="G3016" s="340" t="s">
        <v>1550</v>
      </c>
      <c r="H3016" s="340"/>
      <c r="I3016" s="340" t="s">
        <v>745</v>
      </c>
      <c r="K3016" s="343">
        <v>201.19</v>
      </c>
      <c r="L3016" s="343">
        <v>0</v>
      </c>
      <c r="M3016" s="343">
        <v>-1255859.19</v>
      </c>
      <c r="O3016" s="343">
        <v>0</v>
      </c>
    </row>
    <row r="3017" spans="1:15" x14ac:dyDescent="0.3">
      <c r="A3017" s="340" t="s">
        <v>891</v>
      </c>
      <c r="B3017" s="350">
        <v>46128</v>
      </c>
      <c r="C3017" s="350">
        <v>46128</v>
      </c>
      <c r="D3017" s="351">
        <v>46113</v>
      </c>
      <c r="E3017" s="340" t="s">
        <v>2805</v>
      </c>
      <c r="F3017" s="340" t="s">
        <v>1078</v>
      </c>
      <c r="G3017" s="340" t="s">
        <v>1973</v>
      </c>
      <c r="H3017" s="340"/>
      <c r="I3017" s="340" t="s">
        <v>740</v>
      </c>
      <c r="K3017" s="343">
        <v>260</v>
      </c>
      <c r="L3017" s="343">
        <v>0</v>
      </c>
      <c r="M3017" s="343">
        <v>-1255599.19</v>
      </c>
      <c r="O3017" s="343">
        <v>0</v>
      </c>
    </row>
    <row r="3018" spans="1:15" x14ac:dyDescent="0.3">
      <c r="A3018" s="340" t="s">
        <v>891</v>
      </c>
      <c r="B3018" s="350">
        <v>46128</v>
      </c>
      <c r="C3018" s="350">
        <v>46128</v>
      </c>
      <c r="D3018" s="351">
        <v>46113</v>
      </c>
      <c r="E3018" s="340" t="s">
        <v>2805</v>
      </c>
      <c r="F3018" s="340" t="s">
        <v>1078</v>
      </c>
      <c r="G3018" s="340" t="s">
        <v>1975</v>
      </c>
      <c r="H3018" s="340"/>
      <c r="I3018" s="340" t="s">
        <v>740</v>
      </c>
      <c r="K3018" s="343">
        <v>185</v>
      </c>
      <c r="L3018" s="343">
        <v>0</v>
      </c>
      <c r="M3018" s="343">
        <v>-1255414.19</v>
      </c>
      <c r="O3018" s="343">
        <v>0</v>
      </c>
    </row>
    <row r="3019" spans="1:15" x14ac:dyDescent="0.3">
      <c r="A3019" s="340" t="s">
        <v>891</v>
      </c>
      <c r="B3019" s="350">
        <v>46128</v>
      </c>
      <c r="C3019" s="350">
        <v>46128</v>
      </c>
      <c r="D3019" s="351">
        <v>46113</v>
      </c>
      <c r="E3019" s="340" t="s">
        <v>2805</v>
      </c>
      <c r="F3019" s="340" t="s">
        <v>1078</v>
      </c>
      <c r="G3019" s="340" t="s">
        <v>1977</v>
      </c>
      <c r="H3019" s="340"/>
      <c r="I3019" s="340" t="s">
        <v>740</v>
      </c>
      <c r="K3019" s="343">
        <v>520</v>
      </c>
      <c r="L3019" s="343">
        <v>0</v>
      </c>
      <c r="M3019" s="343">
        <v>-1254894.19</v>
      </c>
      <c r="O3019" s="343">
        <v>0</v>
      </c>
    </row>
    <row r="3020" spans="1:15" x14ac:dyDescent="0.3">
      <c r="A3020" s="340" t="s">
        <v>891</v>
      </c>
      <c r="B3020" s="350">
        <v>46128</v>
      </c>
      <c r="C3020" s="350">
        <v>46128</v>
      </c>
      <c r="D3020" s="351">
        <v>46113</v>
      </c>
      <c r="E3020" s="340" t="s">
        <v>2805</v>
      </c>
      <c r="F3020" s="340" t="s">
        <v>1078</v>
      </c>
      <c r="G3020" s="340" t="s">
        <v>1979</v>
      </c>
      <c r="H3020" s="340"/>
      <c r="I3020" s="340" t="s">
        <v>740</v>
      </c>
      <c r="K3020" s="343">
        <v>545</v>
      </c>
      <c r="L3020" s="343">
        <v>0</v>
      </c>
      <c r="M3020" s="343">
        <v>-1254349.19</v>
      </c>
      <c r="O3020" s="343">
        <v>0</v>
      </c>
    </row>
    <row r="3021" spans="1:15" x14ac:dyDescent="0.3">
      <c r="A3021" s="340" t="s">
        <v>891</v>
      </c>
      <c r="B3021" s="350">
        <v>46128</v>
      </c>
      <c r="C3021" s="350">
        <v>46128</v>
      </c>
      <c r="D3021" s="351">
        <v>46113</v>
      </c>
      <c r="E3021" s="340" t="s">
        <v>2805</v>
      </c>
      <c r="F3021" s="340" t="s">
        <v>1078</v>
      </c>
      <c r="G3021" s="340" t="s">
        <v>2004</v>
      </c>
      <c r="H3021" s="340"/>
      <c r="I3021" s="340" t="s">
        <v>740</v>
      </c>
      <c r="K3021" s="343">
        <v>260</v>
      </c>
      <c r="L3021" s="343">
        <v>0</v>
      </c>
      <c r="M3021" s="343">
        <v>-1254089.19</v>
      </c>
      <c r="O3021" s="343">
        <v>0</v>
      </c>
    </row>
    <row r="3022" spans="1:15" x14ac:dyDescent="0.3">
      <c r="A3022" s="340" t="s">
        <v>891</v>
      </c>
      <c r="B3022" s="350">
        <v>46128</v>
      </c>
      <c r="C3022" s="350">
        <v>46128</v>
      </c>
      <c r="D3022" s="351">
        <v>46113</v>
      </c>
      <c r="E3022" s="340" t="s">
        <v>2806</v>
      </c>
      <c r="F3022" s="340" t="s">
        <v>1078</v>
      </c>
      <c r="G3022" s="340" t="s">
        <v>1551</v>
      </c>
      <c r="H3022" s="340"/>
      <c r="I3022" s="340" t="s">
        <v>745</v>
      </c>
      <c r="K3022" s="343">
        <v>40.89</v>
      </c>
      <c r="L3022" s="343">
        <v>0</v>
      </c>
      <c r="M3022" s="343">
        <v>-1254048.3</v>
      </c>
      <c r="O3022" s="343">
        <v>0</v>
      </c>
    </row>
    <row r="3023" spans="1:15" x14ac:dyDescent="0.3">
      <c r="A3023" s="340" t="s">
        <v>891</v>
      </c>
      <c r="B3023" s="350">
        <v>46128</v>
      </c>
      <c r="C3023" s="350">
        <v>46128</v>
      </c>
      <c r="D3023" s="351">
        <v>46113</v>
      </c>
      <c r="E3023" s="340" t="s">
        <v>2806</v>
      </c>
      <c r="F3023" s="340" t="s">
        <v>1078</v>
      </c>
      <c r="G3023" s="340" t="s">
        <v>1539</v>
      </c>
      <c r="H3023" s="340"/>
      <c r="I3023" s="340" t="s">
        <v>745</v>
      </c>
      <c r="K3023" s="343">
        <v>59.62</v>
      </c>
      <c r="L3023" s="343">
        <v>0</v>
      </c>
      <c r="M3023" s="343">
        <v>-1253988.68</v>
      </c>
      <c r="O3023" s="343">
        <v>0</v>
      </c>
    </row>
    <row r="3024" spans="1:15" x14ac:dyDescent="0.3">
      <c r="A3024" s="340" t="s">
        <v>891</v>
      </c>
      <c r="B3024" s="350">
        <v>46128</v>
      </c>
      <c r="C3024" s="350">
        <v>46128</v>
      </c>
      <c r="D3024" s="351">
        <v>46113</v>
      </c>
      <c r="E3024" s="340" t="s">
        <v>2805</v>
      </c>
      <c r="F3024" s="340" t="s">
        <v>1078</v>
      </c>
      <c r="G3024" s="340" t="s">
        <v>1981</v>
      </c>
      <c r="H3024" s="340"/>
      <c r="I3024" s="340" t="s">
        <v>740</v>
      </c>
      <c r="K3024" s="343">
        <v>570</v>
      </c>
      <c r="L3024" s="343">
        <v>0</v>
      </c>
      <c r="M3024" s="343">
        <v>-1253418.68</v>
      </c>
      <c r="O3024" s="343">
        <v>0</v>
      </c>
    </row>
    <row r="3025" spans="1:15" x14ac:dyDescent="0.3">
      <c r="A3025" s="340" t="s">
        <v>891</v>
      </c>
      <c r="B3025" s="350">
        <v>46128</v>
      </c>
      <c r="C3025" s="350">
        <v>46128</v>
      </c>
      <c r="D3025" s="351">
        <v>46113</v>
      </c>
      <c r="E3025" s="340" t="s">
        <v>2805</v>
      </c>
      <c r="F3025" s="340" t="s">
        <v>1078</v>
      </c>
      <c r="G3025" s="340" t="s">
        <v>2006</v>
      </c>
      <c r="H3025" s="340"/>
      <c r="I3025" s="340" t="s">
        <v>740</v>
      </c>
      <c r="K3025" s="343">
        <v>510</v>
      </c>
      <c r="L3025" s="343">
        <v>0</v>
      </c>
      <c r="M3025" s="343">
        <v>-1252908.68</v>
      </c>
      <c r="O3025" s="343">
        <v>0</v>
      </c>
    </row>
    <row r="3026" spans="1:15" x14ac:dyDescent="0.3">
      <c r="A3026" s="340" t="s">
        <v>891</v>
      </c>
      <c r="B3026" s="350">
        <v>46128</v>
      </c>
      <c r="C3026" s="350">
        <v>46128</v>
      </c>
      <c r="D3026" s="351">
        <v>46113</v>
      </c>
      <c r="E3026" s="340" t="s">
        <v>2805</v>
      </c>
      <c r="F3026" s="340" t="s">
        <v>1078</v>
      </c>
      <c r="G3026" s="340" t="s">
        <v>2008</v>
      </c>
      <c r="H3026" s="340"/>
      <c r="I3026" s="340" t="s">
        <v>740</v>
      </c>
      <c r="K3026" s="343">
        <v>480</v>
      </c>
      <c r="L3026" s="343">
        <v>0</v>
      </c>
      <c r="M3026" s="343">
        <v>-1252428.68</v>
      </c>
      <c r="O3026" s="343">
        <v>0</v>
      </c>
    </row>
    <row r="3027" spans="1:15" x14ac:dyDescent="0.3">
      <c r="A3027" s="340" t="s">
        <v>891</v>
      </c>
      <c r="B3027" s="350">
        <v>46128</v>
      </c>
      <c r="C3027" s="350">
        <v>46128</v>
      </c>
      <c r="D3027" s="351">
        <v>46113</v>
      </c>
      <c r="E3027" s="340" t="s">
        <v>2805</v>
      </c>
      <c r="F3027" s="340" t="s">
        <v>1078</v>
      </c>
      <c r="G3027" s="340" t="s">
        <v>2010</v>
      </c>
      <c r="H3027" s="340"/>
      <c r="I3027" s="340" t="s">
        <v>740</v>
      </c>
      <c r="K3027" s="343">
        <v>480</v>
      </c>
      <c r="L3027" s="343">
        <v>0</v>
      </c>
      <c r="M3027" s="343">
        <v>-1251948.68</v>
      </c>
      <c r="O3027" s="343">
        <v>0</v>
      </c>
    </row>
    <row r="3028" spans="1:15" x14ac:dyDescent="0.3">
      <c r="A3028" s="340" t="s">
        <v>891</v>
      </c>
      <c r="B3028" s="350">
        <v>46128</v>
      </c>
      <c r="C3028" s="350">
        <v>46128</v>
      </c>
      <c r="D3028" s="351">
        <v>46113</v>
      </c>
      <c r="E3028" s="340" t="s">
        <v>2805</v>
      </c>
      <c r="F3028" s="340" t="s">
        <v>1078</v>
      </c>
      <c r="G3028" s="340" t="s">
        <v>1983</v>
      </c>
      <c r="H3028" s="340"/>
      <c r="I3028" s="340" t="s">
        <v>740</v>
      </c>
      <c r="K3028" s="343">
        <v>156.96</v>
      </c>
      <c r="L3028" s="343">
        <v>0</v>
      </c>
      <c r="M3028" s="343">
        <v>-1251791.72</v>
      </c>
      <c r="O3028" s="343">
        <v>0</v>
      </c>
    </row>
    <row r="3029" spans="1:15" x14ac:dyDescent="0.3">
      <c r="A3029" s="340" t="s">
        <v>891</v>
      </c>
      <c r="B3029" s="350">
        <v>46128</v>
      </c>
      <c r="C3029" s="350">
        <v>46128</v>
      </c>
      <c r="D3029" s="351">
        <v>46113</v>
      </c>
      <c r="E3029" s="340" t="s">
        <v>2806</v>
      </c>
      <c r="F3029" s="340" t="s">
        <v>1078</v>
      </c>
      <c r="G3029" s="340" t="s">
        <v>1552</v>
      </c>
      <c r="H3029" s="340"/>
      <c r="I3029" s="340" t="s">
        <v>745</v>
      </c>
      <c r="K3029" s="343">
        <v>18.05</v>
      </c>
      <c r="L3029" s="343">
        <v>0</v>
      </c>
      <c r="M3029" s="343">
        <v>-1251773.67</v>
      </c>
      <c r="O3029" s="343">
        <v>0</v>
      </c>
    </row>
    <row r="3030" spans="1:15" x14ac:dyDescent="0.3">
      <c r="A3030" s="340" t="s">
        <v>891</v>
      </c>
      <c r="B3030" s="350">
        <v>46128</v>
      </c>
      <c r="C3030" s="350">
        <v>46128</v>
      </c>
      <c r="D3030" s="351">
        <v>46113</v>
      </c>
      <c r="E3030" s="340" t="s">
        <v>2805</v>
      </c>
      <c r="F3030" s="340" t="s">
        <v>1078</v>
      </c>
      <c r="G3030" s="340" t="s">
        <v>1984</v>
      </c>
      <c r="H3030" s="340"/>
      <c r="I3030" s="340" t="s">
        <v>740</v>
      </c>
      <c r="K3030" s="343">
        <v>25</v>
      </c>
      <c r="L3030" s="343">
        <v>0</v>
      </c>
      <c r="M3030" s="343">
        <v>-1251748.67</v>
      </c>
      <c r="O3030" s="343">
        <v>0</v>
      </c>
    </row>
    <row r="3031" spans="1:15" x14ac:dyDescent="0.3">
      <c r="A3031" s="340" t="s">
        <v>891</v>
      </c>
      <c r="B3031" s="350">
        <v>46128</v>
      </c>
      <c r="C3031" s="350">
        <v>46128</v>
      </c>
      <c r="D3031" s="351">
        <v>46113</v>
      </c>
      <c r="E3031" s="340" t="s">
        <v>2805</v>
      </c>
      <c r="F3031" s="340" t="s">
        <v>1078</v>
      </c>
      <c r="G3031" s="340" t="s">
        <v>1992</v>
      </c>
      <c r="H3031" s="340"/>
      <c r="I3031" s="340" t="s">
        <v>740</v>
      </c>
      <c r="K3031" s="343">
        <v>211.09</v>
      </c>
      <c r="L3031" s="343">
        <v>0</v>
      </c>
      <c r="M3031" s="343">
        <v>-1251537.58</v>
      </c>
      <c r="O3031" s="343">
        <v>0</v>
      </c>
    </row>
    <row r="3032" spans="1:15" x14ac:dyDescent="0.3">
      <c r="A3032" s="340" t="s">
        <v>891</v>
      </c>
      <c r="B3032" s="350">
        <v>46128</v>
      </c>
      <c r="C3032" s="350">
        <v>46128</v>
      </c>
      <c r="D3032" s="351">
        <v>46113</v>
      </c>
      <c r="E3032" s="340" t="s">
        <v>2805</v>
      </c>
      <c r="F3032" s="340" t="s">
        <v>1078</v>
      </c>
      <c r="G3032" s="340" t="s">
        <v>1990</v>
      </c>
      <c r="H3032" s="340"/>
      <c r="I3032" s="340" t="s">
        <v>740</v>
      </c>
      <c r="K3032" s="343">
        <v>55</v>
      </c>
      <c r="L3032" s="343">
        <v>0</v>
      </c>
      <c r="M3032" s="343">
        <v>-1251482.58</v>
      </c>
      <c r="O3032" s="343">
        <v>0</v>
      </c>
    </row>
    <row r="3033" spans="1:15" x14ac:dyDescent="0.3">
      <c r="A3033" s="340" t="s">
        <v>891</v>
      </c>
      <c r="B3033" s="350">
        <v>46128</v>
      </c>
      <c r="C3033" s="350">
        <v>46128</v>
      </c>
      <c r="D3033" s="351">
        <v>46113</v>
      </c>
      <c r="E3033" s="340" t="s">
        <v>2805</v>
      </c>
      <c r="F3033" s="340" t="s">
        <v>1078</v>
      </c>
      <c r="G3033" s="340" t="s">
        <v>1986</v>
      </c>
      <c r="H3033" s="340"/>
      <c r="I3033" s="340" t="s">
        <v>740</v>
      </c>
      <c r="K3033" s="343">
        <v>178.61</v>
      </c>
      <c r="L3033" s="343">
        <v>0</v>
      </c>
      <c r="M3033" s="343">
        <v>-1251303.97</v>
      </c>
      <c r="O3033" s="343">
        <v>0</v>
      </c>
    </row>
    <row r="3034" spans="1:15" x14ac:dyDescent="0.3">
      <c r="A3034" s="340" t="s">
        <v>891</v>
      </c>
      <c r="B3034" s="350">
        <v>46128</v>
      </c>
      <c r="C3034" s="350">
        <v>46128</v>
      </c>
      <c r="D3034" s="351">
        <v>46113</v>
      </c>
      <c r="E3034" s="340" t="s">
        <v>2805</v>
      </c>
      <c r="F3034" s="340" t="s">
        <v>1078</v>
      </c>
      <c r="G3034" s="340" t="s">
        <v>1987</v>
      </c>
      <c r="H3034" s="340"/>
      <c r="I3034" s="340" t="s">
        <v>740</v>
      </c>
      <c r="K3034" s="343">
        <v>45</v>
      </c>
      <c r="L3034" s="343">
        <v>0</v>
      </c>
      <c r="M3034" s="343">
        <v>-1251258.97</v>
      </c>
      <c r="O3034" s="343">
        <v>0</v>
      </c>
    </row>
    <row r="3035" spans="1:15" x14ac:dyDescent="0.3">
      <c r="A3035" s="340" t="s">
        <v>891</v>
      </c>
      <c r="B3035" s="350">
        <v>46128</v>
      </c>
      <c r="C3035" s="350">
        <v>46128</v>
      </c>
      <c r="D3035" s="351">
        <v>46113</v>
      </c>
      <c r="E3035" s="340" t="s">
        <v>2806</v>
      </c>
      <c r="F3035" s="340" t="s">
        <v>1078</v>
      </c>
      <c r="G3035" s="340" t="s">
        <v>1553</v>
      </c>
      <c r="H3035" s="340"/>
      <c r="I3035" s="340" t="s">
        <v>745</v>
      </c>
      <c r="K3035" s="343">
        <v>214.24</v>
      </c>
      <c r="L3035" s="343">
        <v>0</v>
      </c>
      <c r="M3035" s="343">
        <v>-1251044.73</v>
      </c>
      <c r="O3035" s="343">
        <v>0</v>
      </c>
    </row>
    <row r="3036" spans="1:15" x14ac:dyDescent="0.3">
      <c r="A3036" s="340" t="s">
        <v>891</v>
      </c>
      <c r="B3036" s="350">
        <v>46128</v>
      </c>
      <c r="C3036" s="350">
        <v>46128</v>
      </c>
      <c r="D3036" s="351">
        <v>46113</v>
      </c>
      <c r="E3036" s="340" t="s">
        <v>2805</v>
      </c>
      <c r="F3036" s="340" t="s">
        <v>1078</v>
      </c>
      <c r="G3036" s="340" t="s">
        <v>1989</v>
      </c>
      <c r="H3036" s="340"/>
      <c r="I3036" s="340" t="s">
        <v>740</v>
      </c>
      <c r="K3036" s="343">
        <v>129.9</v>
      </c>
      <c r="L3036" s="343">
        <v>0</v>
      </c>
      <c r="M3036" s="343">
        <v>-1250914.83</v>
      </c>
      <c r="O3036" s="343">
        <v>0</v>
      </c>
    </row>
    <row r="3037" spans="1:15" x14ac:dyDescent="0.3">
      <c r="A3037" s="340" t="s">
        <v>891</v>
      </c>
      <c r="B3037" s="350">
        <v>46128</v>
      </c>
      <c r="C3037" s="350">
        <v>46128</v>
      </c>
      <c r="D3037" s="351">
        <v>46113</v>
      </c>
      <c r="E3037" s="340" t="s">
        <v>2805</v>
      </c>
      <c r="F3037" s="340" t="s">
        <v>1078</v>
      </c>
      <c r="G3037" s="340" t="s">
        <v>1990</v>
      </c>
      <c r="H3037" s="340"/>
      <c r="I3037" s="340" t="s">
        <v>740</v>
      </c>
      <c r="K3037" s="343">
        <v>75</v>
      </c>
      <c r="L3037" s="343">
        <v>0</v>
      </c>
      <c r="M3037" s="343">
        <v>-1250839.83</v>
      </c>
      <c r="O3037" s="343">
        <v>0</v>
      </c>
    </row>
    <row r="3038" spans="1:15" x14ac:dyDescent="0.3">
      <c r="A3038" s="340" t="s">
        <v>891</v>
      </c>
      <c r="B3038" s="350">
        <v>46128</v>
      </c>
      <c r="C3038" s="350">
        <v>46128</v>
      </c>
      <c r="D3038" s="351">
        <v>46113</v>
      </c>
      <c r="E3038" s="340" t="s">
        <v>2805</v>
      </c>
      <c r="F3038" s="340" t="s">
        <v>1078</v>
      </c>
      <c r="G3038" s="340" t="s">
        <v>1938</v>
      </c>
      <c r="H3038" s="340"/>
      <c r="I3038" s="340" t="s">
        <v>740</v>
      </c>
      <c r="K3038" s="343">
        <v>255</v>
      </c>
      <c r="L3038" s="343">
        <v>0</v>
      </c>
      <c r="M3038" s="343">
        <v>-1250584.83</v>
      </c>
      <c r="O3038" s="343">
        <v>0</v>
      </c>
    </row>
    <row r="3039" spans="1:15" x14ac:dyDescent="0.3">
      <c r="A3039" s="340" t="s">
        <v>891</v>
      </c>
      <c r="B3039" s="350">
        <v>46128</v>
      </c>
      <c r="C3039" s="350">
        <v>46128</v>
      </c>
      <c r="D3039" s="351">
        <v>46113</v>
      </c>
      <c r="E3039" s="340" t="s">
        <v>2805</v>
      </c>
      <c r="F3039" s="340" t="s">
        <v>1078</v>
      </c>
      <c r="G3039" s="340" t="s">
        <v>1939</v>
      </c>
      <c r="H3039" s="340"/>
      <c r="I3039" s="340" t="s">
        <v>740</v>
      </c>
      <c r="K3039" s="343">
        <v>135.31</v>
      </c>
      <c r="L3039" s="343">
        <v>0</v>
      </c>
      <c r="M3039" s="343">
        <v>-1250449.52</v>
      </c>
      <c r="O3039" s="343">
        <v>0</v>
      </c>
    </row>
    <row r="3040" spans="1:15" x14ac:dyDescent="0.3">
      <c r="A3040" s="340" t="s">
        <v>891</v>
      </c>
      <c r="B3040" s="350">
        <v>46128</v>
      </c>
      <c r="C3040" s="350">
        <v>46128</v>
      </c>
      <c r="D3040" s="351">
        <v>46113</v>
      </c>
      <c r="E3040" s="340" t="s">
        <v>2805</v>
      </c>
      <c r="F3040" s="340" t="s">
        <v>1078</v>
      </c>
      <c r="G3040" s="340" t="s">
        <v>2043</v>
      </c>
      <c r="H3040" s="340"/>
      <c r="I3040" s="340" t="s">
        <v>740</v>
      </c>
      <c r="K3040" s="343">
        <v>770</v>
      </c>
      <c r="L3040" s="343">
        <v>0</v>
      </c>
      <c r="M3040" s="343">
        <v>-1249679.52</v>
      </c>
      <c r="O3040" s="343">
        <v>0</v>
      </c>
    </row>
    <row r="3041" spans="1:15" x14ac:dyDescent="0.3">
      <c r="A3041" s="340" t="s">
        <v>891</v>
      </c>
      <c r="B3041" s="350">
        <v>46128</v>
      </c>
      <c r="C3041" s="350">
        <v>46128</v>
      </c>
      <c r="D3041" s="351">
        <v>46113</v>
      </c>
      <c r="E3041" s="340" t="s">
        <v>2806</v>
      </c>
      <c r="F3041" s="340" t="s">
        <v>1078</v>
      </c>
      <c r="G3041" s="340" t="s">
        <v>1554</v>
      </c>
      <c r="H3041" s="340"/>
      <c r="I3041" s="340" t="s">
        <v>745</v>
      </c>
      <c r="K3041" s="343">
        <v>80.53</v>
      </c>
      <c r="L3041" s="343">
        <v>0</v>
      </c>
      <c r="M3041" s="343">
        <v>-1249598.99</v>
      </c>
      <c r="O3041" s="343">
        <v>0</v>
      </c>
    </row>
    <row r="3042" spans="1:15" x14ac:dyDescent="0.3">
      <c r="A3042" s="340" t="s">
        <v>891</v>
      </c>
      <c r="B3042" s="350">
        <v>46128</v>
      </c>
      <c r="C3042" s="350">
        <v>46128</v>
      </c>
      <c r="D3042" s="351">
        <v>46113</v>
      </c>
      <c r="E3042" s="340" t="s">
        <v>2805</v>
      </c>
      <c r="F3042" s="340" t="s">
        <v>1078</v>
      </c>
      <c r="G3042" s="340" t="s">
        <v>2045</v>
      </c>
      <c r="H3042" s="340"/>
      <c r="I3042" s="340" t="s">
        <v>740</v>
      </c>
      <c r="K3042" s="343">
        <v>570</v>
      </c>
      <c r="L3042" s="343">
        <v>0</v>
      </c>
      <c r="M3042" s="343">
        <v>-1249028.99</v>
      </c>
      <c r="O3042" s="343">
        <v>0</v>
      </c>
    </row>
    <row r="3043" spans="1:15" x14ac:dyDescent="0.3">
      <c r="A3043" s="340" t="s">
        <v>891</v>
      </c>
      <c r="B3043" s="350">
        <v>46128</v>
      </c>
      <c r="C3043" s="350">
        <v>46128</v>
      </c>
      <c r="D3043" s="351">
        <v>46113</v>
      </c>
      <c r="E3043" s="340" t="s">
        <v>2805</v>
      </c>
      <c r="F3043" s="340" t="s">
        <v>1078</v>
      </c>
      <c r="G3043" s="340" t="s">
        <v>2047</v>
      </c>
      <c r="H3043" s="340"/>
      <c r="I3043" s="340" t="s">
        <v>740</v>
      </c>
      <c r="K3043" s="343">
        <v>480</v>
      </c>
      <c r="L3043" s="343">
        <v>0</v>
      </c>
      <c r="M3043" s="343">
        <v>-1248548.99</v>
      </c>
      <c r="O3043" s="343">
        <v>0</v>
      </c>
    </row>
    <row r="3044" spans="1:15" x14ac:dyDescent="0.3">
      <c r="A3044" s="340" t="s">
        <v>891</v>
      </c>
      <c r="B3044" s="350">
        <v>46128</v>
      </c>
      <c r="C3044" s="350">
        <v>46128</v>
      </c>
      <c r="D3044" s="351">
        <v>46113</v>
      </c>
      <c r="E3044" s="340" t="s">
        <v>2805</v>
      </c>
      <c r="F3044" s="340" t="s">
        <v>1078</v>
      </c>
      <c r="G3044" s="340" t="s">
        <v>2049</v>
      </c>
      <c r="H3044" s="340"/>
      <c r="I3044" s="340" t="s">
        <v>740</v>
      </c>
      <c r="K3044" s="343">
        <v>145</v>
      </c>
      <c r="L3044" s="343">
        <v>0</v>
      </c>
      <c r="M3044" s="343">
        <v>-1248403.99</v>
      </c>
      <c r="O3044" s="343">
        <v>0</v>
      </c>
    </row>
    <row r="3045" spans="1:15" x14ac:dyDescent="0.3">
      <c r="A3045" s="340" t="s">
        <v>891</v>
      </c>
      <c r="B3045" s="350">
        <v>46128</v>
      </c>
      <c r="C3045" s="350">
        <v>46128</v>
      </c>
      <c r="D3045" s="351">
        <v>46113</v>
      </c>
      <c r="E3045" s="340" t="s">
        <v>2805</v>
      </c>
      <c r="F3045" s="340" t="s">
        <v>1078</v>
      </c>
      <c r="G3045" s="340" t="s">
        <v>2051</v>
      </c>
      <c r="H3045" s="340"/>
      <c r="I3045" s="340" t="s">
        <v>740</v>
      </c>
      <c r="K3045" s="343">
        <v>195</v>
      </c>
      <c r="L3045" s="343">
        <v>0</v>
      </c>
      <c r="M3045" s="343">
        <v>-1248208.99</v>
      </c>
      <c r="O3045" s="343">
        <v>0</v>
      </c>
    </row>
    <row r="3046" spans="1:15" x14ac:dyDescent="0.3">
      <c r="A3046" s="340" t="s">
        <v>891</v>
      </c>
      <c r="B3046" s="350">
        <v>46128</v>
      </c>
      <c r="C3046" s="350">
        <v>46128</v>
      </c>
      <c r="D3046" s="351">
        <v>46113</v>
      </c>
      <c r="E3046" s="340" t="s">
        <v>2805</v>
      </c>
      <c r="F3046" s="340" t="s">
        <v>1078</v>
      </c>
      <c r="G3046" s="340" t="s">
        <v>2053</v>
      </c>
      <c r="H3046" s="340"/>
      <c r="I3046" s="340" t="s">
        <v>740</v>
      </c>
      <c r="K3046" s="343">
        <v>480</v>
      </c>
      <c r="L3046" s="343">
        <v>0</v>
      </c>
      <c r="M3046" s="343">
        <v>-1247728.99</v>
      </c>
      <c r="O3046" s="343">
        <v>0</v>
      </c>
    </row>
    <row r="3047" spans="1:15" x14ac:dyDescent="0.3">
      <c r="A3047" s="340" t="s">
        <v>891</v>
      </c>
      <c r="B3047" s="350">
        <v>46128</v>
      </c>
      <c r="C3047" s="350">
        <v>46128</v>
      </c>
      <c r="D3047" s="351">
        <v>46113</v>
      </c>
      <c r="E3047" s="340" t="s">
        <v>2806</v>
      </c>
      <c r="F3047" s="340" t="s">
        <v>1078</v>
      </c>
      <c r="G3047" s="340" t="s">
        <v>1547</v>
      </c>
      <c r="H3047" s="340"/>
      <c r="I3047" s="340" t="s">
        <v>745</v>
      </c>
      <c r="K3047" s="343">
        <v>63.8</v>
      </c>
      <c r="L3047" s="343">
        <v>0</v>
      </c>
      <c r="M3047" s="343">
        <v>-1247665.19</v>
      </c>
      <c r="O3047" s="343">
        <v>0</v>
      </c>
    </row>
    <row r="3048" spans="1:15" x14ac:dyDescent="0.3">
      <c r="A3048" s="340" t="s">
        <v>891</v>
      </c>
      <c r="B3048" s="350">
        <v>46128</v>
      </c>
      <c r="C3048" s="350">
        <v>46128</v>
      </c>
      <c r="D3048" s="351">
        <v>46113</v>
      </c>
      <c r="E3048" s="340" t="s">
        <v>2805</v>
      </c>
      <c r="F3048" s="340" t="s">
        <v>1078</v>
      </c>
      <c r="G3048" s="340" t="s">
        <v>1930</v>
      </c>
      <c r="H3048" s="340"/>
      <c r="I3048" s="340" t="s">
        <v>740</v>
      </c>
      <c r="K3048" s="343">
        <v>890</v>
      </c>
      <c r="L3048" s="343">
        <v>0</v>
      </c>
      <c r="M3048" s="343">
        <v>-1246775.19</v>
      </c>
      <c r="O3048" s="343">
        <v>0</v>
      </c>
    </row>
    <row r="3049" spans="1:15" x14ac:dyDescent="0.3">
      <c r="A3049" s="340" t="s">
        <v>891</v>
      </c>
      <c r="B3049" s="350">
        <v>46128</v>
      </c>
      <c r="C3049" s="350">
        <v>46128</v>
      </c>
      <c r="D3049" s="351">
        <v>46113</v>
      </c>
      <c r="E3049" s="340" t="s">
        <v>2805</v>
      </c>
      <c r="F3049" s="340" t="s">
        <v>1078</v>
      </c>
      <c r="G3049" s="340" t="s">
        <v>1931</v>
      </c>
      <c r="H3049" s="340"/>
      <c r="I3049" s="340" t="s">
        <v>740</v>
      </c>
      <c r="K3049" s="343">
        <v>120</v>
      </c>
      <c r="L3049" s="343">
        <v>0</v>
      </c>
      <c r="M3049" s="343">
        <v>-1246655.19</v>
      </c>
      <c r="O3049" s="343">
        <v>0</v>
      </c>
    </row>
    <row r="3050" spans="1:15" x14ac:dyDescent="0.3">
      <c r="A3050" s="340" t="s">
        <v>891</v>
      </c>
      <c r="B3050" s="350">
        <v>46128</v>
      </c>
      <c r="C3050" s="350">
        <v>46128</v>
      </c>
      <c r="D3050" s="351">
        <v>46113</v>
      </c>
      <c r="E3050" s="340" t="s">
        <v>2805</v>
      </c>
      <c r="F3050" s="340" t="s">
        <v>1078</v>
      </c>
      <c r="G3050" s="340" t="s">
        <v>1317</v>
      </c>
      <c r="H3050" s="340"/>
      <c r="I3050" s="340" t="s">
        <v>740</v>
      </c>
      <c r="K3050" s="343">
        <v>216.5</v>
      </c>
      <c r="L3050" s="343">
        <v>0</v>
      </c>
      <c r="M3050" s="343">
        <v>-1246438.69</v>
      </c>
      <c r="O3050" s="343">
        <v>0</v>
      </c>
    </row>
    <row r="3051" spans="1:15" x14ac:dyDescent="0.3">
      <c r="A3051" s="340" t="s">
        <v>891</v>
      </c>
      <c r="B3051" s="350">
        <v>46128</v>
      </c>
      <c r="C3051" s="350">
        <v>46128</v>
      </c>
      <c r="D3051" s="351">
        <v>46113</v>
      </c>
      <c r="E3051" s="340" t="s">
        <v>2805</v>
      </c>
      <c r="F3051" s="340" t="s">
        <v>1078</v>
      </c>
      <c r="G3051" s="340" t="s">
        <v>2098</v>
      </c>
      <c r="H3051" s="340"/>
      <c r="I3051" s="340" t="s">
        <v>740</v>
      </c>
      <c r="K3051" s="343">
        <v>254.39</v>
      </c>
      <c r="L3051" s="343">
        <v>0</v>
      </c>
      <c r="M3051" s="343">
        <v>-1246184.3</v>
      </c>
      <c r="O3051" s="343">
        <v>0</v>
      </c>
    </row>
    <row r="3052" spans="1:15" x14ac:dyDescent="0.3">
      <c r="A3052" s="340" t="s">
        <v>891</v>
      </c>
      <c r="B3052" s="350">
        <v>46128</v>
      </c>
      <c r="C3052" s="350">
        <v>46128</v>
      </c>
      <c r="D3052" s="351">
        <v>46113</v>
      </c>
      <c r="E3052" s="340" t="s">
        <v>2805</v>
      </c>
      <c r="F3052" s="340" t="s">
        <v>1078</v>
      </c>
      <c r="G3052" s="340" t="s">
        <v>2100</v>
      </c>
      <c r="H3052" s="340"/>
      <c r="I3052" s="340" t="s">
        <v>740</v>
      </c>
      <c r="K3052" s="343">
        <v>520</v>
      </c>
      <c r="L3052" s="343">
        <v>0</v>
      </c>
      <c r="M3052" s="343">
        <v>-1245664.3</v>
      </c>
      <c r="O3052" s="343">
        <v>0</v>
      </c>
    </row>
    <row r="3053" spans="1:15" x14ac:dyDescent="0.3">
      <c r="A3053" s="340" t="s">
        <v>891</v>
      </c>
      <c r="B3053" s="350">
        <v>46128</v>
      </c>
      <c r="C3053" s="350">
        <v>46128</v>
      </c>
      <c r="D3053" s="351">
        <v>46113</v>
      </c>
      <c r="E3053" s="340" t="s">
        <v>2806</v>
      </c>
      <c r="F3053" s="340" t="s">
        <v>1078</v>
      </c>
      <c r="G3053" s="340" t="s">
        <v>1555</v>
      </c>
      <c r="H3053" s="340"/>
      <c r="I3053" s="340" t="s">
        <v>745</v>
      </c>
      <c r="K3053" s="343">
        <v>25.37</v>
      </c>
      <c r="L3053" s="343">
        <v>0</v>
      </c>
      <c r="M3053" s="343">
        <v>-1245638.93</v>
      </c>
      <c r="O3053" s="343">
        <v>0</v>
      </c>
    </row>
    <row r="3054" spans="1:15" x14ac:dyDescent="0.3">
      <c r="A3054" s="340" t="s">
        <v>891</v>
      </c>
      <c r="B3054" s="350">
        <v>46128</v>
      </c>
      <c r="C3054" s="350">
        <v>46128</v>
      </c>
      <c r="D3054" s="351">
        <v>46113</v>
      </c>
      <c r="E3054" s="340" t="s">
        <v>2814</v>
      </c>
      <c r="F3054" s="340" t="s">
        <v>1078</v>
      </c>
      <c r="G3054" s="340" t="s">
        <v>1079</v>
      </c>
      <c r="H3054" s="340"/>
      <c r="I3054" s="340" t="s">
        <v>2815</v>
      </c>
      <c r="K3054" s="343">
        <v>439.12</v>
      </c>
      <c r="L3054" s="343">
        <v>0</v>
      </c>
      <c r="M3054" s="343">
        <v>-1245199.81</v>
      </c>
      <c r="O3054" s="343">
        <v>0</v>
      </c>
    </row>
    <row r="3055" spans="1:15" x14ac:dyDescent="0.3">
      <c r="A3055" s="340" t="s">
        <v>891</v>
      </c>
      <c r="B3055" s="350">
        <v>46128</v>
      </c>
      <c r="C3055" s="350">
        <v>46128</v>
      </c>
      <c r="D3055" s="351">
        <v>46113</v>
      </c>
      <c r="E3055" s="340" t="s">
        <v>2805</v>
      </c>
      <c r="F3055" s="340" t="s">
        <v>1078</v>
      </c>
      <c r="G3055" s="340" t="s">
        <v>2101</v>
      </c>
      <c r="H3055" s="340"/>
      <c r="I3055" s="340" t="s">
        <v>740</v>
      </c>
      <c r="K3055" s="343">
        <v>260</v>
      </c>
      <c r="L3055" s="343">
        <v>0</v>
      </c>
      <c r="M3055" s="343">
        <v>-1244939.81</v>
      </c>
      <c r="O3055" s="343">
        <v>0</v>
      </c>
    </row>
    <row r="3056" spans="1:15" x14ac:dyDescent="0.3">
      <c r="A3056" s="340" t="s">
        <v>891</v>
      </c>
      <c r="B3056" s="350">
        <v>46128</v>
      </c>
      <c r="C3056" s="350">
        <v>46128</v>
      </c>
      <c r="D3056" s="351">
        <v>46113</v>
      </c>
      <c r="E3056" s="340" t="s">
        <v>2805</v>
      </c>
      <c r="F3056" s="340" t="s">
        <v>1078</v>
      </c>
      <c r="G3056" s="340" t="s">
        <v>2117</v>
      </c>
      <c r="H3056" s="340"/>
      <c r="I3056" s="340" t="s">
        <v>740</v>
      </c>
      <c r="K3056" s="343">
        <v>129.9</v>
      </c>
      <c r="L3056" s="343">
        <v>0</v>
      </c>
      <c r="M3056" s="343">
        <v>-1244809.9099999999</v>
      </c>
      <c r="O3056" s="343">
        <v>0</v>
      </c>
    </row>
    <row r="3057" spans="1:15" x14ac:dyDescent="0.3">
      <c r="A3057" s="340" t="s">
        <v>891</v>
      </c>
      <c r="B3057" s="350">
        <v>46128</v>
      </c>
      <c r="C3057" s="350">
        <v>46128</v>
      </c>
      <c r="D3057" s="351">
        <v>46113</v>
      </c>
      <c r="E3057" s="340" t="s">
        <v>2805</v>
      </c>
      <c r="F3057" s="340" t="s">
        <v>1078</v>
      </c>
      <c r="G3057" s="340" t="s">
        <v>2119</v>
      </c>
      <c r="H3057" s="340"/>
      <c r="I3057" s="340" t="s">
        <v>740</v>
      </c>
      <c r="K3057" s="343">
        <v>129.9</v>
      </c>
      <c r="L3057" s="343">
        <v>0</v>
      </c>
      <c r="M3057" s="343">
        <v>-1244680.01</v>
      </c>
      <c r="O3057" s="343">
        <v>0</v>
      </c>
    </row>
    <row r="3058" spans="1:15" x14ac:dyDescent="0.3">
      <c r="A3058" s="340" t="s">
        <v>891</v>
      </c>
      <c r="B3058" s="350">
        <v>46128</v>
      </c>
      <c r="C3058" s="350">
        <v>46128</v>
      </c>
      <c r="D3058" s="351">
        <v>46113</v>
      </c>
      <c r="E3058" s="340" t="s">
        <v>2805</v>
      </c>
      <c r="F3058" s="340" t="s">
        <v>1078</v>
      </c>
      <c r="G3058" s="340" t="s">
        <v>2121</v>
      </c>
      <c r="H3058" s="340"/>
      <c r="I3058" s="340" t="s">
        <v>740</v>
      </c>
      <c r="K3058" s="343">
        <v>152.43</v>
      </c>
      <c r="L3058" s="343">
        <v>0</v>
      </c>
      <c r="M3058" s="343">
        <v>-1244527.58</v>
      </c>
      <c r="O3058" s="343">
        <v>0</v>
      </c>
    </row>
    <row r="3059" spans="1:15" x14ac:dyDescent="0.3">
      <c r="A3059" s="340" t="s">
        <v>891</v>
      </c>
      <c r="B3059" s="350">
        <v>46128</v>
      </c>
      <c r="C3059" s="350">
        <v>46128</v>
      </c>
      <c r="D3059" s="351">
        <v>46113</v>
      </c>
      <c r="E3059" s="340" t="s">
        <v>2805</v>
      </c>
      <c r="F3059" s="340" t="s">
        <v>1078</v>
      </c>
      <c r="G3059" s="340" t="s">
        <v>2122</v>
      </c>
      <c r="H3059" s="340"/>
      <c r="I3059" s="340" t="s">
        <v>740</v>
      </c>
      <c r="K3059" s="343">
        <v>90</v>
      </c>
      <c r="L3059" s="343">
        <v>0</v>
      </c>
      <c r="M3059" s="343">
        <v>-1244437.58</v>
      </c>
      <c r="O3059" s="343">
        <v>0</v>
      </c>
    </row>
    <row r="3060" spans="1:15" x14ac:dyDescent="0.3">
      <c r="A3060" s="340" t="s">
        <v>891</v>
      </c>
      <c r="B3060" s="350">
        <v>46128</v>
      </c>
      <c r="C3060" s="350">
        <v>46128</v>
      </c>
      <c r="D3060" s="351">
        <v>46113</v>
      </c>
      <c r="E3060" s="340" t="s">
        <v>2806</v>
      </c>
      <c r="F3060" s="340" t="s">
        <v>1078</v>
      </c>
      <c r="G3060" s="340" t="s">
        <v>1556</v>
      </c>
      <c r="H3060" s="340"/>
      <c r="I3060" s="340" t="s">
        <v>745</v>
      </c>
      <c r="K3060" s="343">
        <v>38.159999999999997</v>
      </c>
      <c r="L3060" s="343">
        <v>0</v>
      </c>
      <c r="M3060" s="343">
        <v>-1244399.42</v>
      </c>
      <c r="O3060" s="343">
        <v>0</v>
      </c>
    </row>
    <row r="3061" spans="1:15" x14ac:dyDescent="0.3">
      <c r="A3061" s="340" t="s">
        <v>891</v>
      </c>
      <c r="B3061" s="350">
        <v>46128</v>
      </c>
      <c r="C3061" s="350">
        <v>46128</v>
      </c>
      <c r="D3061" s="351">
        <v>46113</v>
      </c>
      <c r="E3061" s="340" t="s">
        <v>2806</v>
      </c>
      <c r="F3061" s="340" t="s">
        <v>1078</v>
      </c>
      <c r="G3061" s="340" t="s">
        <v>1557</v>
      </c>
      <c r="H3061" s="340"/>
      <c r="I3061" s="340" t="s">
        <v>745</v>
      </c>
      <c r="K3061" s="343">
        <v>29.14</v>
      </c>
      <c r="L3061" s="343">
        <v>0</v>
      </c>
      <c r="M3061" s="343">
        <v>-1244370.28</v>
      </c>
      <c r="O3061" s="343">
        <v>0</v>
      </c>
    </row>
    <row r="3062" spans="1:15" x14ac:dyDescent="0.3">
      <c r="A3062" s="340" t="s">
        <v>891</v>
      </c>
      <c r="B3062" s="350">
        <v>46128</v>
      </c>
      <c r="C3062" s="350">
        <v>46128</v>
      </c>
      <c r="D3062" s="351">
        <v>46113</v>
      </c>
      <c r="E3062" s="340" t="s">
        <v>2805</v>
      </c>
      <c r="F3062" s="340" t="s">
        <v>1078</v>
      </c>
      <c r="G3062" s="340" t="s">
        <v>2124</v>
      </c>
      <c r="H3062" s="340"/>
      <c r="I3062" s="340" t="s">
        <v>740</v>
      </c>
      <c r="K3062" s="343">
        <v>156.96</v>
      </c>
      <c r="L3062" s="343">
        <v>0</v>
      </c>
      <c r="M3062" s="343">
        <v>-1244213.32</v>
      </c>
      <c r="O3062" s="343">
        <v>0</v>
      </c>
    </row>
    <row r="3063" spans="1:15" x14ac:dyDescent="0.3">
      <c r="A3063" s="340" t="s">
        <v>891</v>
      </c>
      <c r="B3063" s="350">
        <v>46128</v>
      </c>
      <c r="C3063" s="350">
        <v>46128</v>
      </c>
      <c r="D3063" s="351">
        <v>46113</v>
      </c>
      <c r="E3063" s="340" t="s">
        <v>2805</v>
      </c>
      <c r="F3063" s="340" t="s">
        <v>1078</v>
      </c>
      <c r="G3063" s="340" t="s">
        <v>2126</v>
      </c>
      <c r="H3063" s="340"/>
      <c r="I3063" s="340" t="s">
        <v>740</v>
      </c>
      <c r="K3063" s="343">
        <v>520</v>
      </c>
      <c r="L3063" s="343">
        <v>0</v>
      </c>
      <c r="M3063" s="343">
        <v>-1243693.32</v>
      </c>
      <c r="O3063" s="343">
        <v>0</v>
      </c>
    </row>
    <row r="3064" spans="1:15" x14ac:dyDescent="0.3">
      <c r="A3064" s="340" t="s">
        <v>891</v>
      </c>
      <c r="B3064" s="350">
        <v>46128</v>
      </c>
      <c r="C3064" s="350">
        <v>46128</v>
      </c>
      <c r="D3064" s="351">
        <v>46113</v>
      </c>
      <c r="E3064" s="340" t="s">
        <v>2805</v>
      </c>
      <c r="F3064" s="340" t="s">
        <v>1078</v>
      </c>
      <c r="G3064" s="340" t="s">
        <v>2127</v>
      </c>
      <c r="H3064" s="340"/>
      <c r="I3064" s="340" t="s">
        <v>740</v>
      </c>
      <c r="K3064" s="343">
        <v>260</v>
      </c>
      <c r="L3064" s="343">
        <v>0</v>
      </c>
      <c r="M3064" s="343">
        <v>-1243433.32</v>
      </c>
      <c r="O3064" s="343">
        <v>0</v>
      </c>
    </row>
    <row r="3065" spans="1:15" x14ac:dyDescent="0.3">
      <c r="A3065" s="340" t="s">
        <v>891</v>
      </c>
      <c r="B3065" s="350">
        <v>46128</v>
      </c>
      <c r="C3065" s="350">
        <v>46128</v>
      </c>
      <c r="D3065" s="351">
        <v>46113</v>
      </c>
      <c r="E3065" s="340" t="s">
        <v>2805</v>
      </c>
      <c r="F3065" s="340" t="s">
        <v>1078</v>
      </c>
      <c r="G3065" s="340" t="s">
        <v>2129</v>
      </c>
      <c r="H3065" s="340"/>
      <c r="I3065" s="340" t="s">
        <v>740</v>
      </c>
      <c r="K3065" s="343">
        <v>520</v>
      </c>
      <c r="L3065" s="343">
        <v>0</v>
      </c>
      <c r="M3065" s="343">
        <v>-1242913.32</v>
      </c>
      <c r="O3065" s="343">
        <v>0</v>
      </c>
    </row>
    <row r="3066" spans="1:15" x14ac:dyDescent="0.3">
      <c r="A3066" s="340" t="s">
        <v>891</v>
      </c>
      <c r="B3066" s="350">
        <v>46128</v>
      </c>
      <c r="C3066" s="350">
        <v>46128</v>
      </c>
      <c r="D3066" s="351">
        <v>46113</v>
      </c>
      <c r="E3066" s="340" t="s">
        <v>2805</v>
      </c>
      <c r="F3066" s="340" t="s">
        <v>1078</v>
      </c>
      <c r="G3066" s="340" t="s">
        <v>2130</v>
      </c>
      <c r="H3066" s="340"/>
      <c r="I3066" s="340" t="s">
        <v>740</v>
      </c>
      <c r="K3066" s="343">
        <v>260</v>
      </c>
      <c r="L3066" s="343">
        <v>0</v>
      </c>
      <c r="M3066" s="343">
        <v>-1242653.32</v>
      </c>
      <c r="O3066" s="343">
        <v>0</v>
      </c>
    </row>
    <row r="3067" spans="1:15" x14ac:dyDescent="0.3">
      <c r="A3067" s="340" t="s">
        <v>891</v>
      </c>
      <c r="B3067" s="350">
        <v>46128</v>
      </c>
      <c r="C3067" s="350">
        <v>46128</v>
      </c>
      <c r="D3067" s="351">
        <v>46113</v>
      </c>
      <c r="E3067" s="340" t="s">
        <v>2805</v>
      </c>
      <c r="F3067" s="340" t="s">
        <v>1078</v>
      </c>
      <c r="G3067" s="340" t="s">
        <v>2291</v>
      </c>
      <c r="H3067" s="340"/>
      <c r="I3067" s="340" t="s">
        <v>740</v>
      </c>
      <c r="K3067" s="343">
        <v>65</v>
      </c>
      <c r="L3067" s="343">
        <v>0</v>
      </c>
      <c r="M3067" s="343">
        <v>-1242588.32</v>
      </c>
      <c r="O3067" s="343">
        <v>0</v>
      </c>
    </row>
    <row r="3068" spans="1:15" x14ac:dyDescent="0.3">
      <c r="A3068" s="340" t="s">
        <v>891</v>
      </c>
      <c r="B3068" s="350">
        <v>46128</v>
      </c>
      <c r="C3068" s="350">
        <v>46128</v>
      </c>
      <c r="D3068" s="351">
        <v>46113</v>
      </c>
      <c r="E3068" s="340" t="s">
        <v>2805</v>
      </c>
      <c r="F3068" s="340" t="s">
        <v>1078</v>
      </c>
      <c r="G3068" s="340" t="s">
        <v>2132</v>
      </c>
      <c r="H3068" s="340"/>
      <c r="I3068" s="340" t="s">
        <v>740</v>
      </c>
      <c r="K3068" s="343">
        <v>765</v>
      </c>
      <c r="L3068" s="343">
        <v>0</v>
      </c>
      <c r="M3068" s="343">
        <v>-1241823.32</v>
      </c>
      <c r="O3068" s="343">
        <v>0</v>
      </c>
    </row>
    <row r="3069" spans="1:15" x14ac:dyDescent="0.3">
      <c r="A3069" s="340" t="s">
        <v>891</v>
      </c>
      <c r="B3069" s="350">
        <v>46128</v>
      </c>
      <c r="C3069" s="350">
        <v>46128</v>
      </c>
      <c r="D3069" s="351">
        <v>46113</v>
      </c>
      <c r="E3069" s="340" t="s">
        <v>2805</v>
      </c>
      <c r="F3069" s="340" t="s">
        <v>1078</v>
      </c>
      <c r="G3069" s="340" t="s">
        <v>2134</v>
      </c>
      <c r="H3069" s="340"/>
      <c r="I3069" s="340" t="s">
        <v>740</v>
      </c>
      <c r="K3069" s="343">
        <v>445</v>
      </c>
      <c r="L3069" s="343">
        <v>0</v>
      </c>
      <c r="M3069" s="343">
        <v>-1241378.32</v>
      </c>
      <c r="O3069" s="343">
        <v>0</v>
      </c>
    </row>
    <row r="3070" spans="1:15" x14ac:dyDescent="0.3">
      <c r="A3070" s="340" t="s">
        <v>891</v>
      </c>
      <c r="B3070" s="350">
        <v>46128</v>
      </c>
      <c r="C3070" s="350">
        <v>46128</v>
      </c>
      <c r="D3070" s="351">
        <v>46113</v>
      </c>
      <c r="E3070" s="340" t="s">
        <v>2805</v>
      </c>
      <c r="F3070" s="340" t="s">
        <v>1078</v>
      </c>
      <c r="G3070" s="340" t="s">
        <v>2136</v>
      </c>
      <c r="H3070" s="340"/>
      <c r="I3070" s="340" t="s">
        <v>740</v>
      </c>
      <c r="K3070" s="343">
        <v>445</v>
      </c>
      <c r="L3070" s="343">
        <v>0</v>
      </c>
      <c r="M3070" s="343">
        <v>-1240933.32</v>
      </c>
      <c r="O3070" s="343">
        <v>0</v>
      </c>
    </row>
    <row r="3071" spans="1:15" x14ac:dyDescent="0.3">
      <c r="A3071" s="340" t="s">
        <v>891</v>
      </c>
      <c r="B3071" s="350">
        <v>46128</v>
      </c>
      <c r="C3071" s="350">
        <v>46128</v>
      </c>
      <c r="D3071" s="351">
        <v>46113</v>
      </c>
      <c r="E3071" s="340" t="s">
        <v>2805</v>
      </c>
      <c r="F3071" s="340" t="s">
        <v>1078</v>
      </c>
      <c r="G3071" s="340" t="s">
        <v>2138</v>
      </c>
      <c r="H3071" s="340"/>
      <c r="I3071" s="340" t="s">
        <v>740</v>
      </c>
      <c r="K3071" s="343">
        <v>765</v>
      </c>
      <c r="L3071" s="343">
        <v>0</v>
      </c>
      <c r="M3071" s="343">
        <v>-1240168.32</v>
      </c>
      <c r="O3071" s="343">
        <v>0</v>
      </c>
    </row>
    <row r="3072" spans="1:15" x14ac:dyDescent="0.3">
      <c r="A3072" s="340" t="s">
        <v>891</v>
      </c>
      <c r="B3072" s="350">
        <v>46128</v>
      </c>
      <c r="C3072" s="350">
        <v>46128</v>
      </c>
      <c r="D3072" s="351">
        <v>46113</v>
      </c>
      <c r="E3072" s="340" t="s">
        <v>2805</v>
      </c>
      <c r="F3072" s="340" t="s">
        <v>1078</v>
      </c>
      <c r="G3072" s="340" t="s">
        <v>2158</v>
      </c>
      <c r="H3072" s="340"/>
      <c r="I3072" s="340" t="s">
        <v>740</v>
      </c>
      <c r="K3072" s="343">
        <v>740</v>
      </c>
      <c r="L3072" s="343">
        <v>0</v>
      </c>
      <c r="M3072" s="343">
        <v>-1239428.32</v>
      </c>
      <c r="O3072" s="343">
        <v>0</v>
      </c>
    </row>
    <row r="3073" spans="1:15" x14ac:dyDescent="0.3">
      <c r="A3073" s="340" t="s">
        <v>891</v>
      </c>
      <c r="B3073" s="350">
        <v>46128</v>
      </c>
      <c r="C3073" s="350">
        <v>46128</v>
      </c>
      <c r="D3073" s="351">
        <v>46113</v>
      </c>
      <c r="E3073" s="340" t="s">
        <v>2805</v>
      </c>
      <c r="F3073" s="340" t="s">
        <v>1078</v>
      </c>
      <c r="G3073" s="340" t="s">
        <v>2160</v>
      </c>
      <c r="H3073" s="340"/>
      <c r="I3073" s="340" t="s">
        <v>740</v>
      </c>
      <c r="K3073" s="343">
        <v>129.9</v>
      </c>
      <c r="L3073" s="343">
        <v>0</v>
      </c>
      <c r="M3073" s="343">
        <v>-1239298.42</v>
      </c>
      <c r="O3073" s="343">
        <v>0</v>
      </c>
    </row>
    <row r="3074" spans="1:15" x14ac:dyDescent="0.3">
      <c r="A3074" s="340" t="s">
        <v>891</v>
      </c>
      <c r="B3074" s="350">
        <v>46128</v>
      </c>
      <c r="C3074" s="350">
        <v>46128</v>
      </c>
      <c r="D3074" s="351">
        <v>46113</v>
      </c>
      <c r="E3074" s="340" t="s">
        <v>2805</v>
      </c>
      <c r="F3074" s="340" t="s">
        <v>1078</v>
      </c>
      <c r="G3074" s="340" t="s">
        <v>2163</v>
      </c>
      <c r="H3074" s="340"/>
      <c r="I3074" s="340" t="s">
        <v>740</v>
      </c>
      <c r="K3074" s="343">
        <v>200.26</v>
      </c>
      <c r="L3074" s="343">
        <v>0</v>
      </c>
      <c r="M3074" s="343">
        <v>-1239098.1599999999</v>
      </c>
      <c r="O3074" s="343">
        <v>0</v>
      </c>
    </row>
    <row r="3075" spans="1:15" x14ac:dyDescent="0.3">
      <c r="A3075" s="340" t="s">
        <v>891</v>
      </c>
      <c r="B3075" s="350">
        <v>46128</v>
      </c>
      <c r="C3075" s="350">
        <v>46128</v>
      </c>
      <c r="D3075" s="351">
        <v>46113</v>
      </c>
      <c r="E3075" s="340" t="s">
        <v>2805</v>
      </c>
      <c r="F3075" s="340" t="s">
        <v>1078</v>
      </c>
      <c r="G3075" s="340" t="s">
        <v>2162</v>
      </c>
      <c r="H3075" s="340"/>
      <c r="I3075" s="340" t="s">
        <v>740</v>
      </c>
      <c r="K3075" s="343">
        <v>55</v>
      </c>
      <c r="L3075" s="343">
        <v>0</v>
      </c>
      <c r="M3075" s="343">
        <v>-1239043.1599999999</v>
      </c>
      <c r="O3075" s="343">
        <v>0</v>
      </c>
    </row>
    <row r="3076" spans="1:15" x14ac:dyDescent="0.3">
      <c r="A3076" s="340" t="s">
        <v>891</v>
      </c>
      <c r="B3076" s="350">
        <v>46128</v>
      </c>
      <c r="C3076" s="350">
        <v>46128</v>
      </c>
      <c r="D3076" s="351">
        <v>46113</v>
      </c>
      <c r="E3076" s="340" t="s">
        <v>2805</v>
      </c>
      <c r="F3076" s="340" t="s">
        <v>1078</v>
      </c>
      <c r="G3076" s="340" t="s">
        <v>2188</v>
      </c>
      <c r="H3076" s="340"/>
      <c r="I3076" s="340" t="s">
        <v>740</v>
      </c>
      <c r="K3076" s="343">
        <v>75</v>
      </c>
      <c r="L3076" s="343">
        <v>0</v>
      </c>
      <c r="M3076" s="343">
        <v>-1238968.1599999999</v>
      </c>
      <c r="O3076" s="343">
        <v>0</v>
      </c>
    </row>
    <row r="3077" spans="1:15" x14ac:dyDescent="0.3">
      <c r="A3077" s="340" t="s">
        <v>891</v>
      </c>
      <c r="B3077" s="350">
        <v>46128</v>
      </c>
      <c r="C3077" s="350">
        <v>46128</v>
      </c>
      <c r="D3077" s="351">
        <v>46113</v>
      </c>
      <c r="E3077" s="340" t="s">
        <v>2805</v>
      </c>
      <c r="F3077" s="340" t="s">
        <v>1078</v>
      </c>
      <c r="G3077" s="340" t="s">
        <v>2190</v>
      </c>
      <c r="H3077" s="340"/>
      <c r="I3077" s="340" t="s">
        <v>740</v>
      </c>
      <c r="K3077" s="343">
        <v>470</v>
      </c>
      <c r="L3077" s="343">
        <v>0</v>
      </c>
      <c r="M3077" s="343">
        <v>-1238498.1599999999</v>
      </c>
      <c r="O3077" s="343">
        <v>0</v>
      </c>
    </row>
    <row r="3078" spans="1:15" x14ac:dyDescent="0.3">
      <c r="A3078" s="340" t="s">
        <v>891</v>
      </c>
      <c r="B3078" s="350">
        <v>46128</v>
      </c>
      <c r="C3078" s="350">
        <v>46128</v>
      </c>
      <c r="D3078" s="351">
        <v>46113</v>
      </c>
      <c r="E3078" s="340" t="s">
        <v>2805</v>
      </c>
      <c r="F3078" s="340" t="s">
        <v>1078</v>
      </c>
      <c r="G3078" s="340" t="s">
        <v>2192</v>
      </c>
      <c r="H3078" s="340"/>
      <c r="I3078" s="340" t="s">
        <v>740</v>
      </c>
      <c r="K3078" s="343">
        <v>129.9</v>
      </c>
      <c r="L3078" s="343">
        <v>0</v>
      </c>
      <c r="M3078" s="343">
        <v>-1238368.26</v>
      </c>
      <c r="O3078" s="343">
        <v>0</v>
      </c>
    </row>
    <row r="3079" spans="1:15" x14ac:dyDescent="0.3">
      <c r="A3079" s="340" t="s">
        <v>891</v>
      </c>
      <c r="B3079" s="350">
        <v>46128</v>
      </c>
      <c r="C3079" s="350">
        <v>46128</v>
      </c>
      <c r="D3079" s="351">
        <v>46113</v>
      </c>
      <c r="E3079" s="340" t="s">
        <v>2805</v>
      </c>
      <c r="F3079" s="340" t="s">
        <v>1078</v>
      </c>
      <c r="G3079" s="340" t="s">
        <v>2194</v>
      </c>
      <c r="H3079" s="340"/>
      <c r="I3079" s="340" t="s">
        <v>740</v>
      </c>
      <c r="K3079" s="343">
        <v>145</v>
      </c>
      <c r="L3079" s="343">
        <v>0</v>
      </c>
      <c r="M3079" s="343">
        <v>-1238223.26</v>
      </c>
      <c r="O3079" s="343">
        <v>0</v>
      </c>
    </row>
    <row r="3080" spans="1:15" x14ac:dyDescent="0.3">
      <c r="A3080" s="340" t="s">
        <v>891</v>
      </c>
      <c r="B3080" s="350">
        <v>46128</v>
      </c>
      <c r="C3080" s="350">
        <v>46128</v>
      </c>
      <c r="D3080" s="351">
        <v>46113</v>
      </c>
      <c r="E3080" s="340" t="s">
        <v>2805</v>
      </c>
      <c r="F3080" s="340" t="s">
        <v>1078</v>
      </c>
      <c r="G3080" s="340" t="s">
        <v>2196</v>
      </c>
      <c r="H3080" s="340"/>
      <c r="I3080" s="340" t="s">
        <v>740</v>
      </c>
      <c r="K3080" s="343">
        <v>129.9</v>
      </c>
      <c r="L3080" s="343">
        <v>0</v>
      </c>
      <c r="M3080" s="343">
        <v>-1238093.3600000001</v>
      </c>
      <c r="O3080" s="343">
        <v>0</v>
      </c>
    </row>
    <row r="3081" spans="1:15" x14ac:dyDescent="0.3">
      <c r="A3081" s="340" t="s">
        <v>891</v>
      </c>
      <c r="B3081" s="350">
        <v>46128</v>
      </c>
      <c r="C3081" s="350">
        <v>46128</v>
      </c>
      <c r="D3081" s="351">
        <v>46113</v>
      </c>
      <c r="E3081" s="340" t="s">
        <v>2805</v>
      </c>
      <c r="F3081" s="340" t="s">
        <v>1078</v>
      </c>
      <c r="G3081" s="340" t="s">
        <v>2145</v>
      </c>
      <c r="H3081" s="340"/>
      <c r="I3081" s="340" t="s">
        <v>740</v>
      </c>
      <c r="K3081" s="343">
        <v>520</v>
      </c>
      <c r="L3081" s="343">
        <v>0</v>
      </c>
      <c r="M3081" s="343">
        <v>-1237573.3600000001</v>
      </c>
      <c r="O3081" s="343">
        <v>0</v>
      </c>
    </row>
    <row r="3082" spans="1:15" x14ac:dyDescent="0.3">
      <c r="A3082" s="340" t="s">
        <v>891</v>
      </c>
      <c r="B3082" s="350">
        <v>46128</v>
      </c>
      <c r="C3082" s="350">
        <v>46128</v>
      </c>
      <c r="D3082" s="351">
        <v>46113</v>
      </c>
      <c r="E3082" s="340" t="s">
        <v>2805</v>
      </c>
      <c r="F3082" s="340" t="s">
        <v>1078</v>
      </c>
      <c r="G3082" s="340" t="s">
        <v>2144</v>
      </c>
      <c r="H3082" s="340"/>
      <c r="I3082" s="340" t="s">
        <v>740</v>
      </c>
      <c r="K3082" s="343">
        <v>445</v>
      </c>
      <c r="L3082" s="343">
        <v>0</v>
      </c>
      <c r="M3082" s="343">
        <v>-1237128.3600000001</v>
      </c>
      <c r="O3082" s="343">
        <v>0</v>
      </c>
    </row>
    <row r="3083" spans="1:15" x14ac:dyDescent="0.3">
      <c r="A3083" s="340" t="s">
        <v>891</v>
      </c>
      <c r="B3083" s="350">
        <v>46128</v>
      </c>
      <c r="C3083" s="350">
        <v>46128</v>
      </c>
      <c r="D3083" s="351">
        <v>46113</v>
      </c>
      <c r="E3083" s="340" t="s">
        <v>2806</v>
      </c>
      <c r="F3083" s="340" t="s">
        <v>1078</v>
      </c>
      <c r="G3083" s="340" t="s">
        <v>1558</v>
      </c>
      <c r="H3083" s="340"/>
      <c r="I3083" s="340" t="s">
        <v>745</v>
      </c>
      <c r="K3083" s="343">
        <v>45.41</v>
      </c>
      <c r="L3083" s="343">
        <v>0</v>
      </c>
      <c r="M3083" s="343">
        <v>-1237082.95</v>
      </c>
      <c r="O3083" s="343">
        <v>0</v>
      </c>
    </row>
    <row r="3084" spans="1:15" x14ac:dyDescent="0.3">
      <c r="A3084" s="340" t="s">
        <v>891</v>
      </c>
      <c r="B3084" s="350">
        <v>46128</v>
      </c>
      <c r="C3084" s="350">
        <v>46128</v>
      </c>
      <c r="D3084" s="351">
        <v>46113</v>
      </c>
      <c r="E3084" s="340" t="s">
        <v>2805</v>
      </c>
      <c r="F3084" s="340" t="s">
        <v>1078</v>
      </c>
      <c r="G3084" s="340" t="s">
        <v>2147</v>
      </c>
      <c r="H3084" s="340"/>
      <c r="I3084" s="340" t="s">
        <v>740</v>
      </c>
      <c r="K3084" s="343">
        <v>150</v>
      </c>
      <c r="L3084" s="343">
        <v>0</v>
      </c>
      <c r="M3084" s="343">
        <v>-1236932.95</v>
      </c>
      <c r="O3084" s="343">
        <v>0</v>
      </c>
    </row>
    <row r="3085" spans="1:15" x14ac:dyDescent="0.3">
      <c r="A3085" s="340" t="s">
        <v>891</v>
      </c>
      <c r="B3085" s="350">
        <v>46128</v>
      </c>
      <c r="C3085" s="350">
        <v>46128</v>
      </c>
      <c r="D3085" s="351">
        <v>46113</v>
      </c>
      <c r="E3085" s="340" t="s">
        <v>2805</v>
      </c>
      <c r="F3085" s="340" t="s">
        <v>1078</v>
      </c>
      <c r="G3085" s="340" t="s">
        <v>2148</v>
      </c>
      <c r="H3085" s="340"/>
      <c r="I3085" s="340" t="s">
        <v>740</v>
      </c>
      <c r="K3085" s="343">
        <v>260</v>
      </c>
      <c r="L3085" s="343">
        <v>0</v>
      </c>
      <c r="M3085" s="343">
        <v>-1236672.95</v>
      </c>
      <c r="O3085" s="343">
        <v>0</v>
      </c>
    </row>
    <row r="3086" spans="1:15" x14ac:dyDescent="0.3">
      <c r="A3086" s="340" t="s">
        <v>891</v>
      </c>
      <c r="B3086" s="350">
        <v>46128</v>
      </c>
      <c r="C3086" s="350">
        <v>46128</v>
      </c>
      <c r="D3086" s="351">
        <v>46113</v>
      </c>
      <c r="E3086" s="340" t="s">
        <v>2805</v>
      </c>
      <c r="F3086" s="340" t="s">
        <v>1078</v>
      </c>
      <c r="G3086" s="340" t="s">
        <v>2198</v>
      </c>
      <c r="H3086" s="340"/>
      <c r="I3086" s="340" t="s">
        <v>740</v>
      </c>
      <c r="K3086" s="343">
        <v>225</v>
      </c>
      <c r="L3086" s="343">
        <v>0</v>
      </c>
      <c r="M3086" s="343">
        <v>-1236447.95</v>
      </c>
      <c r="O3086" s="343">
        <v>0</v>
      </c>
    </row>
    <row r="3087" spans="1:15" x14ac:dyDescent="0.3">
      <c r="A3087" s="340" t="s">
        <v>891</v>
      </c>
      <c r="B3087" s="350">
        <v>46128</v>
      </c>
      <c r="C3087" s="350">
        <v>46128</v>
      </c>
      <c r="D3087" s="351">
        <v>46113</v>
      </c>
      <c r="E3087" s="340" t="s">
        <v>2805</v>
      </c>
      <c r="F3087" s="340" t="s">
        <v>1078</v>
      </c>
      <c r="G3087" s="340" t="s">
        <v>2200</v>
      </c>
      <c r="H3087" s="340"/>
      <c r="I3087" s="340" t="s">
        <v>740</v>
      </c>
      <c r="K3087" s="343">
        <v>129.9</v>
      </c>
      <c r="L3087" s="343">
        <v>0</v>
      </c>
      <c r="M3087" s="343">
        <v>-1236318.05</v>
      </c>
      <c r="O3087" s="343">
        <v>0</v>
      </c>
    </row>
    <row r="3088" spans="1:15" x14ac:dyDescent="0.3">
      <c r="A3088" s="340" t="s">
        <v>891</v>
      </c>
      <c r="B3088" s="350">
        <v>46128</v>
      </c>
      <c r="C3088" s="350">
        <v>46128</v>
      </c>
      <c r="D3088" s="351">
        <v>46113</v>
      </c>
      <c r="E3088" s="340" t="s">
        <v>2805</v>
      </c>
      <c r="F3088" s="340" t="s">
        <v>1078</v>
      </c>
      <c r="G3088" s="340" t="s">
        <v>2201</v>
      </c>
      <c r="H3088" s="340"/>
      <c r="I3088" s="340" t="s">
        <v>740</v>
      </c>
      <c r="K3088" s="343">
        <v>119.08</v>
      </c>
      <c r="L3088" s="343">
        <v>0</v>
      </c>
      <c r="M3088" s="343">
        <v>-1236198.97</v>
      </c>
      <c r="O3088" s="343">
        <v>0</v>
      </c>
    </row>
    <row r="3089" spans="1:15" x14ac:dyDescent="0.3">
      <c r="A3089" s="340" t="s">
        <v>891</v>
      </c>
      <c r="B3089" s="350">
        <v>46128</v>
      </c>
      <c r="C3089" s="350">
        <v>46128</v>
      </c>
      <c r="D3089" s="351">
        <v>46113</v>
      </c>
      <c r="E3089" s="340" t="s">
        <v>2805</v>
      </c>
      <c r="F3089" s="340" t="s">
        <v>1078</v>
      </c>
      <c r="G3089" s="340" t="s">
        <v>2213</v>
      </c>
      <c r="H3089" s="340"/>
      <c r="I3089" s="340" t="s">
        <v>740</v>
      </c>
      <c r="K3089" s="343">
        <v>48.71</v>
      </c>
      <c r="L3089" s="343">
        <v>0</v>
      </c>
      <c r="M3089" s="343">
        <v>-1236150.26</v>
      </c>
      <c r="O3089" s="343">
        <v>0</v>
      </c>
    </row>
    <row r="3090" spans="1:15" x14ac:dyDescent="0.3">
      <c r="A3090" s="340" t="s">
        <v>891</v>
      </c>
      <c r="B3090" s="350">
        <v>46128</v>
      </c>
      <c r="C3090" s="350">
        <v>46128</v>
      </c>
      <c r="D3090" s="351">
        <v>46113</v>
      </c>
      <c r="E3090" s="340" t="s">
        <v>2805</v>
      </c>
      <c r="F3090" s="340" t="s">
        <v>1078</v>
      </c>
      <c r="G3090" s="340" t="s">
        <v>2204</v>
      </c>
      <c r="H3090" s="340"/>
      <c r="I3090" s="340" t="s">
        <v>740</v>
      </c>
      <c r="K3090" s="343">
        <v>550</v>
      </c>
      <c r="L3090" s="343">
        <v>0</v>
      </c>
      <c r="M3090" s="343">
        <v>-1235600.26</v>
      </c>
      <c r="O3090" s="343">
        <v>0</v>
      </c>
    </row>
    <row r="3091" spans="1:15" x14ac:dyDescent="0.3">
      <c r="A3091" s="340" t="s">
        <v>891</v>
      </c>
      <c r="B3091" s="350">
        <v>46128</v>
      </c>
      <c r="C3091" s="350">
        <v>46128</v>
      </c>
      <c r="D3091" s="351">
        <v>46113</v>
      </c>
      <c r="E3091" s="340" t="s">
        <v>2805</v>
      </c>
      <c r="F3091" s="340" t="s">
        <v>1078</v>
      </c>
      <c r="G3091" s="340" t="s">
        <v>2203</v>
      </c>
      <c r="H3091" s="340"/>
      <c r="I3091" s="340" t="s">
        <v>740</v>
      </c>
      <c r="K3091" s="343">
        <v>144</v>
      </c>
      <c r="L3091" s="343">
        <v>0</v>
      </c>
      <c r="M3091" s="343">
        <v>-1235456.26</v>
      </c>
      <c r="O3091" s="343">
        <v>0</v>
      </c>
    </row>
    <row r="3092" spans="1:15" x14ac:dyDescent="0.3">
      <c r="A3092" s="340" t="s">
        <v>891</v>
      </c>
      <c r="B3092" s="350">
        <v>46128</v>
      </c>
      <c r="C3092" s="350">
        <v>46128</v>
      </c>
      <c r="D3092" s="351">
        <v>46113</v>
      </c>
      <c r="E3092" s="340" t="s">
        <v>2805</v>
      </c>
      <c r="F3092" s="340" t="s">
        <v>1078</v>
      </c>
      <c r="G3092" s="340" t="s">
        <v>2206</v>
      </c>
      <c r="H3092" s="340"/>
      <c r="I3092" s="340" t="s">
        <v>740</v>
      </c>
      <c r="K3092" s="343">
        <v>119.08</v>
      </c>
      <c r="L3092" s="343">
        <v>0</v>
      </c>
      <c r="M3092" s="343">
        <v>-1235337.18</v>
      </c>
      <c r="O3092" s="343">
        <v>0</v>
      </c>
    </row>
    <row r="3093" spans="1:15" x14ac:dyDescent="0.3">
      <c r="A3093" s="340" t="s">
        <v>891</v>
      </c>
      <c r="B3093" s="350">
        <v>46128</v>
      </c>
      <c r="C3093" s="350">
        <v>46128</v>
      </c>
      <c r="D3093" s="351">
        <v>46113</v>
      </c>
      <c r="E3093" s="340" t="s">
        <v>2805</v>
      </c>
      <c r="F3093" s="340" t="s">
        <v>1078</v>
      </c>
      <c r="G3093" s="340" t="s">
        <v>2208</v>
      </c>
      <c r="H3093" s="340"/>
      <c r="I3093" s="340" t="s">
        <v>740</v>
      </c>
      <c r="K3093" s="343">
        <v>670</v>
      </c>
      <c r="L3093" s="343">
        <v>0</v>
      </c>
      <c r="M3093" s="343">
        <v>-1234667.18</v>
      </c>
      <c r="O3093" s="343">
        <v>0</v>
      </c>
    </row>
    <row r="3094" spans="1:15" x14ac:dyDescent="0.3">
      <c r="A3094" s="340" t="s">
        <v>891</v>
      </c>
      <c r="B3094" s="350">
        <v>46128</v>
      </c>
      <c r="C3094" s="350">
        <v>46128</v>
      </c>
      <c r="D3094" s="351">
        <v>46113</v>
      </c>
      <c r="E3094" s="340" t="s">
        <v>2805</v>
      </c>
      <c r="F3094" s="340" t="s">
        <v>1078</v>
      </c>
      <c r="G3094" s="340" t="s">
        <v>2224</v>
      </c>
      <c r="H3094" s="340"/>
      <c r="I3094" s="340" t="s">
        <v>740</v>
      </c>
      <c r="K3094" s="343">
        <v>48.71</v>
      </c>
      <c r="L3094" s="343">
        <v>0</v>
      </c>
      <c r="M3094" s="343">
        <v>-1234618.47</v>
      </c>
      <c r="O3094" s="343">
        <v>0</v>
      </c>
    </row>
    <row r="3095" spans="1:15" x14ac:dyDescent="0.3">
      <c r="A3095" s="340" t="s">
        <v>891</v>
      </c>
      <c r="B3095" s="350">
        <v>46128</v>
      </c>
      <c r="C3095" s="350">
        <v>46128</v>
      </c>
      <c r="D3095" s="351">
        <v>46113</v>
      </c>
      <c r="E3095" s="340" t="s">
        <v>2806</v>
      </c>
      <c r="F3095" s="340" t="s">
        <v>1078</v>
      </c>
      <c r="G3095" s="340" t="s">
        <v>1559</v>
      </c>
      <c r="H3095" s="340"/>
      <c r="I3095" s="340" t="s">
        <v>745</v>
      </c>
      <c r="K3095" s="343">
        <v>45.98</v>
      </c>
      <c r="L3095" s="343">
        <v>0</v>
      </c>
      <c r="M3095" s="343">
        <v>-1234572.49</v>
      </c>
      <c r="O3095" s="343">
        <v>0</v>
      </c>
    </row>
    <row r="3096" spans="1:15" x14ac:dyDescent="0.3">
      <c r="A3096" s="340" t="s">
        <v>891</v>
      </c>
      <c r="B3096" s="350">
        <v>46128</v>
      </c>
      <c r="C3096" s="350">
        <v>46128</v>
      </c>
      <c r="D3096" s="351">
        <v>46113</v>
      </c>
      <c r="E3096" s="340" t="s">
        <v>2816</v>
      </c>
      <c r="F3096" s="340" t="s">
        <v>1078</v>
      </c>
      <c r="G3096" s="340" t="s">
        <v>910</v>
      </c>
      <c r="H3096" s="340"/>
      <c r="I3096" s="340" t="s">
        <v>911</v>
      </c>
      <c r="K3096" s="343">
        <v>67.5</v>
      </c>
      <c r="L3096" s="343">
        <v>0</v>
      </c>
      <c r="M3096" s="343">
        <v>-1234504.99</v>
      </c>
      <c r="O3096" s="343">
        <v>0</v>
      </c>
    </row>
    <row r="3097" spans="1:15" x14ac:dyDescent="0.3">
      <c r="A3097" s="340" t="s">
        <v>891</v>
      </c>
      <c r="B3097" s="350">
        <v>46128</v>
      </c>
      <c r="C3097" s="350">
        <v>46128</v>
      </c>
      <c r="D3097" s="351">
        <v>46113</v>
      </c>
      <c r="E3097" s="340" t="s">
        <v>2805</v>
      </c>
      <c r="F3097" s="340" t="s">
        <v>1078</v>
      </c>
      <c r="G3097" s="340" t="s">
        <v>2165</v>
      </c>
      <c r="H3097" s="340"/>
      <c r="I3097" s="340" t="s">
        <v>740</v>
      </c>
      <c r="K3097" s="343">
        <v>570</v>
      </c>
      <c r="L3097" s="343">
        <v>0</v>
      </c>
      <c r="M3097" s="343">
        <v>-1233934.99</v>
      </c>
      <c r="O3097" s="343">
        <v>0</v>
      </c>
    </row>
    <row r="3098" spans="1:15" x14ac:dyDescent="0.3">
      <c r="A3098" s="340" t="s">
        <v>891</v>
      </c>
      <c r="B3098" s="350">
        <v>46128</v>
      </c>
      <c r="C3098" s="350">
        <v>46128</v>
      </c>
      <c r="D3098" s="351">
        <v>46113</v>
      </c>
      <c r="E3098" s="340" t="s">
        <v>2805</v>
      </c>
      <c r="F3098" s="340" t="s">
        <v>1078</v>
      </c>
      <c r="G3098" s="340" t="s">
        <v>2166</v>
      </c>
      <c r="H3098" s="340"/>
      <c r="I3098" s="340" t="s">
        <v>740</v>
      </c>
      <c r="K3098" s="343">
        <v>350</v>
      </c>
      <c r="L3098" s="343">
        <v>0</v>
      </c>
      <c r="M3098" s="343">
        <v>-1233584.99</v>
      </c>
      <c r="O3098" s="343">
        <v>0</v>
      </c>
    </row>
    <row r="3099" spans="1:15" x14ac:dyDescent="0.3">
      <c r="A3099" s="340" t="s">
        <v>891</v>
      </c>
      <c r="B3099" s="350">
        <v>46128</v>
      </c>
      <c r="C3099" s="350">
        <v>46128</v>
      </c>
      <c r="D3099" s="351">
        <v>46113</v>
      </c>
      <c r="E3099" s="340" t="s">
        <v>2805</v>
      </c>
      <c r="F3099" s="340" t="s">
        <v>1078</v>
      </c>
      <c r="G3099" s="340" t="s">
        <v>2227</v>
      </c>
      <c r="H3099" s="340"/>
      <c r="I3099" s="340" t="s">
        <v>740</v>
      </c>
      <c r="K3099" s="343">
        <v>920</v>
      </c>
      <c r="L3099" s="343">
        <v>0</v>
      </c>
      <c r="M3099" s="343">
        <v>-1232664.99</v>
      </c>
      <c r="O3099" s="343">
        <v>0</v>
      </c>
    </row>
    <row r="3100" spans="1:15" x14ac:dyDescent="0.3">
      <c r="A3100" s="340" t="s">
        <v>891</v>
      </c>
      <c r="B3100" s="350">
        <v>46128</v>
      </c>
      <c r="C3100" s="350">
        <v>46128</v>
      </c>
      <c r="D3100" s="351">
        <v>46113</v>
      </c>
      <c r="E3100" s="340" t="s">
        <v>2805</v>
      </c>
      <c r="F3100" s="340" t="s">
        <v>1078</v>
      </c>
      <c r="G3100" s="340" t="s">
        <v>2226</v>
      </c>
      <c r="H3100" s="340"/>
      <c r="I3100" s="340" t="s">
        <v>740</v>
      </c>
      <c r="K3100" s="343">
        <v>50</v>
      </c>
      <c r="L3100" s="343">
        <v>0</v>
      </c>
      <c r="M3100" s="343">
        <v>-1232614.99</v>
      </c>
      <c r="O3100" s="343">
        <v>0</v>
      </c>
    </row>
    <row r="3101" spans="1:15" x14ac:dyDescent="0.3">
      <c r="A3101" s="340" t="s">
        <v>891</v>
      </c>
      <c r="B3101" s="350">
        <v>46128</v>
      </c>
      <c r="C3101" s="350">
        <v>46128</v>
      </c>
      <c r="D3101" s="351">
        <v>46113</v>
      </c>
      <c r="E3101" s="340" t="s">
        <v>2805</v>
      </c>
      <c r="F3101" s="340" t="s">
        <v>1078</v>
      </c>
      <c r="G3101" s="340" t="s">
        <v>2257</v>
      </c>
      <c r="H3101" s="340"/>
      <c r="I3101" s="340" t="s">
        <v>740</v>
      </c>
      <c r="K3101" s="343">
        <v>680</v>
      </c>
      <c r="L3101" s="343">
        <v>0</v>
      </c>
      <c r="M3101" s="343">
        <v>-1231934.99</v>
      </c>
      <c r="O3101" s="343">
        <v>0</v>
      </c>
    </row>
    <row r="3102" spans="1:15" x14ac:dyDescent="0.3">
      <c r="A3102" s="340" t="s">
        <v>891</v>
      </c>
      <c r="B3102" s="350">
        <v>46128</v>
      </c>
      <c r="C3102" s="350">
        <v>46128</v>
      </c>
      <c r="D3102" s="351">
        <v>46113</v>
      </c>
      <c r="E3102" s="340" t="s">
        <v>2806</v>
      </c>
      <c r="F3102" s="340" t="s">
        <v>1078</v>
      </c>
      <c r="G3102" s="340" t="s">
        <v>1560</v>
      </c>
      <c r="H3102" s="340"/>
      <c r="I3102" s="340" t="s">
        <v>745</v>
      </c>
      <c r="K3102" s="343">
        <v>51.41</v>
      </c>
      <c r="L3102" s="343">
        <v>0</v>
      </c>
      <c r="M3102" s="343">
        <v>-1231883.58</v>
      </c>
      <c r="O3102" s="343">
        <v>0</v>
      </c>
    </row>
    <row r="3103" spans="1:15" x14ac:dyDescent="0.3">
      <c r="A3103" s="340" t="s">
        <v>891</v>
      </c>
      <c r="B3103" s="350">
        <v>46128</v>
      </c>
      <c r="C3103" s="350">
        <v>46128</v>
      </c>
      <c r="D3103" s="351">
        <v>46113</v>
      </c>
      <c r="E3103" s="340" t="s">
        <v>2805</v>
      </c>
      <c r="F3103" s="340" t="s">
        <v>1078</v>
      </c>
      <c r="G3103" s="340" t="s">
        <v>2282</v>
      </c>
      <c r="H3103" s="340"/>
      <c r="I3103" s="340" t="s">
        <v>740</v>
      </c>
      <c r="K3103" s="343">
        <v>200.26</v>
      </c>
      <c r="L3103" s="343">
        <v>0</v>
      </c>
      <c r="M3103" s="343">
        <v>-1231683.32</v>
      </c>
      <c r="O3103" s="343">
        <v>0</v>
      </c>
    </row>
    <row r="3104" spans="1:15" x14ac:dyDescent="0.3">
      <c r="A3104" s="340" t="s">
        <v>891</v>
      </c>
      <c r="B3104" s="350">
        <v>46128</v>
      </c>
      <c r="C3104" s="350">
        <v>46128</v>
      </c>
      <c r="D3104" s="351">
        <v>46113</v>
      </c>
      <c r="E3104" s="340" t="s">
        <v>2805</v>
      </c>
      <c r="F3104" s="340" t="s">
        <v>1078</v>
      </c>
      <c r="G3104" s="340" t="s">
        <v>2284</v>
      </c>
      <c r="H3104" s="340"/>
      <c r="I3104" s="340" t="s">
        <v>740</v>
      </c>
      <c r="K3104" s="343">
        <v>520</v>
      </c>
      <c r="L3104" s="343">
        <v>0</v>
      </c>
      <c r="M3104" s="343">
        <v>-1231163.32</v>
      </c>
      <c r="O3104" s="343">
        <v>0</v>
      </c>
    </row>
    <row r="3105" spans="1:15" x14ac:dyDescent="0.3">
      <c r="A3105" s="340" t="s">
        <v>891</v>
      </c>
      <c r="B3105" s="350">
        <v>46128</v>
      </c>
      <c r="C3105" s="350">
        <v>46128</v>
      </c>
      <c r="D3105" s="351">
        <v>46113</v>
      </c>
      <c r="E3105" s="340" t="s">
        <v>2805</v>
      </c>
      <c r="F3105" s="340" t="s">
        <v>1078</v>
      </c>
      <c r="G3105" s="340" t="s">
        <v>2285</v>
      </c>
      <c r="H3105" s="340"/>
      <c r="I3105" s="340" t="s">
        <v>740</v>
      </c>
      <c r="K3105" s="343">
        <v>550</v>
      </c>
      <c r="L3105" s="343">
        <v>0</v>
      </c>
      <c r="M3105" s="343">
        <v>-1230613.32</v>
      </c>
      <c r="O3105" s="343">
        <v>0</v>
      </c>
    </row>
    <row r="3106" spans="1:15" x14ac:dyDescent="0.3">
      <c r="A3106" s="340" t="s">
        <v>891</v>
      </c>
      <c r="B3106" s="350">
        <v>46128</v>
      </c>
      <c r="C3106" s="350">
        <v>46128</v>
      </c>
      <c r="D3106" s="351">
        <v>46113</v>
      </c>
      <c r="E3106" s="340" t="s">
        <v>2805</v>
      </c>
      <c r="F3106" s="340" t="s">
        <v>1078</v>
      </c>
      <c r="G3106" s="340" t="s">
        <v>2287</v>
      </c>
      <c r="H3106" s="340"/>
      <c r="I3106" s="340" t="s">
        <v>740</v>
      </c>
      <c r="K3106" s="343">
        <v>129.9</v>
      </c>
      <c r="L3106" s="343">
        <v>0</v>
      </c>
      <c r="M3106" s="343">
        <v>-1230483.42</v>
      </c>
      <c r="O3106" s="343">
        <v>0</v>
      </c>
    </row>
    <row r="3107" spans="1:15" x14ac:dyDescent="0.3">
      <c r="A3107" s="340" t="s">
        <v>891</v>
      </c>
      <c r="B3107" s="350">
        <v>46128</v>
      </c>
      <c r="C3107" s="350">
        <v>46128</v>
      </c>
      <c r="D3107" s="351">
        <v>46113</v>
      </c>
      <c r="E3107" s="340" t="s">
        <v>2805</v>
      </c>
      <c r="F3107" s="340" t="s">
        <v>1078</v>
      </c>
      <c r="G3107" s="340" t="s">
        <v>2289</v>
      </c>
      <c r="H3107" s="340"/>
      <c r="I3107" s="340" t="s">
        <v>740</v>
      </c>
      <c r="K3107" s="343">
        <v>830</v>
      </c>
      <c r="L3107" s="343">
        <v>0</v>
      </c>
      <c r="M3107" s="343">
        <v>-1229653.42</v>
      </c>
      <c r="O3107" s="343">
        <v>0</v>
      </c>
    </row>
    <row r="3108" spans="1:15" x14ac:dyDescent="0.3">
      <c r="A3108" s="340" t="s">
        <v>891</v>
      </c>
      <c r="B3108" s="350">
        <v>46128</v>
      </c>
      <c r="C3108" s="350">
        <v>46128</v>
      </c>
      <c r="D3108" s="351">
        <v>46113</v>
      </c>
      <c r="E3108" s="340" t="s">
        <v>2806</v>
      </c>
      <c r="F3108" s="340" t="s">
        <v>1078</v>
      </c>
      <c r="G3108" s="340" t="s">
        <v>1561</v>
      </c>
      <c r="H3108" s="340"/>
      <c r="I3108" s="340" t="s">
        <v>745</v>
      </c>
      <c r="K3108" s="343">
        <v>94.69</v>
      </c>
      <c r="L3108" s="343">
        <v>0</v>
      </c>
      <c r="M3108" s="343">
        <v>-1229558.73</v>
      </c>
      <c r="O3108" s="343">
        <v>0</v>
      </c>
    </row>
    <row r="3109" spans="1:15" x14ac:dyDescent="0.3">
      <c r="A3109" s="340" t="s">
        <v>891</v>
      </c>
      <c r="B3109" s="350">
        <v>46128</v>
      </c>
      <c r="C3109" s="350">
        <v>46128</v>
      </c>
      <c r="D3109" s="351">
        <v>46113</v>
      </c>
      <c r="E3109" s="340" t="s">
        <v>2805</v>
      </c>
      <c r="F3109" s="340" t="s">
        <v>1078</v>
      </c>
      <c r="G3109" s="340" t="s">
        <v>2122</v>
      </c>
      <c r="H3109" s="340"/>
      <c r="I3109" s="340" t="s">
        <v>740</v>
      </c>
      <c r="K3109" s="343">
        <v>97.43</v>
      </c>
      <c r="L3109" s="343">
        <v>0</v>
      </c>
      <c r="M3109" s="343">
        <v>-1229461.3</v>
      </c>
      <c r="O3109" s="343">
        <v>0</v>
      </c>
    </row>
    <row r="3110" spans="1:15" x14ac:dyDescent="0.3">
      <c r="A3110" s="340" t="s">
        <v>891</v>
      </c>
      <c r="B3110" s="350">
        <v>46128</v>
      </c>
      <c r="C3110" s="350">
        <v>46128</v>
      </c>
      <c r="D3110" s="351">
        <v>46113</v>
      </c>
      <c r="E3110" s="340" t="s">
        <v>2805</v>
      </c>
      <c r="F3110" s="340" t="s">
        <v>1078</v>
      </c>
      <c r="G3110" s="340" t="s">
        <v>2293</v>
      </c>
      <c r="H3110" s="340"/>
      <c r="I3110" s="340" t="s">
        <v>740</v>
      </c>
      <c r="K3110" s="343">
        <v>260</v>
      </c>
      <c r="L3110" s="343">
        <v>0</v>
      </c>
      <c r="M3110" s="343">
        <v>-1229201.3</v>
      </c>
      <c r="O3110" s="343">
        <v>0</v>
      </c>
    </row>
    <row r="3111" spans="1:15" x14ac:dyDescent="0.3">
      <c r="A3111" s="340" t="s">
        <v>891</v>
      </c>
      <c r="B3111" s="350">
        <v>46128</v>
      </c>
      <c r="C3111" s="350">
        <v>46128</v>
      </c>
      <c r="D3111" s="351">
        <v>46113</v>
      </c>
      <c r="E3111" s="340" t="s">
        <v>2805</v>
      </c>
      <c r="F3111" s="340" t="s">
        <v>1078</v>
      </c>
      <c r="G3111" s="340" t="s">
        <v>2294</v>
      </c>
      <c r="H3111" s="340"/>
      <c r="I3111" s="340" t="s">
        <v>740</v>
      </c>
      <c r="K3111" s="343">
        <v>260</v>
      </c>
      <c r="L3111" s="343">
        <v>0</v>
      </c>
      <c r="M3111" s="343">
        <v>-1228941.3</v>
      </c>
      <c r="O3111" s="343">
        <v>0</v>
      </c>
    </row>
    <row r="3112" spans="1:15" x14ac:dyDescent="0.3">
      <c r="A3112" s="340" t="s">
        <v>891</v>
      </c>
      <c r="B3112" s="350">
        <v>46128</v>
      </c>
      <c r="C3112" s="350">
        <v>46128</v>
      </c>
      <c r="D3112" s="351">
        <v>46113</v>
      </c>
      <c r="E3112" s="340" t="s">
        <v>2805</v>
      </c>
      <c r="F3112" s="340" t="s">
        <v>1078</v>
      </c>
      <c r="G3112" s="340" t="s">
        <v>2296</v>
      </c>
      <c r="H3112" s="340"/>
      <c r="I3112" s="340" t="s">
        <v>740</v>
      </c>
      <c r="K3112" s="343">
        <v>445</v>
      </c>
      <c r="L3112" s="343">
        <v>0</v>
      </c>
      <c r="M3112" s="343">
        <v>-1228496.3</v>
      </c>
      <c r="O3112" s="343">
        <v>0</v>
      </c>
    </row>
    <row r="3113" spans="1:15" x14ac:dyDescent="0.3">
      <c r="A3113" s="340" t="s">
        <v>891</v>
      </c>
      <c r="B3113" s="350">
        <v>46128</v>
      </c>
      <c r="C3113" s="350">
        <v>46128</v>
      </c>
      <c r="D3113" s="351">
        <v>46113</v>
      </c>
      <c r="E3113" s="340" t="s">
        <v>2805</v>
      </c>
      <c r="F3113" s="340" t="s">
        <v>1078</v>
      </c>
      <c r="G3113" s="340" t="s">
        <v>2298</v>
      </c>
      <c r="H3113" s="340"/>
      <c r="I3113" s="340" t="s">
        <v>740</v>
      </c>
      <c r="K3113" s="343">
        <v>770</v>
      </c>
      <c r="L3113" s="343">
        <v>0</v>
      </c>
      <c r="M3113" s="343">
        <v>-1227726.3</v>
      </c>
      <c r="O3113" s="343">
        <v>0</v>
      </c>
    </row>
    <row r="3114" spans="1:15" x14ac:dyDescent="0.3">
      <c r="A3114" s="340" t="s">
        <v>891</v>
      </c>
      <c r="B3114" s="350">
        <v>46128</v>
      </c>
      <c r="C3114" s="350">
        <v>46128</v>
      </c>
      <c r="D3114" s="351">
        <v>46113</v>
      </c>
      <c r="E3114" s="340" t="s">
        <v>2806</v>
      </c>
      <c r="F3114" s="340" t="s">
        <v>1078</v>
      </c>
      <c r="G3114" s="340" t="s">
        <v>1562</v>
      </c>
      <c r="H3114" s="340"/>
      <c r="I3114" s="340" t="s">
        <v>745</v>
      </c>
      <c r="K3114" s="343">
        <v>775.77</v>
      </c>
      <c r="L3114" s="343">
        <v>0</v>
      </c>
      <c r="M3114" s="343">
        <v>-1226950.53</v>
      </c>
      <c r="O3114" s="343">
        <v>0</v>
      </c>
    </row>
    <row r="3115" spans="1:15" x14ac:dyDescent="0.3">
      <c r="A3115" s="340" t="s">
        <v>891</v>
      </c>
      <c r="B3115" s="350">
        <v>46128</v>
      </c>
      <c r="C3115" s="350">
        <v>46128</v>
      </c>
      <c r="D3115" s="351">
        <v>46113</v>
      </c>
      <c r="E3115" s="340" t="s">
        <v>2812</v>
      </c>
      <c r="F3115" s="340" t="s">
        <v>1078</v>
      </c>
      <c r="G3115" s="340" t="s">
        <v>1079</v>
      </c>
      <c r="H3115" s="340"/>
      <c r="I3115" s="340" t="s">
        <v>2813</v>
      </c>
      <c r="K3115" s="343">
        <v>710</v>
      </c>
      <c r="L3115" s="343">
        <v>0</v>
      </c>
      <c r="M3115" s="343">
        <v>-1226240.53</v>
      </c>
      <c r="O3115" s="343">
        <v>0</v>
      </c>
    </row>
    <row r="3116" spans="1:15" x14ac:dyDescent="0.3">
      <c r="A3116" s="340" t="s">
        <v>891</v>
      </c>
      <c r="B3116" s="350">
        <v>46128</v>
      </c>
      <c r="C3116" s="350">
        <v>46128</v>
      </c>
      <c r="D3116" s="351">
        <v>46113</v>
      </c>
      <c r="E3116" s="340" t="s">
        <v>2805</v>
      </c>
      <c r="F3116" s="340" t="s">
        <v>1078</v>
      </c>
      <c r="G3116" s="340" t="s">
        <v>2300</v>
      </c>
      <c r="H3116" s="340"/>
      <c r="I3116" s="340" t="s">
        <v>740</v>
      </c>
      <c r="K3116" s="343">
        <v>129.9</v>
      </c>
      <c r="L3116" s="343">
        <v>0</v>
      </c>
      <c r="M3116" s="343">
        <v>-1226110.6299999999</v>
      </c>
      <c r="O3116" s="343">
        <v>0</v>
      </c>
    </row>
    <row r="3117" spans="1:15" x14ac:dyDescent="0.3">
      <c r="A3117" s="340" t="s">
        <v>891</v>
      </c>
      <c r="B3117" s="350">
        <v>46128</v>
      </c>
      <c r="C3117" s="350">
        <v>46128</v>
      </c>
      <c r="D3117" s="351">
        <v>46113</v>
      </c>
      <c r="E3117" s="340" t="s">
        <v>2805</v>
      </c>
      <c r="F3117" s="340" t="s">
        <v>1078</v>
      </c>
      <c r="G3117" s="340" t="s">
        <v>2302</v>
      </c>
      <c r="H3117" s="340"/>
      <c r="I3117" s="340" t="s">
        <v>740</v>
      </c>
      <c r="K3117" s="343">
        <v>129.9</v>
      </c>
      <c r="L3117" s="343">
        <v>0</v>
      </c>
      <c r="M3117" s="343">
        <v>-1225980.73</v>
      </c>
      <c r="O3117" s="343">
        <v>0</v>
      </c>
    </row>
    <row r="3118" spans="1:15" x14ac:dyDescent="0.3">
      <c r="A3118" s="340" t="s">
        <v>891</v>
      </c>
      <c r="B3118" s="350">
        <v>46128</v>
      </c>
      <c r="C3118" s="350">
        <v>46128</v>
      </c>
      <c r="D3118" s="351">
        <v>46113</v>
      </c>
      <c r="E3118" s="340" t="s">
        <v>2805</v>
      </c>
      <c r="F3118" s="340" t="s">
        <v>1078</v>
      </c>
      <c r="G3118" s="340" t="s">
        <v>2304</v>
      </c>
      <c r="H3118" s="340"/>
      <c r="I3118" s="340" t="s">
        <v>740</v>
      </c>
      <c r="K3118" s="343">
        <v>178.61</v>
      </c>
      <c r="L3118" s="343">
        <v>0</v>
      </c>
      <c r="M3118" s="343">
        <v>-1225802.1200000001</v>
      </c>
      <c r="O3118" s="343">
        <v>0</v>
      </c>
    </row>
    <row r="3119" spans="1:15" x14ac:dyDescent="0.3">
      <c r="A3119" s="340" t="s">
        <v>891</v>
      </c>
      <c r="B3119" s="350">
        <v>46128</v>
      </c>
      <c r="C3119" s="350">
        <v>46128</v>
      </c>
      <c r="D3119" s="351">
        <v>46113</v>
      </c>
      <c r="E3119" s="340" t="s">
        <v>2805</v>
      </c>
      <c r="F3119" s="340" t="s">
        <v>1078</v>
      </c>
      <c r="G3119" s="340" t="s">
        <v>2306</v>
      </c>
      <c r="H3119" s="340"/>
      <c r="I3119" s="340" t="s">
        <v>740</v>
      </c>
      <c r="K3119" s="343">
        <v>445</v>
      </c>
      <c r="L3119" s="343">
        <v>0</v>
      </c>
      <c r="M3119" s="343">
        <v>-1225357.1200000001</v>
      </c>
      <c r="O3119" s="343">
        <v>0</v>
      </c>
    </row>
    <row r="3120" spans="1:15" x14ac:dyDescent="0.3">
      <c r="A3120" s="340" t="s">
        <v>891</v>
      </c>
      <c r="B3120" s="350">
        <v>46128</v>
      </c>
      <c r="C3120" s="350">
        <v>46128</v>
      </c>
      <c r="D3120" s="351">
        <v>46113</v>
      </c>
      <c r="E3120" s="340" t="s">
        <v>2805</v>
      </c>
      <c r="F3120" s="340" t="s">
        <v>1078</v>
      </c>
      <c r="G3120" s="340" t="s">
        <v>2308</v>
      </c>
      <c r="H3120" s="340"/>
      <c r="I3120" s="340" t="s">
        <v>740</v>
      </c>
      <c r="K3120" s="343">
        <v>880</v>
      </c>
      <c r="L3120" s="343">
        <v>0</v>
      </c>
      <c r="M3120" s="343">
        <v>-1224477.1200000001</v>
      </c>
      <c r="O3120" s="343">
        <v>0</v>
      </c>
    </row>
    <row r="3121" spans="1:15" x14ac:dyDescent="0.3">
      <c r="A3121" s="340" t="s">
        <v>891</v>
      </c>
      <c r="B3121" s="350">
        <v>46128</v>
      </c>
      <c r="C3121" s="350">
        <v>46128</v>
      </c>
      <c r="D3121" s="351">
        <v>46113</v>
      </c>
      <c r="E3121" s="340" t="s">
        <v>2806</v>
      </c>
      <c r="F3121" s="340" t="s">
        <v>1078</v>
      </c>
      <c r="G3121" s="340" t="s">
        <v>1563</v>
      </c>
      <c r="H3121" s="340"/>
      <c r="I3121" s="340" t="s">
        <v>745</v>
      </c>
      <c r="K3121" s="343">
        <v>164.41</v>
      </c>
      <c r="L3121" s="343">
        <v>0</v>
      </c>
      <c r="M3121" s="343">
        <v>-1224312.71</v>
      </c>
      <c r="O3121" s="343">
        <v>0</v>
      </c>
    </row>
    <row r="3122" spans="1:15" x14ac:dyDescent="0.3">
      <c r="A3122" s="340" t="s">
        <v>891</v>
      </c>
      <c r="B3122" s="350">
        <v>46128</v>
      </c>
      <c r="C3122" s="350">
        <v>46128</v>
      </c>
      <c r="D3122" s="351">
        <v>46113</v>
      </c>
      <c r="E3122" s="340" t="s">
        <v>2805</v>
      </c>
      <c r="F3122" s="340" t="s">
        <v>1078</v>
      </c>
      <c r="G3122" s="340" t="s">
        <v>2310</v>
      </c>
      <c r="H3122" s="340"/>
      <c r="I3122" s="340" t="s">
        <v>740</v>
      </c>
      <c r="K3122" s="343">
        <v>520</v>
      </c>
      <c r="L3122" s="343">
        <v>0</v>
      </c>
      <c r="M3122" s="343">
        <v>-1223792.71</v>
      </c>
      <c r="O3122" s="343">
        <v>0</v>
      </c>
    </row>
    <row r="3123" spans="1:15" x14ac:dyDescent="0.3">
      <c r="A3123" s="340" t="s">
        <v>891</v>
      </c>
      <c r="B3123" s="350">
        <v>46128</v>
      </c>
      <c r="C3123" s="350">
        <v>46128</v>
      </c>
      <c r="D3123" s="351">
        <v>46113</v>
      </c>
      <c r="E3123" s="340" t="s">
        <v>2805</v>
      </c>
      <c r="F3123" s="340" t="s">
        <v>1078</v>
      </c>
      <c r="G3123" s="340" t="s">
        <v>2312</v>
      </c>
      <c r="H3123" s="340"/>
      <c r="I3123" s="340" t="s">
        <v>740</v>
      </c>
      <c r="K3123" s="343">
        <v>570</v>
      </c>
      <c r="L3123" s="343">
        <v>0</v>
      </c>
      <c r="M3123" s="343">
        <v>-1223222.71</v>
      </c>
      <c r="O3123" s="343">
        <v>0</v>
      </c>
    </row>
    <row r="3124" spans="1:15" x14ac:dyDescent="0.3">
      <c r="A3124" s="340" t="s">
        <v>891</v>
      </c>
      <c r="B3124" s="350">
        <v>46128</v>
      </c>
      <c r="C3124" s="350">
        <v>46128</v>
      </c>
      <c r="D3124" s="351">
        <v>46113</v>
      </c>
      <c r="E3124" s="340" t="s">
        <v>2805</v>
      </c>
      <c r="F3124" s="340" t="s">
        <v>1078</v>
      </c>
      <c r="G3124" s="340" t="s">
        <v>2313</v>
      </c>
      <c r="H3124" s="340"/>
      <c r="I3124" s="340" t="s">
        <v>740</v>
      </c>
      <c r="K3124" s="343">
        <v>80</v>
      </c>
      <c r="L3124" s="343">
        <v>0</v>
      </c>
      <c r="M3124" s="343">
        <v>-1223142.71</v>
      </c>
      <c r="O3124" s="343">
        <v>0</v>
      </c>
    </row>
    <row r="3125" spans="1:15" x14ac:dyDescent="0.3">
      <c r="A3125" s="340" t="s">
        <v>891</v>
      </c>
      <c r="B3125" s="350">
        <v>46128</v>
      </c>
      <c r="C3125" s="350">
        <v>46128</v>
      </c>
      <c r="D3125" s="351">
        <v>46113</v>
      </c>
      <c r="E3125" s="340" t="s">
        <v>2805</v>
      </c>
      <c r="F3125" s="340" t="s">
        <v>1078</v>
      </c>
      <c r="G3125" s="340" t="s">
        <v>2315</v>
      </c>
      <c r="H3125" s="340"/>
      <c r="I3125" s="340" t="s">
        <v>740</v>
      </c>
      <c r="K3125" s="343">
        <v>570</v>
      </c>
      <c r="L3125" s="343">
        <v>0</v>
      </c>
      <c r="M3125" s="343">
        <v>-1222572.71</v>
      </c>
      <c r="O3125" s="343">
        <v>0</v>
      </c>
    </row>
    <row r="3126" spans="1:15" x14ac:dyDescent="0.3">
      <c r="A3126" s="340" t="s">
        <v>891</v>
      </c>
      <c r="B3126" s="350">
        <v>46128</v>
      </c>
      <c r="C3126" s="350">
        <v>46128</v>
      </c>
      <c r="D3126" s="351">
        <v>46113</v>
      </c>
      <c r="E3126" s="340" t="s">
        <v>2805</v>
      </c>
      <c r="F3126" s="340" t="s">
        <v>1078</v>
      </c>
      <c r="G3126" s="340" t="s">
        <v>2316</v>
      </c>
      <c r="H3126" s="340"/>
      <c r="I3126" s="340" t="s">
        <v>740</v>
      </c>
      <c r="K3126" s="343">
        <v>80</v>
      </c>
      <c r="L3126" s="343">
        <v>0</v>
      </c>
      <c r="M3126" s="343">
        <v>-1222492.71</v>
      </c>
      <c r="O3126" s="343">
        <v>0</v>
      </c>
    </row>
    <row r="3127" spans="1:15" x14ac:dyDescent="0.3">
      <c r="A3127" s="340" t="s">
        <v>891</v>
      </c>
      <c r="B3127" s="350">
        <v>46128</v>
      </c>
      <c r="C3127" s="350">
        <v>46128</v>
      </c>
      <c r="D3127" s="351">
        <v>46113</v>
      </c>
      <c r="E3127" s="340" t="s">
        <v>2805</v>
      </c>
      <c r="F3127" s="340" t="s">
        <v>1078</v>
      </c>
      <c r="G3127" s="340" t="s">
        <v>2348</v>
      </c>
      <c r="H3127" s="340"/>
      <c r="I3127" s="340" t="s">
        <v>740</v>
      </c>
      <c r="K3127" s="343">
        <v>55</v>
      </c>
      <c r="L3127" s="343">
        <v>0</v>
      </c>
      <c r="M3127" s="343">
        <v>-1222437.71</v>
      </c>
      <c r="O3127" s="343">
        <v>0</v>
      </c>
    </row>
    <row r="3128" spans="1:15" x14ac:dyDescent="0.3">
      <c r="A3128" s="340" t="s">
        <v>891</v>
      </c>
      <c r="B3128" s="350">
        <v>46128</v>
      </c>
      <c r="C3128" s="350">
        <v>46128</v>
      </c>
      <c r="D3128" s="351">
        <v>46113</v>
      </c>
      <c r="E3128" s="340" t="s">
        <v>2805</v>
      </c>
      <c r="F3128" s="340" t="s">
        <v>1078</v>
      </c>
      <c r="G3128" s="340" t="s">
        <v>2318</v>
      </c>
      <c r="H3128" s="340"/>
      <c r="I3128" s="340" t="s">
        <v>740</v>
      </c>
      <c r="K3128" s="343">
        <v>65</v>
      </c>
      <c r="L3128" s="343">
        <v>0</v>
      </c>
      <c r="M3128" s="343">
        <v>-1222372.71</v>
      </c>
      <c r="O3128" s="343">
        <v>0</v>
      </c>
    </row>
    <row r="3129" spans="1:15" x14ac:dyDescent="0.3">
      <c r="A3129" s="340" t="s">
        <v>891</v>
      </c>
      <c r="B3129" s="350">
        <v>46128</v>
      </c>
      <c r="C3129" s="350">
        <v>46128</v>
      </c>
      <c r="D3129" s="351">
        <v>46113</v>
      </c>
      <c r="E3129" s="340" t="s">
        <v>2805</v>
      </c>
      <c r="F3129" s="340" t="s">
        <v>1078</v>
      </c>
      <c r="G3129" s="340" t="s">
        <v>2213</v>
      </c>
      <c r="H3129" s="340"/>
      <c r="I3129" s="340" t="s">
        <v>740</v>
      </c>
      <c r="K3129" s="343">
        <v>48.71</v>
      </c>
      <c r="L3129" s="343">
        <v>0</v>
      </c>
      <c r="M3129" s="343">
        <v>-1222324</v>
      </c>
      <c r="O3129" s="343">
        <v>0</v>
      </c>
    </row>
    <row r="3130" spans="1:15" x14ac:dyDescent="0.3">
      <c r="A3130" s="340" t="s">
        <v>891</v>
      </c>
      <c r="B3130" s="350">
        <v>46128</v>
      </c>
      <c r="C3130" s="350">
        <v>46128</v>
      </c>
      <c r="D3130" s="351">
        <v>46113</v>
      </c>
      <c r="E3130" s="340" t="s">
        <v>2805</v>
      </c>
      <c r="F3130" s="340" t="s">
        <v>1078</v>
      </c>
      <c r="G3130" s="340" t="s">
        <v>2319</v>
      </c>
      <c r="H3130" s="340"/>
      <c r="I3130" s="340" t="s">
        <v>740</v>
      </c>
      <c r="K3130" s="343">
        <v>340.99</v>
      </c>
      <c r="L3130" s="343">
        <v>0</v>
      </c>
      <c r="M3130" s="343">
        <v>-1221983.01</v>
      </c>
      <c r="O3130" s="343">
        <v>0</v>
      </c>
    </row>
    <row r="3131" spans="1:15" x14ac:dyDescent="0.3">
      <c r="A3131" s="340" t="s">
        <v>891</v>
      </c>
      <c r="B3131" s="350">
        <v>46128</v>
      </c>
      <c r="C3131" s="350">
        <v>46128</v>
      </c>
      <c r="D3131" s="351">
        <v>46113</v>
      </c>
      <c r="E3131" s="340" t="s">
        <v>2805</v>
      </c>
      <c r="F3131" s="340" t="s">
        <v>1078</v>
      </c>
      <c r="G3131" s="340" t="s">
        <v>2321</v>
      </c>
      <c r="H3131" s="340"/>
      <c r="I3131" s="340" t="s">
        <v>740</v>
      </c>
      <c r="K3131" s="343">
        <v>480</v>
      </c>
      <c r="L3131" s="343">
        <v>0</v>
      </c>
      <c r="M3131" s="343">
        <v>-1221503.01</v>
      </c>
      <c r="O3131" s="343">
        <v>0</v>
      </c>
    </row>
    <row r="3132" spans="1:15" x14ac:dyDescent="0.3">
      <c r="A3132" s="340" t="s">
        <v>891</v>
      </c>
      <c r="B3132" s="350">
        <v>46128</v>
      </c>
      <c r="C3132" s="350">
        <v>46128</v>
      </c>
      <c r="D3132" s="351">
        <v>46113</v>
      </c>
      <c r="E3132" s="340" t="s">
        <v>2805</v>
      </c>
      <c r="F3132" s="340" t="s">
        <v>1078</v>
      </c>
      <c r="G3132" s="340" t="s">
        <v>2322</v>
      </c>
      <c r="H3132" s="340"/>
      <c r="I3132" s="340" t="s">
        <v>740</v>
      </c>
      <c r="K3132" s="343">
        <v>100</v>
      </c>
      <c r="L3132" s="343">
        <v>0</v>
      </c>
      <c r="M3132" s="343">
        <v>-1221403.01</v>
      </c>
      <c r="O3132" s="343">
        <v>0</v>
      </c>
    </row>
    <row r="3133" spans="1:15" x14ac:dyDescent="0.3">
      <c r="A3133" s="340" t="s">
        <v>891</v>
      </c>
      <c r="B3133" s="350">
        <v>46128</v>
      </c>
      <c r="C3133" s="350">
        <v>46128</v>
      </c>
      <c r="D3133" s="351">
        <v>46113</v>
      </c>
      <c r="E3133" s="340" t="s">
        <v>2805</v>
      </c>
      <c r="F3133" s="340" t="s">
        <v>1078</v>
      </c>
      <c r="G3133" s="340" t="s">
        <v>2332</v>
      </c>
      <c r="H3133" s="340"/>
      <c r="I3133" s="340" t="s">
        <v>740</v>
      </c>
      <c r="K3133" s="343">
        <v>520</v>
      </c>
      <c r="L3133" s="343">
        <v>0</v>
      </c>
      <c r="M3133" s="343">
        <v>-1220883.01</v>
      </c>
      <c r="O3133" s="343">
        <v>0</v>
      </c>
    </row>
    <row r="3134" spans="1:15" x14ac:dyDescent="0.3">
      <c r="A3134" s="340" t="s">
        <v>891</v>
      </c>
      <c r="B3134" s="350">
        <v>46128</v>
      </c>
      <c r="C3134" s="350">
        <v>46128</v>
      </c>
      <c r="D3134" s="351">
        <v>46113</v>
      </c>
      <c r="E3134" s="340" t="s">
        <v>2805</v>
      </c>
      <c r="F3134" s="340" t="s">
        <v>1078</v>
      </c>
      <c r="G3134" s="340" t="s">
        <v>2324</v>
      </c>
      <c r="H3134" s="340"/>
      <c r="I3134" s="340" t="s">
        <v>740</v>
      </c>
      <c r="K3134" s="343">
        <v>570</v>
      </c>
      <c r="L3134" s="343">
        <v>0</v>
      </c>
      <c r="M3134" s="343">
        <v>-1220313.01</v>
      </c>
      <c r="O3134" s="343">
        <v>0</v>
      </c>
    </row>
    <row r="3135" spans="1:15" x14ac:dyDescent="0.3">
      <c r="A3135" s="340" t="s">
        <v>891</v>
      </c>
      <c r="B3135" s="350">
        <v>46128</v>
      </c>
      <c r="C3135" s="350">
        <v>46128</v>
      </c>
      <c r="D3135" s="351">
        <v>46113</v>
      </c>
      <c r="E3135" s="340" t="s">
        <v>2805</v>
      </c>
      <c r="F3135" s="340" t="s">
        <v>1078</v>
      </c>
      <c r="G3135" s="340" t="s">
        <v>2325</v>
      </c>
      <c r="H3135" s="340"/>
      <c r="I3135" s="340" t="s">
        <v>740</v>
      </c>
      <c r="K3135" s="343">
        <v>115</v>
      </c>
      <c r="L3135" s="343">
        <v>0</v>
      </c>
      <c r="M3135" s="343">
        <v>-1220198.01</v>
      </c>
      <c r="O3135" s="343">
        <v>0</v>
      </c>
    </row>
    <row r="3136" spans="1:15" x14ac:dyDescent="0.3">
      <c r="A3136" s="340" t="s">
        <v>891</v>
      </c>
      <c r="B3136" s="350">
        <v>46128</v>
      </c>
      <c r="C3136" s="350">
        <v>46128</v>
      </c>
      <c r="D3136" s="351">
        <v>46113</v>
      </c>
      <c r="E3136" s="340" t="s">
        <v>2805</v>
      </c>
      <c r="F3136" s="340" t="s">
        <v>1078</v>
      </c>
      <c r="G3136" s="340" t="s">
        <v>2327</v>
      </c>
      <c r="H3136" s="340"/>
      <c r="I3136" s="340" t="s">
        <v>740</v>
      </c>
      <c r="K3136" s="343">
        <v>55</v>
      </c>
      <c r="L3136" s="343">
        <v>0</v>
      </c>
      <c r="M3136" s="343">
        <v>-1220143.01</v>
      </c>
      <c r="O3136" s="343">
        <v>0</v>
      </c>
    </row>
    <row r="3137" spans="1:15" x14ac:dyDescent="0.3">
      <c r="A3137" s="340" t="s">
        <v>891</v>
      </c>
      <c r="B3137" s="350">
        <v>46128</v>
      </c>
      <c r="C3137" s="350">
        <v>46128</v>
      </c>
      <c r="D3137" s="351">
        <v>46113</v>
      </c>
      <c r="E3137" s="340" t="s">
        <v>2805</v>
      </c>
      <c r="F3137" s="340" t="s">
        <v>1078</v>
      </c>
      <c r="G3137" s="340" t="s">
        <v>1298</v>
      </c>
      <c r="H3137" s="340"/>
      <c r="I3137" s="340" t="s">
        <v>740</v>
      </c>
      <c r="K3137" s="343">
        <v>64.95</v>
      </c>
      <c r="L3137" s="343">
        <v>0</v>
      </c>
      <c r="M3137" s="343">
        <v>-1220078.06</v>
      </c>
      <c r="O3137" s="343">
        <v>0</v>
      </c>
    </row>
    <row r="3138" spans="1:15" x14ac:dyDescent="0.3">
      <c r="A3138" s="340" t="s">
        <v>891</v>
      </c>
      <c r="B3138" s="350">
        <v>46128</v>
      </c>
      <c r="C3138" s="350">
        <v>46128</v>
      </c>
      <c r="D3138" s="351">
        <v>46113</v>
      </c>
      <c r="E3138" s="340" t="s">
        <v>2805</v>
      </c>
      <c r="F3138" s="340" t="s">
        <v>1078</v>
      </c>
      <c r="G3138" s="340" t="s">
        <v>2329</v>
      </c>
      <c r="H3138" s="340"/>
      <c r="I3138" s="340" t="s">
        <v>740</v>
      </c>
      <c r="K3138" s="343">
        <v>260</v>
      </c>
      <c r="L3138" s="343">
        <v>0</v>
      </c>
      <c r="M3138" s="343">
        <v>-1219818.06</v>
      </c>
      <c r="O3138" s="343">
        <v>0</v>
      </c>
    </row>
    <row r="3139" spans="1:15" x14ac:dyDescent="0.3">
      <c r="A3139" s="340" t="s">
        <v>891</v>
      </c>
      <c r="B3139" s="350">
        <v>46128</v>
      </c>
      <c r="C3139" s="350">
        <v>46128</v>
      </c>
      <c r="D3139" s="351">
        <v>46113</v>
      </c>
      <c r="E3139" s="340" t="s">
        <v>2805</v>
      </c>
      <c r="F3139" s="340" t="s">
        <v>1078</v>
      </c>
      <c r="G3139" s="340" t="s">
        <v>2330</v>
      </c>
      <c r="H3139" s="340"/>
      <c r="I3139" s="340" t="s">
        <v>740</v>
      </c>
      <c r="K3139" s="343">
        <v>200</v>
      </c>
      <c r="L3139" s="343">
        <v>0</v>
      </c>
      <c r="M3139" s="343">
        <v>-1219618.06</v>
      </c>
      <c r="O3139" s="343">
        <v>0</v>
      </c>
    </row>
    <row r="3140" spans="1:15" x14ac:dyDescent="0.3">
      <c r="A3140" s="340" t="s">
        <v>891</v>
      </c>
      <c r="B3140" s="350">
        <v>46128</v>
      </c>
      <c r="C3140" s="350">
        <v>46128</v>
      </c>
      <c r="D3140" s="351">
        <v>46113</v>
      </c>
      <c r="E3140" s="340" t="s">
        <v>2805</v>
      </c>
      <c r="F3140" s="340" t="s">
        <v>1078</v>
      </c>
      <c r="G3140" s="340" t="s">
        <v>2333</v>
      </c>
      <c r="H3140" s="340"/>
      <c r="I3140" s="340" t="s">
        <v>740</v>
      </c>
      <c r="K3140" s="343">
        <v>555</v>
      </c>
      <c r="L3140" s="343">
        <v>0</v>
      </c>
      <c r="M3140" s="343">
        <v>-1219063.06</v>
      </c>
      <c r="O3140" s="343">
        <v>0</v>
      </c>
    </row>
    <row r="3141" spans="1:15" x14ac:dyDescent="0.3">
      <c r="A3141" s="340" t="s">
        <v>891</v>
      </c>
      <c r="B3141" s="350">
        <v>46128</v>
      </c>
      <c r="C3141" s="350">
        <v>46128</v>
      </c>
      <c r="D3141" s="351">
        <v>46113</v>
      </c>
      <c r="E3141" s="340" t="s">
        <v>2805</v>
      </c>
      <c r="F3141" s="340" t="s">
        <v>1078</v>
      </c>
      <c r="G3141" s="340" t="s">
        <v>2335</v>
      </c>
      <c r="H3141" s="340"/>
      <c r="I3141" s="340" t="s">
        <v>740</v>
      </c>
      <c r="K3141" s="343">
        <v>129.9</v>
      </c>
      <c r="L3141" s="343">
        <v>0</v>
      </c>
      <c r="M3141" s="343">
        <v>-1218933.1599999999</v>
      </c>
      <c r="O3141" s="343">
        <v>0</v>
      </c>
    </row>
    <row r="3142" spans="1:15" x14ac:dyDescent="0.3">
      <c r="A3142" s="340" t="s">
        <v>891</v>
      </c>
      <c r="B3142" s="350">
        <v>46128</v>
      </c>
      <c r="C3142" s="350">
        <v>46128</v>
      </c>
      <c r="D3142" s="351">
        <v>46113</v>
      </c>
      <c r="E3142" s="340" t="s">
        <v>2805</v>
      </c>
      <c r="F3142" s="340" t="s">
        <v>1078</v>
      </c>
      <c r="G3142" s="340" t="s">
        <v>2337</v>
      </c>
      <c r="H3142" s="340"/>
      <c r="I3142" s="340" t="s">
        <v>740</v>
      </c>
      <c r="K3142" s="343">
        <v>665</v>
      </c>
      <c r="L3142" s="343">
        <v>0</v>
      </c>
      <c r="M3142" s="343">
        <v>-1218268.1599999999</v>
      </c>
      <c r="O3142" s="343">
        <v>0</v>
      </c>
    </row>
    <row r="3143" spans="1:15" x14ac:dyDescent="0.3">
      <c r="A3143" s="340" t="s">
        <v>891</v>
      </c>
      <c r="B3143" s="350">
        <v>46128</v>
      </c>
      <c r="C3143" s="350">
        <v>46128</v>
      </c>
      <c r="D3143" s="351">
        <v>46113</v>
      </c>
      <c r="E3143" s="340" t="s">
        <v>2805</v>
      </c>
      <c r="F3143" s="340" t="s">
        <v>1078</v>
      </c>
      <c r="G3143" s="340" t="s">
        <v>2325</v>
      </c>
      <c r="H3143" s="340"/>
      <c r="I3143" s="340" t="s">
        <v>740</v>
      </c>
      <c r="K3143" s="343">
        <v>115</v>
      </c>
      <c r="L3143" s="343">
        <v>0</v>
      </c>
      <c r="M3143" s="343">
        <v>-1218153.1599999999</v>
      </c>
      <c r="O3143" s="343">
        <v>0</v>
      </c>
    </row>
    <row r="3144" spans="1:15" x14ac:dyDescent="0.3">
      <c r="A3144" s="340" t="s">
        <v>891</v>
      </c>
      <c r="B3144" s="350">
        <v>46128</v>
      </c>
      <c r="C3144" s="350">
        <v>46128</v>
      </c>
      <c r="D3144" s="351">
        <v>46113</v>
      </c>
      <c r="E3144" s="340" t="s">
        <v>2805</v>
      </c>
      <c r="F3144" s="340" t="s">
        <v>1078</v>
      </c>
      <c r="G3144" s="340" t="s">
        <v>2339</v>
      </c>
      <c r="H3144" s="340"/>
      <c r="I3144" s="340" t="s">
        <v>740</v>
      </c>
      <c r="K3144" s="343">
        <v>260</v>
      </c>
      <c r="L3144" s="343">
        <v>0</v>
      </c>
      <c r="M3144" s="343">
        <v>-1217893.1599999999</v>
      </c>
      <c r="O3144" s="343">
        <v>0</v>
      </c>
    </row>
    <row r="3145" spans="1:15" x14ac:dyDescent="0.3">
      <c r="A3145" s="340" t="s">
        <v>891</v>
      </c>
      <c r="B3145" s="350">
        <v>46128</v>
      </c>
      <c r="C3145" s="350">
        <v>46128</v>
      </c>
      <c r="D3145" s="351">
        <v>46113</v>
      </c>
      <c r="E3145" s="340" t="s">
        <v>2806</v>
      </c>
      <c r="F3145" s="340" t="s">
        <v>1078</v>
      </c>
      <c r="G3145" s="340" t="s">
        <v>1185</v>
      </c>
      <c r="H3145" s="340"/>
      <c r="I3145" s="340" t="s">
        <v>745</v>
      </c>
      <c r="K3145" s="343">
        <v>191.24</v>
      </c>
      <c r="L3145" s="343">
        <v>0</v>
      </c>
      <c r="M3145" s="343">
        <v>-1217701.92</v>
      </c>
      <c r="O3145" s="343">
        <v>0</v>
      </c>
    </row>
    <row r="3146" spans="1:15" x14ac:dyDescent="0.3">
      <c r="A3146" s="340" t="s">
        <v>891</v>
      </c>
      <c r="B3146" s="350">
        <v>46128</v>
      </c>
      <c r="C3146" s="350">
        <v>46128</v>
      </c>
      <c r="D3146" s="351">
        <v>46113</v>
      </c>
      <c r="E3146" s="340" t="s">
        <v>2805</v>
      </c>
      <c r="F3146" s="340" t="s">
        <v>1078</v>
      </c>
      <c r="G3146" s="340" t="s">
        <v>2340</v>
      </c>
      <c r="H3146" s="340"/>
      <c r="I3146" s="340" t="s">
        <v>740</v>
      </c>
      <c r="K3146" s="343">
        <v>150</v>
      </c>
      <c r="L3146" s="343">
        <v>0</v>
      </c>
      <c r="M3146" s="343">
        <v>-1217551.92</v>
      </c>
      <c r="O3146" s="343">
        <v>0</v>
      </c>
    </row>
    <row r="3147" spans="1:15" x14ac:dyDescent="0.3">
      <c r="A3147" s="340" t="s">
        <v>891</v>
      </c>
      <c r="B3147" s="350">
        <v>46128</v>
      </c>
      <c r="C3147" s="350">
        <v>46128</v>
      </c>
      <c r="D3147" s="351">
        <v>46113</v>
      </c>
      <c r="E3147" s="340" t="s">
        <v>2805</v>
      </c>
      <c r="F3147" s="340" t="s">
        <v>1078</v>
      </c>
      <c r="G3147" s="340" t="s">
        <v>2341</v>
      </c>
      <c r="H3147" s="340"/>
      <c r="I3147" s="340" t="s">
        <v>740</v>
      </c>
      <c r="K3147" s="343">
        <v>260</v>
      </c>
      <c r="L3147" s="343">
        <v>0</v>
      </c>
      <c r="M3147" s="343">
        <v>-1217291.92</v>
      </c>
      <c r="O3147" s="343">
        <v>0</v>
      </c>
    </row>
    <row r="3148" spans="1:15" x14ac:dyDescent="0.3">
      <c r="A3148" s="340" t="s">
        <v>891</v>
      </c>
      <c r="B3148" s="350">
        <v>46128</v>
      </c>
      <c r="C3148" s="350">
        <v>46128</v>
      </c>
      <c r="D3148" s="351">
        <v>46113</v>
      </c>
      <c r="E3148" s="340" t="s">
        <v>2805</v>
      </c>
      <c r="F3148" s="340" t="s">
        <v>1078</v>
      </c>
      <c r="G3148" s="340" t="s">
        <v>2342</v>
      </c>
      <c r="H3148" s="340"/>
      <c r="I3148" s="340" t="s">
        <v>740</v>
      </c>
      <c r="K3148" s="343">
        <v>260</v>
      </c>
      <c r="L3148" s="343">
        <v>0</v>
      </c>
      <c r="M3148" s="343">
        <v>-1217031.92</v>
      </c>
      <c r="O3148" s="343">
        <v>0</v>
      </c>
    </row>
    <row r="3149" spans="1:15" x14ac:dyDescent="0.3">
      <c r="A3149" s="340" t="s">
        <v>891</v>
      </c>
      <c r="B3149" s="350">
        <v>46128</v>
      </c>
      <c r="C3149" s="350">
        <v>46128</v>
      </c>
      <c r="D3149" s="351">
        <v>46113</v>
      </c>
      <c r="E3149" s="340" t="s">
        <v>2805</v>
      </c>
      <c r="F3149" s="340" t="s">
        <v>1078</v>
      </c>
      <c r="G3149" s="340" t="s">
        <v>2344</v>
      </c>
      <c r="H3149" s="340"/>
      <c r="I3149" s="340" t="s">
        <v>740</v>
      </c>
      <c r="K3149" s="343">
        <v>480</v>
      </c>
      <c r="L3149" s="343">
        <v>0</v>
      </c>
      <c r="M3149" s="343">
        <v>-1216551.92</v>
      </c>
      <c r="O3149" s="343">
        <v>0</v>
      </c>
    </row>
    <row r="3150" spans="1:15" x14ac:dyDescent="0.3">
      <c r="A3150" s="340" t="s">
        <v>891</v>
      </c>
      <c r="B3150" s="350">
        <v>46128</v>
      </c>
      <c r="C3150" s="350">
        <v>46128</v>
      </c>
      <c r="D3150" s="351">
        <v>46113</v>
      </c>
      <c r="E3150" s="340" t="s">
        <v>2805</v>
      </c>
      <c r="F3150" s="340" t="s">
        <v>1078</v>
      </c>
      <c r="G3150" s="340" t="s">
        <v>2345</v>
      </c>
      <c r="H3150" s="340"/>
      <c r="I3150" s="340" t="s">
        <v>740</v>
      </c>
      <c r="K3150" s="343">
        <v>70</v>
      </c>
      <c r="L3150" s="343">
        <v>0</v>
      </c>
      <c r="M3150" s="343">
        <v>-1216481.92</v>
      </c>
      <c r="O3150" s="343">
        <v>0</v>
      </c>
    </row>
    <row r="3151" spans="1:15" x14ac:dyDescent="0.3">
      <c r="A3151" s="340" t="s">
        <v>891</v>
      </c>
      <c r="B3151" s="350">
        <v>46128</v>
      </c>
      <c r="C3151" s="350">
        <v>46128</v>
      </c>
      <c r="D3151" s="351">
        <v>46113</v>
      </c>
      <c r="E3151" s="340" t="s">
        <v>2805</v>
      </c>
      <c r="F3151" s="340" t="s">
        <v>1078</v>
      </c>
      <c r="G3151" s="340" t="s">
        <v>2347</v>
      </c>
      <c r="H3151" s="340"/>
      <c r="I3151" s="340" t="s">
        <v>740</v>
      </c>
      <c r="K3151" s="343">
        <v>530</v>
      </c>
      <c r="L3151" s="343">
        <v>0</v>
      </c>
      <c r="M3151" s="343">
        <v>-1215951.92</v>
      </c>
      <c r="O3151" s="343">
        <v>0</v>
      </c>
    </row>
    <row r="3152" spans="1:15" x14ac:dyDescent="0.3">
      <c r="A3152" s="340" t="s">
        <v>891</v>
      </c>
      <c r="B3152" s="350">
        <v>46128</v>
      </c>
      <c r="C3152" s="350">
        <v>46128</v>
      </c>
      <c r="D3152" s="351">
        <v>46113</v>
      </c>
      <c r="E3152" s="340" t="s">
        <v>2805</v>
      </c>
      <c r="F3152" s="340" t="s">
        <v>1078</v>
      </c>
      <c r="G3152" s="340" t="s">
        <v>2358</v>
      </c>
      <c r="H3152" s="340"/>
      <c r="I3152" s="340" t="s">
        <v>740</v>
      </c>
      <c r="K3152" s="343">
        <v>510</v>
      </c>
      <c r="L3152" s="343">
        <v>0</v>
      </c>
      <c r="M3152" s="343">
        <v>-1215441.9199999999</v>
      </c>
      <c r="O3152" s="343">
        <v>0</v>
      </c>
    </row>
    <row r="3153" spans="1:15" x14ac:dyDescent="0.3">
      <c r="A3153" s="340" t="s">
        <v>891</v>
      </c>
      <c r="B3153" s="350">
        <v>46128</v>
      </c>
      <c r="C3153" s="350">
        <v>46128</v>
      </c>
      <c r="D3153" s="351">
        <v>46113</v>
      </c>
      <c r="E3153" s="340" t="s">
        <v>2805</v>
      </c>
      <c r="F3153" s="340" t="s">
        <v>1078</v>
      </c>
      <c r="G3153" s="340" t="s">
        <v>2360</v>
      </c>
      <c r="H3153" s="340"/>
      <c r="I3153" s="340" t="s">
        <v>740</v>
      </c>
      <c r="K3153" s="343">
        <v>770</v>
      </c>
      <c r="L3153" s="343">
        <v>0</v>
      </c>
      <c r="M3153" s="343">
        <v>-1214671.92</v>
      </c>
      <c r="O3153" s="343">
        <v>0</v>
      </c>
    </row>
    <row r="3154" spans="1:15" x14ac:dyDescent="0.3">
      <c r="A3154" s="340" t="s">
        <v>891</v>
      </c>
      <c r="B3154" s="350">
        <v>46128</v>
      </c>
      <c r="C3154" s="350">
        <v>46128</v>
      </c>
      <c r="D3154" s="351">
        <v>46113</v>
      </c>
      <c r="E3154" s="340" t="s">
        <v>2805</v>
      </c>
      <c r="F3154" s="340" t="s">
        <v>1078</v>
      </c>
      <c r="G3154" s="340" t="s">
        <v>2361</v>
      </c>
      <c r="H3154" s="340"/>
      <c r="I3154" s="340" t="s">
        <v>740</v>
      </c>
      <c r="K3154" s="343">
        <v>75</v>
      </c>
      <c r="L3154" s="343">
        <v>0</v>
      </c>
      <c r="M3154" s="343">
        <v>-1214596.92</v>
      </c>
      <c r="O3154" s="343">
        <v>0</v>
      </c>
    </row>
    <row r="3155" spans="1:15" x14ac:dyDescent="0.3">
      <c r="A3155" s="340" t="s">
        <v>891</v>
      </c>
      <c r="B3155" s="350">
        <v>46128</v>
      </c>
      <c r="C3155" s="350">
        <v>46128</v>
      </c>
      <c r="D3155" s="351">
        <v>46113</v>
      </c>
      <c r="E3155" s="340" t="s">
        <v>2805</v>
      </c>
      <c r="F3155" s="340" t="s">
        <v>1078</v>
      </c>
      <c r="G3155" s="340" t="s">
        <v>2363</v>
      </c>
      <c r="H3155" s="340"/>
      <c r="I3155" s="340" t="s">
        <v>740</v>
      </c>
      <c r="K3155" s="343">
        <v>770</v>
      </c>
      <c r="L3155" s="343">
        <v>0</v>
      </c>
      <c r="M3155" s="343">
        <v>-1213826.92</v>
      </c>
      <c r="O3155" s="343">
        <v>0</v>
      </c>
    </row>
    <row r="3156" spans="1:15" x14ac:dyDescent="0.3">
      <c r="A3156" s="340" t="s">
        <v>891</v>
      </c>
      <c r="B3156" s="350">
        <v>46128</v>
      </c>
      <c r="C3156" s="350">
        <v>46128</v>
      </c>
      <c r="D3156" s="351">
        <v>46113</v>
      </c>
      <c r="E3156" s="340" t="s">
        <v>2805</v>
      </c>
      <c r="F3156" s="340" t="s">
        <v>1078</v>
      </c>
      <c r="G3156" s="340" t="s">
        <v>2364</v>
      </c>
      <c r="H3156" s="340"/>
      <c r="I3156" s="340" t="s">
        <v>740</v>
      </c>
      <c r="K3156" s="343">
        <v>50</v>
      </c>
      <c r="L3156" s="343">
        <v>0</v>
      </c>
      <c r="M3156" s="343">
        <v>-1213776.92</v>
      </c>
      <c r="O3156" s="343">
        <v>0</v>
      </c>
    </row>
    <row r="3157" spans="1:15" x14ac:dyDescent="0.3">
      <c r="A3157" s="340" t="s">
        <v>891</v>
      </c>
      <c r="B3157" s="350">
        <v>46128</v>
      </c>
      <c r="C3157" s="350">
        <v>46128</v>
      </c>
      <c r="D3157" s="351">
        <v>46113</v>
      </c>
      <c r="E3157" s="340" t="s">
        <v>2806</v>
      </c>
      <c r="F3157" s="340" t="s">
        <v>1078</v>
      </c>
      <c r="G3157" s="340" t="s">
        <v>1186</v>
      </c>
      <c r="H3157" s="340"/>
      <c r="I3157" s="340" t="s">
        <v>745</v>
      </c>
      <c r="K3157" s="343">
        <v>134.11000000000001</v>
      </c>
      <c r="L3157" s="343">
        <v>0</v>
      </c>
      <c r="M3157" s="343">
        <v>-1213642.81</v>
      </c>
      <c r="O3157" s="343">
        <v>0</v>
      </c>
    </row>
    <row r="3158" spans="1:15" x14ac:dyDescent="0.3">
      <c r="A3158" s="340" t="s">
        <v>891</v>
      </c>
      <c r="B3158" s="350">
        <v>46128</v>
      </c>
      <c r="C3158" s="350">
        <v>46128</v>
      </c>
      <c r="D3158" s="351">
        <v>46113</v>
      </c>
      <c r="E3158" s="340" t="s">
        <v>2816</v>
      </c>
      <c r="F3158" s="340" t="s">
        <v>1078</v>
      </c>
      <c r="G3158" s="340" t="s">
        <v>910</v>
      </c>
      <c r="H3158" s="340"/>
      <c r="I3158" s="340" t="s">
        <v>911</v>
      </c>
      <c r="K3158" s="343">
        <v>1458.16</v>
      </c>
      <c r="L3158" s="343">
        <v>0</v>
      </c>
      <c r="M3158" s="343">
        <v>-1212184.6499999999</v>
      </c>
      <c r="O3158" s="343">
        <v>0</v>
      </c>
    </row>
    <row r="3159" spans="1:15" x14ac:dyDescent="0.3">
      <c r="A3159" s="340" t="s">
        <v>891</v>
      </c>
      <c r="B3159" s="350">
        <v>46128</v>
      </c>
      <c r="C3159" s="350">
        <v>46128</v>
      </c>
      <c r="D3159" s="351">
        <v>46113</v>
      </c>
      <c r="E3159" s="340" t="s">
        <v>2805</v>
      </c>
      <c r="F3159" s="340" t="s">
        <v>1078</v>
      </c>
      <c r="G3159" s="340" t="s">
        <v>2366</v>
      </c>
      <c r="H3159" s="340"/>
      <c r="I3159" s="340" t="s">
        <v>740</v>
      </c>
      <c r="K3159" s="343">
        <v>70.36</v>
      </c>
      <c r="L3159" s="343">
        <v>0</v>
      </c>
      <c r="M3159" s="343">
        <v>-1212114.29</v>
      </c>
      <c r="O3159" s="343">
        <v>0</v>
      </c>
    </row>
    <row r="3160" spans="1:15" x14ac:dyDescent="0.3">
      <c r="A3160" s="340" t="s">
        <v>891</v>
      </c>
      <c r="B3160" s="350">
        <v>46128</v>
      </c>
      <c r="C3160" s="350">
        <v>46128</v>
      </c>
      <c r="D3160" s="351">
        <v>46113</v>
      </c>
      <c r="E3160" s="340" t="s">
        <v>2805</v>
      </c>
      <c r="F3160" s="340" t="s">
        <v>1078</v>
      </c>
      <c r="G3160" s="340" t="s">
        <v>2368</v>
      </c>
      <c r="H3160" s="340"/>
      <c r="I3160" s="340" t="s">
        <v>740</v>
      </c>
      <c r="K3160" s="343">
        <v>720</v>
      </c>
      <c r="L3160" s="343">
        <v>0</v>
      </c>
      <c r="M3160" s="343">
        <v>-1211394.29</v>
      </c>
      <c r="O3160" s="343">
        <v>0</v>
      </c>
    </row>
    <row r="3161" spans="1:15" x14ac:dyDescent="0.3">
      <c r="A3161" s="340" t="s">
        <v>891</v>
      </c>
      <c r="B3161" s="350">
        <v>46128</v>
      </c>
      <c r="C3161" s="350">
        <v>46128</v>
      </c>
      <c r="D3161" s="351">
        <v>46113</v>
      </c>
      <c r="E3161" s="340" t="s">
        <v>2805</v>
      </c>
      <c r="F3161" s="340" t="s">
        <v>1078</v>
      </c>
      <c r="G3161" s="340" t="s">
        <v>2369</v>
      </c>
      <c r="H3161" s="340"/>
      <c r="I3161" s="340" t="s">
        <v>740</v>
      </c>
      <c r="K3161" s="343">
        <v>115</v>
      </c>
      <c r="L3161" s="343">
        <v>0</v>
      </c>
      <c r="M3161" s="343">
        <v>-1211279.29</v>
      </c>
      <c r="O3161" s="343">
        <v>0</v>
      </c>
    </row>
    <row r="3162" spans="1:15" x14ac:dyDescent="0.3">
      <c r="A3162" s="340" t="s">
        <v>891</v>
      </c>
      <c r="B3162" s="350">
        <v>46128</v>
      </c>
      <c r="C3162" s="350">
        <v>46128</v>
      </c>
      <c r="D3162" s="351">
        <v>46113</v>
      </c>
      <c r="E3162" s="340" t="s">
        <v>2805</v>
      </c>
      <c r="F3162" s="340" t="s">
        <v>1078</v>
      </c>
      <c r="G3162" s="340" t="s">
        <v>2371</v>
      </c>
      <c r="H3162" s="340"/>
      <c r="I3162" s="340" t="s">
        <v>740</v>
      </c>
      <c r="K3162" s="343">
        <v>290</v>
      </c>
      <c r="L3162" s="343">
        <v>0</v>
      </c>
      <c r="M3162" s="343">
        <v>-1210989.29</v>
      </c>
      <c r="O3162" s="343">
        <v>0</v>
      </c>
    </row>
    <row r="3163" spans="1:15" x14ac:dyDescent="0.3">
      <c r="A3163" s="340" t="s">
        <v>891</v>
      </c>
      <c r="B3163" s="350">
        <v>46128</v>
      </c>
      <c r="C3163" s="350">
        <v>46128</v>
      </c>
      <c r="D3163" s="351">
        <v>46113</v>
      </c>
      <c r="E3163" s="340" t="s">
        <v>2805</v>
      </c>
      <c r="F3163" s="340" t="s">
        <v>1078</v>
      </c>
      <c r="G3163" s="340" t="s">
        <v>2372</v>
      </c>
      <c r="H3163" s="340"/>
      <c r="I3163" s="340" t="s">
        <v>740</v>
      </c>
      <c r="K3163" s="343">
        <v>260</v>
      </c>
      <c r="L3163" s="343">
        <v>0</v>
      </c>
      <c r="M3163" s="343">
        <v>-1210729.29</v>
      </c>
      <c r="O3163" s="343">
        <v>0</v>
      </c>
    </row>
    <row r="3164" spans="1:15" x14ac:dyDescent="0.3">
      <c r="A3164" s="340" t="s">
        <v>891</v>
      </c>
      <c r="B3164" s="350">
        <v>46128</v>
      </c>
      <c r="C3164" s="350">
        <v>46128</v>
      </c>
      <c r="D3164" s="351">
        <v>46113</v>
      </c>
      <c r="E3164" s="340" t="s">
        <v>2806</v>
      </c>
      <c r="F3164" s="340" t="s">
        <v>1078</v>
      </c>
      <c r="G3164" s="340" t="s">
        <v>1187</v>
      </c>
      <c r="H3164" s="340"/>
      <c r="I3164" s="340" t="s">
        <v>745</v>
      </c>
      <c r="K3164" s="343">
        <v>118.94</v>
      </c>
      <c r="L3164" s="343">
        <v>0</v>
      </c>
      <c r="M3164" s="343">
        <v>-1210610.3500000001</v>
      </c>
      <c r="O3164" s="343">
        <v>0</v>
      </c>
    </row>
    <row r="3165" spans="1:15" x14ac:dyDescent="0.3">
      <c r="A3165" s="340" t="s">
        <v>891</v>
      </c>
      <c r="B3165" s="350">
        <v>46128</v>
      </c>
      <c r="C3165" s="350">
        <v>46128</v>
      </c>
      <c r="D3165" s="351">
        <v>46113</v>
      </c>
      <c r="E3165" s="340" t="s">
        <v>2817</v>
      </c>
      <c r="F3165" s="340" t="s">
        <v>1078</v>
      </c>
      <c r="G3165" s="340" t="s">
        <v>1079</v>
      </c>
      <c r="H3165" s="340"/>
      <c r="I3165" s="340" t="s">
        <v>2818</v>
      </c>
      <c r="K3165" s="343">
        <v>349.1</v>
      </c>
      <c r="L3165" s="343">
        <v>0</v>
      </c>
      <c r="M3165" s="343">
        <v>-1210261.25</v>
      </c>
      <c r="O3165" s="343">
        <v>0</v>
      </c>
    </row>
    <row r="3166" spans="1:15" x14ac:dyDescent="0.3">
      <c r="A3166" s="340" t="s">
        <v>891</v>
      </c>
      <c r="B3166" s="350">
        <v>46128</v>
      </c>
      <c r="C3166" s="350">
        <v>46128</v>
      </c>
      <c r="D3166" s="351">
        <v>46113</v>
      </c>
      <c r="E3166" s="340" t="s">
        <v>2805</v>
      </c>
      <c r="F3166" s="340" t="s">
        <v>1078</v>
      </c>
      <c r="G3166" s="340" t="s">
        <v>2374</v>
      </c>
      <c r="H3166" s="340"/>
      <c r="I3166" s="340" t="s">
        <v>740</v>
      </c>
      <c r="K3166" s="343">
        <v>480</v>
      </c>
      <c r="L3166" s="343">
        <v>0</v>
      </c>
      <c r="M3166" s="343">
        <v>-1209781.25</v>
      </c>
      <c r="O3166" s="343">
        <v>0</v>
      </c>
    </row>
    <row r="3167" spans="1:15" x14ac:dyDescent="0.3">
      <c r="A3167" s="340" t="s">
        <v>891</v>
      </c>
      <c r="B3167" s="350">
        <v>46128</v>
      </c>
      <c r="C3167" s="350">
        <v>46128</v>
      </c>
      <c r="D3167" s="351">
        <v>46113</v>
      </c>
      <c r="E3167" s="340" t="s">
        <v>2805</v>
      </c>
      <c r="F3167" s="340" t="s">
        <v>1078</v>
      </c>
      <c r="G3167" s="340" t="s">
        <v>2375</v>
      </c>
      <c r="H3167" s="340"/>
      <c r="I3167" s="340" t="s">
        <v>740</v>
      </c>
      <c r="K3167" s="343">
        <v>50</v>
      </c>
      <c r="L3167" s="343">
        <v>0</v>
      </c>
      <c r="M3167" s="343">
        <v>-1209731.25</v>
      </c>
      <c r="O3167" s="343">
        <v>0</v>
      </c>
    </row>
    <row r="3168" spans="1:15" x14ac:dyDescent="0.3">
      <c r="A3168" s="340" t="s">
        <v>891</v>
      </c>
      <c r="B3168" s="350">
        <v>46128</v>
      </c>
      <c r="C3168" s="350">
        <v>46128</v>
      </c>
      <c r="D3168" s="351">
        <v>46113</v>
      </c>
      <c r="E3168" s="340" t="s">
        <v>2805</v>
      </c>
      <c r="F3168" s="340" t="s">
        <v>1078</v>
      </c>
      <c r="G3168" s="340" t="s">
        <v>2377</v>
      </c>
      <c r="H3168" s="340"/>
      <c r="I3168" s="340" t="s">
        <v>740</v>
      </c>
      <c r="K3168" s="343">
        <v>540</v>
      </c>
      <c r="L3168" s="343">
        <v>0</v>
      </c>
      <c r="M3168" s="343">
        <v>-1209191.25</v>
      </c>
      <c r="O3168" s="343">
        <v>0</v>
      </c>
    </row>
    <row r="3169" spans="1:15" x14ac:dyDescent="0.3">
      <c r="A3169" s="340" t="s">
        <v>891</v>
      </c>
      <c r="B3169" s="350">
        <v>46128</v>
      </c>
      <c r="C3169" s="350">
        <v>46128</v>
      </c>
      <c r="D3169" s="351">
        <v>46113</v>
      </c>
      <c r="E3169" s="340" t="s">
        <v>2805</v>
      </c>
      <c r="F3169" s="340" t="s">
        <v>1078</v>
      </c>
      <c r="G3169" s="340" t="s">
        <v>2378</v>
      </c>
      <c r="H3169" s="340"/>
      <c r="I3169" s="340" t="s">
        <v>740</v>
      </c>
      <c r="K3169" s="343">
        <v>350</v>
      </c>
      <c r="L3169" s="343">
        <v>0</v>
      </c>
      <c r="M3169" s="343">
        <v>-1208841.25</v>
      </c>
      <c r="O3169" s="343">
        <v>0</v>
      </c>
    </row>
    <row r="3170" spans="1:15" x14ac:dyDescent="0.3">
      <c r="A3170" s="340" t="s">
        <v>891</v>
      </c>
      <c r="B3170" s="350">
        <v>46128</v>
      </c>
      <c r="C3170" s="350">
        <v>46128</v>
      </c>
      <c r="D3170" s="351">
        <v>46113</v>
      </c>
      <c r="E3170" s="340" t="s">
        <v>2805</v>
      </c>
      <c r="F3170" s="340" t="s">
        <v>1078</v>
      </c>
      <c r="G3170" s="340" t="s">
        <v>2210</v>
      </c>
      <c r="H3170" s="340"/>
      <c r="I3170" s="340" t="s">
        <v>740</v>
      </c>
      <c r="K3170" s="343">
        <v>860</v>
      </c>
      <c r="L3170" s="343">
        <v>0</v>
      </c>
      <c r="M3170" s="343">
        <v>-1207981.25</v>
      </c>
      <c r="O3170" s="343">
        <v>0</v>
      </c>
    </row>
    <row r="3171" spans="1:15" x14ac:dyDescent="0.3">
      <c r="A3171" s="340" t="s">
        <v>891</v>
      </c>
      <c r="B3171" s="350">
        <v>46128</v>
      </c>
      <c r="C3171" s="350">
        <v>46128</v>
      </c>
      <c r="D3171" s="351">
        <v>46113</v>
      </c>
      <c r="E3171" s="340" t="s">
        <v>2806</v>
      </c>
      <c r="F3171" s="340" t="s">
        <v>1078</v>
      </c>
      <c r="G3171" s="340" t="s">
        <v>1188</v>
      </c>
      <c r="H3171" s="340"/>
      <c r="I3171" s="340" t="s">
        <v>745</v>
      </c>
      <c r="K3171" s="343">
        <v>146.11000000000001</v>
      </c>
      <c r="L3171" s="343">
        <v>0</v>
      </c>
      <c r="M3171" s="343">
        <v>-1207835.1399999999</v>
      </c>
      <c r="O3171" s="343">
        <v>0</v>
      </c>
    </row>
    <row r="3172" spans="1:15" x14ac:dyDescent="0.3">
      <c r="A3172" s="340" t="s">
        <v>891</v>
      </c>
      <c r="B3172" s="350">
        <v>46128</v>
      </c>
      <c r="C3172" s="350">
        <v>46128</v>
      </c>
      <c r="D3172" s="351">
        <v>46113</v>
      </c>
      <c r="E3172" s="340" t="s">
        <v>2817</v>
      </c>
      <c r="F3172" s="340" t="s">
        <v>1078</v>
      </c>
      <c r="G3172" s="340" t="s">
        <v>1079</v>
      </c>
      <c r="H3172" s="340"/>
      <c r="I3172" s="340" t="s">
        <v>2818</v>
      </c>
      <c r="K3172" s="343">
        <v>1003.17</v>
      </c>
      <c r="L3172" s="343">
        <v>0</v>
      </c>
      <c r="M3172" s="343">
        <v>-1206831.97</v>
      </c>
      <c r="O3172" s="343">
        <v>0</v>
      </c>
    </row>
    <row r="3173" spans="1:15" x14ac:dyDescent="0.3">
      <c r="A3173" s="340" t="s">
        <v>891</v>
      </c>
      <c r="B3173" s="350">
        <v>46128</v>
      </c>
      <c r="C3173" s="350">
        <v>46128</v>
      </c>
      <c r="D3173" s="351">
        <v>46113</v>
      </c>
      <c r="E3173" s="340" t="s">
        <v>2805</v>
      </c>
      <c r="F3173" s="340" t="s">
        <v>1078</v>
      </c>
      <c r="G3173" s="340" t="s">
        <v>2422</v>
      </c>
      <c r="H3173" s="340"/>
      <c r="I3173" s="340" t="s">
        <v>740</v>
      </c>
      <c r="K3173" s="343">
        <v>570</v>
      </c>
      <c r="L3173" s="343">
        <v>0</v>
      </c>
      <c r="M3173" s="343">
        <v>-1206261.97</v>
      </c>
      <c r="O3173" s="343">
        <v>0</v>
      </c>
    </row>
    <row r="3174" spans="1:15" x14ac:dyDescent="0.3">
      <c r="A3174" s="340" t="s">
        <v>891</v>
      </c>
      <c r="B3174" s="350">
        <v>46128</v>
      </c>
      <c r="C3174" s="350">
        <v>46128</v>
      </c>
      <c r="D3174" s="351">
        <v>46113</v>
      </c>
      <c r="E3174" s="340" t="s">
        <v>2819</v>
      </c>
      <c r="F3174" s="340" t="s">
        <v>1078</v>
      </c>
      <c r="G3174" s="340" t="s">
        <v>1079</v>
      </c>
      <c r="H3174" s="340"/>
      <c r="I3174" s="340" t="s">
        <v>2820</v>
      </c>
      <c r="K3174" s="343">
        <v>825.51</v>
      </c>
      <c r="L3174" s="343">
        <v>0</v>
      </c>
      <c r="M3174" s="343">
        <v>-1205436.46</v>
      </c>
      <c r="O3174" s="343">
        <v>0</v>
      </c>
    </row>
    <row r="3175" spans="1:15" x14ac:dyDescent="0.3">
      <c r="A3175" s="340" t="s">
        <v>891</v>
      </c>
      <c r="B3175" s="350">
        <v>46128</v>
      </c>
      <c r="C3175" s="350">
        <v>46128</v>
      </c>
      <c r="D3175" s="351">
        <v>46113</v>
      </c>
      <c r="E3175" s="340" t="s">
        <v>2821</v>
      </c>
      <c r="F3175" s="340" t="s">
        <v>1078</v>
      </c>
      <c r="G3175" s="340" t="s">
        <v>1079</v>
      </c>
      <c r="H3175" s="340"/>
      <c r="I3175" s="340" t="s">
        <v>741</v>
      </c>
      <c r="K3175" s="343">
        <v>436.64</v>
      </c>
      <c r="L3175" s="343">
        <v>0</v>
      </c>
      <c r="M3175" s="343">
        <v>-1204999.82</v>
      </c>
      <c r="O3175" s="343">
        <v>0</v>
      </c>
    </row>
    <row r="3176" spans="1:15" x14ac:dyDescent="0.3">
      <c r="A3176" s="340" t="s">
        <v>891</v>
      </c>
      <c r="B3176" s="350">
        <v>46128</v>
      </c>
      <c r="C3176" s="350">
        <v>46128</v>
      </c>
      <c r="D3176" s="351">
        <v>46113</v>
      </c>
      <c r="E3176" s="340" t="s">
        <v>2821</v>
      </c>
      <c r="F3176" s="340" t="s">
        <v>1078</v>
      </c>
      <c r="G3176" s="340" t="s">
        <v>1079</v>
      </c>
      <c r="H3176" s="340"/>
      <c r="I3176" s="340" t="s">
        <v>741</v>
      </c>
      <c r="K3176" s="343">
        <v>436.64</v>
      </c>
      <c r="L3176" s="343">
        <v>0</v>
      </c>
      <c r="M3176" s="343">
        <v>-1204563.18</v>
      </c>
      <c r="O3176" s="343">
        <v>0</v>
      </c>
    </row>
    <row r="3177" spans="1:15" x14ac:dyDescent="0.3">
      <c r="A3177" s="340" t="s">
        <v>891</v>
      </c>
      <c r="B3177" s="350">
        <v>46128</v>
      </c>
      <c r="C3177" s="350">
        <v>46128</v>
      </c>
      <c r="D3177" s="351">
        <v>46113</v>
      </c>
      <c r="E3177" s="340" t="s">
        <v>2821</v>
      </c>
      <c r="F3177" s="340" t="s">
        <v>1078</v>
      </c>
      <c r="G3177" s="340" t="s">
        <v>1279</v>
      </c>
      <c r="H3177" s="340"/>
      <c r="I3177" s="340" t="s">
        <v>741</v>
      </c>
      <c r="K3177" s="343">
        <v>399.45</v>
      </c>
      <c r="L3177" s="343">
        <v>0</v>
      </c>
      <c r="M3177" s="343">
        <v>-1204163.73</v>
      </c>
      <c r="O3177" s="343">
        <v>0</v>
      </c>
    </row>
    <row r="3178" spans="1:15" x14ac:dyDescent="0.3">
      <c r="A3178" s="340" t="s">
        <v>891</v>
      </c>
      <c r="B3178" s="350">
        <v>46128</v>
      </c>
      <c r="C3178" s="350">
        <v>46128</v>
      </c>
      <c r="D3178" s="351">
        <v>46113</v>
      </c>
      <c r="E3178" s="340" t="s">
        <v>2822</v>
      </c>
      <c r="F3178" s="340" t="s">
        <v>1078</v>
      </c>
      <c r="G3178" s="340" t="s">
        <v>1079</v>
      </c>
      <c r="H3178" s="340"/>
      <c r="I3178" s="340" t="s">
        <v>2823</v>
      </c>
      <c r="K3178" s="343">
        <v>224.08</v>
      </c>
      <c r="L3178" s="343">
        <v>0</v>
      </c>
      <c r="M3178" s="343">
        <v>-1203939.6499999999</v>
      </c>
      <c r="O3178" s="343">
        <v>0</v>
      </c>
    </row>
    <row r="3179" spans="1:15" x14ac:dyDescent="0.3">
      <c r="A3179" s="340" t="s">
        <v>891</v>
      </c>
      <c r="B3179" s="350">
        <v>46128</v>
      </c>
      <c r="C3179" s="350">
        <v>46128</v>
      </c>
      <c r="D3179" s="351">
        <v>46113</v>
      </c>
      <c r="E3179" s="340" t="s">
        <v>2824</v>
      </c>
      <c r="F3179" s="340" t="s">
        <v>1078</v>
      </c>
      <c r="G3179" s="340" t="s">
        <v>963</v>
      </c>
      <c r="H3179" s="340"/>
      <c r="I3179" s="340" t="s">
        <v>964</v>
      </c>
      <c r="K3179" s="343">
        <v>511.96</v>
      </c>
      <c r="L3179" s="343">
        <v>0</v>
      </c>
      <c r="M3179" s="343">
        <v>-1203427.69</v>
      </c>
      <c r="O3179" s="343">
        <v>0</v>
      </c>
    </row>
    <row r="3180" spans="1:15" x14ac:dyDescent="0.3">
      <c r="A3180" s="340" t="s">
        <v>891</v>
      </c>
      <c r="B3180" s="350">
        <v>46128</v>
      </c>
      <c r="C3180" s="350">
        <v>46128</v>
      </c>
      <c r="D3180" s="351">
        <v>46113</v>
      </c>
      <c r="E3180" s="340" t="s">
        <v>2825</v>
      </c>
      <c r="F3180" s="340" t="s">
        <v>1078</v>
      </c>
      <c r="G3180" s="340" t="s">
        <v>1026</v>
      </c>
      <c r="H3180" s="340"/>
      <c r="I3180" s="340" t="s">
        <v>744</v>
      </c>
      <c r="K3180" s="343">
        <v>492.8</v>
      </c>
      <c r="L3180" s="343">
        <v>0</v>
      </c>
      <c r="M3180" s="343">
        <v>-1202934.8899999999</v>
      </c>
      <c r="O3180" s="343">
        <v>0</v>
      </c>
    </row>
    <row r="3181" spans="1:15" x14ac:dyDescent="0.3">
      <c r="A3181" s="340" t="s">
        <v>891</v>
      </c>
      <c r="B3181" s="350">
        <v>46128</v>
      </c>
      <c r="C3181" s="350">
        <v>46128</v>
      </c>
      <c r="D3181" s="351">
        <v>46113</v>
      </c>
      <c r="E3181" s="340" t="s">
        <v>2825</v>
      </c>
      <c r="F3181" s="340" t="s">
        <v>1078</v>
      </c>
      <c r="G3181" s="340" t="s">
        <v>1026</v>
      </c>
      <c r="H3181" s="340"/>
      <c r="I3181" s="340" t="s">
        <v>744</v>
      </c>
      <c r="K3181" s="343">
        <v>1091.2</v>
      </c>
      <c r="L3181" s="343">
        <v>0</v>
      </c>
      <c r="M3181" s="343">
        <v>-1201843.69</v>
      </c>
      <c r="O3181" s="343">
        <v>0</v>
      </c>
    </row>
    <row r="3182" spans="1:15" x14ac:dyDescent="0.3">
      <c r="A3182" s="340" t="s">
        <v>891</v>
      </c>
      <c r="B3182" s="350">
        <v>46128</v>
      </c>
      <c r="C3182" s="350">
        <v>46128</v>
      </c>
      <c r="D3182" s="351">
        <v>46113</v>
      </c>
      <c r="E3182" s="340" t="s">
        <v>2806</v>
      </c>
      <c r="F3182" s="340" t="s">
        <v>1078</v>
      </c>
      <c r="G3182" s="340" t="s">
        <v>1181</v>
      </c>
      <c r="H3182" s="340"/>
      <c r="I3182" s="340" t="s">
        <v>745</v>
      </c>
      <c r="K3182" s="343">
        <v>135.29</v>
      </c>
      <c r="L3182" s="343">
        <v>0</v>
      </c>
      <c r="M3182" s="343">
        <v>-1201708.3999999999</v>
      </c>
      <c r="O3182" s="343">
        <v>0</v>
      </c>
    </row>
    <row r="3183" spans="1:15" x14ac:dyDescent="0.3">
      <c r="A3183" s="340" t="s">
        <v>891</v>
      </c>
      <c r="B3183" s="350">
        <v>46128</v>
      </c>
      <c r="C3183" s="350">
        <v>46128</v>
      </c>
      <c r="D3183" s="351">
        <v>46113</v>
      </c>
      <c r="E3183" s="340" t="s">
        <v>2806</v>
      </c>
      <c r="F3183" s="340" t="s">
        <v>1078</v>
      </c>
      <c r="G3183" s="340" t="s">
        <v>1182</v>
      </c>
      <c r="H3183" s="340"/>
      <c r="I3183" s="340" t="s">
        <v>745</v>
      </c>
      <c r="K3183" s="343">
        <v>316.62</v>
      </c>
      <c r="L3183" s="343">
        <v>0</v>
      </c>
      <c r="M3183" s="343">
        <v>-1201391.78</v>
      </c>
      <c r="O3183" s="343">
        <v>0</v>
      </c>
    </row>
    <row r="3184" spans="1:15" x14ac:dyDescent="0.3">
      <c r="A3184" s="340" t="s">
        <v>891</v>
      </c>
      <c r="B3184" s="350">
        <v>46128</v>
      </c>
      <c r="C3184" s="350">
        <v>46128</v>
      </c>
      <c r="D3184" s="351">
        <v>46113</v>
      </c>
      <c r="E3184" s="340" t="s">
        <v>2806</v>
      </c>
      <c r="F3184" s="340" t="s">
        <v>1078</v>
      </c>
      <c r="G3184" s="340" t="s">
        <v>1183</v>
      </c>
      <c r="H3184" s="340"/>
      <c r="I3184" s="340" t="s">
        <v>745</v>
      </c>
      <c r="K3184" s="343">
        <v>191.39</v>
      </c>
      <c r="L3184" s="343">
        <v>0</v>
      </c>
      <c r="M3184" s="343">
        <v>-1201200.3899999999</v>
      </c>
      <c r="O3184" s="343">
        <v>0</v>
      </c>
    </row>
    <row r="3185" spans="1:15" x14ac:dyDescent="0.3">
      <c r="A3185" s="340" t="s">
        <v>891</v>
      </c>
      <c r="B3185" s="350">
        <v>46128</v>
      </c>
      <c r="C3185" s="350">
        <v>46128</v>
      </c>
      <c r="D3185" s="351">
        <v>46113</v>
      </c>
      <c r="E3185" s="340" t="s">
        <v>2806</v>
      </c>
      <c r="F3185" s="340" t="s">
        <v>1078</v>
      </c>
      <c r="G3185" s="340" t="s">
        <v>1184</v>
      </c>
      <c r="H3185" s="340"/>
      <c r="I3185" s="340" t="s">
        <v>745</v>
      </c>
      <c r="K3185" s="343">
        <v>155.53</v>
      </c>
      <c r="L3185" s="343">
        <v>0</v>
      </c>
      <c r="M3185" s="343">
        <v>-1201044.8600000001</v>
      </c>
      <c r="O3185" s="343">
        <v>0</v>
      </c>
    </row>
    <row r="3186" spans="1:15" x14ac:dyDescent="0.3">
      <c r="A3186" s="340" t="s">
        <v>891</v>
      </c>
      <c r="B3186" s="350">
        <v>46128</v>
      </c>
      <c r="C3186" s="350">
        <v>46128</v>
      </c>
      <c r="D3186" s="351">
        <v>46113</v>
      </c>
      <c r="E3186" s="340" t="s">
        <v>2817</v>
      </c>
      <c r="F3186" s="340" t="s">
        <v>1078</v>
      </c>
      <c r="G3186" s="340" t="s">
        <v>1079</v>
      </c>
      <c r="H3186" s="340"/>
      <c r="I3186" s="340" t="s">
        <v>2818</v>
      </c>
      <c r="K3186" s="343">
        <v>107.44</v>
      </c>
      <c r="L3186" s="343">
        <v>0</v>
      </c>
      <c r="M3186" s="343">
        <v>-1200937.42</v>
      </c>
      <c r="O3186" s="343">
        <v>0</v>
      </c>
    </row>
    <row r="3187" spans="1:15" x14ac:dyDescent="0.3">
      <c r="A3187" s="340" t="s">
        <v>891</v>
      </c>
      <c r="B3187" s="350">
        <v>46128</v>
      </c>
      <c r="C3187" s="350">
        <v>46128</v>
      </c>
      <c r="D3187" s="351">
        <v>46113</v>
      </c>
      <c r="E3187" s="340" t="s">
        <v>2806</v>
      </c>
      <c r="F3187" s="340" t="s">
        <v>1078</v>
      </c>
      <c r="G3187" s="340" t="s">
        <v>1564</v>
      </c>
      <c r="H3187" s="340"/>
      <c r="I3187" s="340" t="s">
        <v>745</v>
      </c>
      <c r="K3187" s="343">
        <v>159.09</v>
      </c>
      <c r="L3187" s="343">
        <v>0</v>
      </c>
      <c r="M3187" s="343">
        <v>-1200778.33</v>
      </c>
      <c r="O3187" s="343">
        <v>0</v>
      </c>
    </row>
    <row r="3188" spans="1:15" x14ac:dyDescent="0.3">
      <c r="A3188" s="340" t="s">
        <v>891</v>
      </c>
      <c r="B3188" s="350">
        <v>46128</v>
      </c>
      <c r="C3188" s="350">
        <v>46128</v>
      </c>
      <c r="D3188" s="351">
        <v>46113</v>
      </c>
      <c r="E3188" s="340" t="s">
        <v>2806</v>
      </c>
      <c r="F3188" s="340" t="s">
        <v>1078</v>
      </c>
      <c r="G3188" s="340" t="s">
        <v>1565</v>
      </c>
      <c r="H3188" s="340"/>
      <c r="I3188" s="340" t="s">
        <v>745</v>
      </c>
      <c r="K3188" s="343">
        <v>45.69</v>
      </c>
      <c r="L3188" s="343">
        <v>0</v>
      </c>
      <c r="M3188" s="343">
        <v>-1200732.6399999999</v>
      </c>
      <c r="O3188" s="343">
        <v>0</v>
      </c>
    </row>
    <row r="3189" spans="1:15" x14ac:dyDescent="0.3">
      <c r="A3189" s="340" t="s">
        <v>891</v>
      </c>
      <c r="B3189" s="350">
        <v>46128</v>
      </c>
      <c r="C3189" s="350">
        <v>46128</v>
      </c>
      <c r="D3189" s="351">
        <v>46113</v>
      </c>
      <c r="E3189" s="340" t="s">
        <v>2806</v>
      </c>
      <c r="F3189" s="340" t="s">
        <v>1078</v>
      </c>
      <c r="G3189" s="340" t="s">
        <v>1529</v>
      </c>
      <c r="H3189" s="340"/>
      <c r="I3189" s="340" t="s">
        <v>745</v>
      </c>
      <c r="K3189" s="343">
        <v>54.84</v>
      </c>
      <c r="L3189" s="343">
        <v>0</v>
      </c>
      <c r="M3189" s="343">
        <v>-1200677.8</v>
      </c>
      <c r="O3189" s="343">
        <v>0</v>
      </c>
    </row>
    <row r="3190" spans="1:15" x14ac:dyDescent="0.3">
      <c r="A3190" s="340" t="s">
        <v>891</v>
      </c>
      <c r="B3190" s="350">
        <v>46128</v>
      </c>
      <c r="C3190" s="350">
        <v>46128</v>
      </c>
      <c r="D3190" s="351">
        <v>46113</v>
      </c>
      <c r="E3190" s="340" t="s">
        <v>2806</v>
      </c>
      <c r="F3190" s="340" t="s">
        <v>1078</v>
      </c>
      <c r="G3190" s="340" t="s">
        <v>1530</v>
      </c>
      <c r="H3190" s="340"/>
      <c r="I3190" s="340" t="s">
        <v>745</v>
      </c>
      <c r="K3190" s="343">
        <v>13.96</v>
      </c>
      <c r="L3190" s="343">
        <v>0</v>
      </c>
      <c r="M3190" s="343">
        <v>-1200663.8400000001</v>
      </c>
      <c r="O3190" s="343">
        <v>0</v>
      </c>
    </row>
    <row r="3191" spans="1:15" x14ac:dyDescent="0.3">
      <c r="A3191" s="340" t="s">
        <v>891</v>
      </c>
      <c r="B3191" s="350">
        <v>46128</v>
      </c>
      <c r="C3191" s="350">
        <v>46128</v>
      </c>
      <c r="D3191" s="351">
        <v>46113</v>
      </c>
      <c r="E3191" s="340" t="s">
        <v>2806</v>
      </c>
      <c r="F3191" s="340" t="s">
        <v>1078</v>
      </c>
      <c r="G3191" s="340" t="s">
        <v>1531</v>
      </c>
      <c r="H3191" s="340"/>
      <c r="I3191" s="340" t="s">
        <v>745</v>
      </c>
      <c r="K3191" s="343">
        <v>49.46</v>
      </c>
      <c r="L3191" s="343">
        <v>0</v>
      </c>
      <c r="M3191" s="343">
        <v>-1200614.3799999999</v>
      </c>
      <c r="O3191" s="343">
        <v>0</v>
      </c>
    </row>
    <row r="3192" spans="1:15" x14ac:dyDescent="0.3">
      <c r="A3192" s="340" t="s">
        <v>891</v>
      </c>
      <c r="B3192" s="350">
        <v>46128</v>
      </c>
      <c r="C3192" s="350">
        <v>46128</v>
      </c>
      <c r="D3192" s="351">
        <v>46113</v>
      </c>
      <c r="E3192" s="340" t="s">
        <v>2806</v>
      </c>
      <c r="F3192" s="340" t="s">
        <v>1078</v>
      </c>
      <c r="G3192" s="340" t="s">
        <v>1532</v>
      </c>
      <c r="H3192" s="340"/>
      <c r="I3192" s="340" t="s">
        <v>745</v>
      </c>
      <c r="K3192" s="343">
        <v>68.38</v>
      </c>
      <c r="L3192" s="343">
        <v>0</v>
      </c>
      <c r="M3192" s="343">
        <v>-1200546</v>
      </c>
      <c r="O3192" s="343">
        <v>0</v>
      </c>
    </row>
    <row r="3193" spans="1:15" x14ac:dyDescent="0.3">
      <c r="A3193" s="340" t="s">
        <v>891</v>
      </c>
      <c r="B3193" s="350">
        <v>46128</v>
      </c>
      <c r="C3193" s="350">
        <v>46128</v>
      </c>
      <c r="D3193" s="351">
        <v>46113</v>
      </c>
      <c r="E3193" s="340" t="s">
        <v>2806</v>
      </c>
      <c r="F3193" s="340" t="s">
        <v>1078</v>
      </c>
      <c r="G3193" s="340" t="s">
        <v>1533</v>
      </c>
      <c r="H3193" s="340"/>
      <c r="I3193" s="340" t="s">
        <v>745</v>
      </c>
      <c r="K3193" s="343">
        <v>4.95</v>
      </c>
      <c r="L3193" s="343">
        <v>0</v>
      </c>
      <c r="M3193" s="343">
        <v>-1200541.05</v>
      </c>
      <c r="O3193" s="343">
        <v>0</v>
      </c>
    </row>
    <row r="3194" spans="1:15" x14ac:dyDescent="0.3">
      <c r="A3194" s="340" t="s">
        <v>891</v>
      </c>
      <c r="B3194" s="350">
        <v>46128</v>
      </c>
      <c r="C3194" s="350">
        <v>46128</v>
      </c>
      <c r="D3194" s="351">
        <v>46113</v>
      </c>
      <c r="E3194" s="340" t="s">
        <v>2806</v>
      </c>
      <c r="F3194" s="340" t="s">
        <v>1078</v>
      </c>
      <c r="G3194" s="340" t="s">
        <v>1534</v>
      </c>
      <c r="H3194" s="340"/>
      <c r="I3194" s="340" t="s">
        <v>745</v>
      </c>
      <c r="K3194" s="343">
        <v>11.36</v>
      </c>
      <c r="L3194" s="343">
        <v>0</v>
      </c>
      <c r="M3194" s="343">
        <v>-1200529.69</v>
      </c>
      <c r="O3194" s="343">
        <v>0</v>
      </c>
    </row>
    <row r="3195" spans="1:15" x14ac:dyDescent="0.3">
      <c r="A3195" s="340" t="s">
        <v>891</v>
      </c>
      <c r="B3195" s="350">
        <v>46128</v>
      </c>
      <c r="C3195" s="350">
        <v>46128</v>
      </c>
      <c r="D3195" s="351">
        <v>46113</v>
      </c>
      <c r="E3195" s="340" t="s">
        <v>2806</v>
      </c>
      <c r="F3195" s="340" t="s">
        <v>1078</v>
      </c>
      <c r="G3195" s="340" t="s">
        <v>1535</v>
      </c>
      <c r="H3195" s="340"/>
      <c r="I3195" s="340" t="s">
        <v>745</v>
      </c>
      <c r="K3195" s="343">
        <v>20.16</v>
      </c>
      <c r="L3195" s="343">
        <v>0</v>
      </c>
      <c r="M3195" s="343">
        <v>-1200509.53</v>
      </c>
      <c r="O3195" s="343">
        <v>0</v>
      </c>
    </row>
    <row r="3196" spans="1:15" x14ac:dyDescent="0.3">
      <c r="A3196" s="340" t="s">
        <v>891</v>
      </c>
      <c r="B3196" s="350">
        <v>46128</v>
      </c>
      <c r="C3196" s="350">
        <v>46128</v>
      </c>
      <c r="D3196" s="351">
        <v>46113</v>
      </c>
      <c r="E3196" s="340" t="s">
        <v>2806</v>
      </c>
      <c r="F3196" s="340" t="s">
        <v>1078</v>
      </c>
      <c r="G3196" s="340" t="s">
        <v>1517</v>
      </c>
      <c r="H3196" s="340"/>
      <c r="I3196" s="340" t="s">
        <v>745</v>
      </c>
      <c r="K3196" s="343">
        <v>53.29</v>
      </c>
      <c r="L3196" s="343">
        <v>0</v>
      </c>
      <c r="M3196" s="343">
        <v>-1200456.24</v>
      </c>
      <c r="O3196" s="343">
        <v>0</v>
      </c>
    </row>
    <row r="3197" spans="1:15" x14ac:dyDescent="0.3">
      <c r="A3197" s="340" t="s">
        <v>891</v>
      </c>
      <c r="B3197" s="350">
        <v>46128</v>
      </c>
      <c r="C3197" s="350">
        <v>46128</v>
      </c>
      <c r="D3197" s="351">
        <v>46113</v>
      </c>
      <c r="E3197" s="340" t="s">
        <v>2806</v>
      </c>
      <c r="F3197" s="340" t="s">
        <v>1078</v>
      </c>
      <c r="G3197" s="340" t="s">
        <v>1536</v>
      </c>
      <c r="H3197" s="340"/>
      <c r="I3197" s="340" t="s">
        <v>745</v>
      </c>
      <c r="K3197" s="343">
        <v>104.7</v>
      </c>
      <c r="L3197" s="343">
        <v>0</v>
      </c>
      <c r="M3197" s="343">
        <v>-1200351.54</v>
      </c>
      <c r="O3197" s="343">
        <v>0</v>
      </c>
    </row>
    <row r="3198" spans="1:15" x14ac:dyDescent="0.3">
      <c r="A3198" s="340" t="s">
        <v>891</v>
      </c>
      <c r="B3198" s="350">
        <v>46128</v>
      </c>
      <c r="C3198" s="350">
        <v>46128</v>
      </c>
      <c r="D3198" s="351">
        <v>46113</v>
      </c>
      <c r="E3198" s="340" t="s">
        <v>2806</v>
      </c>
      <c r="F3198" s="340" t="s">
        <v>1078</v>
      </c>
      <c r="G3198" s="340" t="s">
        <v>1528</v>
      </c>
      <c r="H3198" s="340"/>
      <c r="I3198" s="340" t="s">
        <v>745</v>
      </c>
      <c r="K3198" s="343">
        <v>8.44</v>
      </c>
      <c r="L3198" s="343">
        <v>0</v>
      </c>
      <c r="M3198" s="343">
        <v>-1200343.1000000001</v>
      </c>
      <c r="O3198" s="343">
        <v>0</v>
      </c>
    </row>
    <row r="3199" spans="1:15" x14ac:dyDescent="0.3">
      <c r="A3199" s="340" t="s">
        <v>891</v>
      </c>
      <c r="B3199" s="350">
        <v>46128</v>
      </c>
      <c r="C3199" s="350">
        <v>46128</v>
      </c>
      <c r="D3199" s="351">
        <v>46113</v>
      </c>
      <c r="E3199" s="340" t="s">
        <v>2806</v>
      </c>
      <c r="F3199" s="340" t="s">
        <v>1078</v>
      </c>
      <c r="G3199" s="340" t="s">
        <v>1537</v>
      </c>
      <c r="H3199" s="340"/>
      <c r="I3199" s="340" t="s">
        <v>745</v>
      </c>
      <c r="K3199" s="343">
        <v>89.92</v>
      </c>
      <c r="L3199" s="343">
        <v>0</v>
      </c>
      <c r="M3199" s="343">
        <v>-1200253.18</v>
      </c>
      <c r="O3199" s="343">
        <v>0</v>
      </c>
    </row>
    <row r="3200" spans="1:15" x14ac:dyDescent="0.3">
      <c r="A3200" s="340" t="s">
        <v>891</v>
      </c>
      <c r="B3200" s="350">
        <v>46128</v>
      </c>
      <c r="C3200" s="350">
        <v>46128</v>
      </c>
      <c r="D3200" s="351">
        <v>46113</v>
      </c>
      <c r="E3200" s="340" t="s">
        <v>2807</v>
      </c>
      <c r="F3200" s="340" t="s">
        <v>1078</v>
      </c>
      <c r="G3200" s="340" t="s">
        <v>1079</v>
      </c>
      <c r="H3200" s="340"/>
      <c r="I3200" s="340" t="s">
        <v>2808</v>
      </c>
      <c r="K3200" s="343">
        <v>405</v>
      </c>
      <c r="L3200" s="343">
        <v>0</v>
      </c>
      <c r="M3200" s="343">
        <v>-1199848.18</v>
      </c>
      <c r="O3200" s="343">
        <v>0</v>
      </c>
    </row>
    <row r="3201" spans="1:15" x14ac:dyDescent="0.3">
      <c r="A3201" s="340" t="s">
        <v>891</v>
      </c>
      <c r="B3201" s="350">
        <v>46128</v>
      </c>
      <c r="C3201" s="350">
        <v>46128</v>
      </c>
      <c r="D3201" s="351">
        <v>46113</v>
      </c>
      <c r="E3201" s="340" t="s">
        <v>2806</v>
      </c>
      <c r="F3201" s="340" t="s">
        <v>1078</v>
      </c>
      <c r="G3201" s="340" t="s">
        <v>1540</v>
      </c>
      <c r="H3201" s="340"/>
      <c r="I3201" s="340" t="s">
        <v>745</v>
      </c>
      <c r="K3201" s="343">
        <v>260.5</v>
      </c>
      <c r="L3201" s="343">
        <v>0</v>
      </c>
      <c r="M3201" s="343">
        <v>-1199587.68</v>
      </c>
      <c r="O3201" s="343">
        <v>0</v>
      </c>
    </row>
    <row r="3202" spans="1:15" x14ac:dyDescent="0.3">
      <c r="A3202" s="340" t="s">
        <v>891</v>
      </c>
      <c r="B3202" s="350">
        <v>46128</v>
      </c>
      <c r="C3202" s="350">
        <v>46128</v>
      </c>
      <c r="D3202" s="351">
        <v>46113</v>
      </c>
      <c r="E3202" s="340" t="s">
        <v>2806</v>
      </c>
      <c r="F3202" s="340" t="s">
        <v>1078</v>
      </c>
      <c r="G3202" s="340" t="s">
        <v>1551</v>
      </c>
      <c r="H3202" s="340"/>
      <c r="I3202" s="340" t="s">
        <v>745</v>
      </c>
      <c r="K3202" s="343">
        <v>20.440000000000001</v>
      </c>
      <c r="L3202" s="343">
        <v>0</v>
      </c>
      <c r="M3202" s="343">
        <v>-1199567.24</v>
      </c>
      <c r="O3202" s="343">
        <v>0</v>
      </c>
    </row>
    <row r="3203" spans="1:15" x14ac:dyDescent="0.3">
      <c r="A3203" s="340" t="s">
        <v>891</v>
      </c>
      <c r="B3203" s="350">
        <v>46128</v>
      </c>
      <c r="C3203" s="350">
        <v>46128</v>
      </c>
      <c r="D3203" s="351">
        <v>46113</v>
      </c>
      <c r="E3203" s="340" t="s">
        <v>2806</v>
      </c>
      <c r="F3203" s="340" t="s">
        <v>1078</v>
      </c>
      <c r="G3203" s="340" t="s">
        <v>1589</v>
      </c>
      <c r="H3203" s="340"/>
      <c r="I3203" s="340" t="s">
        <v>745</v>
      </c>
      <c r="K3203" s="343">
        <v>50.65</v>
      </c>
      <c r="L3203" s="343">
        <v>0</v>
      </c>
      <c r="M3203" s="343">
        <v>-1199516.5900000001</v>
      </c>
      <c r="O3203" s="343">
        <v>0</v>
      </c>
    </row>
    <row r="3204" spans="1:15" x14ac:dyDescent="0.3">
      <c r="A3204" s="340" t="s">
        <v>891</v>
      </c>
      <c r="B3204" s="350">
        <v>46128</v>
      </c>
      <c r="C3204" s="350">
        <v>46128</v>
      </c>
      <c r="D3204" s="351">
        <v>46113</v>
      </c>
      <c r="E3204" s="340" t="s">
        <v>2806</v>
      </c>
      <c r="F3204" s="340" t="s">
        <v>1078</v>
      </c>
      <c r="G3204" s="340" t="s">
        <v>1555</v>
      </c>
      <c r="H3204" s="340"/>
      <c r="I3204" s="340" t="s">
        <v>745</v>
      </c>
      <c r="K3204" s="343">
        <v>36.25</v>
      </c>
      <c r="L3204" s="343">
        <v>0</v>
      </c>
      <c r="M3204" s="343">
        <v>-1199480.3400000001</v>
      </c>
      <c r="O3204" s="343">
        <v>0</v>
      </c>
    </row>
    <row r="3205" spans="1:15" x14ac:dyDescent="0.3">
      <c r="A3205" s="340" t="s">
        <v>891</v>
      </c>
      <c r="B3205" s="350">
        <v>46128</v>
      </c>
      <c r="C3205" s="350">
        <v>46128</v>
      </c>
      <c r="D3205" s="351">
        <v>46113</v>
      </c>
      <c r="E3205" s="340" t="s">
        <v>2806</v>
      </c>
      <c r="F3205" s="340" t="s">
        <v>1078</v>
      </c>
      <c r="G3205" s="340" t="s">
        <v>1544</v>
      </c>
      <c r="H3205" s="340"/>
      <c r="I3205" s="340" t="s">
        <v>745</v>
      </c>
      <c r="K3205" s="343">
        <v>42.37</v>
      </c>
      <c r="L3205" s="343">
        <v>0</v>
      </c>
      <c r="M3205" s="343">
        <v>-1199437.97</v>
      </c>
      <c r="O3205" s="343">
        <v>0</v>
      </c>
    </row>
    <row r="3206" spans="1:15" x14ac:dyDescent="0.3">
      <c r="A3206" s="340" t="s">
        <v>891</v>
      </c>
      <c r="B3206" s="350">
        <v>46128</v>
      </c>
      <c r="C3206" s="350">
        <v>46128</v>
      </c>
      <c r="D3206" s="351">
        <v>46113</v>
      </c>
      <c r="E3206" s="340" t="s">
        <v>2806</v>
      </c>
      <c r="F3206" s="340" t="s">
        <v>1078</v>
      </c>
      <c r="G3206" s="340" t="s">
        <v>1554</v>
      </c>
      <c r="H3206" s="340"/>
      <c r="I3206" s="340" t="s">
        <v>745</v>
      </c>
      <c r="K3206" s="343">
        <v>93.95</v>
      </c>
      <c r="L3206" s="343">
        <v>0</v>
      </c>
      <c r="M3206" s="343">
        <v>-1199344.02</v>
      </c>
      <c r="O3206" s="343">
        <v>0</v>
      </c>
    </row>
    <row r="3207" spans="1:15" x14ac:dyDescent="0.3">
      <c r="A3207" s="340" t="s">
        <v>891</v>
      </c>
      <c r="B3207" s="350">
        <v>46128</v>
      </c>
      <c r="C3207" s="350">
        <v>46128</v>
      </c>
      <c r="D3207" s="351">
        <v>46113</v>
      </c>
      <c r="E3207" s="340" t="s">
        <v>2806</v>
      </c>
      <c r="F3207" s="340" t="s">
        <v>1078</v>
      </c>
      <c r="G3207" s="340" t="s">
        <v>1590</v>
      </c>
      <c r="H3207" s="340"/>
      <c r="I3207" s="340" t="s">
        <v>745</v>
      </c>
      <c r="K3207" s="343">
        <v>1137.4100000000001</v>
      </c>
      <c r="L3207" s="343">
        <v>0</v>
      </c>
      <c r="M3207" s="343">
        <v>-1198206.6100000001</v>
      </c>
      <c r="O3207" s="343">
        <v>0</v>
      </c>
    </row>
    <row r="3208" spans="1:15" x14ac:dyDescent="0.3">
      <c r="A3208" s="340" t="s">
        <v>891</v>
      </c>
      <c r="B3208" s="350">
        <v>46128</v>
      </c>
      <c r="C3208" s="350">
        <v>46128</v>
      </c>
      <c r="D3208" s="351">
        <v>46113</v>
      </c>
      <c r="E3208" s="340" t="s">
        <v>2806</v>
      </c>
      <c r="F3208" s="340" t="s">
        <v>1078</v>
      </c>
      <c r="G3208" s="340" t="s">
        <v>1562</v>
      </c>
      <c r="H3208" s="340"/>
      <c r="I3208" s="340" t="s">
        <v>745</v>
      </c>
      <c r="K3208" s="343">
        <v>172.38</v>
      </c>
      <c r="L3208" s="343">
        <v>0</v>
      </c>
      <c r="M3208" s="343">
        <v>-1198034.23</v>
      </c>
      <c r="O3208" s="343">
        <v>0</v>
      </c>
    </row>
    <row r="3209" spans="1:15" x14ac:dyDescent="0.3">
      <c r="A3209" s="340" t="s">
        <v>891</v>
      </c>
      <c r="B3209" s="350">
        <v>46128</v>
      </c>
      <c r="C3209" s="350">
        <v>46128</v>
      </c>
      <c r="D3209" s="351">
        <v>46113</v>
      </c>
      <c r="E3209" s="340" t="s">
        <v>2806</v>
      </c>
      <c r="F3209" s="340" t="s">
        <v>1078</v>
      </c>
      <c r="G3209" s="340" t="s">
        <v>1537</v>
      </c>
      <c r="H3209" s="340"/>
      <c r="I3209" s="340" t="s">
        <v>745</v>
      </c>
      <c r="K3209" s="343">
        <v>71.95</v>
      </c>
      <c r="L3209" s="343">
        <v>0</v>
      </c>
      <c r="M3209" s="343">
        <v>-1197962.28</v>
      </c>
      <c r="O3209" s="343">
        <v>0</v>
      </c>
    </row>
    <row r="3210" spans="1:15" x14ac:dyDescent="0.3">
      <c r="A3210" s="340" t="s">
        <v>891</v>
      </c>
      <c r="B3210" s="350">
        <v>46128</v>
      </c>
      <c r="C3210" s="350">
        <v>46128</v>
      </c>
      <c r="D3210" s="351">
        <v>46113</v>
      </c>
      <c r="E3210" s="340" t="s">
        <v>2806</v>
      </c>
      <c r="F3210" s="340" t="s">
        <v>1078</v>
      </c>
      <c r="G3210" s="340" t="s">
        <v>1591</v>
      </c>
      <c r="H3210" s="340"/>
      <c r="I3210" s="340" t="s">
        <v>745</v>
      </c>
      <c r="K3210" s="343">
        <v>27.14</v>
      </c>
      <c r="L3210" s="343">
        <v>0</v>
      </c>
      <c r="M3210" s="343">
        <v>-1197935.1399999999</v>
      </c>
      <c r="O3210" s="343">
        <v>0</v>
      </c>
    </row>
    <row r="3211" spans="1:15" x14ac:dyDescent="0.3">
      <c r="A3211" s="340" t="s">
        <v>891</v>
      </c>
      <c r="B3211" s="350">
        <v>46128</v>
      </c>
      <c r="C3211" s="350">
        <v>46128</v>
      </c>
      <c r="D3211" s="351">
        <v>46113</v>
      </c>
      <c r="E3211" s="340" t="s">
        <v>2806</v>
      </c>
      <c r="F3211" s="340" t="s">
        <v>1078</v>
      </c>
      <c r="G3211" s="340" t="s">
        <v>1592</v>
      </c>
      <c r="H3211" s="340"/>
      <c r="I3211" s="340" t="s">
        <v>745</v>
      </c>
      <c r="K3211" s="343">
        <v>76.099999999999994</v>
      </c>
      <c r="L3211" s="343">
        <v>0</v>
      </c>
      <c r="M3211" s="343">
        <v>-1197859.04</v>
      </c>
      <c r="O3211" s="343">
        <v>0</v>
      </c>
    </row>
    <row r="3212" spans="1:15" x14ac:dyDescent="0.3">
      <c r="A3212" s="340" t="s">
        <v>891</v>
      </c>
      <c r="B3212" s="350">
        <v>46128</v>
      </c>
      <c r="C3212" s="350">
        <v>46128</v>
      </c>
      <c r="D3212" s="351">
        <v>46113</v>
      </c>
      <c r="E3212" s="340" t="s">
        <v>2806</v>
      </c>
      <c r="F3212" s="340" t="s">
        <v>1078</v>
      </c>
      <c r="G3212" s="340" t="s">
        <v>1509</v>
      </c>
      <c r="H3212" s="340"/>
      <c r="I3212" s="340" t="s">
        <v>745</v>
      </c>
      <c r="K3212" s="343">
        <v>280.06</v>
      </c>
      <c r="L3212" s="343">
        <v>0</v>
      </c>
      <c r="M3212" s="343">
        <v>-1197578.98</v>
      </c>
      <c r="O3212" s="343">
        <v>0</v>
      </c>
    </row>
    <row r="3213" spans="1:15" x14ac:dyDescent="0.3">
      <c r="A3213" s="340" t="s">
        <v>891</v>
      </c>
      <c r="B3213" s="350">
        <v>46128</v>
      </c>
      <c r="C3213" s="350">
        <v>46128</v>
      </c>
      <c r="D3213" s="351">
        <v>46113</v>
      </c>
      <c r="E3213" s="340" t="s">
        <v>2806</v>
      </c>
      <c r="F3213" s="340" t="s">
        <v>1078</v>
      </c>
      <c r="G3213" s="340" t="s">
        <v>1542</v>
      </c>
      <c r="H3213" s="340"/>
      <c r="I3213" s="340" t="s">
        <v>745</v>
      </c>
      <c r="K3213" s="343">
        <v>18.649999999999999</v>
      </c>
      <c r="L3213" s="343">
        <v>0</v>
      </c>
      <c r="M3213" s="343">
        <v>-1197560.33</v>
      </c>
      <c r="O3213" s="343">
        <v>0</v>
      </c>
    </row>
    <row r="3214" spans="1:15" x14ac:dyDescent="0.3">
      <c r="A3214" s="340" t="s">
        <v>891</v>
      </c>
      <c r="B3214" s="350">
        <v>46128</v>
      </c>
      <c r="C3214" s="350">
        <v>46128</v>
      </c>
      <c r="D3214" s="351">
        <v>46113</v>
      </c>
      <c r="E3214" s="340" t="s">
        <v>2806</v>
      </c>
      <c r="F3214" s="340" t="s">
        <v>1078</v>
      </c>
      <c r="G3214" s="340" t="s">
        <v>1548</v>
      </c>
      <c r="H3214" s="340"/>
      <c r="I3214" s="340" t="s">
        <v>745</v>
      </c>
      <c r="K3214" s="343">
        <v>74.62</v>
      </c>
      <c r="L3214" s="343">
        <v>0</v>
      </c>
      <c r="M3214" s="343">
        <v>-1197485.71</v>
      </c>
      <c r="O3214" s="343">
        <v>0</v>
      </c>
    </row>
    <row r="3215" spans="1:15" x14ac:dyDescent="0.3">
      <c r="A3215" s="340" t="s">
        <v>891</v>
      </c>
      <c r="B3215" s="350">
        <v>46128</v>
      </c>
      <c r="C3215" s="350">
        <v>46128</v>
      </c>
      <c r="D3215" s="351">
        <v>46113</v>
      </c>
      <c r="E3215" s="340" t="s">
        <v>2806</v>
      </c>
      <c r="F3215" s="340" t="s">
        <v>1078</v>
      </c>
      <c r="G3215" s="340" t="s">
        <v>1541</v>
      </c>
      <c r="H3215" s="340"/>
      <c r="I3215" s="340" t="s">
        <v>745</v>
      </c>
      <c r="K3215" s="343">
        <v>43.38</v>
      </c>
      <c r="L3215" s="343">
        <v>0</v>
      </c>
      <c r="M3215" s="343">
        <v>-1197442.33</v>
      </c>
      <c r="O3215" s="343">
        <v>0</v>
      </c>
    </row>
    <row r="3216" spans="1:15" x14ac:dyDescent="0.3">
      <c r="A3216" s="340" t="s">
        <v>891</v>
      </c>
      <c r="B3216" s="350">
        <v>46128</v>
      </c>
      <c r="C3216" s="350">
        <v>46128</v>
      </c>
      <c r="D3216" s="351">
        <v>46113</v>
      </c>
      <c r="E3216" s="340" t="s">
        <v>2806</v>
      </c>
      <c r="F3216" s="340" t="s">
        <v>1078</v>
      </c>
      <c r="G3216" s="340" t="s">
        <v>1194</v>
      </c>
      <c r="H3216" s="340"/>
      <c r="I3216" s="340" t="s">
        <v>745</v>
      </c>
      <c r="K3216" s="343">
        <v>40.340000000000003</v>
      </c>
      <c r="L3216" s="343">
        <v>0</v>
      </c>
      <c r="M3216" s="343">
        <v>-1197401.99</v>
      </c>
      <c r="O3216" s="343">
        <v>0</v>
      </c>
    </row>
    <row r="3217" spans="1:15" x14ac:dyDescent="0.3">
      <c r="A3217" s="340" t="s">
        <v>891</v>
      </c>
      <c r="B3217" s="350">
        <v>46128</v>
      </c>
      <c r="C3217" s="350">
        <v>46128</v>
      </c>
      <c r="D3217" s="351">
        <v>46113</v>
      </c>
      <c r="E3217" s="340" t="s">
        <v>2806</v>
      </c>
      <c r="F3217" s="340" t="s">
        <v>1078</v>
      </c>
      <c r="G3217" s="340" t="s">
        <v>1184</v>
      </c>
      <c r="H3217" s="340"/>
      <c r="I3217" s="340" t="s">
        <v>745</v>
      </c>
      <c r="K3217" s="343">
        <v>62.2</v>
      </c>
      <c r="L3217" s="343">
        <v>0</v>
      </c>
      <c r="M3217" s="343">
        <v>-1197339.79</v>
      </c>
      <c r="O3217" s="343">
        <v>0</v>
      </c>
    </row>
    <row r="3218" spans="1:15" x14ac:dyDescent="0.3">
      <c r="A3218" s="340" t="s">
        <v>891</v>
      </c>
      <c r="B3218" s="350">
        <v>46128</v>
      </c>
      <c r="C3218" s="350">
        <v>46128</v>
      </c>
      <c r="D3218" s="351">
        <v>46113</v>
      </c>
      <c r="E3218" s="340" t="s">
        <v>2806</v>
      </c>
      <c r="F3218" s="340" t="s">
        <v>1078</v>
      </c>
      <c r="G3218" s="340" t="s">
        <v>1543</v>
      </c>
      <c r="H3218" s="340"/>
      <c r="I3218" s="340" t="s">
        <v>745</v>
      </c>
      <c r="K3218" s="343">
        <v>8.5399999999999991</v>
      </c>
      <c r="L3218" s="343">
        <v>0</v>
      </c>
      <c r="M3218" s="343">
        <v>-1197331.25</v>
      </c>
      <c r="O3218" s="343">
        <v>0</v>
      </c>
    </row>
    <row r="3219" spans="1:15" x14ac:dyDescent="0.3">
      <c r="A3219" s="340" t="s">
        <v>891</v>
      </c>
      <c r="B3219" s="350">
        <v>46128</v>
      </c>
      <c r="C3219" s="350">
        <v>46128</v>
      </c>
      <c r="D3219" s="351">
        <v>46113</v>
      </c>
      <c r="E3219" s="340" t="s">
        <v>2806</v>
      </c>
      <c r="F3219" s="340" t="s">
        <v>1078</v>
      </c>
      <c r="G3219" s="340" t="s">
        <v>1593</v>
      </c>
      <c r="H3219" s="340"/>
      <c r="I3219" s="340" t="s">
        <v>745</v>
      </c>
      <c r="K3219" s="343">
        <v>50.65</v>
      </c>
      <c r="L3219" s="343">
        <v>0</v>
      </c>
      <c r="M3219" s="343">
        <v>-1197280.6000000001</v>
      </c>
      <c r="O3219" s="343">
        <v>0</v>
      </c>
    </row>
    <row r="3220" spans="1:15" x14ac:dyDescent="0.3">
      <c r="A3220" s="340" t="s">
        <v>891</v>
      </c>
      <c r="B3220" s="350">
        <v>46128</v>
      </c>
      <c r="C3220" s="350">
        <v>46128</v>
      </c>
      <c r="D3220" s="351">
        <v>46113</v>
      </c>
      <c r="E3220" s="340" t="s">
        <v>2806</v>
      </c>
      <c r="F3220" s="340" t="s">
        <v>1078</v>
      </c>
      <c r="G3220" s="340" t="s">
        <v>1594</v>
      </c>
      <c r="H3220" s="340"/>
      <c r="I3220" s="340" t="s">
        <v>745</v>
      </c>
      <c r="K3220" s="343">
        <v>14.05</v>
      </c>
      <c r="L3220" s="343">
        <v>0</v>
      </c>
      <c r="M3220" s="343">
        <v>-1197266.55</v>
      </c>
      <c r="O3220" s="343">
        <v>0</v>
      </c>
    </row>
    <row r="3221" spans="1:15" x14ac:dyDescent="0.3">
      <c r="A3221" s="340" t="s">
        <v>891</v>
      </c>
      <c r="B3221" s="350">
        <v>46128</v>
      </c>
      <c r="C3221" s="350">
        <v>46128</v>
      </c>
      <c r="D3221" s="351">
        <v>46113</v>
      </c>
      <c r="E3221" s="340" t="s">
        <v>2806</v>
      </c>
      <c r="F3221" s="340" t="s">
        <v>1078</v>
      </c>
      <c r="G3221" s="340" t="s">
        <v>1595</v>
      </c>
      <c r="H3221" s="340"/>
      <c r="I3221" s="340" t="s">
        <v>745</v>
      </c>
      <c r="K3221" s="343">
        <v>10.32</v>
      </c>
      <c r="L3221" s="343">
        <v>0</v>
      </c>
      <c r="M3221" s="343">
        <v>-1197256.23</v>
      </c>
      <c r="O3221" s="343">
        <v>0</v>
      </c>
    </row>
    <row r="3222" spans="1:15" x14ac:dyDescent="0.3">
      <c r="A3222" s="340" t="s">
        <v>891</v>
      </c>
      <c r="B3222" s="350">
        <v>46128</v>
      </c>
      <c r="C3222" s="350">
        <v>46128</v>
      </c>
      <c r="D3222" s="351">
        <v>46113</v>
      </c>
      <c r="E3222" s="340" t="s">
        <v>2806</v>
      </c>
      <c r="F3222" s="340" t="s">
        <v>1078</v>
      </c>
      <c r="G3222" s="340" t="s">
        <v>1597</v>
      </c>
      <c r="H3222" s="340"/>
      <c r="I3222" s="340" t="s">
        <v>745</v>
      </c>
      <c r="K3222" s="343">
        <v>49.76</v>
      </c>
      <c r="L3222" s="343">
        <v>0</v>
      </c>
      <c r="M3222" s="343">
        <v>-1197206.47</v>
      </c>
      <c r="O3222" s="343">
        <v>0</v>
      </c>
    </row>
    <row r="3223" spans="1:15" x14ac:dyDescent="0.3">
      <c r="A3223" s="340" t="s">
        <v>891</v>
      </c>
      <c r="B3223" s="350">
        <v>46128</v>
      </c>
      <c r="C3223" s="350">
        <v>46128</v>
      </c>
      <c r="D3223" s="351">
        <v>46113</v>
      </c>
      <c r="E3223" s="340" t="s">
        <v>2806</v>
      </c>
      <c r="F3223" s="340" t="s">
        <v>1078</v>
      </c>
      <c r="G3223" s="340" t="s">
        <v>1599</v>
      </c>
      <c r="H3223" s="340"/>
      <c r="I3223" s="340" t="s">
        <v>745</v>
      </c>
      <c r="K3223" s="343">
        <v>94.23</v>
      </c>
      <c r="L3223" s="343">
        <v>0</v>
      </c>
      <c r="M3223" s="343">
        <v>-1197112.24</v>
      </c>
      <c r="O3223" s="343">
        <v>0</v>
      </c>
    </row>
    <row r="3224" spans="1:15" x14ac:dyDescent="0.3">
      <c r="A3224" s="340" t="s">
        <v>891</v>
      </c>
      <c r="B3224" s="350">
        <v>46128</v>
      </c>
      <c r="C3224" s="350">
        <v>46128</v>
      </c>
      <c r="D3224" s="351">
        <v>46113</v>
      </c>
      <c r="E3224" s="340" t="s">
        <v>2806</v>
      </c>
      <c r="F3224" s="340" t="s">
        <v>1078</v>
      </c>
      <c r="G3224" s="340" t="s">
        <v>1600</v>
      </c>
      <c r="H3224" s="340"/>
      <c r="I3224" s="340" t="s">
        <v>745</v>
      </c>
      <c r="K3224" s="343">
        <v>114.24</v>
      </c>
      <c r="L3224" s="343">
        <v>0</v>
      </c>
      <c r="M3224" s="343">
        <v>-1196998</v>
      </c>
      <c r="O3224" s="343">
        <v>0</v>
      </c>
    </row>
    <row r="3225" spans="1:15" x14ac:dyDescent="0.3">
      <c r="A3225" s="340" t="s">
        <v>891</v>
      </c>
      <c r="B3225" s="350">
        <v>46128</v>
      </c>
      <c r="C3225" s="350">
        <v>46128</v>
      </c>
      <c r="D3225" s="351">
        <v>46113</v>
      </c>
      <c r="E3225" s="340" t="s">
        <v>2806</v>
      </c>
      <c r="F3225" s="340" t="s">
        <v>1078</v>
      </c>
      <c r="G3225" s="340" t="s">
        <v>1601</v>
      </c>
      <c r="H3225" s="340"/>
      <c r="I3225" s="340" t="s">
        <v>745</v>
      </c>
      <c r="K3225" s="343">
        <v>38.08</v>
      </c>
      <c r="L3225" s="343">
        <v>0</v>
      </c>
      <c r="M3225" s="343">
        <v>-1196959.92</v>
      </c>
      <c r="O3225" s="343">
        <v>0</v>
      </c>
    </row>
    <row r="3226" spans="1:15" x14ac:dyDescent="0.3">
      <c r="A3226" s="340" t="s">
        <v>891</v>
      </c>
      <c r="B3226" s="350">
        <v>46128</v>
      </c>
      <c r="C3226" s="350">
        <v>46128</v>
      </c>
      <c r="D3226" s="351">
        <v>46113</v>
      </c>
      <c r="E3226" s="340" t="s">
        <v>2806</v>
      </c>
      <c r="F3226" s="340" t="s">
        <v>1078</v>
      </c>
      <c r="G3226" s="340" t="s">
        <v>1602</v>
      </c>
      <c r="H3226" s="340"/>
      <c r="I3226" s="340" t="s">
        <v>745</v>
      </c>
      <c r="K3226" s="343">
        <v>233.9</v>
      </c>
      <c r="L3226" s="343">
        <v>0</v>
      </c>
      <c r="M3226" s="343">
        <v>-1196726.02</v>
      </c>
      <c r="O3226" s="343">
        <v>0</v>
      </c>
    </row>
    <row r="3227" spans="1:15" x14ac:dyDescent="0.3">
      <c r="A3227" s="340" t="s">
        <v>891</v>
      </c>
      <c r="B3227" s="350">
        <v>46128</v>
      </c>
      <c r="C3227" s="350">
        <v>46128</v>
      </c>
      <c r="D3227" s="351">
        <v>46113</v>
      </c>
      <c r="E3227" s="340" t="s">
        <v>2806</v>
      </c>
      <c r="F3227" s="340" t="s">
        <v>1078</v>
      </c>
      <c r="G3227" s="340" t="s">
        <v>1603</v>
      </c>
      <c r="H3227" s="340"/>
      <c r="I3227" s="340" t="s">
        <v>745</v>
      </c>
      <c r="K3227" s="343">
        <v>183.78</v>
      </c>
      <c r="L3227" s="343">
        <v>0</v>
      </c>
      <c r="M3227" s="343">
        <v>-1196542.24</v>
      </c>
      <c r="O3227" s="343">
        <v>0</v>
      </c>
    </row>
    <row r="3228" spans="1:15" x14ac:dyDescent="0.3">
      <c r="A3228" s="340" t="s">
        <v>891</v>
      </c>
      <c r="B3228" s="350">
        <v>46128</v>
      </c>
      <c r="C3228" s="350">
        <v>46128</v>
      </c>
      <c r="D3228" s="351">
        <v>46113</v>
      </c>
      <c r="E3228" s="340" t="s">
        <v>2806</v>
      </c>
      <c r="F3228" s="340" t="s">
        <v>1078</v>
      </c>
      <c r="G3228" s="340" t="s">
        <v>1604</v>
      </c>
      <c r="H3228" s="340"/>
      <c r="I3228" s="340" t="s">
        <v>745</v>
      </c>
      <c r="K3228" s="343">
        <v>101.9</v>
      </c>
      <c r="L3228" s="343">
        <v>0</v>
      </c>
      <c r="M3228" s="343">
        <v>-1196440.3400000001</v>
      </c>
      <c r="O3228" s="343">
        <v>0</v>
      </c>
    </row>
    <row r="3229" spans="1:15" x14ac:dyDescent="0.3">
      <c r="A3229" s="340" t="s">
        <v>891</v>
      </c>
      <c r="B3229" s="350">
        <v>46128</v>
      </c>
      <c r="C3229" s="350">
        <v>46128</v>
      </c>
      <c r="D3229" s="351">
        <v>46113</v>
      </c>
      <c r="E3229" s="340" t="s">
        <v>2806</v>
      </c>
      <c r="F3229" s="340" t="s">
        <v>1078</v>
      </c>
      <c r="G3229" s="340" t="s">
        <v>1605</v>
      </c>
      <c r="H3229" s="340"/>
      <c r="I3229" s="340" t="s">
        <v>745</v>
      </c>
      <c r="K3229" s="343">
        <v>46.65</v>
      </c>
      <c r="L3229" s="343">
        <v>0</v>
      </c>
      <c r="M3229" s="343">
        <v>-1196393.69</v>
      </c>
      <c r="O3229" s="343">
        <v>0</v>
      </c>
    </row>
    <row r="3230" spans="1:15" x14ac:dyDescent="0.3">
      <c r="A3230" s="340" t="s">
        <v>891</v>
      </c>
      <c r="B3230" s="350">
        <v>46128</v>
      </c>
      <c r="C3230" s="350">
        <v>46128</v>
      </c>
      <c r="D3230" s="351">
        <v>46113</v>
      </c>
      <c r="E3230" s="340" t="s">
        <v>2806</v>
      </c>
      <c r="F3230" s="340" t="s">
        <v>1078</v>
      </c>
      <c r="G3230" s="340" t="s">
        <v>1606</v>
      </c>
      <c r="H3230" s="340"/>
      <c r="I3230" s="340" t="s">
        <v>745</v>
      </c>
      <c r="K3230" s="343">
        <v>32.36</v>
      </c>
      <c r="L3230" s="343">
        <v>0</v>
      </c>
      <c r="M3230" s="343">
        <v>-1196361.33</v>
      </c>
      <c r="O3230" s="343">
        <v>0</v>
      </c>
    </row>
    <row r="3231" spans="1:15" x14ac:dyDescent="0.3">
      <c r="A3231" s="340" t="s">
        <v>891</v>
      </c>
      <c r="B3231" s="350">
        <v>46128</v>
      </c>
      <c r="C3231" s="350">
        <v>46128</v>
      </c>
      <c r="D3231" s="351">
        <v>46113</v>
      </c>
      <c r="E3231" s="340" t="s">
        <v>2806</v>
      </c>
      <c r="F3231" s="340" t="s">
        <v>1078</v>
      </c>
      <c r="G3231" s="340" t="s">
        <v>1607</v>
      </c>
      <c r="H3231" s="340"/>
      <c r="I3231" s="340" t="s">
        <v>745</v>
      </c>
      <c r="K3231" s="343">
        <v>23.41</v>
      </c>
      <c r="L3231" s="343">
        <v>0</v>
      </c>
      <c r="M3231" s="343">
        <v>-1196337.92</v>
      </c>
      <c r="O3231" s="343">
        <v>0</v>
      </c>
    </row>
    <row r="3232" spans="1:15" x14ac:dyDescent="0.3">
      <c r="A3232" s="340" t="s">
        <v>891</v>
      </c>
      <c r="B3232" s="350">
        <v>46128</v>
      </c>
      <c r="C3232" s="350">
        <v>46128</v>
      </c>
      <c r="D3232" s="351">
        <v>46113</v>
      </c>
      <c r="E3232" s="340" t="s">
        <v>2806</v>
      </c>
      <c r="F3232" s="340" t="s">
        <v>1078</v>
      </c>
      <c r="G3232" s="340" t="s">
        <v>1608</v>
      </c>
      <c r="H3232" s="340"/>
      <c r="I3232" s="340" t="s">
        <v>745</v>
      </c>
      <c r="K3232" s="343">
        <v>64.72</v>
      </c>
      <c r="L3232" s="343">
        <v>0</v>
      </c>
      <c r="M3232" s="343">
        <v>-1196273.2</v>
      </c>
      <c r="O3232" s="343">
        <v>0</v>
      </c>
    </row>
    <row r="3233" spans="1:15" x14ac:dyDescent="0.3">
      <c r="A3233" s="340" t="s">
        <v>891</v>
      </c>
      <c r="B3233" s="350">
        <v>46128</v>
      </c>
      <c r="C3233" s="350">
        <v>46128</v>
      </c>
      <c r="D3233" s="351">
        <v>46113</v>
      </c>
      <c r="E3233" s="340" t="s">
        <v>2806</v>
      </c>
      <c r="F3233" s="340" t="s">
        <v>1078</v>
      </c>
      <c r="G3233" s="340" t="s">
        <v>1609</v>
      </c>
      <c r="H3233" s="340"/>
      <c r="I3233" s="340" t="s">
        <v>745</v>
      </c>
      <c r="K3233" s="343">
        <v>68.069999999999993</v>
      </c>
      <c r="L3233" s="343">
        <v>0</v>
      </c>
      <c r="M3233" s="343">
        <v>-1196205.1299999999</v>
      </c>
      <c r="O3233" s="343">
        <v>0</v>
      </c>
    </row>
    <row r="3234" spans="1:15" x14ac:dyDescent="0.3">
      <c r="A3234" s="340" t="s">
        <v>891</v>
      </c>
      <c r="B3234" s="350">
        <v>46128</v>
      </c>
      <c r="C3234" s="350">
        <v>46128</v>
      </c>
      <c r="D3234" s="351">
        <v>46113</v>
      </c>
      <c r="E3234" s="340" t="s">
        <v>2806</v>
      </c>
      <c r="F3234" s="340" t="s">
        <v>1078</v>
      </c>
      <c r="G3234" s="340" t="s">
        <v>1610</v>
      </c>
      <c r="H3234" s="340"/>
      <c r="I3234" s="340" t="s">
        <v>745</v>
      </c>
      <c r="K3234" s="343">
        <v>51.4</v>
      </c>
      <c r="L3234" s="343">
        <v>0</v>
      </c>
      <c r="M3234" s="343">
        <v>-1196153.73</v>
      </c>
      <c r="O3234" s="343">
        <v>0</v>
      </c>
    </row>
    <row r="3235" spans="1:15" x14ac:dyDescent="0.3">
      <c r="A3235" s="340" t="s">
        <v>891</v>
      </c>
      <c r="B3235" s="350">
        <v>46128</v>
      </c>
      <c r="C3235" s="350">
        <v>46128</v>
      </c>
      <c r="D3235" s="351">
        <v>46113</v>
      </c>
      <c r="E3235" s="340" t="s">
        <v>2806</v>
      </c>
      <c r="F3235" s="340" t="s">
        <v>1078</v>
      </c>
      <c r="G3235" s="340" t="s">
        <v>1611</v>
      </c>
      <c r="H3235" s="340"/>
      <c r="I3235" s="340" t="s">
        <v>745</v>
      </c>
      <c r="K3235" s="343">
        <v>51.4</v>
      </c>
      <c r="L3235" s="343">
        <v>0</v>
      </c>
      <c r="M3235" s="343">
        <v>-1196102.33</v>
      </c>
      <c r="O3235" s="343">
        <v>0</v>
      </c>
    </row>
    <row r="3236" spans="1:15" x14ac:dyDescent="0.3">
      <c r="A3236" s="340" t="s">
        <v>891</v>
      </c>
      <c r="B3236" s="350">
        <v>46128</v>
      </c>
      <c r="C3236" s="350">
        <v>46128</v>
      </c>
      <c r="D3236" s="351">
        <v>46113</v>
      </c>
      <c r="E3236" s="340" t="s">
        <v>2806</v>
      </c>
      <c r="F3236" s="340" t="s">
        <v>1078</v>
      </c>
      <c r="G3236" s="340" t="s">
        <v>1612</v>
      </c>
      <c r="H3236" s="340"/>
      <c r="I3236" s="340" t="s">
        <v>745</v>
      </c>
      <c r="K3236" s="343">
        <v>76.09</v>
      </c>
      <c r="L3236" s="343">
        <v>0</v>
      </c>
      <c r="M3236" s="343">
        <v>-1196026.24</v>
      </c>
      <c r="O3236" s="343">
        <v>0</v>
      </c>
    </row>
    <row r="3237" spans="1:15" x14ac:dyDescent="0.3">
      <c r="A3237" s="340" t="s">
        <v>891</v>
      </c>
      <c r="B3237" s="350">
        <v>46128</v>
      </c>
      <c r="C3237" s="350">
        <v>46128</v>
      </c>
      <c r="D3237" s="351">
        <v>46113</v>
      </c>
      <c r="E3237" s="340" t="s">
        <v>2806</v>
      </c>
      <c r="F3237" s="340" t="s">
        <v>1078</v>
      </c>
      <c r="G3237" s="340" t="s">
        <v>1613</v>
      </c>
      <c r="H3237" s="340"/>
      <c r="I3237" s="340" t="s">
        <v>745</v>
      </c>
      <c r="K3237" s="343">
        <v>47.93</v>
      </c>
      <c r="L3237" s="343">
        <v>0</v>
      </c>
      <c r="M3237" s="343">
        <v>-1195978.31</v>
      </c>
      <c r="O3237" s="343">
        <v>0</v>
      </c>
    </row>
    <row r="3238" spans="1:15" x14ac:dyDescent="0.3">
      <c r="A3238" s="340" t="s">
        <v>891</v>
      </c>
      <c r="B3238" s="350">
        <v>46128</v>
      </c>
      <c r="C3238" s="350">
        <v>46128</v>
      </c>
      <c r="D3238" s="351">
        <v>46113</v>
      </c>
      <c r="E3238" s="340" t="s">
        <v>2806</v>
      </c>
      <c r="F3238" s="340" t="s">
        <v>1078</v>
      </c>
      <c r="G3238" s="340" t="s">
        <v>1614</v>
      </c>
      <c r="H3238" s="340"/>
      <c r="I3238" s="340" t="s">
        <v>745</v>
      </c>
      <c r="K3238" s="343">
        <v>59.81</v>
      </c>
      <c r="L3238" s="343">
        <v>0</v>
      </c>
      <c r="M3238" s="343">
        <v>-1195918.5</v>
      </c>
      <c r="O3238" s="343">
        <v>0</v>
      </c>
    </row>
    <row r="3239" spans="1:15" x14ac:dyDescent="0.3">
      <c r="A3239" s="340" t="s">
        <v>891</v>
      </c>
      <c r="B3239" s="350">
        <v>46128</v>
      </c>
      <c r="C3239" s="350">
        <v>46128</v>
      </c>
      <c r="D3239" s="351">
        <v>46113</v>
      </c>
      <c r="E3239" s="340" t="s">
        <v>2806</v>
      </c>
      <c r="F3239" s="340" t="s">
        <v>1078</v>
      </c>
      <c r="G3239" s="340" t="s">
        <v>1615</v>
      </c>
      <c r="H3239" s="340"/>
      <c r="I3239" s="340" t="s">
        <v>745</v>
      </c>
      <c r="K3239" s="343">
        <v>84.96</v>
      </c>
      <c r="L3239" s="343">
        <v>0</v>
      </c>
      <c r="M3239" s="343">
        <v>-1195833.54</v>
      </c>
      <c r="O3239" s="343">
        <v>0</v>
      </c>
    </row>
    <row r="3240" spans="1:15" x14ac:dyDescent="0.3">
      <c r="A3240" s="340" t="s">
        <v>891</v>
      </c>
      <c r="B3240" s="350">
        <v>46128</v>
      </c>
      <c r="C3240" s="350">
        <v>46128</v>
      </c>
      <c r="D3240" s="351">
        <v>46113</v>
      </c>
      <c r="E3240" s="340" t="s">
        <v>2806</v>
      </c>
      <c r="F3240" s="340" t="s">
        <v>1078</v>
      </c>
      <c r="G3240" s="340" t="s">
        <v>1508</v>
      </c>
      <c r="H3240" s="340"/>
      <c r="I3240" s="340" t="s">
        <v>745</v>
      </c>
      <c r="K3240" s="343">
        <v>78.05</v>
      </c>
      <c r="L3240" s="343">
        <v>0</v>
      </c>
      <c r="M3240" s="343">
        <v>-1195755.49</v>
      </c>
      <c r="O3240" s="343">
        <v>0</v>
      </c>
    </row>
    <row r="3241" spans="1:15" x14ac:dyDescent="0.3">
      <c r="A3241" s="340" t="s">
        <v>891</v>
      </c>
      <c r="B3241" s="350">
        <v>46128</v>
      </c>
      <c r="C3241" s="350">
        <v>46128</v>
      </c>
      <c r="D3241" s="351">
        <v>46113</v>
      </c>
      <c r="E3241" s="340" t="s">
        <v>2806</v>
      </c>
      <c r="F3241" s="340" t="s">
        <v>1078</v>
      </c>
      <c r="G3241" s="340" t="s">
        <v>1617</v>
      </c>
      <c r="H3241" s="340"/>
      <c r="I3241" s="340" t="s">
        <v>745</v>
      </c>
      <c r="K3241" s="343">
        <v>74.61</v>
      </c>
      <c r="L3241" s="343">
        <v>0</v>
      </c>
      <c r="M3241" s="343">
        <v>-1195680.8799999999</v>
      </c>
      <c r="O3241" s="343">
        <v>0</v>
      </c>
    </row>
    <row r="3242" spans="1:15" x14ac:dyDescent="0.3">
      <c r="A3242" s="340" t="s">
        <v>891</v>
      </c>
      <c r="B3242" s="350">
        <v>46128</v>
      </c>
      <c r="C3242" s="350">
        <v>46128</v>
      </c>
      <c r="D3242" s="351">
        <v>46113</v>
      </c>
      <c r="E3242" s="340" t="s">
        <v>2806</v>
      </c>
      <c r="F3242" s="340" t="s">
        <v>1078</v>
      </c>
      <c r="G3242" s="340" t="s">
        <v>1547</v>
      </c>
      <c r="H3242" s="340"/>
      <c r="I3242" s="340" t="s">
        <v>745</v>
      </c>
      <c r="K3242" s="343">
        <v>51.02</v>
      </c>
      <c r="L3242" s="343">
        <v>0</v>
      </c>
      <c r="M3242" s="343">
        <v>-1195629.8600000001</v>
      </c>
      <c r="O3242" s="343">
        <v>0</v>
      </c>
    </row>
    <row r="3243" spans="1:15" x14ac:dyDescent="0.3">
      <c r="A3243" s="340" t="s">
        <v>891</v>
      </c>
      <c r="B3243" s="350">
        <v>46128</v>
      </c>
      <c r="C3243" s="350">
        <v>46128</v>
      </c>
      <c r="D3243" s="351">
        <v>46113</v>
      </c>
      <c r="E3243" s="340" t="s">
        <v>2806</v>
      </c>
      <c r="F3243" s="340" t="s">
        <v>1078</v>
      </c>
      <c r="G3243" s="340" t="s">
        <v>1548</v>
      </c>
      <c r="H3243" s="340"/>
      <c r="I3243" s="340" t="s">
        <v>745</v>
      </c>
      <c r="K3243" s="343">
        <v>59.69</v>
      </c>
      <c r="L3243" s="343">
        <v>0</v>
      </c>
      <c r="M3243" s="343">
        <v>-1195570.17</v>
      </c>
      <c r="O3243" s="343">
        <v>0</v>
      </c>
    </row>
    <row r="3244" spans="1:15" x14ac:dyDescent="0.3">
      <c r="A3244" s="340" t="s">
        <v>891</v>
      </c>
      <c r="B3244" s="350">
        <v>46128</v>
      </c>
      <c r="C3244" s="350">
        <v>46128</v>
      </c>
      <c r="D3244" s="351">
        <v>46113</v>
      </c>
      <c r="E3244" s="340" t="s">
        <v>2806</v>
      </c>
      <c r="F3244" s="340" t="s">
        <v>1078</v>
      </c>
      <c r="G3244" s="340" t="s">
        <v>1187</v>
      </c>
      <c r="H3244" s="340"/>
      <c r="I3244" s="340" t="s">
        <v>745</v>
      </c>
      <c r="K3244" s="343">
        <v>178.44</v>
      </c>
      <c r="L3244" s="343">
        <v>0</v>
      </c>
      <c r="M3244" s="343">
        <v>-1195391.73</v>
      </c>
      <c r="O3244" s="343">
        <v>0</v>
      </c>
    </row>
    <row r="3245" spans="1:15" x14ac:dyDescent="0.3">
      <c r="A3245" s="340" t="s">
        <v>891</v>
      </c>
      <c r="B3245" s="350">
        <v>46128</v>
      </c>
      <c r="C3245" s="350">
        <v>46128</v>
      </c>
      <c r="D3245" s="351">
        <v>46113</v>
      </c>
      <c r="E3245" s="340" t="s">
        <v>2806</v>
      </c>
      <c r="F3245" s="340" t="s">
        <v>1078</v>
      </c>
      <c r="G3245" s="340" t="s">
        <v>1188</v>
      </c>
      <c r="H3245" s="340"/>
      <c r="I3245" s="340" t="s">
        <v>745</v>
      </c>
      <c r="K3245" s="343">
        <v>219.18</v>
      </c>
      <c r="L3245" s="343">
        <v>0</v>
      </c>
      <c r="M3245" s="343">
        <v>-1195172.55</v>
      </c>
      <c r="O3245" s="343">
        <v>0</v>
      </c>
    </row>
    <row r="3246" spans="1:15" x14ac:dyDescent="0.3">
      <c r="A3246" s="340" t="s">
        <v>891</v>
      </c>
      <c r="B3246" s="350">
        <v>46128</v>
      </c>
      <c r="C3246" s="350">
        <v>46128</v>
      </c>
      <c r="D3246" s="351">
        <v>46113</v>
      </c>
      <c r="E3246" s="340" t="s">
        <v>2806</v>
      </c>
      <c r="F3246" s="340" t="s">
        <v>1078</v>
      </c>
      <c r="G3246" s="340" t="s">
        <v>1618</v>
      </c>
      <c r="H3246" s="340"/>
      <c r="I3246" s="340" t="s">
        <v>745</v>
      </c>
      <c r="K3246" s="343">
        <v>235.7</v>
      </c>
      <c r="L3246" s="343">
        <v>0</v>
      </c>
      <c r="M3246" s="343">
        <v>-1194936.8500000001</v>
      </c>
      <c r="O3246" s="343">
        <v>0</v>
      </c>
    </row>
    <row r="3247" spans="1:15" x14ac:dyDescent="0.3">
      <c r="A3247" s="340" t="s">
        <v>891</v>
      </c>
      <c r="B3247" s="350">
        <v>46128</v>
      </c>
      <c r="C3247" s="350">
        <v>46128</v>
      </c>
      <c r="D3247" s="351">
        <v>46113</v>
      </c>
      <c r="E3247" s="340" t="s">
        <v>2806</v>
      </c>
      <c r="F3247" s="340" t="s">
        <v>1078</v>
      </c>
      <c r="G3247" s="340" t="s">
        <v>1619</v>
      </c>
      <c r="H3247" s="340"/>
      <c r="I3247" s="340" t="s">
        <v>745</v>
      </c>
      <c r="K3247" s="343">
        <v>97.74</v>
      </c>
      <c r="L3247" s="343">
        <v>0</v>
      </c>
      <c r="M3247" s="343">
        <v>-1194839.1100000001</v>
      </c>
      <c r="O3247" s="343">
        <v>0</v>
      </c>
    </row>
    <row r="3248" spans="1:15" x14ac:dyDescent="0.3">
      <c r="A3248" s="340" t="s">
        <v>891</v>
      </c>
      <c r="B3248" s="350">
        <v>46128</v>
      </c>
      <c r="C3248" s="350">
        <v>46128</v>
      </c>
      <c r="D3248" s="351">
        <v>46113</v>
      </c>
      <c r="E3248" s="340" t="s">
        <v>2806</v>
      </c>
      <c r="F3248" s="340" t="s">
        <v>1078</v>
      </c>
      <c r="G3248" s="340" t="s">
        <v>1620</v>
      </c>
      <c r="H3248" s="340"/>
      <c r="I3248" s="340" t="s">
        <v>745</v>
      </c>
      <c r="K3248" s="343">
        <v>182.03</v>
      </c>
      <c r="L3248" s="343">
        <v>0</v>
      </c>
      <c r="M3248" s="343">
        <v>-1194657.08</v>
      </c>
      <c r="O3248" s="343">
        <v>0</v>
      </c>
    </row>
    <row r="3249" spans="1:15" x14ac:dyDescent="0.3">
      <c r="A3249" s="340" t="s">
        <v>891</v>
      </c>
      <c r="B3249" s="350">
        <v>46128</v>
      </c>
      <c r="C3249" s="350">
        <v>46128</v>
      </c>
      <c r="D3249" s="351">
        <v>46113</v>
      </c>
      <c r="E3249" s="340" t="s">
        <v>2806</v>
      </c>
      <c r="F3249" s="340" t="s">
        <v>1078</v>
      </c>
      <c r="G3249" s="340" t="s">
        <v>1621</v>
      </c>
      <c r="H3249" s="340"/>
      <c r="I3249" s="340" t="s">
        <v>745</v>
      </c>
      <c r="K3249" s="343">
        <v>154.22999999999999</v>
      </c>
      <c r="L3249" s="343">
        <v>0</v>
      </c>
      <c r="M3249" s="343">
        <v>-1194502.8500000001</v>
      </c>
      <c r="O3249" s="343">
        <v>0</v>
      </c>
    </row>
    <row r="3250" spans="1:15" x14ac:dyDescent="0.3">
      <c r="A3250" s="340" t="s">
        <v>891</v>
      </c>
      <c r="B3250" s="350">
        <v>46128</v>
      </c>
      <c r="C3250" s="350">
        <v>46128</v>
      </c>
      <c r="D3250" s="351">
        <v>46113</v>
      </c>
      <c r="E3250" s="340" t="s">
        <v>2806</v>
      </c>
      <c r="F3250" s="340" t="s">
        <v>1078</v>
      </c>
      <c r="G3250" s="340" t="s">
        <v>1622</v>
      </c>
      <c r="H3250" s="340"/>
      <c r="I3250" s="340" t="s">
        <v>745</v>
      </c>
      <c r="K3250" s="343">
        <v>154.22999999999999</v>
      </c>
      <c r="L3250" s="343">
        <v>0</v>
      </c>
      <c r="M3250" s="343">
        <v>-1194348.6200000001</v>
      </c>
      <c r="O3250" s="343">
        <v>0</v>
      </c>
    </row>
    <row r="3251" spans="1:15" x14ac:dyDescent="0.3">
      <c r="A3251" s="340" t="s">
        <v>891</v>
      </c>
      <c r="B3251" s="350">
        <v>46128</v>
      </c>
      <c r="C3251" s="350">
        <v>46128</v>
      </c>
      <c r="D3251" s="351">
        <v>46113</v>
      </c>
      <c r="E3251" s="340" t="s">
        <v>2806</v>
      </c>
      <c r="F3251" s="340" t="s">
        <v>1078</v>
      </c>
      <c r="G3251" s="340" t="s">
        <v>1623</v>
      </c>
      <c r="H3251" s="340"/>
      <c r="I3251" s="340" t="s">
        <v>745</v>
      </c>
      <c r="K3251" s="343">
        <v>41.48</v>
      </c>
      <c r="L3251" s="343">
        <v>0</v>
      </c>
      <c r="M3251" s="343">
        <v>-1194307.1399999999</v>
      </c>
      <c r="O3251" s="343">
        <v>0</v>
      </c>
    </row>
    <row r="3252" spans="1:15" x14ac:dyDescent="0.3">
      <c r="A3252" s="340" t="s">
        <v>891</v>
      </c>
      <c r="B3252" s="350">
        <v>46128</v>
      </c>
      <c r="C3252" s="350">
        <v>46128</v>
      </c>
      <c r="D3252" s="351">
        <v>46113</v>
      </c>
      <c r="E3252" s="340" t="s">
        <v>2806</v>
      </c>
      <c r="F3252" s="340" t="s">
        <v>1078</v>
      </c>
      <c r="G3252" s="340" t="s">
        <v>1624</v>
      </c>
      <c r="H3252" s="340"/>
      <c r="I3252" s="340" t="s">
        <v>745</v>
      </c>
      <c r="K3252" s="343">
        <v>170.36</v>
      </c>
      <c r="L3252" s="343">
        <v>0</v>
      </c>
      <c r="M3252" s="343">
        <v>-1194136.78</v>
      </c>
      <c r="O3252" s="343">
        <v>0</v>
      </c>
    </row>
    <row r="3253" spans="1:15" x14ac:dyDescent="0.3">
      <c r="A3253" s="340" t="s">
        <v>891</v>
      </c>
      <c r="B3253" s="350">
        <v>46128</v>
      </c>
      <c r="C3253" s="350">
        <v>46128</v>
      </c>
      <c r="D3253" s="351">
        <v>46113</v>
      </c>
      <c r="E3253" s="340" t="s">
        <v>2806</v>
      </c>
      <c r="F3253" s="340" t="s">
        <v>1078</v>
      </c>
      <c r="G3253" s="340" t="s">
        <v>1509</v>
      </c>
      <c r="H3253" s="340"/>
      <c r="I3253" s="340" t="s">
        <v>745</v>
      </c>
      <c r="K3253" s="343">
        <v>560.12</v>
      </c>
      <c r="L3253" s="343">
        <v>0</v>
      </c>
      <c r="M3253" s="343">
        <v>-1193576.6599999999</v>
      </c>
      <c r="O3253" s="343">
        <v>0</v>
      </c>
    </row>
    <row r="3254" spans="1:15" x14ac:dyDescent="0.3">
      <c r="A3254" s="340" t="s">
        <v>891</v>
      </c>
      <c r="B3254" s="350">
        <v>46128</v>
      </c>
      <c r="C3254" s="350">
        <v>46128</v>
      </c>
      <c r="D3254" s="351">
        <v>46113</v>
      </c>
      <c r="E3254" s="340" t="s">
        <v>2806</v>
      </c>
      <c r="F3254" s="340" t="s">
        <v>1078</v>
      </c>
      <c r="G3254" s="340" t="s">
        <v>1625</v>
      </c>
      <c r="H3254" s="340"/>
      <c r="I3254" s="340" t="s">
        <v>745</v>
      </c>
      <c r="K3254" s="343">
        <v>104.23</v>
      </c>
      <c r="L3254" s="343">
        <v>0</v>
      </c>
      <c r="M3254" s="343">
        <v>-1193472.43</v>
      </c>
      <c r="O3254" s="343">
        <v>0</v>
      </c>
    </row>
    <row r="3255" spans="1:15" x14ac:dyDescent="0.3">
      <c r="A3255" s="340" t="s">
        <v>891</v>
      </c>
      <c r="B3255" s="350">
        <v>46128</v>
      </c>
      <c r="C3255" s="350">
        <v>46128</v>
      </c>
      <c r="D3255" s="351">
        <v>46113</v>
      </c>
      <c r="E3255" s="340" t="s">
        <v>2807</v>
      </c>
      <c r="F3255" s="340" t="s">
        <v>1078</v>
      </c>
      <c r="G3255" s="340" t="s">
        <v>1079</v>
      </c>
      <c r="H3255" s="340"/>
      <c r="I3255" s="340" t="s">
        <v>2808</v>
      </c>
      <c r="K3255" s="343">
        <v>1081.9000000000001</v>
      </c>
      <c r="L3255" s="343">
        <v>0</v>
      </c>
      <c r="M3255" s="343">
        <v>-1192390.53</v>
      </c>
      <c r="O3255" s="343">
        <v>0</v>
      </c>
    </row>
    <row r="3256" spans="1:15" x14ac:dyDescent="0.3">
      <c r="A3256" s="340" t="s">
        <v>891</v>
      </c>
      <c r="B3256" s="350">
        <v>46128</v>
      </c>
      <c r="C3256" s="350">
        <v>46128</v>
      </c>
      <c r="D3256" s="351">
        <v>46113</v>
      </c>
      <c r="E3256" s="340" t="s">
        <v>2806</v>
      </c>
      <c r="F3256" s="340" t="s">
        <v>1078</v>
      </c>
      <c r="G3256" s="340" t="s">
        <v>1626</v>
      </c>
      <c r="H3256" s="340"/>
      <c r="I3256" s="340" t="s">
        <v>745</v>
      </c>
      <c r="K3256" s="343">
        <v>33.94</v>
      </c>
      <c r="L3256" s="343">
        <v>0</v>
      </c>
      <c r="M3256" s="343">
        <v>-1192356.5900000001</v>
      </c>
      <c r="O3256" s="343">
        <v>0</v>
      </c>
    </row>
    <row r="3257" spans="1:15" x14ac:dyDescent="0.3">
      <c r="A3257" s="340" t="s">
        <v>891</v>
      </c>
      <c r="B3257" s="350">
        <v>46128</v>
      </c>
      <c r="C3257" s="350">
        <v>46128</v>
      </c>
      <c r="D3257" s="351">
        <v>46113</v>
      </c>
      <c r="E3257" s="340" t="s">
        <v>2806</v>
      </c>
      <c r="F3257" s="340" t="s">
        <v>1078</v>
      </c>
      <c r="G3257" s="340" t="s">
        <v>1544</v>
      </c>
      <c r="H3257" s="340"/>
      <c r="I3257" s="340" t="s">
        <v>745</v>
      </c>
      <c r="K3257" s="343">
        <v>148.33000000000001</v>
      </c>
      <c r="L3257" s="343">
        <v>0</v>
      </c>
      <c r="M3257" s="343">
        <v>-1192208.26</v>
      </c>
      <c r="O3257" s="343">
        <v>0</v>
      </c>
    </row>
    <row r="3258" spans="1:15" x14ac:dyDescent="0.3">
      <c r="A3258" s="340" t="s">
        <v>891</v>
      </c>
      <c r="B3258" s="350">
        <v>46128</v>
      </c>
      <c r="C3258" s="350">
        <v>46128</v>
      </c>
      <c r="D3258" s="351">
        <v>46113</v>
      </c>
      <c r="E3258" s="340" t="s">
        <v>2806</v>
      </c>
      <c r="F3258" s="340" t="s">
        <v>1078</v>
      </c>
      <c r="G3258" s="340" t="s">
        <v>1627</v>
      </c>
      <c r="H3258" s="340"/>
      <c r="I3258" s="340" t="s">
        <v>745</v>
      </c>
      <c r="K3258" s="343">
        <v>12.9</v>
      </c>
      <c r="L3258" s="343">
        <v>0</v>
      </c>
      <c r="M3258" s="343">
        <v>-1192195.3600000001</v>
      </c>
      <c r="O3258" s="343">
        <v>0</v>
      </c>
    </row>
    <row r="3259" spans="1:15" x14ac:dyDescent="0.3">
      <c r="A3259" s="340" t="s">
        <v>891</v>
      </c>
      <c r="B3259" s="350">
        <v>46128</v>
      </c>
      <c r="C3259" s="350">
        <v>46128</v>
      </c>
      <c r="D3259" s="351">
        <v>46113</v>
      </c>
      <c r="E3259" s="340" t="s">
        <v>2806</v>
      </c>
      <c r="F3259" s="340" t="s">
        <v>1078</v>
      </c>
      <c r="G3259" s="340" t="s">
        <v>1511</v>
      </c>
      <c r="H3259" s="340"/>
      <c r="I3259" s="340" t="s">
        <v>745</v>
      </c>
      <c r="K3259" s="343">
        <v>62.79</v>
      </c>
      <c r="L3259" s="343">
        <v>0</v>
      </c>
      <c r="M3259" s="343">
        <v>-1192132.57</v>
      </c>
      <c r="O3259" s="343">
        <v>0</v>
      </c>
    </row>
    <row r="3260" spans="1:15" x14ac:dyDescent="0.3">
      <c r="A3260" s="340" t="s">
        <v>891</v>
      </c>
      <c r="B3260" s="350">
        <v>46128</v>
      </c>
      <c r="C3260" s="350">
        <v>46128</v>
      </c>
      <c r="D3260" s="351">
        <v>46113</v>
      </c>
      <c r="E3260" s="340" t="s">
        <v>2806</v>
      </c>
      <c r="F3260" s="340" t="s">
        <v>1078</v>
      </c>
      <c r="G3260" s="340" t="s">
        <v>1628</v>
      </c>
      <c r="H3260" s="340"/>
      <c r="I3260" s="340" t="s">
        <v>745</v>
      </c>
      <c r="K3260" s="343">
        <v>33.4</v>
      </c>
      <c r="L3260" s="343">
        <v>0</v>
      </c>
      <c r="M3260" s="343">
        <v>-1192099.17</v>
      </c>
      <c r="O3260" s="343">
        <v>0</v>
      </c>
    </row>
    <row r="3261" spans="1:15" x14ac:dyDescent="0.3">
      <c r="A3261" s="340" t="s">
        <v>891</v>
      </c>
      <c r="B3261" s="350">
        <v>46128</v>
      </c>
      <c r="C3261" s="350">
        <v>46128</v>
      </c>
      <c r="D3261" s="351">
        <v>46113</v>
      </c>
      <c r="E3261" s="340" t="s">
        <v>2806</v>
      </c>
      <c r="F3261" s="340" t="s">
        <v>1078</v>
      </c>
      <c r="G3261" s="340" t="s">
        <v>1629</v>
      </c>
      <c r="H3261" s="340"/>
      <c r="I3261" s="340" t="s">
        <v>745</v>
      </c>
      <c r="K3261" s="343">
        <v>87</v>
      </c>
      <c r="L3261" s="343">
        <v>0</v>
      </c>
      <c r="M3261" s="343">
        <v>-1192012.17</v>
      </c>
      <c r="O3261" s="343">
        <v>0</v>
      </c>
    </row>
    <row r="3262" spans="1:15" x14ac:dyDescent="0.3">
      <c r="A3262" s="340" t="s">
        <v>891</v>
      </c>
      <c r="B3262" s="350">
        <v>46128</v>
      </c>
      <c r="C3262" s="350">
        <v>46128</v>
      </c>
      <c r="D3262" s="351">
        <v>46113</v>
      </c>
      <c r="E3262" s="340" t="s">
        <v>2806</v>
      </c>
      <c r="F3262" s="340" t="s">
        <v>1078</v>
      </c>
      <c r="G3262" s="340" t="s">
        <v>1630</v>
      </c>
      <c r="H3262" s="340"/>
      <c r="I3262" s="340" t="s">
        <v>745</v>
      </c>
      <c r="K3262" s="343">
        <v>98.38</v>
      </c>
      <c r="L3262" s="343">
        <v>0</v>
      </c>
      <c r="M3262" s="343">
        <v>-1191913.79</v>
      </c>
      <c r="O3262" s="343">
        <v>0</v>
      </c>
    </row>
    <row r="3263" spans="1:15" x14ac:dyDescent="0.3">
      <c r="A3263" s="340" t="s">
        <v>891</v>
      </c>
      <c r="B3263" s="350">
        <v>46128</v>
      </c>
      <c r="C3263" s="350">
        <v>46128</v>
      </c>
      <c r="D3263" s="351">
        <v>46113</v>
      </c>
      <c r="E3263" s="340" t="s">
        <v>2806</v>
      </c>
      <c r="F3263" s="340" t="s">
        <v>1078</v>
      </c>
      <c r="G3263" s="340" t="s">
        <v>1631</v>
      </c>
      <c r="H3263" s="340"/>
      <c r="I3263" s="340" t="s">
        <v>745</v>
      </c>
      <c r="K3263" s="343">
        <v>94.16</v>
      </c>
      <c r="L3263" s="343">
        <v>0</v>
      </c>
      <c r="M3263" s="343">
        <v>-1191819.6299999999</v>
      </c>
      <c r="O3263" s="343">
        <v>0</v>
      </c>
    </row>
    <row r="3264" spans="1:15" x14ac:dyDescent="0.3">
      <c r="A3264" s="340" t="s">
        <v>891</v>
      </c>
      <c r="B3264" s="350">
        <v>46128</v>
      </c>
      <c r="C3264" s="350">
        <v>46128</v>
      </c>
      <c r="D3264" s="351">
        <v>46113</v>
      </c>
      <c r="E3264" s="340" t="s">
        <v>2806</v>
      </c>
      <c r="F3264" s="340" t="s">
        <v>1078</v>
      </c>
      <c r="G3264" s="340" t="s">
        <v>1632</v>
      </c>
      <c r="H3264" s="340"/>
      <c r="I3264" s="340" t="s">
        <v>745</v>
      </c>
      <c r="K3264" s="343">
        <v>482.97</v>
      </c>
      <c r="L3264" s="343">
        <v>0</v>
      </c>
      <c r="M3264" s="343">
        <v>-1191336.6599999999</v>
      </c>
      <c r="O3264" s="343">
        <v>0</v>
      </c>
    </row>
    <row r="3265" spans="1:15" x14ac:dyDescent="0.3">
      <c r="A3265" s="340" t="s">
        <v>891</v>
      </c>
      <c r="B3265" s="350">
        <v>46128</v>
      </c>
      <c r="C3265" s="350">
        <v>46128</v>
      </c>
      <c r="D3265" s="351">
        <v>46113</v>
      </c>
      <c r="E3265" s="340" t="s">
        <v>2806</v>
      </c>
      <c r="F3265" s="340" t="s">
        <v>1078</v>
      </c>
      <c r="G3265" s="340" t="s">
        <v>1633</v>
      </c>
      <c r="H3265" s="340"/>
      <c r="I3265" s="340" t="s">
        <v>745</v>
      </c>
      <c r="K3265" s="343">
        <v>968.8</v>
      </c>
      <c r="L3265" s="343">
        <v>0</v>
      </c>
      <c r="M3265" s="343">
        <v>-1190367.8600000001</v>
      </c>
      <c r="O3265" s="343">
        <v>0</v>
      </c>
    </row>
    <row r="3266" spans="1:15" x14ac:dyDescent="0.3">
      <c r="A3266" s="340" t="s">
        <v>891</v>
      </c>
      <c r="B3266" s="350">
        <v>46128</v>
      </c>
      <c r="C3266" s="350">
        <v>46128</v>
      </c>
      <c r="D3266" s="351">
        <v>46113</v>
      </c>
      <c r="E3266" s="340" t="s">
        <v>2806</v>
      </c>
      <c r="F3266" s="340" t="s">
        <v>1078</v>
      </c>
      <c r="G3266" s="340" t="s">
        <v>1193</v>
      </c>
      <c r="H3266" s="340"/>
      <c r="I3266" s="340" t="s">
        <v>745</v>
      </c>
      <c r="K3266" s="343">
        <v>224.57</v>
      </c>
      <c r="L3266" s="343">
        <v>0</v>
      </c>
      <c r="M3266" s="343">
        <v>-1190143.29</v>
      </c>
      <c r="O3266" s="343">
        <v>0</v>
      </c>
    </row>
    <row r="3267" spans="1:15" x14ac:dyDescent="0.3">
      <c r="A3267" s="340" t="s">
        <v>891</v>
      </c>
      <c r="B3267" s="350">
        <v>46128</v>
      </c>
      <c r="C3267" s="350">
        <v>46128</v>
      </c>
      <c r="D3267" s="351">
        <v>46113</v>
      </c>
      <c r="E3267" s="340" t="s">
        <v>2806</v>
      </c>
      <c r="F3267" s="340" t="s">
        <v>1078</v>
      </c>
      <c r="G3267" s="340" t="s">
        <v>1783</v>
      </c>
      <c r="H3267" s="340"/>
      <c r="I3267" s="340" t="s">
        <v>745</v>
      </c>
      <c r="K3267" s="343">
        <v>198.1</v>
      </c>
      <c r="L3267" s="343">
        <v>0</v>
      </c>
      <c r="M3267" s="343">
        <v>-1189945.19</v>
      </c>
      <c r="O3267" s="343">
        <v>0</v>
      </c>
    </row>
    <row r="3268" spans="1:15" x14ac:dyDescent="0.3">
      <c r="A3268" s="340" t="s">
        <v>891</v>
      </c>
      <c r="B3268" s="350">
        <v>46128</v>
      </c>
      <c r="C3268" s="350">
        <v>46128</v>
      </c>
      <c r="D3268" s="351">
        <v>46113</v>
      </c>
      <c r="E3268" s="340" t="s">
        <v>2806</v>
      </c>
      <c r="F3268" s="340" t="s">
        <v>1078</v>
      </c>
      <c r="G3268" s="340" t="s">
        <v>1784</v>
      </c>
      <c r="H3268" s="340"/>
      <c r="I3268" s="340" t="s">
        <v>745</v>
      </c>
      <c r="K3268" s="343">
        <v>39.340000000000003</v>
      </c>
      <c r="L3268" s="343">
        <v>0</v>
      </c>
      <c r="M3268" s="343">
        <v>-1189905.8500000001</v>
      </c>
      <c r="O3268" s="343">
        <v>0</v>
      </c>
    </row>
    <row r="3269" spans="1:15" x14ac:dyDescent="0.3">
      <c r="A3269" s="340" t="s">
        <v>891</v>
      </c>
      <c r="B3269" s="350">
        <v>46128</v>
      </c>
      <c r="C3269" s="350">
        <v>46128</v>
      </c>
      <c r="D3269" s="351">
        <v>46113</v>
      </c>
      <c r="E3269" s="340" t="s">
        <v>2806</v>
      </c>
      <c r="F3269" s="340" t="s">
        <v>1078</v>
      </c>
      <c r="G3269" s="340" t="s">
        <v>1785</v>
      </c>
      <c r="H3269" s="340"/>
      <c r="I3269" s="340" t="s">
        <v>745</v>
      </c>
      <c r="K3269" s="343">
        <v>39.94</v>
      </c>
      <c r="L3269" s="343">
        <v>0</v>
      </c>
      <c r="M3269" s="343">
        <v>-1189865.9099999999</v>
      </c>
      <c r="O3269" s="343">
        <v>0</v>
      </c>
    </row>
    <row r="3270" spans="1:15" x14ac:dyDescent="0.3">
      <c r="A3270" s="340" t="s">
        <v>891</v>
      </c>
      <c r="B3270" s="350">
        <v>46128</v>
      </c>
      <c r="C3270" s="350">
        <v>46128</v>
      </c>
      <c r="D3270" s="351">
        <v>46113</v>
      </c>
      <c r="E3270" s="340" t="s">
        <v>2806</v>
      </c>
      <c r="F3270" s="340" t="s">
        <v>1078</v>
      </c>
      <c r="G3270" s="340" t="s">
        <v>1786</v>
      </c>
      <c r="H3270" s="340"/>
      <c r="I3270" s="340" t="s">
        <v>745</v>
      </c>
      <c r="K3270" s="343">
        <v>39.94</v>
      </c>
      <c r="L3270" s="343">
        <v>0</v>
      </c>
      <c r="M3270" s="343">
        <v>-1189825.97</v>
      </c>
      <c r="O3270" s="343">
        <v>0</v>
      </c>
    </row>
    <row r="3271" spans="1:15" x14ac:dyDescent="0.3">
      <c r="A3271" s="340" t="s">
        <v>891</v>
      </c>
      <c r="B3271" s="350">
        <v>46128</v>
      </c>
      <c r="C3271" s="350">
        <v>46128</v>
      </c>
      <c r="D3271" s="351">
        <v>46113</v>
      </c>
      <c r="E3271" s="340" t="s">
        <v>2806</v>
      </c>
      <c r="F3271" s="340" t="s">
        <v>1078</v>
      </c>
      <c r="G3271" s="340" t="s">
        <v>1787</v>
      </c>
      <c r="H3271" s="340"/>
      <c r="I3271" s="340" t="s">
        <v>745</v>
      </c>
      <c r="K3271" s="343">
        <v>39.94</v>
      </c>
      <c r="L3271" s="343">
        <v>0</v>
      </c>
      <c r="M3271" s="343">
        <v>-1189786.03</v>
      </c>
      <c r="O3271" s="343">
        <v>0</v>
      </c>
    </row>
    <row r="3272" spans="1:15" x14ac:dyDescent="0.3">
      <c r="A3272" s="340" t="s">
        <v>891</v>
      </c>
      <c r="B3272" s="350">
        <v>46128</v>
      </c>
      <c r="C3272" s="350">
        <v>46128</v>
      </c>
      <c r="D3272" s="351">
        <v>46113</v>
      </c>
      <c r="E3272" s="340" t="s">
        <v>2806</v>
      </c>
      <c r="F3272" s="340" t="s">
        <v>1078</v>
      </c>
      <c r="G3272" s="340" t="s">
        <v>1788</v>
      </c>
      <c r="H3272" s="340"/>
      <c r="I3272" s="340" t="s">
        <v>745</v>
      </c>
      <c r="K3272" s="343">
        <v>39.94</v>
      </c>
      <c r="L3272" s="343">
        <v>0</v>
      </c>
      <c r="M3272" s="343">
        <v>-1189746.0900000001</v>
      </c>
      <c r="O3272" s="343">
        <v>0</v>
      </c>
    </row>
    <row r="3273" spans="1:15" x14ac:dyDescent="0.3">
      <c r="A3273" s="340" t="s">
        <v>891</v>
      </c>
      <c r="B3273" s="350">
        <v>46128</v>
      </c>
      <c r="C3273" s="350">
        <v>46128</v>
      </c>
      <c r="D3273" s="351">
        <v>46113</v>
      </c>
      <c r="E3273" s="340" t="s">
        <v>2806</v>
      </c>
      <c r="F3273" s="340" t="s">
        <v>1078</v>
      </c>
      <c r="G3273" s="340" t="s">
        <v>1789</v>
      </c>
      <c r="H3273" s="340"/>
      <c r="I3273" s="340" t="s">
        <v>745</v>
      </c>
      <c r="K3273" s="343">
        <v>122.85</v>
      </c>
      <c r="L3273" s="343">
        <v>0</v>
      </c>
      <c r="M3273" s="343">
        <v>-1189623.24</v>
      </c>
      <c r="O3273" s="343">
        <v>0</v>
      </c>
    </row>
    <row r="3274" spans="1:15" x14ac:dyDescent="0.3">
      <c r="A3274" s="340" t="s">
        <v>891</v>
      </c>
      <c r="B3274" s="350">
        <v>46128</v>
      </c>
      <c r="C3274" s="350">
        <v>46128</v>
      </c>
      <c r="D3274" s="351">
        <v>46113</v>
      </c>
      <c r="E3274" s="340" t="s">
        <v>2806</v>
      </c>
      <c r="F3274" s="340" t="s">
        <v>1078</v>
      </c>
      <c r="G3274" s="340" t="s">
        <v>1790</v>
      </c>
      <c r="H3274" s="340"/>
      <c r="I3274" s="340" t="s">
        <v>745</v>
      </c>
      <c r="K3274" s="343">
        <v>297.20999999999998</v>
      </c>
      <c r="L3274" s="343">
        <v>0</v>
      </c>
      <c r="M3274" s="343">
        <v>-1189326.03</v>
      </c>
      <c r="O3274" s="343">
        <v>0</v>
      </c>
    </row>
    <row r="3275" spans="1:15" x14ac:dyDescent="0.3">
      <c r="A3275" s="340" t="s">
        <v>891</v>
      </c>
      <c r="B3275" s="350">
        <v>46128</v>
      </c>
      <c r="C3275" s="350">
        <v>46128</v>
      </c>
      <c r="D3275" s="351">
        <v>46113</v>
      </c>
      <c r="E3275" s="340" t="s">
        <v>2806</v>
      </c>
      <c r="F3275" s="340" t="s">
        <v>1078</v>
      </c>
      <c r="G3275" s="340" t="s">
        <v>1791</v>
      </c>
      <c r="H3275" s="340"/>
      <c r="I3275" s="340" t="s">
        <v>745</v>
      </c>
      <c r="K3275" s="343">
        <v>171.46</v>
      </c>
      <c r="L3275" s="343">
        <v>0</v>
      </c>
      <c r="M3275" s="343">
        <v>-1189154.57</v>
      </c>
      <c r="O3275" s="343">
        <v>0</v>
      </c>
    </row>
    <row r="3276" spans="1:15" x14ac:dyDescent="0.3">
      <c r="A3276" s="340" t="s">
        <v>891</v>
      </c>
      <c r="B3276" s="350">
        <v>46128</v>
      </c>
      <c r="C3276" s="350">
        <v>46128</v>
      </c>
      <c r="D3276" s="351">
        <v>46113</v>
      </c>
      <c r="E3276" s="340" t="s">
        <v>2806</v>
      </c>
      <c r="F3276" s="340" t="s">
        <v>1078</v>
      </c>
      <c r="G3276" s="340" t="s">
        <v>1792</v>
      </c>
      <c r="H3276" s="340"/>
      <c r="I3276" s="340" t="s">
        <v>745</v>
      </c>
      <c r="K3276" s="343">
        <v>517.44000000000005</v>
      </c>
      <c r="L3276" s="343">
        <v>0</v>
      </c>
      <c r="M3276" s="343">
        <v>-1188637.1299999999</v>
      </c>
      <c r="O3276" s="343">
        <v>0</v>
      </c>
    </row>
    <row r="3277" spans="1:15" x14ac:dyDescent="0.3">
      <c r="A3277" s="340" t="s">
        <v>891</v>
      </c>
      <c r="B3277" s="350">
        <v>46128</v>
      </c>
      <c r="C3277" s="350">
        <v>46128</v>
      </c>
      <c r="D3277" s="351">
        <v>46113</v>
      </c>
      <c r="E3277" s="340" t="s">
        <v>2806</v>
      </c>
      <c r="F3277" s="340" t="s">
        <v>1078</v>
      </c>
      <c r="G3277" s="340" t="s">
        <v>1631</v>
      </c>
      <c r="H3277" s="340"/>
      <c r="I3277" s="340" t="s">
        <v>745</v>
      </c>
      <c r="K3277" s="343">
        <v>94.17</v>
      </c>
      <c r="L3277" s="343">
        <v>0</v>
      </c>
      <c r="M3277" s="343">
        <v>-1188542.96</v>
      </c>
      <c r="O3277" s="343">
        <v>0</v>
      </c>
    </row>
    <row r="3278" spans="1:15" x14ac:dyDescent="0.3">
      <c r="A3278" s="340" t="s">
        <v>891</v>
      </c>
      <c r="B3278" s="350">
        <v>46128</v>
      </c>
      <c r="C3278" s="350">
        <v>46128</v>
      </c>
      <c r="D3278" s="351">
        <v>46113</v>
      </c>
      <c r="E3278" s="340" t="s">
        <v>2806</v>
      </c>
      <c r="F3278" s="340" t="s">
        <v>1078</v>
      </c>
      <c r="G3278" s="340" t="s">
        <v>1793</v>
      </c>
      <c r="H3278" s="340"/>
      <c r="I3278" s="340" t="s">
        <v>745</v>
      </c>
      <c r="K3278" s="343">
        <v>54.38</v>
      </c>
      <c r="L3278" s="343">
        <v>0</v>
      </c>
      <c r="M3278" s="343">
        <v>-1188488.58</v>
      </c>
      <c r="O3278" s="343">
        <v>0</v>
      </c>
    </row>
    <row r="3279" spans="1:15" x14ac:dyDescent="0.3">
      <c r="A3279" s="340" t="s">
        <v>891</v>
      </c>
      <c r="B3279" s="350">
        <v>46128</v>
      </c>
      <c r="C3279" s="350">
        <v>46128</v>
      </c>
      <c r="D3279" s="351">
        <v>46113</v>
      </c>
      <c r="E3279" s="340" t="s">
        <v>2806</v>
      </c>
      <c r="F3279" s="340" t="s">
        <v>1078</v>
      </c>
      <c r="G3279" s="340" t="s">
        <v>1795</v>
      </c>
      <c r="H3279" s="340"/>
      <c r="I3279" s="340" t="s">
        <v>745</v>
      </c>
      <c r="K3279" s="343">
        <v>60.44</v>
      </c>
      <c r="L3279" s="343">
        <v>0</v>
      </c>
      <c r="M3279" s="343">
        <v>-1188428.1399999999</v>
      </c>
      <c r="O3279" s="343">
        <v>0</v>
      </c>
    </row>
    <row r="3280" spans="1:15" x14ac:dyDescent="0.3">
      <c r="A3280" s="340" t="s">
        <v>891</v>
      </c>
      <c r="B3280" s="350">
        <v>46128</v>
      </c>
      <c r="C3280" s="350">
        <v>46128</v>
      </c>
      <c r="D3280" s="351">
        <v>46113</v>
      </c>
      <c r="E3280" s="340" t="s">
        <v>2806</v>
      </c>
      <c r="F3280" s="340" t="s">
        <v>1078</v>
      </c>
      <c r="G3280" s="340" t="s">
        <v>1589</v>
      </c>
      <c r="H3280" s="340"/>
      <c r="I3280" s="340" t="s">
        <v>745</v>
      </c>
      <c r="K3280" s="343">
        <v>67.56</v>
      </c>
      <c r="L3280" s="343">
        <v>0</v>
      </c>
      <c r="M3280" s="343">
        <v>-1188360.58</v>
      </c>
      <c r="O3280" s="343">
        <v>0</v>
      </c>
    </row>
    <row r="3281" spans="1:15" x14ac:dyDescent="0.3">
      <c r="A3281" s="340" t="s">
        <v>891</v>
      </c>
      <c r="B3281" s="350">
        <v>46128</v>
      </c>
      <c r="C3281" s="350">
        <v>46128</v>
      </c>
      <c r="D3281" s="351">
        <v>46113</v>
      </c>
      <c r="E3281" s="340" t="s">
        <v>2806</v>
      </c>
      <c r="F3281" s="340" t="s">
        <v>1078</v>
      </c>
      <c r="G3281" s="340" t="s">
        <v>1893</v>
      </c>
      <c r="H3281" s="340"/>
      <c r="I3281" s="340" t="s">
        <v>745</v>
      </c>
      <c r="K3281" s="343">
        <v>266.17</v>
      </c>
      <c r="L3281" s="343">
        <v>0</v>
      </c>
      <c r="M3281" s="343">
        <v>-1188094.4099999999</v>
      </c>
      <c r="O3281" s="343">
        <v>0</v>
      </c>
    </row>
    <row r="3282" spans="1:15" x14ac:dyDescent="0.3">
      <c r="A3282" s="340" t="s">
        <v>891</v>
      </c>
      <c r="B3282" s="350">
        <v>46128</v>
      </c>
      <c r="C3282" s="350">
        <v>46128</v>
      </c>
      <c r="D3282" s="351">
        <v>46113</v>
      </c>
      <c r="E3282" s="340" t="s">
        <v>2806</v>
      </c>
      <c r="F3282" s="340" t="s">
        <v>1078</v>
      </c>
      <c r="G3282" s="340" t="s">
        <v>1924</v>
      </c>
      <c r="H3282" s="340"/>
      <c r="I3282" s="340" t="s">
        <v>745</v>
      </c>
      <c r="K3282" s="343">
        <v>330.49</v>
      </c>
      <c r="L3282" s="343">
        <v>0</v>
      </c>
      <c r="M3282" s="343">
        <v>-1187763.92</v>
      </c>
      <c r="O3282" s="343">
        <v>0</v>
      </c>
    </row>
    <row r="3283" spans="1:15" x14ac:dyDescent="0.3">
      <c r="A3283" s="340" t="s">
        <v>891</v>
      </c>
      <c r="B3283" s="350">
        <v>46128</v>
      </c>
      <c r="C3283" s="350">
        <v>46128</v>
      </c>
      <c r="D3283" s="351">
        <v>46113</v>
      </c>
      <c r="E3283" s="340" t="s">
        <v>2806</v>
      </c>
      <c r="F3283" s="340" t="s">
        <v>1078</v>
      </c>
      <c r="G3283" s="340" t="s">
        <v>1513</v>
      </c>
      <c r="H3283" s="340"/>
      <c r="I3283" s="340" t="s">
        <v>745</v>
      </c>
      <c r="K3283" s="343">
        <v>11.99</v>
      </c>
      <c r="L3283" s="343">
        <v>0</v>
      </c>
      <c r="M3283" s="343">
        <v>-1187751.93</v>
      </c>
      <c r="O3283" s="343">
        <v>0</v>
      </c>
    </row>
    <row r="3284" spans="1:15" x14ac:dyDescent="0.3">
      <c r="A3284" s="340" t="s">
        <v>891</v>
      </c>
      <c r="B3284" s="350">
        <v>46128</v>
      </c>
      <c r="C3284" s="350">
        <v>46128</v>
      </c>
      <c r="D3284" s="351">
        <v>46113</v>
      </c>
      <c r="E3284" s="340" t="s">
        <v>2806</v>
      </c>
      <c r="F3284" s="340" t="s">
        <v>1078</v>
      </c>
      <c r="G3284" s="340" t="s">
        <v>1925</v>
      </c>
      <c r="H3284" s="340"/>
      <c r="I3284" s="340" t="s">
        <v>745</v>
      </c>
      <c r="K3284" s="343">
        <v>49.32</v>
      </c>
      <c r="L3284" s="343">
        <v>0</v>
      </c>
      <c r="M3284" s="343">
        <v>-1187702.6100000001</v>
      </c>
      <c r="O3284" s="343">
        <v>0</v>
      </c>
    </row>
    <row r="3285" spans="1:15" x14ac:dyDescent="0.3">
      <c r="A3285" s="340" t="s">
        <v>891</v>
      </c>
      <c r="B3285" s="350">
        <v>46128</v>
      </c>
      <c r="C3285" s="350">
        <v>46128</v>
      </c>
      <c r="D3285" s="351">
        <v>46113</v>
      </c>
      <c r="E3285" s="340" t="s">
        <v>2806</v>
      </c>
      <c r="F3285" s="340" t="s">
        <v>1078</v>
      </c>
      <c r="G3285" s="340" t="s">
        <v>1926</v>
      </c>
      <c r="H3285" s="340"/>
      <c r="I3285" s="340" t="s">
        <v>745</v>
      </c>
      <c r="K3285" s="343">
        <v>37.67</v>
      </c>
      <c r="L3285" s="343">
        <v>0</v>
      </c>
      <c r="M3285" s="343">
        <v>-1187664.94</v>
      </c>
      <c r="O3285" s="343">
        <v>0</v>
      </c>
    </row>
    <row r="3286" spans="1:15" x14ac:dyDescent="0.3">
      <c r="A3286" s="340" t="s">
        <v>891</v>
      </c>
      <c r="B3286" s="350">
        <v>46128</v>
      </c>
      <c r="C3286" s="350">
        <v>46128</v>
      </c>
      <c r="D3286" s="351">
        <v>46113</v>
      </c>
      <c r="E3286" s="340" t="s">
        <v>2806</v>
      </c>
      <c r="F3286" s="340" t="s">
        <v>1078</v>
      </c>
      <c r="G3286" s="340" t="s">
        <v>1901</v>
      </c>
      <c r="H3286" s="340"/>
      <c r="I3286" s="340" t="s">
        <v>745</v>
      </c>
      <c r="K3286" s="343">
        <v>291.3</v>
      </c>
      <c r="L3286" s="343">
        <v>0</v>
      </c>
      <c r="M3286" s="343">
        <v>-1187373.6399999999</v>
      </c>
      <c r="O3286" s="343">
        <v>0</v>
      </c>
    </row>
    <row r="3287" spans="1:15" x14ac:dyDescent="0.3">
      <c r="A3287" s="340" t="s">
        <v>891</v>
      </c>
      <c r="B3287" s="350">
        <v>46128</v>
      </c>
      <c r="C3287" s="350">
        <v>46128</v>
      </c>
      <c r="D3287" s="351">
        <v>46113</v>
      </c>
      <c r="E3287" s="340" t="s">
        <v>2806</v>
      </c>
      <c r="F3287" s="340" t="s">
        <v>1078</v>
      </c>
      <c r="G3287" s="340" t="s">
        <v>1902</v>
      </c>
      <c r="H3287" s="340"/>
      <c r="I3287" s="340" t="s">
        <v>745</v>
      </c>
      <c r="K3287" s="343">
        <v>25.33</v>
      </c>
      <c r="L3287" s="343">
        <v>0</v>
      </c>
      <c r="M3287" s="343">
        <v>-1187348.31</v>
      </c>
      <c r="O3287" s="343">
        <v>0</v>
      </c>
    </row>
    <row r="3288" spans="1:15" x14ac:dyDescent="0.3">
      <c r="A3288" s="340" t="s">
        <v>891</v>
      </c>
      <c r="B3288" s="350">
        <v>46128</v>
      </c>
      <c r="C3288" s="350">
        <v>46128</v>
      </c>
      <c r="D3288" s="351">
        <v>46113</v>
      </c>
      <c r="E3288" s="340" t="s">
        <v>2806</v>
      </c>
      <c r="F3288" s="340" t="s">
        <v>1078</v>
      </c>
      <c r="G3288" s="340" t="s">
        <v>1903</v>
      </c>
      <c r="H3288" s="340"/>
      <c r="I3288" s="340" t="s">
        <v>745</v>
      </c>
      <c r="K3288" s="343">
        <v>26.28</v>
      </c>
      <c r="L3288" s="343">
        <v>0</v>
      </c>
      <c r="M3288" s="343">
        <v>-1187322.03</v>
      </c>
      <c r="O3288" s="343">
        <v>0</v>
      </c>
    </row>
    <row r="3289" spans="1:15" x14ac:dyDescent="0.3">
      <c r="A3289" s="340" t="s">
        <v>891</v>
      </c>
      <c r="B3289" s="350">
        <v>46128</v>
      </c>
      <c r="C3289" s="350">
        <v>46128</v>
      </c>
      <c r="D3289" s="351">
        <v>46113</v>
      </c>
      <c r="E3289" s="340" t="s">
        <v>2806</v>
      </c>
      <c r="F3289" s="340" t="s">
        <v>1078</v>
      </c>
      <c r="G3289" s="340" t="s">
        <v>1904</v>
      </c>
      <c r="H3289" s="340"/>
      <c r="I3289" s="340" t="s">
        <v>745</v>
      </c>
      <c r="K3289" s="343">
        <v>33.71</v>
      </c>
      <c r="L3289" s="343">
        <v>0</v>
      </c>
      <c r="M3289" s="343">
        <v>-1187288.32</v>
      </c>
      <c r="O3289" s="343">
        <v>0</v>
      </c>
    </row>
    <row r="3290" spans="1:15" x14ac:dyDescent="0.3">
      <c r="A3290" s="340" t="s">
        <v>891</v>
      </c>
      <c r="B3290" s="350">
        <v>46128</v>
      </c>
      <c r="C3290" s="350">
        <v>46128</v>
      </c>
      <c r="D3290" s="351">
        <v>46113</v>
      </c>
      <c r="E3290" s="340" t="s">
        <v>2806</v>
      </c>
      <c r="F3290" s="340" t="s">
        <v>1078</v>
      </c>
      <c r="G3290" s="340" t="s">
        <v>1905</v>
      </c>
      <c r="H3290" s="340"/>
      <c r="I3290" s="340" t="s">
        <v>745</v>
      </c>
      <c r="K3290" s="343">
        <v>24.18</v>
      </c>
      <c r="L3290" s="343">
        <v>0</v>
      </c>
      <c r="M3290" s="343">
        <v>-1187264.1399999999</v>
      </c>
      <c r="O3290" s="343">
        <v>0</v>
      </c>
    </row>
    <row r="3291" spans="1:15" x14ac:dyDescent="0.3">
      <c r="A3291" s="340" t="s">
        <v>891</v>
      </c>
      <c r="B3291" s="350">
        <v>46128</v>
      </c>
      <c r="C3291" s="350">
        <v>46128</v>
      </c>
      <c r="D3291" s="351">
        <v>46113</v>
      </c>
      <c r="E3291" s="340" t="s">
        <v>2806</v>
      </c>
      <c r="F3291" s="340" t="s">
        <v>1078</v>
      </c>
      <c r="G3291" s="340" t="s">
        <v>1906</v>
      </c>
      <c r="H3291" s="340"/>
      <c r="I3291" s="340" t="s">
        <v>745</v>
      </c>
      <c r="K3291" s="343">
        <v>20.94</v>
      </c>
      <c r="L3291" s="343">
        <v>0</v>
      </c>
      <c r="M3291" s="343">
        <v>-1187243.2</v>
      </c>
      <c r="O3291" s="343">
        <v>0</v>
      </c>
    </row>
    <row r="3292" spans="1:15" x14ac:dyDescent="0.3">
      <c r="A3292" s="340" t="s">
        <v>891</v>
      </c>
      <c r="B3292" s="350">
        <v>46128</v>
      </c>
      <c r="C3292" s="350">
        <v>46128</v>
      </c>
      <c r="D3292" s="351">
        <v>46113</v>
      </c>
      <c r="E3292" s="340" t="s">
        <v>2806</v>
      </c>
      <c r="F3292" s="340" t="s">
        <v>1078</v>
      </c>
      <c r="G3292" s="340" t="s">
        <v>1907</v>
      </c>
      <c r="H3292" s="340"/>
      <c r="I3292" s="340" t="s">
        <v>745</v>
      </c>
      <c r="K3292" s="343">
        <v>24.55</v>
      </c>
      <c r="L3292" s="343">
        <v>0</v>
      </c>
      <c r="M3292" s="343">
        <v>-1187218.6499999999</v>
      </c>
      <c r="O3292" s="343">
        <v>0</v>
      </c>
    </row>
    <row r="3293" spans="1:15" x14ac:dyDescent="0.3">
      <c r="A3293" s="340" t="s">
        <v>891</v>
      </c>
      <c r="B3293" s="350">
        <v>46128</v>
      </c>
      <c r="C3293" s="350">
        <v>46128</v>
      </c>
      <c r="D3293" s="351">
        <v>46113</v>
      </c>
      <c r="E3293" s="340" t="s">
        <v>2806</v>
      </c>
      <c r="F3293" s="340" t="s">
        <v>1078</v>
      </c>
      <c r="G3293" s="340" t="s">
        <v>1908</v>
      </c>
      <c r="H3293" s="340"/>
      <c r="I3293" s="340" t="s">
        <v>745</v>
      </c>
      <c r="K3293" s="343">
        <v>94.48</v>
      </c>
      <c r="L3293" s="343">
        <v>0</v>
      </c>
      <c r="M3293" s="343">
        <v>-1187124.17</v>
      </c>
      <c r="O3293" s="343">
        <v>0</v>
      </c>
    </row>
    <row r="3294" spans="1:15" x14ac:dyDescent="0.3">
      <c r="A3294" s="340" t="s">
        <v>891</v>
      </c>
      <c r="B3294" s="350">
        <v>46128</v>
      </c>
      <c r="C3294" s="350">
        <v>46128</v>
      </c>
      <c r="D3294" s="351">
        <v>46113</v>
      </c>
      <c r="E3294" s="340" t="s">
        <v>2806</v>
      </c>
      <c r="F3294" s="340" t="s">
        <v>1078</v>
      </c>
      <c r="G3294" s="340" t="s">
        <v>1909</v>
      </c>
      <c r="H3294" s="340"/>
      <c r="I3294" s="340" t="s">
        <v>745</v>
      </c>
      <c r="K3294" s="343">
        <v>164.27</v>
      </c>
      <c r="L3294" s="343">
        <v>0</v>
      </c>
      <c r="M3294" s="343">
        <v>-1186959.8999999999</v>
      </c>
      <c r="O3294" s="343">
        <v>0</v>
      </c>
    </row>
    <row r="3295" spans="1:15" x14ac:dyDescent="0.3">
      <c r="A3295" s="340" t="s">
        <v>891</v>
      </c>
      <c r="B3295" s="350">
        <v>46128</v>
      </c>
      <c r="C3295" s="350">
        <v>46128</v>
      </c>
      <c r="D3295" s="351">
        <v>46113</v>
      </c>
      <c r="E3295" s="340" t="s">
        <v>2806</v>
      </c>
      <c r="F3295" s="340" t="s">
        <v>1078</v>
      </c>
      <c r="G3295" s="340" t="s">
        <v>1795</v>
      </c>
      <c r="H3295" s="340"/>
      <c r="I3295" s="340" t="s">
        <v>745</v>
      </c>
      <c r="K3295" s="343">
        <v>56.67</v>
      </c>
      <c r="L3295" s="343">
        <v>0</v>
      </c>
      <c r="M3295" s="343">
        <v>-1186903.23</v>
      </c>
      <c r="O3295" s="343">
        <v>0</v>
      </c>
    </row>
    <row r="3296" spans="1:15" x14ac:dyDescent="0.3">
      <c r="A3296" s="340" t="s">
        <v>891</v>
      </c>
      <c r="B3296" s="350">
        <v>46128</v>
      </c>
      <c r="C3296" s="350">
        <v>46128</v>
      </c>
      <c r="D3296" s="351">
        <v>46113</v>
      </c>
      <c r="E3296" s="340" t="s">
        <v>2806</v>
      </c>
      <c r="F3296" s="340" t="s">
        <v>1078</v>
      </c>
      <c r="G3296" s="340" t="s">
        <v>1910</v>
      </c>
      <c r="H3296" s="340"/>
      <c r="I3296" s="340" t="s">
        <v>745</v>
      </c>
      <c r="K3296" s="343">
        <v>62.79</v>
      </c>
      <c r="L3296" s="343">
        <v>0</v>
      </c>
      <c r="M3296" s="343">
        <v>-1186840.44</v>
      </c>
      <c r="O3296" s="343">
        <v>0</v>
      </c>
    </row>
    <row r="3297" spans="1:15" x14ac:dyDescent="0.3">
      <c r="A3297" s="340" t="s">
        <v>891</v>
      </c>
      <c r="B3297" s="350">
        <v>46128</v>
      </c>
      <c r="C3297" s="350">
        <v>46128</v>
      </c>
      <c r="D3297" s="351">
        <v>46113</v>
      </c>
      <c r="E3297" s="340" t="s">
        <v>2806</v>
      </c>
      <c r="F3297" s="340" t="s">
        <v>1078</v>
      </c>
      <c r="G3297" s="340" t="s">
        <v>1911</v>
      </c>
      <c r="H3297" s="340"/>
      <c r="I3297" s="340" t="s">
        <v>745</v>
      </c>
      <c r="K3297" s="343">
        <v>99.92</v>
      </c>
      <c r="L3297" s="343">
        <v>0</v>
      </c>
      <c r="M3297" s="343">
        <v>-1186740.52</v>
      </c>
      <c r="O3297" s="343">
        <v>0</v>
      </c>
    </row>
    <row r="3298" spans="1:15" x14ac:dyDescent="0.3">
      <c r="A3298" s="340" t="s">
        <v>891</v>
      </c>
      <c r="B3298" s="350">
        <v>46128</v>
      </c>
      <c r="C3298" s="350">
        <v>46128</v>
      </c>
      <c r="D3298" s="351">
        <v>46113</v>
      </c>
      <c r="E3298" s="340" t="s">
        <v>2806</v>
      </c>
      <c r="F3298" s="340" t="s">
        <v>1078</v>
      </c>
      <c r="G3298" s="340" t="s">
        <v>1912</v>
      </c>
      <c r="H3298" s="340"/>
      <c r="I3298" s="340" t="s">
        <v>745</v>
      </c>
      <c r="K3298" s="343">
        <v>56.94</v>
      </c>
      <c r="L3298" s="343">
        <v>0</v>
      </c>
      <c r="M3298" s="343">
        <v>-1186683.58</v>
      </c>
      <c r="O3298" s="343">
        <v>0</v>
      </c>
    </row>
    <row r="3299" spans="1:15" x14ac:dyDescent="0.3">
      <c r="A3299" s="340" t="s">
        <v>891</v>
      </c>
      <c r="B3299" s="350">
        <v>46128</v>
      </c>
      <c r="C3299" s="350">
        <v>46128</v>
      </c>
      <c r="D3299" s="351">
        <v>46113</v>
      </c>
      <c r="E3299" s="340" t="s">
        <v>2806</v>
      </c>
      <c r="F3299" s="340" t="s">
        <v>1078</v>
      </c>
      <c r="G3299" s="340" t="s">
        <v>1913</v>
      </c>
      <c r="H3299" s="340"/>
      <c r="I3299" s="340" t="s">
        <v>745</v>
      </c>
      <c r="K3299" s="343">
        <v>18.940000000000001</v>
      </c>
      <c r="L3299" s="343">
        <v>0</v>
      </c>
      <c r="M3299" s="343">
        <v>-1186664.6399999999</v>
      </c>
      <c r="O3299" s="343">
        <v>0</v>
      </c>
    </row>
    <row r="3300" spans="1:15" x14ac:dyDescent="0.3">
      <c r="A3300" s="340" t="s">
        <v>891</v>
      </c>
      <c r="B3300" s="350">
        <v>46128</v>
      </c>
      <c r="C3300" s="350">
        <v>46128</v>
      </c>
      <c r="D3300" s="351">
        <v>46113</v>
      </c>
      <c r="E3300" s="340" t="s">
        <v>2806</v>
      </c>
      <c r="F3300" s="340" t="s">
        <v>1078</v>
      </c>
      <c r="G3300" s="340" t="s">
        <v>1914</v>
      </c>
      <c r="H3300" s="340"/>
      <c r="I3300" s="340" t="s">
        <v>745</v>
      </c>
      <c r="K3300" s="343">
        <v>17.100000000000001</v>
      </c>
      <c r="L3300" s="343">
        <v>0</v>
      </c>
      <c r="M3300" s="343">
        <v>-1186647.54</v>
      </c>
      <c r="O3300" s="343">
        <v>0</v>
      </c>
    </row>
    <row r="3301" spans="1:15" x14ac:dyDescent="0.3">
      <c r="A3301" s="340" t="s">
        <v>891</v>
      </c>
      <c r="B3301" s="350">
        <v>46128</v>
      </c>
      <c r="C3301" s="350">
        <v>46128</v>
      </c>
      <c r="D3301" s="351">
        <v>46113</v>
      </c>
      <c r="E3301" s="340" t="s">
        <v>2806</v>
      </c>
      <c r="F3301" s="340" t="s">
        <v>1078</v>
      </c>
      <c r="G3301" s="340" t="s">
        <v>1915</v>
      </c>
      <c r="H3301" s="340"/>
      <c r="I3301" s="340" t="s">
        <v>745</v>
      </c>
      <c r="K3301" s="343">
        <v>74.260000000000005</v>
      </c>
      <c r="L3301" s="343">
        <v>0</v>
      </c>
      <c r="M3301" s="343">
        <v>-1186573.28</v>
      </c>
      <c r="O3301" s="343">
        <v>0</v>
      </c>
    </row>
    <row r="3302" spans="1:15" x14ac:dyDescent="0.3">
      <c r="A3302" s="340" t="s">
        <v>891</v>
      </c>
      <c r="B3302" s="350">
        <v>46128</v>
      </c>
      <c r="C3302" s="350">
        <v>46128</v>
      </c>
      <c r="D3302" s="351">
        <v>46113</v>
      </c>
      <c r="E3302" s="340" t="s">
        <v>2806</v>
      </c>
      <c r="F3302" s="340" t="s">
        <v>1078</v>
      </c>
      <c r="G3302" s="340" t="s">
        <v>1916</v>
      </c>
      <c r="H3302" s="340"/>
      <c r="I3302" s="340" t="s">
        <v>745</v>
      </c>
      <c r="K3302" s="343">
        <v>18.66</v>
      </c>
      <c r="L3302" s="343">
        <v>0</v>
      </c>
      <c r="M3302" s="343">
        <v>-1186554.6200000001</v>
      </c>
      <c r="O3302" s="343">
        <v>0</v>
      </c>
    </row>
    <row r="3303" spans="1:15" x14ac:dyDescent="0.3">
      <c r="A3303" s="340" t="s">
        <v>891</v>
      </c>
      <c r="B3303" s="350">
        <v>46128</v>
      </c>
      <c r="C3303" s="350">
        <v>46128</v>
      </c>
      <c r="D3303" s="351">
        <v>46113</v>
      </c>
      <c r="E3303" s="340" t="s">
        <v>2806</v>
      </c>
      <c r="F3303" s="340" t="s">
        <v>1078</v>
      </c>
      <c r="G3303" s="340" t="s">
        <v>1917</v>
      </c>
      <c r="H3303" s="340"/>
      <c r="I3303" s="340" t="s">
        <v>745</v>
      </c>
      <c r="K3303" s="343">
        <v>7.79</v>
      </c>
      <c r="L3303" s="343">
        <v>0</v>
      </c>
      <c r="M3303" s="343">
        <v>-1186546.83</v>
      </c>
      <c r="O3303" s="343">
        <v>0</v>
      </c>
    </row>
    <row r="3304" spans="1:15" x14ac:dyDescent="0.3">
      <c r="A3304" s="340" t="s">
        <v>891</v>
      </c>
      <c r="B3304" s="350">
        <v>46128</v>
      </c>
      <c r="C3304" s="350">
        <v>46128</v>
      </c>
      <c r="D3304" s="351">
        <v>46113</v>
      </c>
      <c r="E3304" s="340" t="s">
        <v>2806</v>
      </c>
      <c r="F3304" s="340" t="s">
        <v>1078</v>
      </c>
      <c r="G3304" s="340" t="s">
        <v>1918</v>
      </c>
      <c r="H3304" s="340"/>
      <c r="I3304" s="340" t="s">
        <v>745</v>
      </c>
      <c r="K3304" s="343">
        <v>27.6</v>
      </c>
      <c r="L3304" s="343">
        <v>0</v>
      </c>
      <c r="M3304" s="343">
        <v>-1186519.23</v>
      </c>
      <c r="O3304" s="343">
        <v>0</v>
      </c>
    </row>
    <row r="3305" spans="1:15" x14ac:dyDescent="0.3">
      <c r="A3305" s="340" t="s">
        <v>891</v>
      </c>
      <c r="B3305" s="350">
        <v>46128</v>
      </c>
      <c r="C3305" s="350">
        <v>46128</v>
      </c>
      <c r="D3305" s="351">
        <v>46113</v>
      </c>
      <c r="E3305" s="340" t="s">
        <v>2806</v>
      </c>
      <c r="F3305" s="340" t="s">
        <v>1078</v>
      </c>
      <c r="G3305" s="340" t="s">
        <v>1562</v>
      </c>
      <c r="H3305" s="340"/>
      <c r="I3305" s="340" t="s">
        <v>745</v>
      </c>
      <c r="K3305" s="343">
        <v>344.8</v>
      </c>
      <c r="L3305" s="343">
        <v>0</v>
      </c>
      <c r="M3305" s="343">
        <v>-1186174.43</v>
      </c>
      <c r="O3305" s="343">
        <v>0</v>
      </c>
    </row>
    <row r="3306" spans="1:15" x14ac:dyDescent="0.3">
      <c r="A3306" s="340" t="s">
        <v>891</v>
      </c>
      <c r="B3306" s="350">
        <v>46128</v>
      </c>
      <c r="C3306" s="350">
        <v>46128</v>
      </c>
      <c r="D3306" s="351">
        <v>46113</v>
      </c>
      <c r="E3306" s="340" t="s">
        <v>2806</v>
      </c>
      <c r="F3306" s="340" t="s">
        <v>1078</v>
      </c>
      <c r="G3306" s="340" t="s">
        <v>1919</v>
      </c>
      <c r="H3306" s="340"/>
      <c r="I3306" s="340" t="s">
        <v>745</v>
      </c>
      <c r="K3306" s="343">
        <v>19.03</v>
      </c>
      <c r="L3306" s="343">
        <v>0</v>
      </c>
      <c r="M3306" s="343">
        <v>-1186155.3999999999</v>
      </c>
      <c r="O3306" s="343">
        <v>0</v>
      </c>
    </row>
    <row r="3307" spans="1:15" x14ac:dyDescent="0.3">
      <c r="A3307" s="340" t="s">
        <v>891</v>
      </c>
      <c r="B3307" s="350">
        <v>46128</v>
      </c>
      <c r="C3307" s="350">
        <v>46128</v>
      </c>
      <c r="D3307" s="351">
        <v>46113</v>
      </c>
      <c r="E3307" s="340" t="s">
        <v>2806</v>
      </c>
      <c r="F3307" s="340" t="s">
        <v>1078</v>
      </c>
      <c r="G3307" s="340" t="s">
        <v>1920</v>
      </c>
      <c r="H3307" s="340"/>
      <c r="I3307" s="340" t="s">
        <v>745</v>
      </c>
      <c r="K3307" s="343">
        <v>35.18</v>
      </c>
      <c r="L3307" s="343">
        <v>0</v>
      </c>
      <c r="M3307" s="343">
        <v>-1186120.22</v>
      </c>
      <c r="O3307" s="343">
        <v>0</v>
      </c>
    </row>
    <row r="3308" spans="1:15" x14ac:dyDescent="0.3">
      <c r="A3308" s="340" t="s">
        <v>891</v>
      </c>
      <c r="B3308" s="350">
        <v>46128</v>
      </c>
      <c r="C3308" s="350">
        <v>46128</v>
      </c>
      <c r="D3308" s="351">
        <v>46113</v>
      </c>
      <c r="E3308" s="340" t="s">
        <v>2806</v>
      </c>
      <c r="F3308" s="340" t="s">
        <v>1078</v>
      </c>
      <c r="G3308" s="340" t="s">
        <v>1921</v>
      </c>
      <c r="H3308" s="340"/>
      <c r="I3308" s="340" t="s">
        <v>745</v>
      </c>
      <c r="K3308" s="343">
        <v>9.0399999999999991</v>
      </c>
      <c r="L3308" s="343">
        <v>0</v>
      </c>
      <c r="M3308" s="343">
        <v>-1186111.18</v>
      </c>
      <c r="O3308" s="343">
        <v>0</v>
      </c>
    </row>
    <row r="3309" spans="1:15" x14ac:dyDescent="0.3">
      <c r="A3309" s="340" t="s">
        <v>891</v>
      </c>
      <c r="B3309" s="350">
        <v>46128</v>
      </c>
      <c r="C3309" s="350">
        <v>46128</v>
      </c>
      <c r="D3309" s="351">
        <v>46113</v>
      </c>
      <c r="E3309" s="340" t="s">
        <v>2806</v>
      </c>
      <c r="F3309" s="340" t="s">
        <v>1078</v>
      </c>
      <c r="G3309" s="340" t="s">
        <v>1922</v>
      </c>
      <c r="H3309" s="340"/>
      <c r="I3309" s="340" t="s">
        <v>745</v>
      </c>
      <c r="K3309" s="343">
        <v>105.22</v>
      </c>
      <c r="L3309" s="343">
        <v>0</v>
      </c>
      <c r="M3309" s="343">
        <v>-1186005.96</v>
      </c>
      <c r="O3309" s="343">
        <v>0</v>
      </c>
    </row>
    <row r="3310" spans="1:15" x14ac:dyDescent="0.3">
      <c r="A3310" s="340" t="s">
        <v>891</v>
      </c>
      <c r="B3310" s="350">
        <v>46128</v>
      </c>
      <c r="C3310" s="350">
        <v>46128</v>
      </c>
      <c r="D3310" s="351">
        <v>46113</v>
      </c>
      <c r="E3310" s="340" t="s">
        <v>2807</v>
      </c>
      <c r="F3310" s="340" t="s">
        <v>1078</v>
      </c>
      <c r="G3310" s="340" t="s">
        <v>1079</v>
      </c>
      <c r="H3310" s="340"/>
      <c r="I3310" s="340" t="s">
        <v>2808</v>
      </c>
      <c r="K3310" s="343">
        <v>568.32000000000005</v>
      </c>
      <c r="L3310" s="343">
        <v>0</v>
      </c>
      <c r="M3310" s="343">
        <v>-1185437.6399999999</v>
      </c>
      <c r="O3310" s="343">
        <v>0</v>
      </c>
    </row>
    <row r="3311" spans="1:15" x14ac:dyDescent="0.3">
      <c r="A3311" s="340" t="s">
        <v>891</v>
      </c>
      <c r="B3311" s="350">
        <v>46128</v>
      </c>
      <c r="C3311" s="350">
        <v>46128</v>
      </c>
      <c r="D3311" s="351">
        <v>46113</v>
      </c>
      <c r="E3311" s="340" t="s">
        <v>2806</v>
      </c>
      <c r="F3311" s="340" t="s">
        <v>1078</v>
      </c>
      <c r="G3311" s="340" t="s">
        <v>1923</v>
      </c>
      <c r="H3311" s="340"/>
      <c r="I3311" s="340" t="s">
        <v>745</v>
      </c>
      <c r="K3311" s="343">
        <v>83.79</v>
      </c>
      <c r="L3311" s="343">
        <v>0</v>
      </c>
      <c r="M3311" s="343">
        <v>-1185353.8500000001</v>
      </c>
      <c r="O3311" s="343">
        <v>0</v>
      </c>
    </row>
    <row r="3312" spans="1:15" x14ac:dyDescent="0.3">
      <c r="A3312" s="340" t="s">
        <v>891</v>
      </c>
      <c r="B3312" s="350">
        <v>46128</v>
      </c>
      <c r="C3312" s="350">
        <v>46128</v>
      </c>
      <c r="D3312" s="351">
        <v>46113</v>
      </c>
      <c r="E3312" s="340" t="s">
        <v>2806</v>
      </c>
      <c r="F3312" s="340" t="s">
        <v>1078</v>
      </c>
      <c r="G3312" s="340" t="s">
        <v>1909</v>
      </c>
      <c r="H3312" s="340"/>
      <c r="I3312" s="340" t="s">
        <v>745</v>
      </c>
      <c r="K3312" s="343">
        <v>230.01</v>
      </c>
      <c r="L3312" s="343">
        <v>0</v>
      </c>
      <c r="M3312" s="343">
        <v>-1185123.8400000001</v>
      </c>
      <c r="O3312" s="343">
        <v>0</v>
      </c>
    </row>
    <row r="3313" spans="1:15" x14ac:dyDescent="0.3">
      <c r="A3313" s="340" t="s">
        <v>891</v>
      </c>
      <c r="B3313" s="350">
        <v>46128</v>
      </c>
      <c r="C3313" s="350">
        <v>46128</v>
      </c>
      <c r="D3313" s="351">
        <v>46113</v>
      </c>
      <c r="E3313" s="340" t="s">
        <v>2806</v>
      </c>
      <c r="F3313" s="340" t="s">
        <v>1078</v>
      </c>
      <c r="G3313" s="340" t="s">
        <v>1887</v>
      </c>
      <c r="H3313" s="340"/>
      <c r="I3313" s="340" t="s">
        <v>745</v>
      </c>
      <c r="K3313" s="343">
        <v>51</v>
      </c>
      <c r="L3313" s="343">
        <v>0</v>
      </c>
      <c r="M3313" s="343">
        <v>-1185072.8400000001</v>
      </c>
      <c r="O3313" s="343">
        <v>0</v>
      </c>
    </row>
    <row r="3314" spans="1:15" x14ac:dyDescent="0.3">
      <c r="A3314" s="340" t="s">
        <v>891</v>
      </c>
      <c r="B3314" s="350">
        <v>46128</v>
      </c>
      <c r="C3314" s="350">
        <v>46128</v>
      </c>
      <c r="D3314" s="351">
        <v>46113</v>
      </c>
      <c r="E3314" s="340" t="s">
        <v>2806</v>
      </c>
      <c r="F3314" s="340" t="s">
        <v>1078</v>
      </c>
      <c r="G3314" s="340" t="s">
        <v>1888</v>
      </c>
      <c r="H3314" s="340"/>
      <c r="I3314" s="340" t="s">
        <v>745</v>
      </c>
      <c r="K3314" s="343">
        <v>56.92</v>
      </c>
      <c r="L3314" s="343">
        <v>0</v>
      </c>
      <c r="M3314" s="343">
        <v>-1185015.92</v>
      </c>
      <c r="O3314" s="343">
        <v>0</v>
      </c>
    </row>
    <row r="3315" spans="1:15" x14ac:dyDescent="0.3">
      <c r="A3315" s="340" t="s">
        <v>891</v>
      </c>
      <c r="B3315" s="350">
        <v>46128</v>
      </c>
      <c r="C3315" s="350">
        <v>46128</v>
      </c>
      <c r="D3315" s="351">
        <v>46113</v>
      </c>
      <c r="E3315" s="340" t="s">
        <v>2806</v>
      </c>
      <c r="F3315" s="340" t="s">
        <v>1078</v>
      </c>
      <c r="G3315" s="340" t="s">
        <v>1889</v>
      </c>
      <c r="H3315" s="340"/>
      <c r="I3315" s="340" t="s">
        <v>745</v>
      </c>
      <c r="K3315" s="343">
        <v>95.17</v>
      </c>
      <c r="L3315" s="343">
        <v>0</v>
      </c>
      <c r="M3315" s="343">
        <v>-1184920.75</v>
      </c>
      <c r="O3315" s="343">
        <v>0</v>
      </c>
    </row>
    <row r="3316" spans="1:15" x14ac:dyDescent="0.3">
      <c r="A3316" s="340" t="s">
        <v>891</v>
      </c>
      <c r="B3316" s="350">
        <v>46128</v>
      </c>
      <c r="C3316" s="350">
        <v>46128</v>
      </c>
      <c r="D3316" s="351">
        <v>46113</v>
      </c>
      <c r="E3316" s="340" t="s">
        <v>2806</v>
      </c>
      <c r="F3316" s="340" t="s">
        <v>1078</v>
      </c>
      <c r="G3316" s="340" t="s">
        <v>1630</v>
      </c>
      <c r="H3316" s="340"/>
      <c r="I3316" s="340" t="s">
        <v>745</v>
      </c>
      <c r="K3316" s="343">
        <v>65.58</v>
      </c>
      <c r="L3316" s="343">
        <v>0</v>
      </c>
      <c r="M3316" s="343">
        <v>-1184855.17</v>
      </c>
      <c r="O3316" s="343">
        <v>0</v>
      </c>
    </row>
    <row r="3317" spans="1:15" x14ac:dyDescent="0.3">
      <c r="A3317" s="340" t="s">
        <v>891</v>
      </c>
      <c r="B3317" s="350">
        <v>46128</v>
      </c>
      <c r="C3317" s="350">
        <v>46128</v>
      </c>
      <c r="D3317" s="351">
        <v>46113</v>
      </c>
      <c r="E3317" s="340" t="s">
        <v>2806</v>
      </c>
      <c r="F3317" s="340" t="s">
        <v>1078</v>
      </c>
      <c r="G3317" s="340" t="s">
        <v>1890</v>
      </c>
      <c r="H3317" s="340"/>
      <c r="I3317" s="340" t="s">
        <v>745</v>
      </c>
      <c r="K3317" s="343">
        <v>205.11</v>
      </c>
      <c r="L3317" s="343">
        <v>0</v>
      </c>
      <c r="M3317" s="343">
        <v>-1184650.06</v>
      </c>
      <c r="O3317" s="343">
        <v>0</v>
      </c>
    </row>
    <row r="3318" spans="1:15" x14ac:dyDescent="0.3">
      <c r="A3318" s="340" t="s">
        <v>891</v>
      </c>
      <c r="B3318" s="350">
        <v>46128</v>
      </c>
      <c r="C3318" s="350">
        <v>46128</v>
      </c>
      <c r="D3318" s="351">
        <v>46113</v>
      </c>
      <c r="E3318" s="340" t="s">
        <v>2806</v>
      </c>
      <c r="F3318" s="340" t="s">
        <v>1078</v>
      </c>
      <c r="G3318" s="340" t="s">
        <v>1594</v>
      </c>
      <c r="H3318" s="340"/>
      <c r="I3318" s="340" t="s">
        <v>745</v>
      </c>
      <c r="K3318" s="343">
        <v>49.24</v>
      </c>
      <c r="L3318" s="343">
        <v>0</v>
      </c>
      <c r="M3318" s="343">
        <v>-1184600.82</v>
      </c>
      <c r="O3318" s="343">
        <v>0</v>
      </c>
    </row>
    <row r="3319" spans="1:15" x14ac:dyDescent="0.3">
      <c r="A3319" s="340" t="s">
        <v>891</v>
      </c>
      <c r="B3319" s="350">
        <v>46128</v>
      </c>
      <c r="C3319" s="350">
        <v>46128</v>
      </c>
      <c r="D3319" s="351">
        <v>46113</v>
      </c>
      <c r="E3319" s="340" t="s">
        <v>2806</v>
      </c>
      <c r="F3319" s="340" t="s">
        <v>1078</v>
      </c>
      <c r="G3319" s="340" t="s">
        <v>1891</v>
      </c>
      <c r="H3319" s="340"/>
      <c r="I3319" s="340" t="s">
        <v>745</v>
      </c>
      <c r="K3319" s="343">
        <v>483.87</v>
      </c>
      <c r="L3319" s="343">
        <v>0</v>
      </c>
      <c r="M3319" s="343">
        <v>-1184116.95</v>
      </c>
      <c r="O3319" s="343">
        <v>0</v>
      </c>
    </row>
    <row r="3320" spans="1:15" x14ac:dyDescent="0.3">
      <c r="A3320" s="340" t="s">
        <v>891</v>
      </c>
      <c r="B3320" s="350">
        <v>46128</v>
      </c>
      <c r="C3320" s="350">
        <v>46128</v>
      </c>
      <c r="D3320" s="351">
        <v>46113</v>
      </c>
      <c r="E3320" s="340" t="s">
        <v>2806</v>
      </c>
      <c r="F3320" s="340" t="s">
        <v>1078</v>
      </c>
      <c r="G3320" s="340" t="s">
        <v>1892</v>
      </c>
      <c r="H3320" s="340"/>
      <c r="I3320" s="340" t="s">
        <v>745</v>
      </c>
      <c r="K3320" s="343">
        <v>141.22999999999999</v>
      </c>
      <c r="L3320" s="343">
        <v>0</v>
      </c>
      <c r="M3320" s="343">
        <v>-1183975.72</v>
      </c>
      <c r="O3320" s="343">
        <v>0</v>
      </c>
    </row>
    <row r="3321" spans="1:15" x14ac:dyDescent="0.3">
      <c r="A3321" s="340" t="s">
        <v>891</v>
      </c>
      <c r="B3321" s="350">
        <v>46128</v>
      </c>
      <c r="C3321" s="350">
        <v>46128</v>
      </c>
      <c r="D3321" s="351">
        <v>46113</v>
      </c>
      <c r="E3321" s="340" t="s">
        <v>2806</v>
      </c>
      <c r="F3321" s="340" t="s">
        <v>1078</v>
      </c>
      <c r="G3321" s="340" t="s">
        <v>1541</v>
      </c>
      <c r="H3321" s="340"/>
      <c r="I3321" s="340" t="s">
        <v>745</v>
      </c>
      <c r="K3321" s="343">
        <v>115.68</v>
      </c>
      <c r="L3321" s="343">
        <v>0</v>
      </c>
      <c r="M3321" s="343">
        <v>-1183860.04</v>
      </c>
      <c r="O3321" s="343">
        <v>0</v>
      </c>
    </row>
    <row r="3322" spans="1:15" x14ac:dyDescent="0.3">
      <c r="A3322" s="340" t="s">
        <v>891</v>
      </c>
      <c r="B3322" s="350">
        <v>46128</v>
      </c>
      <c r="C3322" s="350">
        <v>46128</v>
      </c>
      <c r="D3322" s="351">
        <v>46113</v>
      </c>
      <c r="E3322" s="340" t="s">
        <v>2806</v>
      </c>
      <c r="F3322" s="340" t="s">
        <v>1078</v>
      </c>
      <c r="G3322" s="340" t="s">
        <v>1194</v>
      </c>
      <c r="H3322" s="340"/>
      <c r="I3322" s="340" t="s">
        <v>745</v>
      </c>
      <c r="K3322" s="343">
        <v>80.69</v>
      </c>
      <c r="L3322" s="343">
        <v>0</v>
      </c>
      <c r="M3322" s="343">
        <v>-1183779.3500000001</v>
      </c>
      <c r="O3322" s="343">
        <v>0</v>
      </c>
    </row>
    <row r="3323" spans="1:15" x14ac:dyDescent="0.3">
      <c r="A3323" s="340" t="s">
        <v>891</v>
      </c>
      <c r="B3323" s="350">
        <v>46128</v>
      </c>
      <c r="C3323" s="350">
        <v>46128</v>
      </c>
      <c r="D3323" s="351">
        <v>46113</v>
      </c>
      <c r="E3323" s="340" t="s">
        <v>2806</v>
      </c>
      <c r="F3323" s="340" t="s">
        <v>1078</v>
      </c>
      <c r="G3323" s="340" t="s">
        <v>1893</v>
      </c>
      <c r="H3323" s="340"/>
      <c r="I3323" s="340" t="s">
        <v>745</v>
      </c>
      <c r="K3323" s="343">
        <v>177.42</v>
      </c>
      <c r="L3323" s="343">
        <v>0</v>
      </c>
      <c r="M3323" s="343">
        <v>-1183601.93</v>
      </c>
      <c r="O3323" s="343">
        <v>0</v>
      </c>
    </row>
    <row r="3324" spans="1:15" x14ac:dyDescent="0.3">
      <c r="A3324" s="340" t="s">
        <v>891</v>
      </c>
      <c r="B3324" s="350">
        <v>46128</v>
      </c>
      <c r="C3324" s="350">
        <v>46128</v>
      </c>
      <c r="D3324" s="351">
        <v>46113</v>
      </c>
      <c r="E3324" s="340" t="s">
        <v>2806</v>
      </c>
      <c r="F3324" s="340" t="s">
        <v>1078</v>
      </c>
      <c r="G3324" s="340" t="s">
        <v>1563</v>
      </c>
      <c r="H3324" s="340"/>
      <c r="I3324" s="340" t="s">
        <v>745</v>
      </c>
      <c r="K3324" s="343">
        <v>328.82</v>
      </c>
      <c r="L3324" s="343">
        <v>0</v>
      </c>
      <c r="M3324" s="343">
        <v>-1183273.1100000001</v>
      </c>
      <c r="O3324" s="343">
        <v>0</v>
      </c>
    </row>
    <row r="3325" spans="1:15" x14ac:dyDescent="0.3">
      <c r="A3325" s="340" t="s">
        <v>891</v>
      </c>
      <c r="B3325" s="350">
        <v>46128</v>
      </c>
      <c r="C3325" s="350">
        <v>46128</v>
      </c>
      <c r="D3325" s="351">
        <v>46113</v>
      </c>
      <c r="E3325" s="340" t="s">
        <v>2806</v>
      </c>
      <c r="F3325" s="340" t="s">
        <v>1078</v>
      </c>
      <c r="G3325" s="340" t="s">
        <v>1562</v>
      </c>
      <c r="H3325" s="340"/>
      <c r="I3325" s="340" t="s">
        <v>745</v>
      </c>
      <c r="K3325" s="343">
        <v>344.79</v>
      </c>
      <c r="L3325" s="343">
        <v>0</v>
      </c>
      <c r="M3325" s="343">
        <v>-1182928.32</v>
      </c>
      <c r="O3325" s="343">
        <v>0</v>
      </c>
    </row>
    <row r="3326" spans="1:15" x14ac:dyDescent="0.3">
      <c r="A3326" s="340" t="s">
        <v>891</v>
      </c>
      <c r="B3326" s="350">
        <v>46128</v>
      </c>
      <c r="C3326" s="350">
        <v>46128</v>
      </c>
      <c r="D3326" s="351">
        <v>46113</v>
      </c>
      <c r="E3326" s="340" t="s">
        <v>2806</v>
      </c>
      <c r="F3326" s="340" t="s">
        <v>1078</v>
      </c>
      <c r="G3326" s="340" t="s">
        <v>1544</v>
      </c>
      <c r="H3326" s="340"/>
      <c r="I3326" s="340" t="s">
        <v>745</v>
      </c>
      <c r="K3326" s="343">
        <v>127.16</v>
      </c>
      <c r="L3326" s="343">
        <v>0</v>
      </c>
      <c r="M3326" s="343">
        <v>-1182801.1599999999</v>
      </c>
      <c r="O3326" s="343">
        <v>0</v>
      </c>
    </row>
    <row r="3327" spans="1:15" x14ac:dyDescent="0.3">
      <c r="A3327" s="340" t="s">
        <v>891</v>
      </c>
      <c r="B3327" s="350">
        <v>46128</v>
      </c>
      <c r="C3327" s="350">
        <v>46128</v>
      </c>
      <c r="D3327" s="351">
        <v>46113</v>
      </c>
      <c r="E3327" s="340" t="s">
        <v>2806</v>
      </c>
      <c r="F3327" s="340" t="s">
        <v>1078</v>
      </c>
      <c r="G3327" s="340" t="s">
        <v>1894</v>
      </c>
      <c r="H3327" s="340"/>
      <c r="I3327" s="340" t="s">
        <v>745</v>
      </c>
      <c r="K3327" s="343">
        <v>29.12</v>
      </c>
      <c r="L3327" s="343">
        <v>0</v>
      </c>
      <c r="M3327" s="343">
        <v>-1182772.04</v>
      </c>
      <c r="O3327" s="343">
        <v>0</v>
      </c>
    </row>
    <row r="3328" spans="1:15" x14ac:dyDescent="0.3">
      <c r="A3328" s="340" t="s">
        <v>891</v>
      </c>
      <c r="B3328" s="350">
        <v>46128</v>
      </c>
      <c r="C3328" s="350">
        <v>46128</v>
      </c>
      <c r="D3328" s="351">
        <v>46113</v>
      </c>
      <c r="E3328" s="340" t="s">
        <v>2806</v>
      </c>
      <c r="F3328" s="340" t="s">
        <v>1078</v>
      </c>
      <c r="G3328" s="340" t="s">
        <v>1895</v>
      </c>
      <c r="H3328" s="340"/>
      <c r="I3328" s="340" t="s">
        <v>745</v>
      </c>
      <c r="K3328" s="343">
        <v>45.66</v>
      </c>
      <c r="L3328" s="343">
        <v>0</v>
      </c>
      <c r="M3328" s="343">
        <v>-1182726.3799999999</v>
      </c>
      <c r="O3328" s="343">
        <v>0</v>
      </c>
    </row>
    <row r="3329" spans="1:15" x14ac:dyDescent="0.3">
      <c r="A3329" s="340" t="s">
        <v>891</v>
      </c>
      <c r="B3329" s="350">
        <v>46128</v>
      </c>
      <c r="C3329" s="350">
        <v>46128</v>
      </c>
      <c r="D3329" s="351">
        <v>46113</v>
      </c>
      <c r="E3329" s="340" t="s">
        <v>2806</v>
      </c>
      <c r="F3329" s="340" t="s">
        <v>1078</v>
      </c>
      <c r="G3329" s="340" t="s">
        <v>1589</v>
      </c>
      <c r="H3329" s="340"/>
      <c r="I3329" s="340" t="s">
        <v>745</v>
      </c>
      <c r="K3329" s="343">
        <v>84.43</v>
      </c>
      <c r="L3329" s="343">
        <v>0</v>
      </c>
      <c r="M3329" s="343">
        <v>-1182641.95</v>
      </c>
      <c r="O3329" s="343">
        <v>0</v>
      </c>
    </row>
    <row r="3330" spans="1:15" x14ac:dyDescent="0.3">
      <c r="A3330" s="340" t="s">
        <v>891</v>
      </c>
      <c r="B3330" s="350">
        <v>46128</v>
      </c>
      <c r="C3330" s="350">
        <v>46128</v>
      </c>
      <c r="D3330" s="351">
        <v>46113</v>
      </c>
      <c r="E3330" s="340" t="s">
        <v>2806</v>
      </c>
      <c r="F3330" s="340" t="s">
        <v>1078</v>
      </c>
      <c r="G3330" s="340" t="s">
        <v>1555</v>
      </c>
      <c r="H3330" s="340"/>
      <c r="I3330" s="340" t="s">
        <v>745</v>
      </c>
      <c r="K3330" s="343">
        <v>43.5</v>
      </c>
      <c r="L3330" s="343">
        <v>0</v>
      </c>
      <c r="M3330" s="343">
        <v>-1182598.45</v>
      </c>
      <c r="O3330" s="343">
        <v>0</v>
      </c>
    </row>
    <row r="3331" spans="1:15" x14ac:dyDescent="0.3">
      <c r="A3331" s="340" t="s">
        <v>891</v>
      </c>
      <c r="B3331" s="350">
        <v>46128</v>
      </c>
      <c r="C3331" s="350">
        <v>46128</v>
      </c>
      <c r="D3331" s="351">
        <v>46113</v>
      </c>
      <c r="E3331" s="340" t="s">
        <v>2806</v>
      </c>
      <c r="F3331" s="340" t="s">
        <v>1078</v>
      </c>
      <c r="G3331" s="340" t="s">
        <v>1896</v>
      </c>
      <c r="H3331" s="340"/>
      <c r="I3331" s="340" t="s">
        <v>745</v>
      </c>
      <c r="K3331" s="343">
        <v>43.22</v>
      </c>
      <c r="L3331" s="343">
        <v>0</v>
      </c>
      <c r="M3331" s="343">
        <v>-1182555.23</v>
      </c>
      <c r="O3331" s="343">
        <v>0</v>
      </c>
    </row>
    <row r="3332" spans="1:15" x14ac:dyDescent="0.3">
      <c r="A3332" s="340" t="s">
        <v>891</v>
      </c>
      <c r="B3332" s="350">
        <v>46128</v>
      </c>
      <c r="C3332" s="350">
        <v>46128</v>
      </c>
      <c r="D3332" s="351">
        <v>46113</v>
      </c>
      <c r="E3332" s="340" t="s">
        <v>2806</v>
      </c>
      <c r="F3332" s="340" t="s">
        <v>1078</v>
      </c>
      <c r="G3332" s="340" t="s">
        <v>1897</v>
      </c>
      <c r="H3332" s="340"/>
      <c r="I3332" s="340" t="s">
        <v>745</v>
      </c>
      <c r="K3332" s="343">
        <v>45.05</v>
      </c>
      <c r="L3332" s="343">
        <v>0</v>
      </c>
      <c r="M3332" s="343">
        <v>-1182510.18</v>
      </c>
      <c r="O3332" s="343">
        <v>0</v>
      </c>
    </row>
    <row r="3333" spans="1:15" x14ac:dyDescent="0.3">
      <c r="A3333" s="340" t="s">
        <v>891</v>
      </c>
      <c r="B3333" s="350">
        <v>46128</v>
      </c>
      <c r="C3333" s="350">
        <v>46128</v>
      </c>
      <c r="D3333" s="351">
        <v>46113</v>
      </c>
      <c r="E3333" s="340" t="s">
        <v>2826</v>
      </c>
      <c r="F3333" s="340" t="s">
        <v>1078</v>
      </c>
      <c r="G3333" s="340" t="s">
        <v>1079</v>
      </c>
      <c r="H3333" s="340"/>
      <c r="I3333" s="340" t="s">
        <v>2827</v>
      </c>
      <c r="K3333" s="343">
        <v>288.38</v>
      </c>
      <c r="L3333" s="343">
        <v>0</v>
      </c>
      <c r="M3333" s="343">
        <v>-1182221.8</v>
      </c>
      <c r="O3333" s="343">
        <v>0</v>
      </c>
    </row>
    <row r="3334" spans="1:15" x14ac:dyDescent="0.3">
      <c r="A3334" s="340" t="s">
        <v>891</v>
      </c>
      <c r="B3334" s="350">
        <v>46128</v>
      </c>
      <c r="C3334" s="350">
        <v>46128</v>
      </c>
      <c r="D3334" s="351">
        <v>46113</v>
      </c>
      <c r="E3334" s="340" t="s">
        <v>2828</v>
      </c>
      <c r="F3334" s="340" t="s">
        <v>1078</v>
      </c>
      <c r="G3334" s="340" t="s">
        <v>1079</v>
      </c>
      <c r="H3334" s="340"/>
      <c r="I3334" s="340" t="s">
        <v>2829</v>
      </c>
      <c r="K3334" s="343">
        <v>70.14</v>
      </c>
      <c r="L3334" s="343">
        <v>0</v>
      </c>
      <c r="M3334" s="343">
        <v>-1182151.6599999999</v>
      </c>
      <c r="O3334" s="343">
        <v>0</v>
      </c>
    </row>
    <row r="3335" spans="1:15" x14ac:dyDescent="0.3">
      <c r="A3335" s="340" t="s">
        <v>891</v>
      </c>
      <c r="B3335" s="350">
        <v>46128</v>
      </c>
      <c r="C3335" s="350">
        <v>46128</v>
      </c>
      <c r="D3335" s="351">
        <v>46113</v>
      </c>
      <c r="E3335" s="340" t="s">
        <v>2828</v>
      </c>
      <c r="F3335" s="340" t="s">
        <v>1078</v>
      </c>
      <c r="G3335" s="340" t="s">
        <v>1079</v>
      </c>
      <c r="H3335" s="340"/>
      <c r="I3335" s="340" t="s">
        <v>2829</v>
      </c>
      <c r="K3335" s="343">
        <v>64.94</v>
      </c>
      <c r="L3335" s="343">
        <v>0</v>
      </c>
      <c r="M3335" s="343">
        <v>-1182086.72</v>
      </c>
      <c r="O3335" s="343">
        <v>0</v>
      </c>
    </row>
    <row r="3336" spans="1:15" x14ac:dyDescent="0.3">
      <c r="A3336" s="340" t="s">
        <v>891</v>
      </c>
      <c r="B3336" s="350">
        <v>46128</v>
      </c>
      <c r="C3336" s="350">
        <v>46128</v>
      </c>
      <c r="D3336" s="351">
        <v>46113</v>
      </c>
      <c r="E3336" s="340" t="s">
        <v>2830</v>
      </c>
      <c r="F3336" s="340" t="s">
        <v>1078</v>
      </c>
      <c r="G3336" s="340" t="s">
        <v>1079</v>
      </c>
      <c r="H3336" s="340"/>
      <c r="I3336" s="340" t="s">
        <v>2831</v>
      </c>
      <c r="K3336" s="343">
        <v>61984.79</v>
      </c>
      <c r="L3336" s="343">
        <v>0</v>
      </c>
      <c r="M3336" s="343">
        <v>-1120101.93</v>
      </c>
      <c r="O3336" s="343">
        <v>0</v>
      </c>
    </row>
    <row r="3337" spans="1:15" x14ac:dyDescent="0.3">
      <c r="A3337" s="340" t="s">
        <v>891</v>
      </c>
      <c r="B3337" s="350">
        <v>46128</v>
      </c>
      <c r="C3337" s="350">
        <v>46128</v>
      </c>
      <c r="D3337" s="351">
        <v>46113</v>
      </c>
      <c r="E3337" s="340" t="s">
        <v>2830</v>
      </c>
      <c r="F3337" s="340" t="s">
        <v>1078</v>
      </c>
      <c r="G3337" s="340" t="s">
        <v>1079</v>
      </c>
      <c r="H3337" s="340"/>
      <c r="I3337" s="340" t="s">
        <v>2831</v>
      </c>
      <c r="K3337" s="343">
        <v>49339.59</v>
      </c>
      <c r="L3337" s="343">
        <v>0</v>
      </c>
      <c r="M3337" s="343">
        <v>-1070762.3400000001</v>
      </c>
      <c r="O3337" s="343">
        <v>0</v>
      </c>
    </row>
    <row r="3338" spans="1:15" x14ac:dyDescent="0.3">
      <c r="A3338" s="340" t="s">
        <v>891</v>
      </c>
      <c r="B3338" s="350">
        <v>46128</v>
      </c>
      <c r="C3338" s="350">
        <v>46128</v>
      </c>
      <c r="D3338" s="351">
        <v>46113</v>
      </c>
      <c r="E3338" s="340" t="s">
        <v>2832</v>
      </c>
      <c r="F3338" s="340" t="s">
        <v>1078</v>
      </c>
      <c r="G3338" s="340" t="s">
        <v>1227</v>
      </c>
      <c r="H3338" s="340"/>
      <c r="I3338" s="340" t="s">
        <v>750</v>
      </c>
      <c r="K3338" s="343">
        <v>10175.5</v>
      </c>
      <c r="L3338" s="343">
        <v>0</v>
      </c>
      <c r="M3338" s="343">
        <v>-1060586.8400000001</v>
      </c>
      <c r="O3338" s="343">
        <v>0</v>
      </c>
    </row>
    <row r="3339" spans="1:15" x14ac:dyDescent="0.3">
      <c r="A3339" s="340" t="s">
        <v>891</v>
      </c>
      <c r="B3339" s="350">
        <v>46128</v>
      </c>
      <c r="C3339" s="350">
        <v>46128</v>
      </c>
      <c r="D3339" s="351">
        <v>46113</v>
      </c>
      <c r="E3339" s="340" t="s">
        <v>2833</v>
      </c>
      <c r="F3339" s="340" t="s">
        <v>1078</v>
      </c>
      <c r="G3339" s="340" t="s">
        <v>1079</v>
      </c>
      <c r="H3339" s="340"/>
      <c r="I3339" s="340" t="s">
        <v>2834</v>
      </c>
      <c r="K3339" s="343">
        <v>43.22</v>
      </c>
      <c r="L3339" s="343">
        <v>0</v>
      </c>
      <c r="M3339" s="343">
        <v>-1060543.6200000001</v>
      </c>
      <c r="O3339" s="343">
        <v>0</v>
      </c>
    </row>
    <row r="3340" spans="1:15" x14ac:dyDescent="0.3">
      <c r="A3340" s="340" t="s">
        <v>891</v>
      </c>
      <c r="B3340" s="350">
        <v>46128</v>
      </c>
      <c r="C3340" s="350">
        <v>46128</v>
      </c>
      <c r="D3340" s="351">
        <v>46113</v>
      </c>
      <c r="E3340" s="340" t="s">
        <v>2835</v>
      </c>
      <c r="F3340" s="340" t="s">
        <v>1078</v>
      </c>
      <c r="G3340" s="340" t="s">
        <v>1032</v>
      </c>
      <c r="H3340" s="340"/>
      <c r="I3340" s="340" t="s">
        <v>1033</v>
      </c>
      <c r="K3340" s="343">
        <v>4911</v>
      </c>
      <c r="L3340" s="343">
        <v>0</v>
      </c>
      <c r="M3340" s="343">
        <v>-1055632.6200000001</v>
      </c>
      <c r="O3340" s="343">
        <v>0</v>
      </c>
    </row>
    <row r="3341" spans="1:15" x14ac:dyDescent="0.3">
      <c r="A3341" s="340" t="s">
        <v>891</v>
      </c>
      <c r="B3341" s="350">
        <v>46128</v>
      </c>
      <c r="C3341" s="350">
        <v>46128</v>
      </c>
      <c r="D3341" s="351">
        <v>46113</v>
      </c>
      <c r="E3341" s="340" t="s">
        <v>2835</v>
      </c>
      <c r="F3341" s="340" t="s">
        <v>1078</v>
      </c>
      <c r="G3341" s="340" t="s">
        <v>1798</v>
      </c>
      <c r="H3341" s="340"/>
      <c r="I3341" s="340" t="s">
        <v>1033</v>
      </c>
      <c r="K3341" s="343">
        <v>1367</v>
      </c>
      <c r="L3341" s="343">
        <v>0</v>
      </c>
      <c r="M3341" s="343">
        <v>-1054265.6200000001</v>
      </c>
      <c r="O3341" s="343">
        <v>0</v>
      </c>
    </row>
    <row r="3342" spans="1:15" x14ac:dyDescent="0.3">
      <c r="A3342" s="340" t="s">
        <v>891</v>
      </c>
      <c r="B3342" s="350">
        <v>46128</v>
      </c>
      <c r="C3342" s="350">
        <v>46128</v>
      </c>
      <c r="D3342" s="351">
        <v>46113</v>
      </c>
      <c r="E3342" s="340" t="s">
        <v>2835</v>
      </c>
      <c r="F3342" s="340" t="s">
        <v>1078</v>
      </c>
      <c r="G3342" s="340" t="s">
        <v>1676</v>
      </c>
      <c r="H3342" s="340"/>
      <c r="I3342" s="340" t="s">
        <v>1033</v>
      </c>
      <c r="K3342" s="343">
        <v>1056</v>
      </c>
      <c r="L3342" s="343">
        <v>0</v>
      </c>
      <c r="M3342" s="343">
        <v>-1053209.6200000001</v>
      </c>
      <c r="O3342" s="343">
        <v>0</v>
      </c>
    </row>
    <row r="3343" spans="1:15" x14ac:dyDescent="0.3">
      <c r="A3343" s="340" t="s">
        <v>891</v>
      </c>
      <c r="B3343" s="350">
        <v>46128</v>
      </c>
      <c r="C3343" s="350">
        <v>46128</v>
      </c>
      <c r="D3343" s="351">
        <v>46113</v>
      </c>
      <c r="E3343" s="340" t="s">
        <v>2835</v>
      </c>
      <c r="F3343" s="340" t="s">
        <v>1078</v>
      </c>
      <c r="G3343" s="340" t="s">
        <v>1678</v>
      </c>
      <c r="H3343" s="340"/>
      <c r="I3343" s="340" t="s">
        <v>1033</v>
      </c>
      <c r="K3343" s="343">
        <v>1416</v>
      </c>
      <c r="L3343" s="343">
        <v>0</v>
      </c>
      <c r="M3343" s="343">
        <v>-1051793.6200000001</v>
      </c>
      <c r="O3343" s="343">
        <v>0</v>
      </c>
    </row>
    <row r="3344" spans="1:15" x14ac:dyDescent="0.3">
      <c r="A3344" s="340" t="s">
        <v>891</v>
      </c>
      <c r="B3344" s="350">
        <v>46128</v>
      </c>
      <c r="C3344" s="350">
        <v>46128</v>
      </c>
      <c r="D3344" s="351">
        <v>46113</v>
      </c>
      <c r="E3344" s="340" t="s">
        <v>2835</v>
      </c>
      <c r="F3344" s="340" t="s">
        <v>1078</v>
      </c>
      <c r="G3344" s="340" t="s">
        <v>1680</v>
      </c>
      <c r="H3344" s="340"/>
      <c r="I3344" s="340" t="s">
        <v>1033</v>
      </c>
      <c r="K3344" s="343">
        <v>750</v>
      </c>
      <c r="L3344" s="343">
        <v>0</v>
      </c>
      <c r="M3344" s="343">
        <v>-1051043.6200000001</v>
      </c>
      <c r="O3344" s="343">
        <v>0</v>
      </c>
    </row>
    <row r="3345" spans="1:15" x14ac:dyDescent="0.3">
      <c r="A3345" s="340" t="s">
        <v>891</v>
      </c>
      <c r="B3345" s="350">
        <v>46128</v>
      </c>
      <c r="C3345" s="350">
        <v>46128</v>
      </c>
      <c r="D3345" s="351">
        <v>46113</v>
      </c>
      <c r="E3345" s="340" t="s">
        <v>2836</v>
      </c>
      <c r="F3345" s="340" t="s">
        <v>1078</v>
      </c>
      <c r="G3345" s="340" t="s">
        <v>1079</v>
      </c>
      <c r="H3345" s="340"/>
      <c r="I3345" s="340" t="s">
        <v>2837</v>
      </c>
      <c r="K3345" s="343">
        <v>400</v>
      </c>
      <c r="L3345" s="343">
        <v>0</v>
      </c>
      <c r="M3345" s="343">
        <v>-1050643.6200000001</v>
      </c>
      <c r="O3345" s="343">
        <v>0</v>
      </c>
    </row>
    <row r="3346" spans="1:15" x14ac:dyDescent="0.3">
      <c r="A3346" s="340" t="s">
        <v>891</v>
      </c>
      <c r="B3346" s="350">
        <v>46128</v>
      </c>
      <c r="C3346" s="350">
        <v>46128</v>
      </c>
      <c r="D3346" s="351">
        <v>46113</v>
      </c>
      <c r="E3346" s="340" t="s">
        <v>2836</v>
      </c>
      <c r="F3346" s="340" t="s">
        <v>1078</v>
      </c>
      <c r="G3346" s="340" t="s">
        <v>1079</v>
      </c>
      <c r="H3346" s="340"/>
      <c r="I3346" s="340" t="s">
        <v>2837</v>
      </c>
      <c r="K3346" s="343">
        <v>398.93</v>
      </c>
      <c r="L3346" s="343">
        <v>0</v>
      </c>
      <c r="M3346" s="343">
        <v>-1050244.69</v>
      </c>
      <c r="O3346" s="343">
        <v>0</v>
      </c>
    </row>
    <row r="3347" spans="1:15" x14ac:dyDescent="0.3">
      <c r="A3347" s="340" t="s">
        <v>891</v>
      </c>
      <c r="B3347" s="350">
        <v>46128</v>
      </c>
      <c r="C3347" s="350">
        <v>46128</v>
      </c>
      <c r="D3347" s="351">
        <v>46113</v>
      </c>
      <c r="E3347" s="340" t="s">
        <v>2838</v>
      </c>
      <c r="F3347" s="340" t="s">
        <v>1078</v>
      </c>
      <c r="G3347" s="340" t="s">
        <v>1079</v>
      </c>
      <c r="H3347" s="340"/>
      <c r="I3347" s="340" t="s">
        <v>756</v>
      </c>
      <c r="K3347" s="343">
        <v>538.66</v>
      </c>
      <c r="L3347" s="343">
        <v>0</v>
      </c>
      <c r="M3347" s="343">
        <v>-1049706.03</v>
      </c>
      <c r="O3347" s="343">
        <v>0</v>
      </c>
    </row>
    <row r="3348" spans="1:15" x14ac:dyDescent="0.3">
      <c r="A3348" s="340" t="s">
        <v>891</v>
      </c>
      <c r="B3348" s="350">
        <v>46128</v>
      </c>
      <c r="C3348" s="350">
        <v>46128</v>
      </c>
      <c r="D3348" s="351">
        <v>46113</v>
      </c>
      <c r="E3348" s="340" t="s">
        <v>2839</v>
      </c>
      <c r="F3348" s="340" t="s">
        <v>1078</v>
      </c>
      <c r="G3348" s="340" t="s">
        <v>1079</v>
      </c>
      <c r="H3348" s="340"/>
      <c r="I3348" s="340" t="s">
        <v>756</v>
      </c>
      <c r="K3348" s="343">
        <v>35.17</v>
      </c>
      <c r="L3348" s="343">
        <v>0</v>
      </c>
      <c r="M3348" s="343">
        <v>-1049670.8600000001</v>
      </c>
      <c r="O3348" s="343">
        <v>0</v>
      </c>
    </row>
    <row r="3349" spans="1:15" x14ac:dyDescent="0.3">
      <c r="A3349" s="340" t="s">
        <v>891</v>
      </c>
      <c r="B3349" s="350">
        <v>46128</v>
      </c>
      <c r="C3349" s="350">
        <v>46128</v>
      </c>
      <c r="D3349" s="351">
        <v>46113</v>
      </c>
      <c r="E3349" s="340" t="s">
        <v>2840</v>
      </c>
      <c r="F3349" s="340" t="s">
        <v>1078</v>
      </c>
      <c r="G3349" s="340" t="s">
        <v>1079</v>
      </c>
      <c r="H3349" s="340"/>
      <c r="I3349" s="340" t="s">
        <v>756</v>
      </c>
      <c r="K3349" s="343">
        <v>573.83000000000004</v>
      </c>
      <c r="L3349" s="343">
        <v>0</v>
      </c>
      <c r="M3349" s="343">
        <v>-1049097.03</v>
      </c>
      <c r="O3349" s="343">
        <v>0</v>
      </c>
    </row>
    <row r="3350" spans="1:15" x14ac:dyDescent="0.3">
      <c r="A3350" s="340" t="s">
        <v>891</v>
      </c>
      <c r="B3350" s="350">
        <v>46128</v>
      </c>
      <c r="C3350" s="350">
        <v>46128</v>
      </c>
      <c r="D3350" s="351">
        <v>46113</v>
      </c>
      <c r="E3350" s="340" t="s">
        <v>2841</v>
      </c>
      <c r="F3350" s="340" t="s">
        <v>1078</v>
      </c>
      <c r="G3350" s="340" t="s">
        <v>1079</v>
      </c>
      <c r="H3350" s="340"/>
      <c r="I3350" s="340" t="s">
        <v>756</v>
      </c>
      <c r="K3350" s="343">
        <v>337.11</v>
      </c>
      <c r="L3350" s="343">
        <v>0</v>
      </c>
      <c r="M3350" s="343">
        <v>-1048759.92</v>
      </c>
      <c r="O3350" s="343">
        <v>0</v>
      </c>
    </row>
    <row r="3351" spans="1:15" x14ac:dyDescent="0.3">
      <c r="A3351" s="340" t="s">
        <v>891</v>
      </c>
      <c r="B3351" s="350">
        <v>46128</v>
      </c>
      <c r="C3351" s="350">
        <v>46128</v>
      </c>
      <c r="D3351" s="351">
        <v>46113</v>
      </c>
      <c r="E3351" s="340" t="s">
        <v>2842</v>
      </c>
      <c r="F3351" s="340" t="s">
        <v>1078</v>
      </c>
      <c r="G3351" s="340" t="s">
        <v>1079</v>
      </c>
      <c r="H3351" s="340"/>
      <c r="I3351" s="340" t="s">
        <v>756</v>
      </c>
      <c r="K3351" s="343">
        <v>288.14</v>
      </c>
      <c r="L3351" s="343">
        <v>0</v>
      </c>
      <c r="M3351" s="343">
        <v>-1048471.78</v>
      </c>
      <c r="O3351" s="343">
        <v>0</v>
      </c>
    </row>
    <row r="3352" spans="1:15" x14ac:dyDescent="0.3">
      <c r="A3352" s="340" t="s">
        <v>891</v>
      </c>
      <c r="B3352" s="350">
        <v>46128</v>
      </c>
      <c r="C3352" s="350">
        <v>46128</v>
      </c>
      <c r="D3352" s="351">
        <v>46113</v>
      </c>
      <c r="E3352" s="340" t="s">
        <v>2842</v>
      </c>
      <c r="F3352" s="340" t="s">
        <v>1078</v>
      </c>
      <c r="G3352" s="340" t="s">
        <v>1079</v>
      </c>
      <c r="H3352" s="340"/>
      <c r="I3352" s="340" t="s">
        <v>756</v>
      </c>
      <c r="K3352" s="343">
        <v>1136.81</v>
      </c>
      <c r="L3352" s="343">
        <v>0</v>
      </c>
      <c r="M3352" s="343">
        <v>-1047334.97</v>
      </c>
      <c r="O3352" s="343">
        <v>0</v>
      </c>
    </row>
    <row r="3353" spans="1:15" x14ac:dyDescent="0.3">
      <c r="A3353" s="340" t="s">
        <v>891</v>
      </c>
      <c r="B3353" s="350">
        <v>46128</v>
      </c>
      <c r="C3353" s="350">
        <v>46128</v>
      </c>
      <c r="D3353" s="351">
        <v>46113</v>
      </c>
      <c r="E3353" s="340" t="s">
        <v>2842</v>
      </c>
      <c r="F3353" s="340" t="s">
        <v>1078</v>
      </c>
      <c r="G3353" s="340" t="s">
        <v>1079</v>
      </c>
      <c r="H3353" s="340"/>
      <c r="I3353" s="340" t="s">
        <v>756</v>
      </c>
      <c r="K3353" s="343">
        <v>21.56</v>
      </c>
      <c r="L3353" s="343">
        <v>0</v>
      </c>
      <c r="M3353" s="343">
        <v>-1047313.41</v>
      </c>
      <c r="O3353" s="343">
        <v>0</v>
      </c>
    </row>
    <row r="3354" spans="1:15" x14ac:dyDescent="0.3">
      <c r="A3354" s="340" t="s">
        <v>891</v>
      </c>
      <c r="B3354" s="350">
        <v>46128</v>
      </c>
      <c r="C3354" s="350">
        <v>46128</v>
      </c>
      <c r="D3354" s="351">
        <v>46113</v>
      </c>
      <c r="E3354" s="340" t="s">
        <v>2842</v>
      </c>
      <c r="F3354" s="340" t="s">
        <v>1078</v>
      </c>
      <c r="G3354" s="340" t="s">
        <v>1079</v>
      </c>
      <c r="H3354" s="340"/>
      <c r="I3354" s="340" t="s">
        <v>756</v>
      </c>
      <c r="K3354" s="343">
        <v>225.9</v>
      </c>
      <c r="L3354" s="343">
        <v>0</v>
      </c>
      <c r="M3354" s="343">
        <v>-1047087.51</v>
      </c>
      <c r="O3354" s="343">
        <v>0</v>
      </c>
    </row>
    <row r="3355" spans="1:15" x14ac:dyDescent="0.3">
      <c r="A3355" s="340" t="s">
        <v>891</v>
      </c>
      <c r="B3355" s="350">
        <v>46128</v>
      </c>
      <c r="C3355" s="350">
        <v>46128</v>
      </c>
      <c r="D3355" s="351">
        <v>46113</v>
      </c>
      <c r="E3355" s="340" t="s">
        <v>2842</v>
      </c>
      <c r="F3355" s="340" t="s">
        <v>1078</v>
      </c>
      <c r="G3355" s="340" t="s">
        <v>1079</v>
      </c>
      <c r="H3355" s="340"/>
      <c r="I3355" s="340" t="s">
        <v>756</v>
      </c>
      <c r="K3355" s="343">
        <v>1098.71</v>
      </c>
      <c r="L3355" s="343">
        <v>0</v>
      </c>
      <c r="M3355" s="343">
        <v>-1045988.8</v>
      </c>
      <c r="O3355" s="343">
        <v>0</v>
      </c>
    </row>
    <row r="3356" spans="1:15" x14ac:dyDescent="0.3">
      <c r="A3356" s="340" t="s">
        <v>891</v>
      </c>
      <c r="B3356" s="350">
        <v>46128</v>
      </c>
      <c r="C3356" s="350">
        <v>46128</v>
      </c>
      <c r="D3356" s="351">
        <v>46113</v>
      </c>
      <c r="E3356" s="340" t="s">
        <v>2842</v>
      </c>
      <c r="F3356" s="340" t="s">
        <v>1078</v>
      </c>
      <c r="G3356" s="340" t="s">
        <v>1079</v>
      </c>
      <c r="H3356" s="340"/>
      <c r="I3356" s="340" t="s">
        <v>756</v>
      </c>
      <c r="K3356" s="343">
        <v>520.25</v>
      </c>
      <c r="L3356" s="343">
        <v>0</v>
      </c>
      <c r="M3356" s="343">
        <v>-1045468.55</v>
      </c>
      <c r="O3356" s="343">
        <v>0</v>
      </c>
    </row>
    <row r="3357" spans="1:15" x14ac:dyDescent="0.3">
      <c r="A3357" s="340" t="s">
        <v>891</v>
      </c>
      <c r="B3357" s="350">
        <v>46128</v>
      </c>
      <c r="C3357" s="350">
        <v>46128</v>
      </c>
      <c r="D3357" s="351">
        <v>46113</v>
      </c>
      <c r="E3357" s="340" t="s">
        <v>2842</v>
      </c>
      <c r="F3357" s="340" t="s">
        <v>1078</v>
      </c>
      <c r="G3357" s="340" t="s">
        <v>1028</v>
      </c>
      <c r="H3357" s="340"/>
      <c r="I3357" s="340" t="s">
        <v>756</v>
      </c>
      <c r="K3357" s="343">
        <v>946.11</v>
      </c>
      <c r="L3357" s="343">
        <v>0</v>
      </c>
      <c r="M3357" s="343">
        <v>-1044522.44</v>
      </c>
      <c r="O3357" s="343">
        <v>0</v>
      </c>
    </row>
    <row r="3358" spans="1:15" x14ac:dyDescent="0.3">
      <c r="A3358" s="340" t="s">
        <v>891</v>
      </c>
      <c r="B3358" s="350">
        <v>46128</v>
      </c>
      <c r="C3358" s="350">
        <v>46128</v>
      </c>
      <c r="D3358" s="351">
        <v>46113</v>
      </c>
      <c r="E3358" s="340" t="s">
        <v>2842</v>
      </c>
      <c r="F3358" s="340" t="s">
        <v>1078</v>
      </c>
      <c r="G3358" s="340" t="s">
        <v>1028</v>
      </c>
      <c r="H3358" s="340"/>
      <c r="I3358" s="340" t="s">
        <v>756</v>
      </c>
      <c r="K3358" s="343">
        <v>987.24</v>
      </c>
      <c r="L3358" s="343">
        <v>0</v>
      </c>
      <c r="M3358" s="343">
        <v>-1043535.2</v>
      </c>
      <c r="O3358" s="343">
        <v>0</v>
      </c>
    </row>
    <row r="3359" spans="1:15" x14ac:dyDescent="0.3">
      <c r="A3359" s="340" t="s">
        <v>891</v>
      </c>
      <c r="B3359" s="350">
        <v>46128</v>
      </c>
      <c r="C3359" s="350">
        <v>46128</v>
      </c>
      <c r="D3359" s="351">
        <v>46113</v>
      </c>
      <c r="E3359" s="340" t="s">
        <v>2842</v>
      </c>
      <c r="F3359" s="340" t="s">
        <v>1078</v>
      </c>
      <c r="G3359" s="340" t="s">
        <v>1238</v>
      </c>
      <c r="H3359" s="340"/>
      <c r="I3359" s="340" t="s">
        <v>756</v>
      </c>
      <c r="K3359" s="343">
        <v>801.04</v>
      </c>
      <c r="L3359" s="343">
        <v>0</v>
      </c>
      <c r="M3359" s="343">
        <v>-1042734.16</v>
      </c>
      <c r="O3359" s="343">
        <v>0</v>
      </c>
    </row>
    <row r="3360" spans="1:15" x14ac:dyDescent="0.3">
      <c r="A3360" s="340" t="s">
        <v>891</v>
      </c>
      <c r="B3360" s="350">
        <v>46128</v>
      </c>
      <c r="C3360" s="350">
        <v>46128</v>
      </c>
      <c r="D3360" s="351">
        <v>46113</v>
      </c>
      <c r="E3360" s="340" t="s">
        <v>2842</v>
      </c>
      <c r="F3360" s="340" t="s">
        <v>1078</v>
      </c>
      <c r="G3360" s="340" t="s">
        <v>1120</v>
      </c>
      <c r="H3360" s="340"/>
      <c r="I3360" s="340" t="s">
        <v>756</v>
      </c>
      <c r="K3360" s="343">
        <v>1044.83</v>
      </c>
      <c r="L3360" s="343">
        <v>0</v>
      </c>
      <c r="M3360" s="343">
        <v>-1041689.33</v>
      </c>
      <c r="O3360" s="343">
        <v>0</v>
      </c>
    </row>
    <row r="3361" spans="1:15" x14ac:dyDescent="0.3">
      <c r="A3361" s="340" t="s">
        <v>891</v>
      </c>
      <c r="B3361" s="350">
        <v>46128</v>
      </c>
      <c r="C3361" s="350">
        <v>46128</v>
      </c>
      <c r="D3361" s="351">
        <v>46113</v>
      </c>
      <c r="E3361" s="340" t="s">
        <v>2842</v>
      </c>
      <c r="F3361" s="340" t="s">
        <v>1078</v>
      </c>
      <c r="G3361" s="340" t="s">
        <v>1028</v>
      </c>
      <c r="H3361" s="340"/>
      <c r="I3361" s="340" t="s">
        <v>756</v>
      </c>
      <c r="K3361" s="343">
        <v>992.44</v>
      </c>
      <c r="L3361" s="343">
        <v>0</v>
      </c>
      <c r="M3361" s="343">
        <v>-1040696.89</v>
      </c>
      <c r="O3361" s="343">
        <v>0</v>
      </c>
    </row>
    <row r="3362" spans="1:15" x14ac:dyDescent="0.3">
      <c r="A3362" s="340" t="s">
        <v>891</v>
      </c>
      <c r="B3362" s="350">
        <v>46128</v>
      </c>
      <c r="C3362" s="350">
        <v>46128</v>
      </c>
      <c r="D3362" s="351">
        <v>46113</v>
      </c>
      <c r="E3362" s="340" t="s">
        <v>2842</v>
      </c>
      <c r="F3362" s="340" t="s">
        <v>1078</v>
      </c>
      <c r="G3362" s="340" t="s">
        <v>1178</v>
      </c>
      <c r="H3362" s="340"/>
      <c r="I3362" s="340" t="s">
        <v>756</v>
      </c>
      <c r="K3362" s="343">
        <v>119.19</v>
      </c>
      <c r="L3362" s="343">
        <v>0</v>
      </c>
      <c r="M3362" s="343">
        <v>-1040577.7</v>
      </c>
      <c r="O3362" s="343">
        <v>0</v>
      </c>
    </row>
    <row r="3363" spans="1:15" x14ac:dyDescent="0.3">
      <c r="A3363" s="340" t="s">
        <v>891</v>
      </c>
      <c r="B3363" s="350">
        <v>46128</v>
      </c>
      <c r="C3363" s="350">
        <v>46128</v>
      </c>
      <c r="D3363" s="351">
        <v>46113</v>
      </c>
      <c r="E3363" s="340" t="s">
        <v>2842</v>
      </c>
      <c r="F3363" s="340" t="s">
        <v>1078</v>
      </c>
      <c r="G3363" s="340" t="s">
        <v>1179</v>
      </c>
      <c r="H3363" s="340"/>
      <c r="I3363" s="340" t="s">
        <v>756</v>
      </c>
      <c r="K3363" s="343">
        <v>119.18</v>
      </c>
      <c r="L3363" s="343">
        <v>0</v>
      </c>
      <c r="M3363" s="343">
        <v>-1040458.52</v>
      </c>
      <c r="O3363" s="343">
        <v>0</v>
      </c>
    </row>
    <row r="3364" spans="1:15" x14ac:dyDescent="0.3">
      <c r="A3364" s="340" t="s">
        <v>891</v>
      </c>
      <c r="B3364" s="350">
        <v>46128</v>
      </c>
      <c r="C3364" s="350">
        <v>46128</v>
      </c>
      <c r="D3364" s="351">
        <v>46113</v>
      </c>
      <c r="E3364" s="340" t="s">
        <v>2843</v>
      </c>
      <c r="F3364" s="340" t="s">
        <v>1078</v>
      </c>
      <c r="G3364" s="340" t="s">
        <v>1375</v>
      </c>
      <c r="H3364" s="340"/>
      <c r="I3364" s="340" t="s">
        <v>757</v>
      </c>
      <c r="K3364" s="343">
        <v>30.12</v>
      </c>
      <c r="L3364" s="343">
        <v>0</v>
      </c>
      <c r="M3364" s="343">
        <v>-1040428.4</v>
      </c>
      <c r="O3364" s="343">
        <v>0</v>
      </c>
    </row>
    <row r="3365" spans="1:15" x14ac:dyDescent="0.3">
      <c r="A3365" s="340" t="s">
        <v>891</v>
      </c>
      <c r="B3365" s="350">
        <v>46128</v>
      </c>
      <c r="C3365" s="350">
        <v>46128</v>
      </c>
      <c r="D3365" s="351">
        <v>46113</v>
      </c>
      <c r="E3365" s="340" t="s">
        <v>2842</v>
      </c>
      <c r="F3365" s="340" t="s">
        <v>1078</v>
      </c>
      <c r="G3365" s="340" t="s">
        <v>1028</v>
      </c>
      <c r="H3365" s="340"/>
      <c r="I3365" s="340" t="s">
        <v>756</v>
      </c>
      <c r="K3365" s="343">
        <v>991.68</v>
      </c>
      <c r="L3365" s="343">
        <v>0</v>
      </c>
      <c r="M3365" s="343">
        <v>-1039436.72</v>
      </c>
      <c r="O3365" s="343">
        <v>0</v>
      </c>
    </row>
    <row r="3366" spans="1:15" x14ac:dyDescent="0.3">
      <c r="A3366" s="340" t="s">
        <v>891</v>
      </c>
      <c r="B3366" s="350">
        <v>46128</v>
      </c>
      <c r="C3366" s="350">
        <v>46128</v>
      </c>
      <c r="D3366" s="351">
        <v>46113</v>
      </c>
      <c r="E3366" s="340" t="s">
        <v>2844</v>
      </c>
      <c r="F3366" s="340" t="s">
        <v>1078</v>
      </c>
      <c r="G3366" s="340" t="s">
        <v>1881</v>
      </c>
      <c r="H3366" s="340"/>
      <c r="I3366" s="340" t="s">
        <v>756</v>
      </c>
      <c r="K3366" s="343">
        <v>944.36</v>
      </c>
      <c r="L3366" s="343">
        <v>0</v>
      </c>
      <c r="M3366" s="343">
        <v>-1038492.36</v>
      </c>
      <c r="O3366" s="343">
        <v>0</v>
      </c>
    </row>
    <row r="3367" spans="1:15" x14ac:dyDescent="0.3">
      <c r="A3367" s="340" t="s">
        <v>891</v>
      </c>
      <c r="B3367" s="350">
        <v>46128</v>
      </c>
      <c r="C3367" s="350">
        <v>46128</v>
      </c>
      <c r="D3367" s="351">
        <v>46113</v>
      </c>
      <c r="E3367" s="340" t="s">
        <v>2844</v>
      </c>
      <c r="F3367" s="340" t="s">
        <v>1078</v>
      </c>
      <c r="G3367" s="340" t="s">
        <v>1882</v>
      </c>
      <c r="H3367" s="340"/>
      <c r="I3367" s="340" t="s">
        <v>756</v>
      </c>
      <c r="K3367" s="343">
        <v>475.87</v>
      </c>
      <c r="L3367" s="343">
        <v>0</v>
      </c>
      <c r="M3367" s="343">
        <v>-1038016.49</v>
      </c>
      <c r="O3367" s="343">
        <v>0</v>
      </c>
    </row>
    <row r="3368" spans="1:15" x14ac:dyDescent="0.3">
      <c r="A3368" s="340" t="s">
        <v>891</v>
      </c>
      <c r="B3368" s="350">
        <v>46128</v>
      </c>
      <c r="C3368" s="350">
        <v>46128</v>
      </c>
      <c r="D3368" s="351">
        <v>46113</v>
      </c>
      <c r="E3368" s="340" t="s">
        <v>2844</v>
      </c>
      <c r="F3368" s="340" t="s">
        <v>1078</v>
      </c>
      <c r="G3368" s="340" t="s">
        <v>1883</v>
      </c>
      <c r="H3368" s="340"/>
      <c r="I3368" s="340" t="s">
        <v>756</v>
      </c>
      <c r="K3368" s="343">
        <v>417.16</v>
      </c>
      <c r="L3368" s="343">
        <v>0</v>
      </c>
      <c r="M3368" s="343">
        <v>-1037599.33</v>
      </c>
      <c r="O3368" s="343">
        <v>0</v>
      </c>
    </row>
    <row r="3369" spans="1:15" x14ac:dyDescent="0.3">
      <c r="A3369" s="340" t="s">
        <v>891</v>
      </c>
      <c r="B3369" s="350">
        <v>46128</v>
      </c>
      <c r="C3369" s="350">
        <v>46128</v>
      </c>
      <c r="D3369" s="351">
        <v>46113</v>
      </c>
      <c r="E3369" s="340" t="s">
        <v>2844</v>
      </c>
      <c r="F3369" s="340" t="s">
        <v>1078</v>
      </c>
      <c r="G3369" s="340" t="s">
        <v>1884</v>
      </c>
      <c r="H3369" s="340"/>
      <c r="I3369" s="340" t="s">
        <v>756</v>
      </c>
      <c r="K3369" s="343">
        <v>339.97</v>
      </c>
      <c r="L3369" s="343">
        <v>0</v>
      </c>
      <c r="M3369" s="343">
        <v>-1037259.36</v>
      </c>
      <c r="O3369" s="343">
        <v>0</v>
      </c>
    </row>
    <row r="3370" spans="1:15" x14ac:dyDescent="0.3">
      <c r="A3370" s="340" t="s">
        <v>891</v>
      </c>
      <c r="B3370" s="350">
        <v>46128</v>
      </c>
      <c r="C3370" s="350">
        <v>46128</v>
      </c>
      <c r="D3370" s="351">
        <v>46113</v>
      </c>
      <c r="E3370" s="340" t="s">
        <v>2844</v>
      </c>
      <c r="F3370" s="340" t="s">
        <v>1078</v>
      </c>
      <c r="G3370" s="340" t="s">
        <v>1881</v>
      </c>
      <c r="H3370" s="340"/>
      <c r="I3370" s="340" t="s">
        <v>756</v>
      </c>
      <c r="K3370" s="343">
        <v>942.1</v>
      </c>
      <c r="L3370" s="343">
        <v>0</v>
      </c>
      <c r="M3370" s="343">
        <v>-1036317.26</v>
      </c>
      <c r="O3370" s="343">
        <v>0</v>
      </c>
    </row>
    <row r="3371" spans="1:15" x14ac:dyDescent="0.3">
      <c r="A3371" s="340" t="s">
        <v>891</v>
      </c>
      <c r="B3371" s="350">
        <v>46128</v>
      </c>
      <c r="C3371" s="350">
        <v>46128</v>
      </c>
      <c r="D3371" s="351">
        <v>46113</v>
      </c>
      <c r="E3371" s="340" t="s">
        <v>2843</v>
      </c>
      <c r="F3371" s="340" t="s">
        <v>1078</v>
      </c>
      <c r="G3371" s="340" t="s">
        <v>1277</v>
      </c>
      <c r="H3371" s="340"/>
      <c r="I3371" s="340" t="s">
        <v>757</v>
      </c>
      <c r="K3371" s="343">
        <v>651.58000000000004</v>
      </c>
      <c r="L3371" s="343">
        <v>0</v>
      </c>
      <c r="M3371" s="343">
        <v>-1035665.68</v>
      </c>
      <c r="O3371" s="343">
        <v>0</v>
      </c>
    </row>
    <row r="3372" spans="1:15" x14ac:dyDescent="0.3">
      <c r="A3372" s="340" t="s">
        <v>891</v>
      </c>
      <c r="B3372" s="350">
        <v>46128</v>
      </c>
      <c r="C3372" s="350">
        <v>46128</v>
      </c>
      <c r="D3372" s="351">
        <v>46113</v>
      </c>
      <c r="E3372" s="340" t="s">
        <v>2843</v>
      </c>
      <c r="F3372" s="340" t="s">
        <v>1078</v>
      </c>
      <c r="G3372" s="340" t="s">
        <v>1274</v>
      </c>
      <c r="H3372" s="340"/>
      <c r="I3372" s="340" t="s">
        <v>757</v>
      </c>
      <c r="K3372" s="343">
        <v>1558.53</v>
      </c>
      <c r="L3372" s="343">
        <v>0</v>
      </c>
      <c r="M3372" s="343">
        <v>-1034107.15</v>
      </c>
      <c r="O3372" s="343">
        <v>0</v>
      </c>
    </row>
    <row r="3373" spans="1:15" x14ac:dyDescent="0.3">
      <c r="A3373" s="340" t="s">
        <v>891</v>
      </c>
      <c r="B3373" s="350">
        <v>46128</v>
      </c>
      <c r="C3373" s="350">
        <v>46128</v>
      </c>
      <c r="D3373" s="351">
        <v>46113</v>
      </c>
      <c r="E3373" s="340" t="s">
        <v>2843</v>
      </c>
      <c r="F3373" s="340" t="s">
        <v>1078</v>
      </c>
      <c r="G3373" s="340" t="s">
        <v>1275</v>
      </c>
      <c r="H3373" s="340"/>
      <c r="I3373" s="340" t="s">
        <v>757</v>
      </c>
      <c r="K3373" s="343">
        <v>623.36</v>
      </c>
      <c r="L3373" s="343">
        <v>0</v>
      </c>
      <c r="M3373" s="343">
        <v>-1033483.79</v>
      </c>
      <c r="O3373" s="343">
        <v>0</v>
      </c>
    </row>
    <row r="3374" spans="1:15" x14ac:dyDescent="0.3">
      <c r="A3374" s="340" t="s">
        <v>891</v>
      </c>
      <c r="B3374" s="350">
        <v>46128</v>
      </c>
      <c r="C3374" s="350">
        <v>46128</v>
      </c>
      <c r="D3374" s="351">
        <v>46113</v>
      </c>
      <c r="E3374" s="340" t="s">
        <v>2843</v>
      </c>
      <c r="F3374" s="340" t="s">
        <v>1078</v>
      </c>
      <c r="G3374" s="340" t="s">
        <v>1285</v>
      </c>
      <c r="H3374" s="340"/>
      <c r="I3374" s="340" t="s">
        <v>757</v>
      </c>
      <c r="K3374" s="343">
        <v>2771.11</v>
      </c>
      <c r="L3374" s="343">
        <v>0</v>
      </c>
      <c r="M3374" s="343">
        <v>-1030712.68</v>
      </c>
      <c r="O3374" s="343">
        <v>0</v>
      </c>
    </row>
    <row r="3375" spans="1:15" x14ac:dyDescent="0.3">
      <c r="A3375" s="340" t="s">
        <v>891</v>
      </c>
      <c r="B3375" s="350">
        <v>46128</v>
      </c>
      <c r="C3375" s="350">
        <v>46128</v>
      </c>
      <c r="D3375" s="351">
        <v>46113</v>
      </c>
      <c r="E3375" s="340" t="s">
        <v>2843</v>
      </c>
      <c r="F3375" s="340" t="s">
        <v>1078</v>
      </c>
      <c r="G3375" s="340" t="s">
        <v>1286</v>
      </c>
      <c r="H3375" s="340"/>
      <c r="I3375" s="340" t="s">
        <v>757</v>
      </c>
      <c r="K3375" s="343">
        <v>1125.8</v>
      </c>
      <c r="L3375" s="343">
        <v>0</v>
      </c>
      <c r="M3375" s="343">
        <v>-1029586.88</v>
      </c>
      <c r="O3375" s="343">
        <v>0</v>
      </c>
    </row>
    <row r="3376" spans="1:15" x14ac:dyDescent="0.3">
      <c r="A3376" s="340" t="s">
        <v>891</v>
      </c>
      <c r="B3376" s="350">
        <v>46128</v>
      </c>
      <c r="C3376" s="350">
        <v>46128</v>
      </c>
      <c r="D3376" s="351">
        <v>46113</v>
      </c>
      <c r="E3376" s="340" t="s">
        <v>2843</v>
      </c>
      <c r="F3376" s="340" t="s">
        <v>1078</v>
      </c>
      <c r="G3376" s="340" t="s">
        <v>1287</v>
      </c>
      <c r="H3376" s="340"/>
      <c r="I3376" s="340" t="s">
        <v>757</v>
      </c>
      <c r="K3376" s="343">
        <v>779.13</v>
      </c>
      <c r="L3376" s="343">
        <v>0</v>
      </c>
      <c r="M3376" s="343">
        <v>-1028807.75</v>
      </c>
      <c r="O3376" s="343">
        <v>0</v>
      </c>
    </row>
    <row r="3377" spans="1:15" x14ac:dyDescent="0.3">
      <c r="A3377" s="340" t="s">
        <v>891</v>
      </c>
      <c r="B3377" s="350">
        <v>46128</v>
      </c>
      <c r="C3377" s="350">
        <v>46128</v>
      </c>
      <c r="D3377" s="351">
        <v>46113</v>
      </c>
      <c r="E3377" s="340" t="s">
        <v>2843</v>
      </c>
      <c r="F3377" s="340" t="s">
        <v>1078</v>
      </c>
      <c r="G3377" s="340" t="s">
        <v>1379</v>
      </c>
      <c r="H3377" s="340"/>
      <c r="I3377" s="340" t="s">
        <v>757</v>
      </c>
      <c r="K3377" s="343">
        <v>155.86000000000001</v>
      </c>
      <c r="L3377" s="343">
        <v>0</v>
      </c>
      <c r="M3377" s="343">
        <v>-1028651.89</v>
      </c>
      <c r="O3377" s="343">
        <v>0</v>
      </c>
    </row>
    <row r="3378" spans="1:15" x14ac:dyDescent="0.3">
      <c r="A3378" s="340" t="s">
        <v>891</v>
      </c>
      <c r="B3378" s="350">
        <v>46128</v>
      </c>
      <c r="C3378" s="350">
        <v>46128</v>
      </c>
      <c r="D3378" s="351">
        <v>46113</v>
      </c>
      <c r="E3378" s="340" t="s">
        <v>2843</v>
      </c>
      <c r="F3378" s="340" t="s">
        <v>1078</v>
      </c>
      <c r="G3378" s="340" t="s">
        <v>1380</v>
      </c>
      <c r="H3378" s="340"/>
      <c r="I3378" s="340" t="s">
        <v>757</v>
      </c>
      <c r="K3378" s="343">
        <v>11.42</v>
      </c>
      <c r="L3378" s="343">
        <v>0</v>
      </c>
      <c r="M3378" s="343">
        <v>-1028640.47</v>
      </c>
      <c r="O3378" s="343">
        <v>0</v>
      </c>
    </row>
    <row r="3379" spans="1:15" x14ac:dyDescent="0.3">
      <c r="A3379" s="340" t="s">
        <v>891</v>
      </c>
      <c r="B3379" s="350">
        <v>46128</v>
      </c>
      <c r="C3379" s="350">
        <v>46128</v>
      </c>
      <c r="D3379" s="351">
        <v>46113</v>
      </c>
      <c r="E3379" s="340" t="s">
        <v>2843</v>
      </c>
      <c r="F3379" s="340" t="s">
        <v>1078</v>
      </c>
      <c r="G3379" s="340" t="s">
        <v>1381</v>
      </c>
      <c r="H3379" s="340"/>
      <c r="I3379" s="340" t="s">
        <v>757</v>
      </c>
      <c r="K3379" s="343">
        <v>187.01</v>
      </c>
      <c r="L3379" s="343">
        <v>0</v>
      </c>
      <c r="M3379" s="343">
        <v>-1028453.46</v>
      </c>
      <c r="O3379" s="343">
        <v>0</v>
      </c>
    </row>
    <row r="3380" spans="1:15" x14ac:dyDescent="0.3">
      <c r="A3380" s="340" t="s">
        <v>891</v>
      </c>
      <c r="B3380" s="350">
        <v>46128</v>
      </c>
      <c r="C3380" s="350">
        <v>46128</v>
      </c>
      <c r="D3380" s="351">
        <v>46113</v>
      </c>
      <c r="E3380" s="340" t="s">
        <v>2843</v>
      </c>
      <c r="F3380" s="340" t="s">
        <v>1078</v>
      </c>
      <c r="G3380" s="340" t="s">
        <v>1382</v>
      </c>
      <c r="H3380" s="340"/>
      <c r="I3380" s="340" t="s">
        <v>757</v>
      </c>
      <c r="K3380" s="343">
        <v>49.86</v>
      </c>
      <c r="L3380" s="343">
        <v>0</v>
      </c>
      <c r="M3380" s="343">
        <v>-1028403.6</v>
      </c>
      <c r="O3380" s="343">
        <v>0</v>
      </c>
    </row>
    <row r="3381" spans="1:15" x14ac:dyDescent="0.3">
      <c r="A3381" s="340" t="s">
        <v>891</v>
      </c>
      <c r="B3381" s="350">
        <v>46128</v>
      </c>
      <c r="C3381" s="350">
        <v>46128</v>
      </c>
      <c r="D3381" s="351">
        <v>46113</v>
      </c>
      <c r="E3381" s="340" t="s">
        <v>2843</v>
      </c>
      <c r="F3381" s="340" t="s">
        <v>1078</v>
      </c>
      <c r="G3381" s="340" t="s">
        <v>1383</v>
      </c>
      <c r="H3381" s="340"/>
      <c r="I3381" s="340" t="s">
        <v>757</v>
      </c>
      <c r="K3381" s="343">
        <v>9.8699999999999992</v>
      </c>
      <c r="L3381" s="343">
        <v>0</v>
      </c>
      <c r="M3381" s="343">
        <v>-1028393.73</v>
      </c>
      <c r="O3381" s="343">
        <v>0</v>
      </c>
    </row>
    <row r="3382" spans="1:15" x14ac:dyDescent="0.3">
      <c r="A3382" s="340" t="s">
        <v>891</v>
      </c>
      <c r="B3382" s="350">
        <v>46128</v>
      </c>
      <c r="C3382" s="350">
        <v>46128</v>
      </c>
      <c r="D3382" s="351">
        <v>46113</v>
      </c>
      <c r="E3382" s="340" t="s">
        <v>2843</v>
      </c>
      <c r="F3382" s="340" t="s">
        <v>1078</v>
      </c>
      <c r="G3382" s="340" t="s">
        <v>1384</v>
      </c>
      <c r="H3382" s="340"/>
      <c r="I3382" s="340" t="s">
        <v>757</v>
      </c>
      <c r="K3382" s="343">
        <v>117.62</v>
      </c>
      <c r="L3382" s="343">
        <v>0</v>
      </c>
      <c r="M3382" s="343">
        <v>-1028276.11</v>
      </c>
      <c r="O3382" s="343">
        <v>0</v>
      </c>
    </row>
    <row r="3383" spans="1:15" x14ac:dyDescent="0.3">
      <c r="A3383" s="340" t="s">
        <v>891</v>
      </c>
      <c r="B3383" s="350">
        <v>46128</v>
      </c>
      <c r="C3383" s="350">
        <v>46128</v>
      </c>
      <c r="D3383" s="351">
        <v>46113</v>
      </c>
      <c r="E3383" s="340" t="s">
        <v>2843</v>
      </c>
      <c r="F3383" s="340" t="s">
        <v>1078</v>
      </c>
      <c r="G3383" s="340" t="s">
        <v>1385</v>
      </c>
      <c r="H3383" s="340"/>
      <c r="I3383" s="340" t="s">
        <v>757</v>
      </c>
      <c r="K3383" s="343">
        <v>87.16</v>
      </c>
      <c r="L3383" s="343">
        <v>0</v>
      </c>
      <c r="M3383" s="343">
        <v>-1028188.95</v>
      </c>
      <c r="O3383" s="343">
        <v>0</v>
      </c>
    </row>
    <row r="3384" spans="1:15" x14ac:dyDescent="0.3">
      <c r="A3384" s="340" t="s">
        <v>891</v>
      </c>
      <c r="B3384" s="350">
        <v>46128</v>
      </c>
      <c r="C3384" s="350">
        <v>46128</v>
      </c>
      <c r="D3384" s="351">
        <v>46113</v>
      </c>
      <c r="E3384" s="340" t="s">
        <v>2843</v>
      </c>
      <c r="F3384" s="340" t="s">
        <v>1078</v>
      </c>
      <c r="G3384" s="340" t="s">
        <v>1386</v>
      </c>
      <c r="H3384" s="340"/>
      <c r="I3384" s="340" t="s">
        <v>757</v>
      </c>
      <c r="K3384" s="343">
        <v>36.299999999999997</v>
      </c>
      <c r="L3384" s="343">
        <v>0</v>
      </c>
      <c r="M3384" s="343">
        <v>-1028152.65</v>
      </c>
      <c r="O3384" s="343">
        <v>0</v>
      </c>
    </row>
    <row r="3385" spans="1:15" x14ac:dyDescent="0.3">
      <c r="A3385" s="340" t="s">
        <v>891</v>
      </c>
      <c r="B3385" s="350">
        <v>46128</v>
      </c>
      <c r="C3385" s="350">
        <v>46128</v>
      </c>
      <c r="D3385" s="351">
        <v>46113</v>
      </c>
      <c r="E3385" s="340" t="s">
        <v>2843</v>
      </c>
      <c r="F3385" s="340" t="s">
        <v>1078</v>
      </c>
      <c r="G3385" s="340" t="s">
        <v>1387</v>
      </c>
      <c r="H3385" s="340"/>
      <c r="I3385" s="340" t="s">
        <v>757</v>
      </c>
      <c r="K3385" s="343">
        <v>33.17</v>
      </c>
      <c r="L3385" s="343">
        <v>0</v>
      </c>
      <c r="M3385" s="343">
        <v>-1028119.48</v>
      </c>
      <c r="O3385" s="343">
        <v>0</v>
      </c>
    </row>
    <row r="3386" spans="1:15" x14ac:dyDescent="0.3">
      <c r="A3386" s="340" t="s">
        <v>891</v>
      </c>
      <c r="B3386" s="350">
        <v>46128</v>
      </c>
      <c r="C3386" s="350">
        <v>46128</v>
      </c>
      <c r="D3386" s="351">
        <v>46113</v>
      </c>
      <c r="E3386" s="340" t="s">
        <v>2843</v>
      </c>
      <c r="F3386" s="340" t="s">
        <v>1078</v>
      </c>
      <c r="G3386" s="340" t="s">
        <v>1388</v>
      </c>
      <c r="H3386" s="340"/>
      <c r="I3386" s="340" t="s">
        <v>757</v>
      </c>
      <c r="K3386" s="343">
        <v>32.35</v>
      </c>
      <c r="L3386" s="343">
        <v>0</v>
      </c>
      <c r="M3386" s="343">
        <v>-1028087.13</v>
      </c>
      <c r="O3386" s="343">
        <v>0</v>
      </c>
    </row>
    <row r="3387" spans="1:15" x14ac:dyDescent="0.3">
      <c r="A3387" s="340" t="s">
        <v>891</v>
      </c>
      <c r="B3387" s="350">
        <v>46128</v>
      </c>
      <c r="C3387" s="350">
        <v>46128</v>
      </c>
      <c r="D3387" s="351">
        <v>46113</v>
      </c>
      <c r="E3387" s="340" t="s">
        <v>2843</v>
      </c>
      <c r="F3387" s="340" t="s">
        <v>1078</v>
      </c>
      <c r="G3387" s="340" t="s">
        <v>1389</v>
      </c>
      <c r="H3387" s="340"/>
      <c r="I3387" s="340" t="s">
        <v>757</v>
      </c>
      <c r="K3387" s="343">
        <v>24.81</v>
      </c>
      <c r="L3387" s="343">
        <v>0</v>
      </c>
      <c r="M3387" s="343">
        <v>-1028062.32</v>
      </c>
      <c r="O3387" s="343">
        <v>0</v>
      </c>
    </row>
    <row r="3388" spans="1:15" x14ac:dyDescent="0.3">
      <c r="A3388" s="340" t="s">
        <v>891</v>
      </c>
      <c r="B3388" s="350">
        <v>46128</v>
      </c>
      <c r="C3388" s="350">
        <v>46128</v>
      </c>
      <c r="D3388" s="351">
        <v>46113</v>
      </c>
      <c r="E3388" s="340" t="s">
        <v>2843</v>
      </c>
      <c r="F3388" s="340" t="s">
        <v>1078</v>
      </c>
      <c r="G3388" s="340" t="s">
        <v>1390</v>
      </c>
      <c r="H3388" s="340"/>
      <c r="I3388" s="340" t="s">
        <v>757</v>
      </c>
      <c r="K3388" s="343">
        <v>51.69</v>
      </c>
      <c r="L3388" s="343">
        <v>0</v>
      </c>
      <c r="M3388" s="343">
        <v>-1028010.63</v>
      </c>
      <c r="O3388" s="343">
        <v>0</v>
      </c>
    </row>
    <row r="3389" spans="1:15" x14ac:dyDescent="0.3">
      <c r="A3389" s="340" t="s">
        <v>891</v>
      </c>
      <c r="B3389" s="350">
        <v>46128</v>
      </c>
      <c r="C3389" s="350">
        <v>46128</v>
      </c>
      <c r="D3389" s="351">
        <v>46113</v>
      </c>
      <c r="E3389" s="340" t="s">
        <v>2843</v>
      </c>
      <c r="F3389" s="340" t="s">
        <v>1078</v>
      </c>
      <c r="G3389" s="340" t="s">
        <v>1391</v>
      </c>
      <c r="H3389" s="340"/>
      <c r="I3389" s="340" t="s">
        <v>757</v>
      </c>
      <c r="K3389" s="343">
        <v>9.34</v>
      </c>
      <c r="L3389" s="343">
        <v>0</v>
      </c>
      <c r="M3389" s="343">
        <v>-1028001.29</v>
      </c>
      <c r="O3389" s="343">
        <v>0</v>
      </c>
    </row>
    <row r="3390" spans="1:15" x14ac:dyDescent="0.3">
      <c r="A3390" s="340" t="s">
        <v>891</v>
      </c>
      <c r="B3390" s="350">
        <v>46128</v>
      </c>
      <c r="C3390" s="350">
        <v>46128</v>
      </c>
      <c r="D3390" s="351">
        <v>46113</v>
      </c>
      <c r="E3390" s="340" t="s">
        <v>2843</v>
      </c>
      <c r="F3390" s="340" t="s">
        <v>1078</v>
      </c>
      <c r="G3390" s="340" t="s">
        <v>1392</v>
      </c>
      <c r="H3390" s="340"/>
      <c r="I3390" s="340" t="s">
        <v>757</v>
      </c>
      <c r="K3390" s="343">
        <v>18.579999999999998</v>
      </c>
      <c r="L3390" s="343">
        <v>0</v>
      </c>
      <c r="M3390" s="343">
        <v>-1027982.71</v>
      </c>
      <c r="O3390" s="343">
        <v>0</v>
      </c>
    </row>
    <row r="3391" spans="1:15" x14ac:dyDescent="0.3">
      <c r="A3391" s="340" t="s">
        <v>891</v>
      </c>
      <c r="B3391" s="350">
        <v>46128</v>
      </c>
      <c r="C3391" s="350">
        <v>46128</v>
      </c>
      <c r="D3391" s="351">
        <v>46113</v>
      </c>
      <c r="E3391" s="340" t="s">
        <v>2843</v>
      </c>
      <c r="F3391" s="340" t="s">
        <v>1078</v>
      </c>
      <c r="G3391" s="340" t="s">
        <v>1393</v>
      </c>
      <c r="H3391" s="340"/>
      <c r="I3391" s="340" t="s">
        <v>757</v>
      </c>
      <c r="K3391" s="343">
        <v>24.81</v>
      </c>
      <c r="L3391" s="343">
        <v>0</v>
      </c>
      <c r="M3391" s="343">
        <v>-1027957.9</v>
      </c>
      <c r="O3391" s="343">
        <v>0</v>
      </c>
    </row>
    <row r="3392" spans="1:15" x14ac:dyDescent="0.3">
      <c r="A3392" s="340" t="s">
        <v>891</v>
      </c>
      <c r="B3392" s="350">
        <v>46128</v>
      </c>
      <c r="C3392" s="350">
        <v>46128</v>
      </c>
      <c r="D3392" s="351">
        <v>46113</v>
      </c>
      <c r="E3392" s="340" t="s">
        <v>2843</v>
      </c>
      <c r="F3392" s="340" t="s">
        <v>1078</v>
      </c>
      <c r="G3392" s="340" t="s">
        <v>1394</v>
      </c>
      <c r="H3392" s="340"/>
      <c r="I3392" s="340" t="s">
        <v>757</v>
      </c>
      <c r="K3392" s="343">
        <v>33.56</v>
      </c>
      <c r="L3392" s="343">
        <v>0</v>
      </c>
      <c r="M3392" s="343">
        <v>-1027924.34</v>
      </c>
      <c r="O3392" s="343">
        <v>0</v>
      </c>
    </row>
    <row r="3393" spans="1:15" x14ac:dyDescent="0.3">
      <c r="A3393" s="340" t="s">
        <v>891</v>
      </c>
      <c r="B3393" s="350">
        <v>46128</v>
      </c>
      <c r="C3393" s="350">
        <v>46128</v>
      </c>
      <c r="D3393" s="351">
        <v>46113</v>
      </c>
      <c r="E3393" s="340" t="s">
        <v>2843</v>
      </c>
      <c r="F3393" s="340" t="s">
        <v>1078</v>
      </c>
      <c r="G3393" s="340" t="s">
        <v>1395</v>
      </c>
      <c r="H3393" s="340"/>
      <c r="I3393" s="340" t="s">
        <v>757</v>
      </c>
      <c r="K3393" s="343">
        <v>145.47</v>
      </c>
      <c r="L3393" s="343">
        <v>0</v>
      </c>
      <c r="M3393" s="343">
        <v>-1027778.87</v>
      </c>
      <c r="O3393" s="343">
        <v>0</v>
      </c>
    </row>
    <row r="3394" spans="1:15" x14ac:dyDescent="0.3">
      <c r="A3394" s="340" t="s">
        <v>891</v>
      </c>
      <c r="B3394" s="350">
        <v>46128</v>
      </c>
      <c r="C3394" s="350">
        <v>46128</v>
      </c>
      <c r="D3394" s="351">
        <v>46113</v>
      </c>
      <c r="E3394" s="340" t="s">
        <v>2843</v>
      </c>
      <c r="F3394" s="340" t="s">
        <v>1078</v>
      </c>
      <c r="G3394" s="340" t="s">
        <v>1396</v>
      </c>
      <c r="H3394" s="340"/>
      <c r="I3394" s="340" t="s">
        <v>757</v>
      </c>
      <c r="K3394" s="343">
        <v>224.34</v>
      </c>
      <c r="L3394" s="343">
        <v>0</v>
      </c>
      <c r="M3394" s="343">
        <v>-1027554.53</v>
      </c>
      <c r="O3394" s="343">
        <v>0</v>
      </c>
    </row>
    <row r="3395" spans="1:15" x14ac:dyDescent="0.3">
      <c r="A3395" s="340" t="s">
        <v>891</v>
      </c>
      <c r="B3395" s="350">
        <v>46128</v>
      </c>
      <c r="C3395" s="350">
        <v>46128</v>
      </c>
      <c r="D3395" s="351">
        <v>46113</v>
      </c>
      <c r="E3395" s="340" t="s">
        <v>2843</v>
      </c>
      <c r="F3395" s="340" t="s">
        <v>1078</v>
      </c>
      <c r="G3395" s="340" t="s">
        <v>1397</v>
      </c>
      <c r="H3395" s="340"/>
      <c r="I3395" s="340" t="s">
        <v>757</v>
      </c>
      <c r="K3395" s="343">
        <v>68.540000000000006</v>
      </c>
      <c r="L3395" s="343">
        <v>0</v>
      </c>
      <c r="M3395" s="343">
        <v>-1027485.99</v>
      </c>
      <c r="O3395" s="343">
        <v>0</v>
      </c>
    </row>
    <row r="3396" spans="1:15" x14ac:dyDescent="0.3">
      <c r="A3396" s="340" t="s">
        <v>891</v>
      </c>
      <c r="B3396" s="350">
        <v>46128</v>
      </c>
      <c r="C3396" s="350">
        <v>46128</v>
      </c>
      <c r="D3396" s="351">
        <v>46113</v>
      </c>
      <c r="E3396" s="340" t="s">
        <v>2843</v>
      </c>
      <c r="F3396" s="340" t="s">
        <v>1078</v>
      </c>
      <c r="G3396" s="340" t="s">
        <v>1398</v>
      </c>
      <c r="H3396" s="340"/>
      <c r="I3396" s="340" t="s">
        <v>757</v>
      </c>
      <c r="K3396" s="343">
        <v>110.13</v>
      </c>
      <c r="L3396" s="343">
        <v>0</v>
      </c>
      <c r="M3396" s="343">
        <v>-1027375.86</v>
      </c>
      <c r="O3396" s="343">
        <v>0</v>
      </c>
    </row>
    <row r="3397" spans="1:15" x14ac:dyDescent="0.3">
      <c r="A3397" s="340" t="s">
        <v>891</v>
      </c>
      <c r="B3397" s="350">
        <v>46128</v>
      </c>
      <c r="C3397" s="350">
        <v>46128</v>
      </c>
      <c r="D3397" s="351">
        <v>46113</v>
      </c>
      <c r="E3397" s="340" t="s">
        <v>2843</v>
      </c>
      <c r="F3397" s="340" t="s">
        <v>1078</v>
      </c>
      <c r="G3397" s="340" t="s">
        <v>1399</v>
      </c>
      <c r="H3397" s="340"/>
      <c r="I3397" s="340" t="s">
        <v>757</v>
      </c>
      <c r="K3397" s="343">
        <v>110.13</v>
      </c>
      <c r="L3397" s="343">
        <v>0</v>
      </c>
      <c r="M3397" s="343">
        <v>-1027265.73</v>
      </c>
      <c r="O3397" s="343">
        <v>0</v>
      </c>
    </row>
    <row r="3398" spans="1:15" x14ac:dyDescent="0.3">
      <c r="A3398" s="340" t="s">
        <v>891</v>
      </c>
      <c r="B3398" s="350">
        <v>46128</v>
      </c>
      <c r="C3398" s="350">
        <v>46128</v>
      </c>
      <c r="D3398" s="351">
        <v>46113</v>
      </c>
      <c r="E3398" s="340" t="s">
        <v>2843</v>
      </c>
      <c r="F3398" s="340" t="s">
        <v>1078</v>
      </c>
      <c r="G3398" s="340" t="s">
        <v>1400</v>
      </c>
      <c r="H3398" s="340"/>
      <c r="I3398" s="340" t="s">
        <v>757</v>
      </c>
      <c r="K3398" s="343">
        <v>41.51</v>
      </c>
      <c r="L3398" s="343">
        <v>0</v>
      </c>
      <c r="M3398" s="343">
        <v>-1027224.22</v>
      </c>
      <c r="O3398" s="343">
        <v>0</v>
      </c>
    </row>
    <row r="3399" spans="1:15" x14ac:dyDescent="0.3">
      <c r="A3399" s="340" t="s">
        <v>891</v>
      </c>
      <c r="B3399" s="350">
        <v>46128</v>
      </c>
      <c r="C3399" s="350">
        <v>46128</v>
      </c>
      <c r="D3399" s="351">
        <v>46113</v>
      </c>
      <c r="E3399" s="340" t="s">
        <v>2843</v>
      </c>
      <c r="F3399" s="340" t="s">
        <v>1078</v>
      </c>
      <c r="G3399" s="340" t="s">
        <v>1401</v>
      </c>
      <c r="H3399" s="340"/>
      <c r="I3399" s="340" t="s">
        <v>757</v>
      </c>
      <c r="K3399" s="343">
        <v>130.86000000000001</v>
      </c>
      <c r="L3399" s="343">
        <v>0</v>
      </c>
      <c r="M3399" s="343">
        <v>-1027093.36</v>
      </c>
      <c r="O3399" s="343">
        <v>0</v>
      </c>
    </row>
    <row r="3400" spans="1:15" x14ac:dyDescent="0.3">
      <c r="A3400" s="340" t="s">
        <v>891</v>
      </c>
      <c r="B3400" s="350">
        <v>46128</v>
      </c>
      <c r="C3400" s="350">
        <v>46128</v>
      </c>
      <c r="D3400" s="351">
        <v>46113</v>
      </c>
      <c r="E3400" s="340" t="s">
        <v>2843</v>
      </c>
      <c r="F3400" s="340" t="s">
        <v>1078</v>
      </c>
      <c r="G3400" s="340" t="s">
        <v>1402</v>
      </c>
      <c r="H3400" s="340"/>
      <c r="I3400" s="340" t="s">
        <v>757</v>
      </c>
      <c r="K3400" s="343">
        <v>205.64</v>
      </c>
      <c r="L3400" s="343">
        <v>0</v>
      </c>
      <c r="M3400" s="343">
        <v>-1026887.72</v>
      </c>
      <c r="O3400" s="343">
        <v>0</v>
      </c>
    </row>
    <row r="3401" spans="1:15" x14ac:dyDescent="0.3">
      <c r="A3401" s="340" t="s">
        <v>891</v>
      </c>
      <c r="B3401" s="350">
        <v>46128</v>
      </c>
      <c r="C3401" s="350">
        <v>46128</v>
      </c>
      <c r="D3401" s="351">
        <v>46113</v>
      </c>
      <c r="E3401" s="340" t="s">
        <v>2843</v>
      </c>
      <c r="F3401" s="340" t="s">
        <v>1078</v>
      </c>
      <c r="G3401" s="340" t="s">
        <v>1403</v>
      </c>
      <c r="H3401" s="340"/>
      <c r="I3401" s="340" t="s">
        <v>757</v>
      </c>
      <c r="K3401" s="343">
        <v>149.51</v>
      </c>
      <c r="L3401" s="343">
        <v>0</v>
      </c>
      <c r="M3401" s="343">
        <v>-1026738.21</v>
      </c>
      <c r="O3401" s="343">
        <v>0</v>
      </c>
    </row>
    <row r="3402" spans="1:15" x14ac:dyDescent="0.3">
      <c r="A3402" s="340" t="s">
        <v>891</v>
      </c>
      <c r="B3402" s="350">
        <v>46128</v>
      </c>
      <c r="C3402" s="350">
        <v>46128</v>
      </c>
      <c r="D3402" s="351">
        <v>46113</v>
      </c>
      <c r="E3402" s="340" t="s">
        <v>2843</v>
      </c>
      <c r="F3402" s="340" t="s">
        <v>1078</v>
      </c>
      <c r="G3402" s="340" t="s">
        <v>1404</v>
      </c>
      <c r="H3402" s="340"/>
      <c r="I3402" s="340" t="s">
        <v>757</v>
      </c>
      <c r="K3402" s="343">
        <v>31.15</v>
      </c>
      <c r="L3402" s="343">
        <v>0</v>
      </c>
      <c r="M3402" s="343">
        <v>-1026707.06</v>
      </c>
      <c r="O3402" s="343">
        <v>0</v>
      </c>
    </row>
    <row r="3403" spans="1:15" x14ac:dyDescent="0.3">
      <c r="A3403" s="340" t="s">
        <v>891</v>
      </c>
      <c r="B3403" s="350">
        <v>46128</v>
      </c>
      <c r="C3403" s="350">
        <v>46128</v>
      </c>
      <c r="D3403" s="351">
        <v>46113</v>
      </c>
      <c r="E3403" s="340" t="s">
        <v>2843</v>
      </c>
      <c r="F3403" s="340" t="s">
        <v>1078</v>
      </c>
      <c r="G3403" s="340" t="s">
        <v>1405</v>
      </c>
      <c r="H3403" s="340"/>
      <c r="I3403" s="340" t="s">
        <v>757</v>
      </c>
      <c r="K3403" s="343">
        <v>203.61</v>
      </c>
      <c r="L3403" s="343">
        <v>0</v>
      </c>
      <c r="M3403" s="343">
        <v>-1026503.45</v>
      </c>
      <c r="O3403" s="343">
        <v>0</v>
      </c>
    </row>
    <row r="3404" spans="1:15" x14ac:dyDescent="0.3">
      <c r="A3404" s="340" t="s">
        <v>891</v>
      </c>
      <c r="B3404" s="350">
        <v>46128</v>
      </c>
      <c r="C3404" s="350">
        <v>46128</v>
      </c>
      <c r="D3404" s="351">
        <v>46113</v>
      </c>
      <c r="E3404" s="340" t="s">
        <v>2843</v>
      </c>
      <c r="F3404" s="340" t="s">
        <v>1078</v>
      </c>
      <c r="G3404" s="340" t="s">
        <v>1406</v>
      </c>
      <c r="H3404" s="340"/>
      <c r="I3404" s="340" t="s">
        <v>757</v>
      </c>
      <c r="K3404" s="343">
        <v>441.39</v>
      </c>
      <c r="L3404" s="343">
        <v>0</v>
      </c>
      <c r="M3404" s="343">
        <v>-1026062.06</v>
      </c>
      <c r="O3404" s="343">
        <v>0</v>
      </c>
    </row>
    <row r="3405" spans="1:15" x14ac:dyDescent="0.3">
      <c r="A3405" s="340" t="s">
        <v>891</v>
      </c>
      <c r="B3405" s="350">
        <v>46128</v>
      </c>
      <c r="C3405" s="350">
        <v>46128</v>
      </c>
      <c r="D3405" s="351">
        <v>46113</v>
      </c>
      <c r="E3405" s="340" t="s">
        <v>2843</v>
      </c>
      <c r="F3405" s="340" t="s">
        <v>1078</v>
      </c>
      <c r="G3405" s="340" t="s">
        <v>1407</v>
      </c>
      <c r="H3405" s="340"/>
      <c r="I3405" s="340" t="s">
        <v>757</v>
      </c>
      <c r="K3405" s="343">
        <v>103.9</v>
      </c>
      <c r="L3405" s="343">
        <v>0</v>
      </c>
      <c r="M3405" s="343">
        <v>-1025958.16</v>
      </c>
      <c r="O3405" s="343">
        <v>0</v>
      </c>
    </row>
    <row r="3406" spans="1:15" x14ac:dyDescent="0.3">
      <c r="A3406" s="340" t="s">
        <v>891</v>
      </c>
      <c r="B3406" s="350">
        <v>46128</v>
      </c>
      <c r="C3406" s="350">
        <v>46128</v>
      </c>
      <c r="D3406" s="351">
        <v>46113</v>
      </c>
      <c r="E3406" s="340" t="s">
        <v>2843</v>
      </c>
      <c r="F3406" s="340" t="s">
        <v>1078</v>
      </c>
      <c r="G3406" s="340" t="s">
        <v>1408</v>
      </c>
      <c r="H3406" s="340"/>
      <c r="I3406" s="340" t="s">
        <v>757</v>
      </c>
      <c r="K3406" s="343">
        <v>22.84</v>
      </c>
      <c r="L3406" s="343">
        <v>0</v>
      </c>
      <c r="M3406" s="343">
        <v>-1025935.32</v>
      </c>
      <c r="O3406" s="343">
        <v>0</v>
      </c>
    </row>
    <row r="3407" spans="1:15" x14ac:dyDescent="0.3">
      <c r="A3407" s="340" t="s">
        <v>891</v>
      </c>
      <c r="B3407" s="350">
        <v>46128</v>
      </c>
      <c r="C3407" s="350">
        <v>46128</v>
      </c>
      <c r="D3407" s="351">
        <v>46113</v>
      </c>
      <c r="E3407" s="340" t="s">
        <v>2843</v>
      </c>
      <c r="F3407" s="340" t="s">
        <v>1078</v>
      </c>
      <c r="G3407" s="340" t="s">
        <v>1409</v>
      </c>
      <c r="H3407" s="340"/>
      <c r="I3407" s="340" t="s">
        <v>757</v>
      </c>
      <c r="K3407" s="343">
        <v>18.27</v>
      </c>
      <c r="L3407" s="343">
        <v>0</v>
      </c>
      <c r="M3407" s="343">
        <v>-1025917.05</v>
      </c>
      <c r="O3407" s="343">
        <v>0</v>
      </c>
    </row>
    <row r="3408" spans="1:15" x14ac:dyDescent="0.3">
      <c r="A3408" s="340" t="s">
        <v>891</v>
      </c>
      <c r="B3408" s="350">
        <v>46128</v>
      </c>
      <c r="C3408" s="350">
        <v>46128</v>
      </c>
      <c r="D3408" s="351">
        <v>46113</v>
      </c>
      <c r="E3408" s="340" t="s">
        <v>2843</v>
      </c>
      <c r="F3408" s="340" t="s">
        <v>1078</v>
      </c>
      <c r="G3408" s="340" t="s">
        <v>1410</v>
      </c>
      <c r="H3408" s="340"/>
      <c r="I3408" s="340" t="s">
        <v>757</v>
      </c>
      <c r="K3408" s="343">
        <v>99.68</v>
      </c>
      <c r="L3408" s="343">
        <v>0</v>
      </c>
      <c r="M3408" s="343">
        <v>-1025817.37</v>
      </c>
      <c r="O3408" s="343">
        <v>0</v>
      </c>
    </row>
    <row r="3409" spans="1:15" x14ac:dyDescent="0.3">
      <c r="A3409" s="340" t="s">
        <v>891</v>
      </c>
      <c r="B3409" s="350">
        <v>46128</v>
      </c>
      <c r="C3409" s="350">
        <v>46128</v>
      </c>
      <c r="D3409" s="351">
        <v>46113</v>
      </c>
      <c r="E3409" s="340" t="s">
        <v>2843</v>
      </c>
      <c r="F3409" s="340" t="s">
        <v>1078</v>
      </c>
      <c r="G3409" s="340" t="s">
        <v>1411</v>
      </c>
      <c r="H3409" s="340"/>
      <c r="I3409" s="340" t="s">
        <v>757</v>
      </c>
      <c r="K3409" s="343">
        <v>107.99</v>
      </c>
      <c r="L3409" s="343">
        <v>0</v>
      </c>
      <c r="M3409" s="343">
        <v>-1025709.38</v>
      </c>
      <c r="O3409" s="343">
        <v>0</v>
      </c>
    </row>
    <row r="3410" spans="1:15" x14ac:dyDescent="0.3">
      <c r="A3410" s="340" t="s">
        <v>891</v>
      </c>
      <c r="B3410" s="350">
        <v>46128</v>
      </c>
      <c r="C3410" s="350">
        <v>46128</v>
      </c>
      <c r="D3410" s="351">
        <v>46113</v>
      </c>
      <c r="E3410" s="340" t="s">
        <v>2843</v>
      </c>
      <c r="F3410" s="340" t="s">
        <v>1078</v>
      </c>
      <c r="G3410" s="340" t="s">
        <v>1412</v>
      </c>
      <c r="H3410" s="340"/>
      <c r="I3410" s="340" t="s">
        <v>757</v>
      </c>
      <c r="K3410" s="343">
        <v>112.17</v>
      </c>
      <c r="L3410" s="343">
        <v>0</v>
      </c>
      <c r="M3410" s="343">
        <v>-1025597.21</v>
      </c>
      <c r="O3410" s="343">
        <v>0</v>
      </c>
    </row>
    <row r="3411" spans="1:15" x14ac:dyDescent="0.3">
      <c r="A3411" s="340" t="s">
        <v>891</v>
      </c>
      <c r="B3411" s="350">
        <v>46128</v>
      </c>
      <c r="C3411" s="350">
        <v>46128</v>
      </c>
      <c r="D3411" s="351">
        <v>46113</v>
      </c>
      <c r="E3411" s="340" t="s">
        <v>2843</v>
      </c>
      <c r="F3411" s="340" t="s">
        <v>1078</v>
      </c>
      <c r="G3411" s="340" t="s">
        <v>1413</v>
      </c>
      <c r="H3411" s="340"/>
      <c r="I3411" s="340" t="s">
        <v>757</v>
      </c>
      <c r="K3411" s="343">
        <v>46.73</v>
      </c>
      <c r="L3411" s="343">
        <v>0</v>
      </c>
      <c r="M3411" s="343">
        <v>-1025550.48</v>
      </c>
      <c r="O3411" s="343">
        <v>0</v>
      </c>
    </row>
    <row r="3412" spans="1:15" x14ac:dyDescent="0.3">
      <c r="A3412" s="340" t="s">
        <v>891</v>
      </c>
      <c r="B3412" s="350">
        <v>46128</v>
      </c>
      <c r="C3412" s="350">
        <v>46128</v>
      </c>
      <c r="D3412" s="351">
        <v>46113</v>
      </c>
      <c r="E3412" s="340" t="s">
        <v>2843</v>
      </c>
      <c r="F3412" s="340" t="s">
        <v>1078</v>
      </c>
      <c r="G3412" s="340" t="s">
        <v>1376</v>
      </c>
      <c r="H3412" s="340"/>
      <c r="I3412" s="340" t="s">
        <v>757</v>
      </c>
      <c r="K3412" s="343">
        <v>29.08</v>
      </c>
      <c r="L3412" s="343">
        <v>0</v>
      </c>
      <c r="M3412" s="343">
        <v>-1025521.4</v>
      </c>
      <c r="O3412" s="343">
        <v>0</v>
      </c>
    </row>
    <row r="3413" spans="1:15" x14ac:dyDescent="0.3">
      <c r="A3413" s="340" t="s">
        <v>891</v>
      </c>
      <c r="B3413" s="350">
        <v>46128</v>
      </c>
      <c r="C3413" s="350">
        <v>46128</v>
      </c>
      <c r="D3413" s="351">
        <v>46113</v>
      </c>
      <c r="E3413" s="340" t="s">
        <v>2843</v>
      </c>
      <c r="F3413" s="340" t="s">
        <v>1078</v>
      </c>
      <c r="G3413" s="340" t="s">
        <v>1377</v>
      </c>
      <c r="H3413" s="340"/>
      <c r="I3413" s="340" t="s">
        <v>757</v>
      </c>
      <c r="K3413" s="343">
        <v>74.8</v>
      </c>
      <c r="L3413" s="343">
        <v>0</v>
      </c>
      <c r="M3413" s="343">
        <v>-1025446.6</v>
      </c>
      <c r="O3413" s="343">
        <v>0</v>
      </c>
    </row>
    <row r="3414" spans="1:15" x14ac:dyDescent="0.3">
      <c r="A3414" s="340" t="s">
        <v>891</v>
      </c>
      <c r="B3414" s="350">
        <v>46128</v>
      </c>
      <c r="C3414" s="350">
        <v>46128</v>
      </c>
      <c r="D3414" s="351">
        <v>46113</v>
      </c>
      <c r="E3414" s="340" t="s">
        <v>2843</v>
      </c>
      <c r="F3414" s="340" t="s">
        <v>1078</v>
      </c>
      <c r="G3414" s="340" t="s">
        <v>1378</v>
      </c>
      <c r="H3414" s="340"/>
      <c r="I3414" s="340" t="s">
        <v>757</v>
      </c>
      <c r="K3414" s="343">
        <v>68.569999999999993</v>
      </c>
      <c r="L3414" s="343">
        <v>0</v>
      </c>
      <c r="M3414" s="343">
        <v>-1025378.03</v>
      </c>
      <c r="O3414" s="343">
        <v>0</v>
      </c>
    </row>
    <row r="3415" spans="1:15" x14ac:dyDescent="0.3">
      <c r="A3415" s="340" t="s">
        <v>891</v>
      </c>
      <c r="B3415" s="350">
        <v>46128</v>
      </c>
      <c r="C3415" s="350">
        <v>46128</v>
      </c>
      <c r="D3415" s="351">
        <v>46113</v>
      </c>
      <c r="E3415" s="340" t="s">
        <v>2843</v>
      </c>
      <c r="F3415" s="340" t="s">
        <v>1078</v>
      </c>
      <c r="G3415" s="340" t="s">
        <v>1414</v>
      </c>
      <c r="H3415" s="340"/>
      <c r="I3415" s="340" t="s">
        <v>757</v>
      </c>
      <c r="K3415" s="343">
        <v>10.37</v>
      </c>
      <c r="L3415" s="343">
        <v>0</v>
      </c>
      <c r="M3415" s="343">
        <v>-1025367.66</v>
      </c>
      <c r="O3415" s="343">
        <v>0</v>
      </c>
    </row>
    <row r="3416" spans="1:15" x14ac:dyDescent="0.3">
      <c r="A3416" s="340" t="s">
        <v>891</v>
      </c>
      <c r="B3416" s="350">
        <v>46128</v>
      </c>
      <c r="C3416" s="350">
        <v>46128</v>
      </c>
      <c r="D3416" s="351">
        <v>46113</v>
      </c>
      <c r="E3416" s="340" t="s">
        <v>2843</v>
      </c>
      <c r="F3416" s="340" t="s">
        <v>1078</v>
      </c>
      <c r="G3416" s="340" t="s">
        <v>1415</v>
      </c>
      <c r="H3416" s="340"/>
      <c r="I3416" s="340" t="s">
        <v>757</v>
      </c>
      <c r="K3416" s="343">
        <v>31.11</v>
      </c>
      <c r="L3416" s="343">
        <v>0</v>
      </c>
      <c r="M3416" s="343">
        <v>-1025336.55</v>
      </c>
      <c r="O3416" s="343">
        <v>0</v>
      </c>
    </row>
    <row r="3417" spans="1:15" x14ac:dyDescent="0.3">
      <c r="A3417" s="340" t="s">
        <v>891</v>
      </c>
      <c r="B3417" s="350">
        <v>46128</v>
      </c>
      <c r="C3417" s="350">
        <v>46128</v>
      </c>
      <c r="D3417" s="351">
        <v>46113</v>
      </c>
      <c r="E3417" s="340" t="s">
        <v>2843</v>
      </c>
      <c r="F3417" s="340" t="s">
        <v>1078</v>
      </c>
      <c r="G3417" s="340" t="s">
        <v>1416</v>
      </c>
      <c r="H3417" s="340"/>
      <c r="I3417" s="340" t="s">
        <v>757</v>
      </c>
      <c r="K3417" s="343">
        <v>311.54000000000002</v>
      </c>
      <c r="L3417" s="343">
        <v>0</v>
      </c>
      <c r="M3417" s="343">
        <v>-1025025.01</v>
      </c>
      <c r="O3417" s="343">
        <v>0</v>
      </c>
    </row>
    <row r="3418" spans="1:15" x14ac:dyDescent="0.3">
      <c r="A3418" s="340" t="s">
        <v>891</v>
      </c>
      <c r="B3418" s="350">
        <v>46128</v>
      </c>
      <c r="C3418" s="350">
        <v>46128</v>
      </c>
      <c r="D3418" s="351">
        <v>46113</v>
      </c>
      <c r="E3418" s="340" t="s">
        <v>2843</v>
      </c>
      <c r="F3418" s="340" t="s">
        <v>1078</v>
      </c>
      <c r="G3418" s="340" t="s">
        <v>1417</v>
      </c>
      <c r="H3418" s="340"/>
      <c r="I3418" s="340" t="s">
        <v>757</v>
      </c>
      <c r="K3418" s="343">
        <v>37.380000000000003</v>
      </c>
      <c r="L3418" s="343">
        <v>0</v>
      </c>
      <c r="M3418" s="343">
        <v>-1024987.63</v>
      </c>
      <c r="O3418" s="343">
        <v>0</v>
      </c>
    </row>
    <row r="3419" spans="1:15" x14ac:dyDescent="0.3">
      <c r="A3419" s="340" t="s">
        <v>891</v>
      </c>
      <c r="B3419" s="350">
        <v>46128</v>
      </c>
      <c r="C3419" s="350">
        <v>46128</v>
      </c>
      <c r="D3419" s="351">
        <v>46113</v>
      </c>
      <c r="E3419" s="340" t="s">
        <v>2843</v>
      </c>
      <c r="F3419" s="340" t="s">
        <v>1078</v>
      </c>
      <c r="G3419" s="340" t="s">
        <v>1418</v>
      </c>
      <c r="H3419" s="340"/>
      <c r="I3419" s="340" t="s">
        <v>757</v>
      </c>
      <c r="K3419" s="343">
        <v>62.33</v>
      </c>
      <c r="L3419" s="343">
        <v>0</v>
      </c>
      <c r="M3419" s="343">
        <v>-1024925.3</v>
      </c>
      <c r="O3419" s="343">
        <v>0</v>
      </c>
    </row>
    <row r="3420" spans="1:15" x14ac:dyDescent="0.3">
      <c r="A3420" s="340" t="s">
        <v>891</v>
      </c>
      <c r="B3420" s="350">
        <v>46128</v>
      </c>
      <c r="C3420" s="350">
        <v>46128</v>
      </c>
      <c r="D3420" s="351">
        <v>46113</v>
      </c>
      <c r="E3420" s="340" t="s">
        <v>2843</v>
      </c>
      <c r="F3420" s="340" t="s">
        <v>1078</v>
      </c>
      <c r="G3420" s="340" t="s">
        <v>1419</v>
      </c>
      <c r="H3420" s="340"/>
      <c r="I3420" s="340" t="s">
        <v>757</v>
      </c>
      <c r="K3420" s="343">
        <v>11.42</v>
      </c>
      <c r="L3420" s="343">
        <v>0</v>
      </c>
      <c r="M3420" s="343">
        <v>-1024913.88</v>
      </c>
      <c r="O3420" s="343">
        <v>0</v>
      </c>
    </row>
    <row r="3421" spans="1:15" x14ac:dyDescent="0.3">
      <c r="A3421" s="340" t="s">
        <v>891</v>
      </c>
      <c r="B3421" s="350">
        <v>46128</v>
      </c>
      <c r="C3421" s="350">
        <v>46128</v>
      </c>
      <c r="D3421" s="351">
        <v>46113</v>
      </c>
      <c r="E3421" s="340" t="s">
        <v>2843</v>
      </c>
      <c r="F3421" s="340" t="s">
        <v>1078</v>
      </c>
      <c r="G3421" s="340" t="s">
        <v>1420</v>
      </c>
      <c r="H3421" s="340"/>
      <c r="I3421" s="340" t="s">
        <v>757</v>
      </c>
      <c r="K3421" s="343">
        <v>116.3</v>
      </c>
      <c r="L3421" s="343">
        <v>0</v>
      </c>
      <c r="M3421" s="343">
        <v>-1024797.58</v>
      </c>
      <c r="O3421" s="343">
        <v>0</v>
      </c>
    </row>
    <row r="3422" spans="1:15" x14ac:dyDescent="0.3">
      <c r="A3422" s="340" t="s">
        <v>891</v>
      </c>
      <c r="B3422" s="350">
        <v>46128</v>
      </c>
      <c r="C3422" s="350">
        <v>46128</v>
      </c>
      <c r="D3422" s="351">
        <v>46113</v>
      </c>
      <c r="E3422" s="340" t="s">
        <v>2843</v>
      </c>
      <c r="F3422" s="340" t="s">
        <v>1078</v>
      </c>
      <c r="G3422" s="340" t="s">
        <v>1421</v>
      </c>
      <c r="H3422" s="340"/>
      <c r="I3422" s="340" t="s">
        <v>757</v>
      </c>
      <c r="K3422" s="343">
        <v>26.98</v>
      </c>
      <c r="L3422" s="343">
        <v>0</v>
      </c>
      <c r="M3422" s="343">
        <v>-1024770.6</v>
      </c>
      <c r="O3422" s="343">
        <v>0</v>
      </c>
    </row>
    <row r="3423" spans="1:15" x14ac:dyDescent="0.3">
      <c r="A3423" s="340" t="s">
        <v>891</v>
      </c>
      <c r="B3423" s="350">
        <v>46128</v>
      </c>
      <c r="C3423" s="350">
        <v>46128</v>
      </c>
      <c r="D3423" s="351">
        <v>46113</v>
      </c>
      <c r="E3423" s="340" t="s">
        <v>2843</v>
      </c>
      <c r="F3423" s="340" t="s">
        <v>1078</v>
      </c>
      <c r="G3423" s="340" t="s">
        <v>1422</v>
      </c>
      <c r="H3423" s="340"/>
      <c r="I3423" s="340" t="s">
        <v>757</v>
      </c>
      <c r="K3423" s="343">
        <v>50.85</v>
      </c>
      <c r="L3423" s="343">
        <v>0</v>
      </c>
      <c r="M3423" s="343">
        <v>-1024719.75</v>
      </c>
      <c r="O3423" s="343">
        <v>0</v>
      </c>
    </row>
    <row r="3424" spans="1:15" x14ac:dyDescent="0.3">
      <c r="A3424" s="340" t="s">
        <v>891</v>
      </c>
      <c r="B3424" s="350">
        <v>46128</v>
      </c>
      <c r="C3424" s="350">
        <v>46128</v>
      </c>
      <c r="D3424" s="351">
        <v>46113</v>
      </c>
      <c r="E3424" s="340" t="s">
        <v>2843</v>
      </c>
      <c r="F3424" s="340" t="s">
        <v>1078</v>
      </c>
      <c r="G3424" s="340" t="s">
        <v>1423</v>
      </c>
      <c r="H3424" s="340"/>
      <c r="I3424" s="340" t="s">
        <v>757</v>
      </c>
      <c r="K3424" s="343">
        <v>62.3</v>
      </c>
      <c r="L3424" s="343">
        <v>0</v>
      </c>
      <c r="M3424" s="343">
        <v>-1024657.45</v>
      </c>
      <c r="O3424" s="343">
        <v>0</v>
      </c>
    </row>
    <row r="3425" spans="1:15" x14ac:dyDescent="0.3">
      <c r="A3425" s="340" t="s">
        <v>891</v>
      </c>
      <c r="B3425" s="350">
        <v>46128</v>
      </c>
      <c r="C3425" s="350">
        <v>46128</v>
      </c>
      <c r="D3425" s="351">
        <v>46113</v>
      </c>
      <c r="E3425" s="340" t="s">
        <v>2843</v>
      </c>
      <c r="F3425" s="340" t="s">
        <v>1078</v>
      </c>
      <c r="G3425" s="340" t="s">
        <v>1144</v>
      </c>
      <c r="H3425" s="340"/>
      <c r="I3425" s="340" t="s">
        <v>757</v>
      </c>
      <c r="K3425" s="343">
        <v>56.08</v>
      </c>
      <c r="L3425" s="343">
        <v>0</v>
      </c>
      <c r="M3425" s="343">
        <v>-1024601.37</v>
      </c>
      <c r="O3425" s="343">
        <v>0</v>
      </c>
    </row>
    <row r="3426" spans="1:15" x14ac:dyDescent="0.3">
      <c r="A3426" s="340" t="s">
        <v>891</v>
      </c>
      <c r="B3426" s="350">
        <v>46128</v>
      </c>
      <c r="C3426" s="350">
        <v>46128</v>
      </c>
      <c r="D3426" s="351">
        <v>46113</v>
      </c>
      <c r="E3426" s="340" t="s">
        <v>2845</v>
      </c>
      <c r="F3426" s="340" t="s">
        <v>1078</v>
      </c>
      <c r="G3426" s="340" t="s">
        <v>1079</v>
      </c>
      <c r="H3426" s="340"/>
      <c r="I3426" s="340" t="s">
        <v>2846</v>
      </c>
      <c r="K3426" s="343">
        <v>670</v>
      </c>
      <c r="L3426" s="343">
        <v>0</v>
      </c>
      <c r="M3426" s="343">
        <v>-1023931.37</v>
      </c>
      <c r="O3426" s="343">
        <v>0</v>
      </c>
    </row>
    <row r="3427" spans="1:15" x14ac:dyDescent="0.3">
      <c r="A3427" s="340" t="s">
        <v>891</v>
      </c>
      <c r="B3427" s="350">
        <v>46128</v>
      </c>
      <c r="C3427" s="350">
        <v>46128</v>
      </c>
      <c r="D3427" s="351">
        <v>46113</v>
      </c>
      <c r="E3427" s="340" t="s">
        <v>2845</v>
      </c>
      <c r="F3427" s="340" t="s">
        <v>1078</v>
      </c>
      <c r="G3427" s="340" t="s">
        <v>1079</v>
      </c>
      <c r="H3427" s="340"/>
      <c r="I3427" s="340" t="s">
        <v>2846</v>
      </c>
      <c r="K3427" s="343">
        <v>200</v>
      </c>
      <c r="L3427" s="343">
        <v>0</v>
      </c>
      <c r="M3427" s="343">
        <v>-1023731.37</v>
      </c>
      <c r="O3427" s="343">
        <v>0</v>
      </c>
    </row>
    <row r="3428" spans="1:15" x14ac:dyDescent="0.3">
      <c r="A3428" s="340" t="s">
        <v>891</v>
      </c>
      <c r="B3428" s="350">
        <v>46128</v>
      </c>
      <c r="C3428" s="350">
        <v>46128</v>
      </c>
      <c r="D3428" s="351">
        <v>46113</v>
      </c>
      <c r="E3428" s="340" t="s">
        <v>2845</v>
      </c>
      <c r="F3428" s="340" t="s">
        <v>1078</v>
      </c>
      <c r="G3428" s="340" t="s">
        <v>1079</v>
      </c>
      <c r="H3428" s="340"/>
      <c r="I3428" s="340" t="s">
        <v>2846</v>
      </c>
      <c r="K3428" s="343">
        <v>225</v>
      </c>
      <c r="L3428" s="343">
        <v>0</v>
      </c>
      <c r="M3428" s="343">
        <v>-1023506.37</v>
      </c>
      <c r="O3428" s="343">
        <v>0</v>
      </c>
    </row>
    <row r="3429" spans="1:15" x14ac:dyDescent="0.3">
      <c r="A3429" s="340" t="s">
        <v>891</v>
      </c>
      <c r="B3429" s="350">
        <v>46128</v>
      </c>
      <c r="C3429" s="350">
        <v>46128</v>
      </c>
      <c r="D3429" s="351">
        <v>46113</v>
      </c>
      <c r="E3429" s="340" t="s">
        <v>2845</v>
      </c>
      <c r="F3429" s="340" t="s">
        <v>1078</v>
      </c>
      <c r="G3429" s="340" t="s">
        <v>1079</v>
      </c>
      <c r="H3429" s="340"/>
      <c r="I3429" s="340" t="s">
        <v>2846</v>
      </c>
      <c r="K3429" s="343">
        <v>275</v>
      </c>
      <c r="L3429" s="343">
        <v>0</v>
      </c>
      <c r="M3429" s="343">
        <v>-1023231.37</v>
      </c>
      <c r="O3429" s="343">
        <v>0</v>
      </c>
    </row>
    <row r="3430" spans="1:15" x14ac:dyDescent="0.3">
      <c r="A3430" s="340" t="s">
        <v>891</v>
      </c>
      <c r="B3430" s="350">
        <v>46128</v>
      </c>
      <c r="C3430" s="350">
        <v>46128</v>
      </c>
      <c r="D3430" s="351">
        <v>46113</v>
      </c>
      <c r="E3430" s="340" t="s">
        <v>2845</v>
      </c>
      <c r="F3430" s="340" t="s">
        <v>1078</v>
      </c>
      <c r="G3430" s="340" t="s">
        <v>1079</v>
      </c>
      <c r="H3430" s="340"/>
      <c r="I3430" s="340" t="s">
        <v>2846</v>
      </c>
      <c r="K3430" s="343">
        <v>510</v>
      </c>
      <c r="L3430" s="343">
        <v>0</v>
      </c>
      <c r="M3430" s="343">
        <v>-1022721.37</v>
      </c>
      <c r="O3430" s="343">
        <v>0</v>
      </c>
    </row>
    <row r="3431" spans="1:15" x14ac:dyDescent="0.3">
      <c r="A3431" s="340" t="s">
        <v>891</v>
      </c>
      <c r="B3431" s="350">
        <v>46128</v>
      </c>
      <c r="C3431" s="350">
        <v>46128</v>
      </c>
      <c r="D3431" s="351">
        <v>46113</v>
      </c>
      <c r="E3431" s="340" t="s">
        <v>2845</v>
      </c>
      <c r="F3431" s="340" t="s">
        <v>1078</v>
      </c>
      <c r="G3431" s="340" t="s">
        <v>1079</v>
      </c>
      <c r="H3431" s="340"/>
      <c r="I3431" s="340" t="s">
        <v>2846</v>
      </c>
      <c r="K3431" s="343">
        <v>115</v>
      </c>
      <c r="L3431" s="343">
        <v>0</v>
      </c>
      <c r="M3431" s="343">
        <v>-1022606.37</v>
      </c>
      <c r="O3431" s="343">
        <v>0</v>
      </c>
    </row>
    <row r="3432" spans="1:15" x14ac:dyDescent="0.3">
      <c r="A3432" s="340" t="s">
        <v>891</v>
      </c>
      <c r="B3432" s="350">
        <v>46128</v>
      </c>
      <c r="C3432" s="350">
        <v>46128</v>
      </c>
      <c r="D3432" s="351">
        <v>46113</v>
      </c>
      <c r="E3432" s="340" t="s">
        <v>2845</v>
      </c>
      <c r="F3432" s="340" t="s">
        <v>1078</v>
      </c>
      <c r="G3432" s="340" t="s">
        <v>1079</v>
      </c>
      <c r="H3432" s="340"/>
      <c r="I3432" s="340" t="s">
        <v>2846</v>
      </c>
      <c r="K3432" s="343">
        <v>55</v>
      </c>
      <c r="L3432" s="343">
        <v>0</v>
      </c>
      <c r="M3432" s="343">
        <v>-1022551.37</v>
      </c>
      <c r="O3432" s="343">
        <v>0</v>
      </c>
    </row>
    <row r="3433" spans="1:15" x14ac:dyDescent="0.3">
      <c r="A3433" s="340" t="s">
        <v>891</v>
      </c>
      <c r="B3433" s="350">
        <v>46128</v>
      </c>
      <c r="C3433" s="350">
        <v>46128</v>
      </c>
      <c r="D3433" s="351">
        <v>46113</v>
      </c>
      <c r="E3433" s="340" t="s">
        <v>2845</v>
      </c>
      <c r="F3433" s="340" t="s">
        <v>1078</v>
      </c>
      <c r="G3433" s="340" t="s">
        <v>1079</v>
      </c>
      <c r="H3433" s="340"/>
      <c r="I3433" s="340" t="s">
        <v>2846</v>
      </c>
      <c r="K3433" s="343">
        <v>210</v>
      </c>
      <c r="L3433" s="343">
        <v>0</v>
      </c>
      <c r="M3433" s="343">
        <v>-1022341.37</v>
      </c>
      <c r="O3433" s="343">
        <v>0</v>
      </c>
    </row>
    <row r="3434" spans="1:15" x14ac:dyDescent="0.3">
      <c r="A3434" s="340" t="s">
        <v>891</v>
      </c>
      <c r="B3434" s="350">
        <v>46128</v>
      </c>
      <c r="C3434" s="350">
        <v>46128</v>
      </c>
      <c r="D3434" s="351">
        <v>46113</v>
      </c>
      <c r="E3434" s="340" t="s">
        <v>2845</v>
      </c>
      <c r="F3434" s="340" t="s">
        <v>1078</v>
      </c>
      <c r="G3434" s="340" t="s">
        <v>1079</v>
      </c>
      <c r="H3434" s="340"/>
      <c r="I3434" s="340" t="s">
        <v>2846</v>
      </c>
      <c r="K3434" s="343">
        <v>190</v>
      </c>
      <c r="L3434" s="343">
        <v>0</v>
      </c>
      <c r="M3434" s="343">
        <v>-1022151.37</v>
      </c>
      <c r="O3434" s="343">
        <v>0</v>
      </c>
    </row>
    <row r="3435" spans="1:15" x14ac:dyDescent="0.3">
      <c r="A3435" s="340" t="s">
        <v>891</v>
      </c>
      <c r="B3435" s="350">
        <v>46128</v>
      </c>
      <c r="C3435" s="350">
        <v>46128</v>
      </c>
      <c r="D3435" s="351">
        <v>46113</v>
      </c>
      <c r="E3435" s="340" t="s">
        <v>2845</v>
      </c>
      <c r="F3435" s="340" t="s">
        <v>1078</v>
      </c>
      <c r="G3435" s="340" t="s">
        <v>1079</v>
      </c>
      <c r="H3435" s="340"/>
      <c r="I3435" s="340" t="s">
        <v>2846</v>
      </c>
      <c r="K3435" s="343">
        <v>390</v>
      </c>
      <c r="L3435" s="343">
        <v>0</v>
      </c>
      <c r="M3435" s="343">
        <v>-1021761.37</v>
      </c>
      <c r="O3435" s="343">
        <v>0</v>
      </c>
    </row>
    <row r="3436" spans="1:15" x14ac:dyDescent="0.3">
      <c r="A3436" s="340" t="s">
        <v>891</v>
      </c>
      <c r="B3436" s="350">
        <v>46128</v>
      </c>
      <c r="C3436" s="350">
        <v>46128</v>
      </c>
      <c r="D3436" s="351">
        <v>46113</v>
      </c>
      <c r="E3436" s="340" t="s">
        <v>2845</v>
      </c>
      <c r="F3436" s="340" t="s">
        <v>1078</v>
      </c>
      <c r="G3436" s="340" t="s">
        <v>1079</v>
      </c>
      <c r="H3436" s="340"/>
      <c r="I3436" s="340" t="s">
        <v>2846</v>
      </c>
      <c r="K3436" s="343">
        <v>430</v>
      </c>
      <c r="L3436" s="343">
        <v>0</v>
      </c>
      <c r="M3436" s="343">
        <v>-1021331.37</v>
      </c>
      <c r="O3436" s="343">
        <v>0</v>
      </c>
    </row>
    <row r="3437" spans="1:15" x14ac:dyDescent="0.3">
      <c r="A3437" s="340" t="s">
        <v>891</v>
      </c>
      <c r="B3437" s="350">
        <v>46128</v>
      </c>
      <c r="C3437" s="350">
        <v>46128</v>
      </c>
      <c r="D3437" s="351">
        <v>46113</v>
      </c>
      <c r="E3437" s="340" t="s">
        <v>2845</v>
      </c>
      <c r="F3437" s="340" t="s">
        <v>1078</v>
      </c>
      <c r="G3437" s="340" t="s">
        <v>1079</v>
      </c>
      <c r="H3437" s="340"/>
      <c r="I3437" s="340" t="s">
        <v>2846</v>
      </c>
      <c r="K3437" s="343">
        <v>510</v>
      </c>
      <c r="L3437" s="343">
        <v>0</v>
      </c>
      <c r="M3437" s="343">
        <v>-1020821.37</v>
      </c>
      <c r="O3437" s="343">
        <v>0</v>
      </c>
    </row>
    <row r="3438" spans="1:15" x14ac:dyDescent="0.3">
      <c r="A3438" s="340" t="s">
        <v>891</v>
      </c>
      <c r="B3438" s="350">
        <v>46128</v>
      </c>
      <c r="C3438" s="350">
        <v>46128</v>
      </c>
      <c r="D3438" s="351">
        <v>46113</v>
      </c>
      <c r="E3438" s="340" t="s">
        <v>2845</v>
      </c>
      <c r="F3438" s="340" t="s">
        <v>1078</v>
      </c>
      <c r="G3438" s="340" t="s">
        <v>1079</v>
      </c>
      <c r="H3438" s="340"/>
      <c r="I3438" s="340" t="s">
        <v>2846</v>
      </c>
      <c r="K3438" s="343">
        <v>350</v>
      </c>
      <c r="L3438" s="343">
        <v>0</v>
      </c>
      <c r="M3438" s="343">
        <v>-1020471.37</v>
      </c>
      <c r="O3438" s="343">
        <v>0</v>
      </c>
    </row>
    <row r="3439" spans="1:15" x14ac:dyDescent="0.3">
      <c r="A3439" s="340" t="s">
        <v>891</v>
      </c>
      <c r="B3439" s="350">
        <v>46128</v>
      </c>
      <c r="C3439" s="350">
        <v>46128</v>
      </c>
      <c r="D3439" s="351">
        <v>46113</v>
      </c>
      <c r="E3439" s="340" t="s">
        <v>2845</v>
      </c>
      <c r="F3439" s="340" t="s">
        <v>1078</v>
      </c>
      <c r="G3439" s="340" t="s">
        <v>1079</v>
      </c>
      <c r="H3439" s="340"/>
      <c r="I3439" s="340" t="s">
        <v>2846</v>
      </c>
      <c r="K3439" s="343">
        <v>355</v>
      </c>
      <c r="L3439" s="343">
        <v>0</v>
      </c>
      <c r="M3439" s="343">
        <v>-1020116.37</v>
      </c>
      <c r="O3439" s="343">
        <v>0</v>
      </c>
    </row>
    <row r="3440" spans="1:15" x14ac:dyDescent="0.3">
      <c r="A3440" s="340" t="s">
        <v>891</v>
      </c>
      <c r="B3440" s="350">
        <v>46128</v>
      </c>
      <c r="C3440" s="350">
        <v>46128</v>
      </c>
      <c r="D3440" s="351">
        <v>46113</v>
      </c>
      <c r="E3440" s="340" t="s">
        <v>2845</v>
      </c>
      <c r="F3440" s="340" t="s">
        <v>1078</v>
      </c>
      <c r="G3440" s="340" t="s">
        <v>1079</v>
      </c>
      <c r="H3440" s="340"/>
      <c r="I3440" s="340" t="s">
        <v>2846</v>
      </c>
      <c r="K3440" s="343">
        <v>300</v>
      </c>
      <c r="L3440" s="343">
        <v>0</v>
      </c>
      <c r="M3440" s="343">
        <v>-1019816.37</v>
      </c>
      <c r="O3440" s="343">
        <v>0</v>
      </c>
    </row>
    <row r="3441" spans="1:15" x14ac:dyDescent="0.3">
      <c r="A3441" s="340" t="s">
        <v>891</v>
      </c>
      <c r="B3441" s="350">
        <v>46128</v>
      </c>
      <c r="C3441" s="350">
        <v>46128</v>
      </c>
      <c r="D3441" s="351">
        <v>46113</v>
      </c>
      <c r="E3441" s="340" t="s">
        <v>2845</v>
      </c>
      <c r="F3441" s="340" t="s">
        <v>1078</v>
      </c>
      <c r="G3441" s="340" t="s">
        <v>1079</v>
      </c>
      <c r="H3441" s="340"/>
      <c r="I3441" s="340" t="s">
        <v>2846</v>
      </c>
      <c r="K3441" s="343">
        <v>385</v>
      </c>
      <c r="L3441" s="343">
        <v>0</v>
      </c>
      <c r="M3441" s="343">
        <v>-1019431.37</v>
      </c>
      <c r="O3441" s="343">
        <v>0</v>
      </c>
    </row>
    <row r="3442" spans="1:15" x14ac:dyDescent="0.3">
      <c r="A3442" s="340" t="s">
        <v>891</v>
      </c>
      <c r="B3442" s="350">
        <v>46128</v>
      </c>
      <c r="C3442" s="350">
        <v>46128</v>
      </c>
      <c r="D3442" s="351">
        <v>46113</v>
      </c>
      <c r="E3442" s="340" t="s">
        <v>2847</v>
      </c>
      <c r="F3442" s="340" t="s">
        <v>1078</v>
      </c>
      <c r="G3442" s="340" t="s">
        <v>1092</v>
      </c>
      <c r="H3442" s="340"/>
      <c r="I3442" s="340" t="s">
        <v>1093</v>
      </c>
      <c r="K3442" s="343">
        <v>409.08</v>
      </c>
      <c r="L3442" s="343">
        <v>0</v>
      </c>
      <c r="M3442" s="343">
        <v>-1019022.29</v>
      </c>
      <c r="O3442" s="343">
        <v>0</v>
      </c>
    </row>
    <row r="3443" spans="1:15" x14ac:dyDescent="0.3">
      <c r="A3443" s="340" t="s">
        <v>891</v>
      </c>
      <c r="B3443" s="350">
        <v>46128</v>
      </c>
      <c r="C3443" s="350">
        <v>46128</v>
      </c>
      <c r="D3443" s="351">
        <v>46113</v>
      </c>
      <c r="E3443" s="340" t="s">
        <v>2847</v>
      </c>
      <c r="F3443" s="340" t="s">
        <v>1078</v>
      </c>
      <c r="G3443" s="340" t="s">
        <v>1094</v>
      </c>
      <c r="H3443" s="340"/>
      <c r="I3443" s="340" t="s">
        <v>1093</v>
      </c>
      <c r="K3443" s="343">
        <v>73.739999999999995</v>
      </c>
      <c r="L3443" s="343">
        <v>0</v>
      </c>
      <c r="M3443" s="343">
        <v>-1018948.55</v>
      </c>
      <c r="O3443" s="343">
        <v>0</v>
      </c>
    </row>
    <row r="3444" spans="1:15" x14ac:dyDescent="0.3">
      <c r="A3444" s="340" t="s">
        <v>891</v>
      </c>
      <c r="B3444" s="350">
        <v>46128</v>
      </c>
      <c r="C3444" s="350">
        <v>46128</v>
      </c>
      <c r="D3444" s="351">
        <v>46113</v>
      </c>
      <c r="E3444" s="340" t="s">
        <v>2847</v>
      </c>
      <c r="F3444" s="340" t="s">
        <v>1078</v>
      </c>
      <c r="G3444" s="340" t="s">
        <v>1094</v>
      </c>
      <c r="H3444" s="340"/>
      <c r="I3444" s="340" t="s">
        <v>1093</v>
      </c>
      <c r="K3444" s="343">
        <v>77.819999999999993</v>
      </c>
      <c r="L3444" s="343">
        <v>0</v>
      </c>
      <c r="M3444" s="343">
        <v>-1018870.73</v>
      </c>
      <c r="O3444" s="343">
        <v>0</v>
      </c>
    </row>
    <row r="3445" spans="1:15" x14ac:dyDescent="0.3">
      <c r="A3445" s="340" t="s">
        <v>891</v>
      </c>
      <c r="B3445" s="350">
        <v>46128</v>
      </c>
      <c r="C3445" s="350">
        <v>46128</v>
      </c>
      <c r="D3445" s="351">
        <v>46113</v>
      </c>
      <c r="E3445" s="340" t="s">
        <v>2847</v>
      </c>
      <c r="F3445" s="340" t="s">
        <v>1078</v>
      </c>
      <c r="G3445" s="340" t="s">
        <v>1092</v>
      </c>
      <c r="H3445" s="340"/>
      <c r="I3445" s="340" t="s">
        <v>1093</v>
      </c>
      <c r="K3445" s="343">
        <v>405</v>
      </c>
      <c r="L3445" s="343">
        <v>0</v>
      </c>
      <c r="M3445" s="343">
        <v>-1018465.73</v>
      </c>
      <c r="O3445" s="343">
        <v>0</v>
      </c>
    </row>
    <row r="3446" spans="1:15" x14ac:dyDescent="0.3">
      <c r="A3446" s="340" t="s">
        <v>891</v>
      </c>
      <c r="B3446" s="350">
        <v>46128</v>
      </c>
      <c r="C3446" s="350">
        <v>46128</v>
      </c>
      <c r="D3446" s="351">
        <v>46113</v>
      </c>
      <c r="E3446" s="340" t="s">
        <v>2847</v>
      </c>
      <c r="F3446" s="340" t="s">
        <v>1078</v>
      </c>
      <c r="G3446" s="340" t="s">
        <v>1094</v>
      </c>
      <c r="H3446" s="340"/>
      <c r="I3446" s="340" t="s">
        <v>1093</v>
      </c>
      <c r="K3446" s="343">
        <v>77.819999999999993</v>
      </c>
      <c r="L3446" s="343">
        <v>0</v>
      </c>
      <c r="M3446" s="343">
        <v>-1018387.91</v>
      </c>
      <c r="O3446" s="343">
        <v>0</v>
      </c>
    </row>
    <row r="3447" spans="1:15" x14ac:dyDescent="0.3">
      <c r="A3447" s="340" t="s">
        <v>891</v>
      </c>
      <c r="B3447" s="350">
        <v>46128</v>
      </c>
      <c r="C3447" s="350">
        <v>46128</v>
      </c>
      <c r="D3447" s="351">
        <v>46113</v>
      </c>
      <c r="E3447" s="340" t="s">
        <v>2847</v>
      </c>
      <c r="F3447" s="340" t="s">
        <v>1078</v>
      </c>
      <c r="G3447" s="340" t="s">
        <v>1094</v>
      </c>
      <c r="H3447" s="340"/>
      <c r="I3447" s="340" t="s">
        <v>1093</v>
      </c>
      <c r="K3447" s="343">
        <v>405</v>
      </c>
      <c r="L3447" s="343">
        <v>0</v>
      </c>
      <c r="M3447" s="343">
        <v>-1017982.91</v>
      </c>
      <c r="O3447" s="343">
        <v>0</v>
      </c>
    </row>
    <row r="3448" spans="1:15" x14ac:dyDescent="0.3">
      <c r="A3448" s="340" t="s">
        <v>891</v>
      </c>
      <c r="B3448" s="350">
        <v>46128</v>
      </c>
      <c r="C3448" s="350">
        <v>46128</v>
      </c>
      <c r="D3448" s="351">
        <v>46113</v>
      </c>
      <c r="E3448" s="340" t="s">
        <v>2847</v>
      </c>
      <c r="F3448" s="340" t="s">
        <v>1078</v>
      </c>
      <c r="G3448" s="340" t="s">
        <v>1094</v>
      </c>
      <c r="H3448" s="340"/>
      <c r="I3448" s="340" t="s">
        <v>1093</v>
      </c>
      <c r="K3448" s="343">
        <v>77.819999999999993</v>
      </c>
      <c r="L3448" s="343">
        <v>0</v>
      </c>
      <c r="M3448" s="343">
        <v>-1017905.09</v>
      </c>
      <c r="O3448" s="343">
        <v>0</v>
      </c>
    </row>
    <row r="3449" spans="1:15" x14ac:dyDescent="0.3">
      <c r="A3449" s="340" t="s">
        <v>891</v>
      </c>
      <c r="B3449" s="350">
        <v>46128</v>
      </c>
      <c r="C3449" s="350">
        <v>46128</v>
      </c>
      <c r="D3449" s="351">
        <v>46113</v>
      </c>
      <c r="E3449" s="340" t="s">
        <v>2847</v>
      </c>
      <c r="F3449" s="340" t="s">
        <v>1078</v>
      </c>
      <c r="G3449" s="340" t="s">
        <v>1092</v>
      </c>
      <c r="H3449" s="340"/>
      <c r="I3449" s="340" t="s">
        <v>1093</v>
      </c>
      <c r="K3449" s="343">
        <v>405</v>
      </c>
      <c r="L3449" s="343">
        <v>0</v>
      </c>
      <c r="M3449" s="343">
        <v>-1017500.09</v>
      </c>
      <c r="O3449" s="343">
        <v>0</v>
      </c>
    </row>
    <row r="3450" spans="1:15" x14ac:dyDescent="0.3">
      <c r="A3450" s="340" t="s">
        <v>891</v>
      </c>
      <c r="B3450" s="350">
        <v>46128</v>
      </c>
      <c r="C3450" s="350">
        <v>46128</v>
      </c>
      <c r="D3450" s="351">
        <v>46113</v>
      </c>
      <c r="E3450" s="340" t="s">
        <v>2847</v>
      </c>
      <c r="F3450" s="340" t="s">
        <v>1078</v>
      </c>
      <c r="G3450" s="340" t="s">
        <v>2020</v>
      </c>
      <c r="H3450" s="340"/>
      <c r="I3450" s="340" t="s">
        <v>1093</v>
      </c>
      <c r="K3450" s="343">
        <v>63.96</v>
      </c>
      <c r="L3450" s="343">
        <v>0</v>
      </c>
      <c r="M3450" s="343">
        <v>-1017436.13</v>
      </c>
      <c r="O3450" s="343">
        <v>0</v>
      </c>
    </row>
    <row r="3451" spans="1:15" x14ac:dyDescent="0.3">
      <c r="A3451" s="340" t="s">
        <v>891</v>
      </c>
      <c r="B3451" s="350">
        <v>46128</v>
      </c>
      <c r="C3451" s="350">
        <v>46128</v>
      </c>
      <c r="D3451" s="351">
        <v>46113</v>
      </c>
      <c r="E3451" s="340" t="s">
        <v>2847</v>
      </c>
      <c r="F3451" s="340" t="s">
        <v>1078</v>
      </c>
      <c r="G3451" s="340" t="s">
        <v>2020</v>
      </c>
      <c r="H3451" s="340"/>
      <c r="I3451" s="340" t="s">
        <v>1093</v>
      </c>
      <c r="K3451" s="343">
        <v>63.96</v>
      </c>
      <c r="L3451" s="343">
        <v>0</v>
      </c>
      <c r="M3451" s="343">
        <v>-1017372.17</v>
      </c>
      <c r="O3451" s="343">
        <v>0</v>
      </c>
    </row>
    <row r="3452" spans="1:15" x14ac:dyDescent="0.3">
      <c r="A3452" s="340" t="s">
        <v>891</v>
      </c>
      <c r="B3452" s="350">
        <v>46128</v>
      </c>
      <c r="C3452" s="350">
        <v>46128</v>
      </c>
      <c r="D3452" s="351">
        <v>46113</v>
      </c>
      <c r="E3452" s="340" t="s">
        <v>2847</v>
      </c>
      <c r="F3452" s="340" t="s">
        <v>1078</v>
      </c>
      <c r="G3452" s="340" t="s">
        <v>1094</v>
      </c>
      <c r="H3452" s="340"/>
      <c r="I3452" s="340" t="s">
        <v>1093</v>
      </c>
      <c r="K3452" s="343">
        <v>77.819999999999993</v>
      </c>
      <c r="L3452" s="343">
        <v>0</v>
      </c>
      <c r="M3452" s="343">
        <v>-1017294.35</v>
      </c>
      <c r="O3452" s="343">
        <v>0</v>
      </c>
    </row>
    <row r="3453" spans="1:15" x14ac:dyDescent="0.3">
      <c r="A3453" s="340" t="s">
        <v>891</v>
      </c>
      <c r="B3453" s="350">
        <v>46128</v>
      </c>
      <c r="C3453" s="350">
        <v>46128</v>
      </c>
      <c r="D3453" s="351">
        <v>46113</v>
      </c>
      <c r="E3453" s="340" t="s">
        <v>2847</v>
      </c>
      <c r="F3453" s="340" t="s">
        <v>1078</v>
      </c>
      <c r="G3453" s="340" t="s">
        <v>1092</v>
      </c>
      <c r="H3453" s="340"/>
      <c r="I3453" s="340" t="s">
        <v>1093</v>
      </c>
      <c r="K3453" s="343">
        <v>405</v>
      </c>
      <c r="L3453" s="343">
        <v>0</v>
      </c>
      <c r="M3453" s="343">
        <v>-1016889.35</v>
      </c>
      <c r="O3453" s="343">
        <v>0</v>
      </c>
    </row>
    <row r="3454" spans="1:15" x14ac:dyDescent="0.3">
      <c r="A3454" s="340" t="s">
        <v>891</v>
      </c>
      <c r="B3454" s="350">
        <v>46128</v>
      </c>
      <c r="C3454" s="350">
        <v>46128</v>
      </c>
      <c r="D3454" s="351">
        <v>46113</v>
      </c>
      <c r="E3454" s="340" t="s">
        <v>2848</v>
      </c>
      <c r="F3454" s="340" t="s">
        <v>1078</v>
      </c>
      <c r="G3454" s="340" t="s">
        <v>1079</v>
      </c>
      <c r="H3454" s="340"/>
      <c r="I3454" s="340" t="s">
        <v>763</v>
      </c>
      <c r="K3454" s="343">
        <v>328</v>
      </c>
      <c r="L3454" s="343">
        <v>0</v>
      </c>
      <c r="M3454" s="343">
        <v>-1016561.35</v>
      </c>
      <c r="O3454" s="343">
        <v>0</v>
      </c>
    </row>
    <row r="3455" spans="1:15" x14ac:dyDescent="0.3">
      <c r="A3455" s="340" t="s">
        <v>891</v>
      </c>
      <c r="B3455" s="350">
        <v>46128</v>
      </c>
      <c r="C3455" s="350">
        <v>46128</v>
      </c>
      <c r="D3455" s="351">
        <v>46113</v>
      </c>
      <c r="E3455" s="340" t="s">
        <v>2849</v>
      </c>
      <c r="F3455" s="340" t="s">
        <v>1078</v>
      </c>
      <c r="G3455" s="340" t="s">
        <v>1079</v>
      </c>
      <c r="H3455" s="340"/>
      <c r="I3455" s="340" t="s">
        <v>763</v>
      </c>
      <c r="K3455" s="343">
        <v>384.15</v>
      </c>
      <c r="L3455" s="343">
        <v>0</v>
      </c>
      <c r="M3455" s="343">
        <v>-1016177.2</v>
      </c>
      <c r="O3455" s="343">
        <v>0</v>
      </c>
    </row>
    <row r="3456" spans="1:15" x14ac:dyDescent="0.3">
      <c r="A3456" s="340" t="s">
        <v>891</v>
      </c>
      <c r="B3456" s="350">
        <v>46128</v>
      </c>
      <c r="C3456" s="350">
        <v>46128</v>
      </c>
      <c r="D3456" s="351">
        <v>46113</v>
      </c>
      <c r="E3456" s="340" t="s">
        <v>2849</v>
      </c>
      <c r="F3456" s="340" t="s">
        <v>1078</v>
      </c>
      <c r="G3456" s="340" t="s">
        <v>1079</v>
      </c>
      <c r="H3456" s="340"/>
      <c r="I3456" s="340" t="s">
        <v>763</v>
      </c>
      <c r="K3456" s="343">
        <v>544.80999999999995</v>
      </c>
      <c r="L3456" s="343">
        <v>0</v>
      </c>
      <c r="M3456" s="343">
        <v>-1015632.39</v>
      </c>
      <c r="O3456" s="343">
        <v>0</v>
      </c>
    </row>
    <row r="3457" spans="1:15" x14ac:dyDescent="0.3">
      <c r="A3457" s="340" t="s">
        <v>891</v>
      </c>
      <c r="B3457" s="350">
        <v>46128</v>
      </c>
      <c r="C3457" s="350">
        <v>46128</v>
      </c>
      <c r="D3457" s="351">
        <v>46113</v>
      </c>
      <c r="E3457" s="340" t="s">
        <v>2850</v>
      </c>
      <c r="F3457" s="340" t="s">
        <v>1078</v>
      </c>
      <c r="G3457" s="340" t="s">
        <v>1079</v>
      </c>
      <c r="H3457" s="340"/>
      <c r="I3457" s="340" t="s">
        <v>770</v>
      </c>
      <c r="K3457" s="343">
        <v>178.61</v>
      </c>
      <c r="L3457" s="343">
        <v>0</v>
      </c>
      <c r="M3457" s="343">
        <v>-1015453.78</v>
      </c>
      <c r="O3457" s="343">
        <v>0</v>
      </c>
    </row>
    <row r="3458" spans="1:15" x14ac:dyDescent="0.3">
      <c r="A3458" s="340" t="s">
        <v>891</v>
      </c>
      <c r="B3458" s="350">
        <v>46128</v>
      </c>
      <c r="C3458" s="350">
        <v>46128</v>
      </c>
      <c r="D3458" s="351">
        <v>46113</v>
      </c>
      <c r="E3458" s="340" t="s">
        <v>2851</v>
      </c>
      <c r="F3458" s="340" t="s">
        <v>1078</v>
      </c>
      <c r="G3458" s="340" t="s">
        <v>1524</v>
      </c>
      <c r="H3458" s="340"/>
      <c r="I3458" s="340" t="s">
        <v>765</v>
      </c>
      <c r="K3458" s="343">
        <v>2195.0500000000002</v>
      </c>
      <c r="L3458" s="343">
        <v>0</v>
      </c>
      <c r="M3458" s="343">
        <v>-1013258.73</v>
      </c>
      <c r="O3458" s="343">
        <v>0</v>
      </c>
    </row>
    <row r="3459" spans="1:15" x14ac:dyDescent="0.3">
      <c r="A3459" s="340" t="s">
        <v>891</v>
      </c>
      <c r="B3459" s="350">
        <v>46128</v>
      </c>
      <c r="C3459" s="350">
        <v>46128</v>
      </c>
      <c r="D3459" s="351">
        <v>46113</v>
      </c>
      <c r="E3459" s="340" t="s">
        <v>2851</v>
      </c>
      <c r="F3459" s="340" t="s">
        <v>1078</v>
      </c>
      <c r="G3459" s="340" t="s">
        <v>1526</v>
      </c>
      <c r="H3459" s="340"/>
      <c r="I3459" s="340" t="s">
        <v>765</v>
      </c>
      <c r="K3459" s="343">
        <v>629.15</v>
      </c>
      <c r="L3459" s="343">
        <v>0</v>
      </c>
      <c r="M3459" s="343">
        <v>-1012629.58</v>
      </c>
      <c r="O3459" s="343">
        <v>0</v>
      </c>
    </row>
    <row r="3460" spans="1:15" x14ac:dyDescent="0.3">
      <c r="A3460" s="340" t="s">
        <v>891</v>
      </c>
      <c r="B3460" s="350">
        <v>46128</v>
      </c>
      <c r="C3460" s="350">
        <v>46128</v>
      </c>
      <c r="D3460" s="351">
        <v>46113</v>
      </c>
      <c r="E3460" s="340" t="s">
        <v>2851</v>
      </c>
      <c r="F3460" s="340" t="s">
        <v>1078</v>
      </c>
      <c r="G3460" s="340" t="s">
        <v>1173</v>
      </c>
      <c r="H3460" s="340"/>
      <c r="I3460" s="340" t="s">
        <v>765</v>
      </c>
      <c r="K3460" s="343">
        <v>1021.62</v>
      </c>
      <c r="L3460" s="343">
        <v>0</v>
      </c>
      <c r="M3460" s="343">
        <v>-1011607.96</v>
      </c>
      <c r="O3460" s="343">
        <v>0</v>
      </c>
    </row>
    <row r="3461" spans="1:15" x14ac:dyDescent="0.3">
      <c r="A3461" s="340" t="s">
        <v>891</v>
      </c>
      <c r="B3461" s="350">
        <v>46128</v>
      </c>
      <c r="C3461" s="350">
        <v>46128</v>
      </c>
      <c r="D3461" s="351">
        <v>46113</v>
      </c>
      <c r="E3461" s="340" t="s">
        <v>2851</v>
      </c>
      <c r="F3461" s="340" t="s">
        <v>1078</v>
      </c>
      <c r="G3461" s="340" t="s">
        <v>1175</v>
      </c>
      <c r="H3461" s="340"/>
      <c r="I3461" s="340" t="s">
        <v>765</v>
      </c>
      <c r="K3461" s="343">
        <v>757.53</v>
      </c>
      <c r="L3461" s="343">
        <v>0</v>
      </c>
      <c r="M3461" s="343">
        <v>-1010850.43</v>
      </c>
      <c r="O3461" s="343">
        <v>0</v>
      </c>
    </row>
    <row r="3462" spans="1:15" x14ac:dyDescent="0.3">
      <c r="A3462" s="340" t="s">
        <v>891</v>
      </c>
      <c r="B3462" s="350">
        <v>46128</v>
      </c>
      <c r="C3462" s="350">
        <v>46128</v>
      </c>
      <c r="D3462" s="351">
        <v>46113</v>
      </c>
      <c r="E3462" s="340" t="s">
        <v>2851</v>
      </c>
      <c r="F3462" s="340" t="s">
        <v>1078</v>
      </c>
      <c r="G3462" s="340" t="s">
        <v>1635</v>
      </c>
      <c r="H3462" s="340"/>
      <c r="I3462" s="340" t="s">
        <v>765</v>
      </c>
      <c r="K3462" s="343">
        <v>1177.44</v>
      </c>
      <c r="L3462" s="343">
        <v>0</v>
      </c>
      <c r="M3462" s="343">
        <v>-1009672.99</v>
      </c>
      <c r="O3462" s="343">
        <v>0</v>
      </c>
    </row>
    <row r="3463" spans="1:15" x14ac:dyDescent="0.3">
      <c r="A3463" s="340" t="s">
        <v>891</v>
      </c>
      <c r="B3463" s="350">
        <v>46128</v>
      </c>
      <c r="C3463" s="350">
        <v>46128</v>
      </c>
      <c r="D3463" s="351">
        <v>46113</v>
      </c>
      <c r="E3463" s="340" t="s">
        <v>2851</v>
      </c>
      <c r="F3463" s="340" t="s">
        <v>1078</v>
      </c>
      <c r="G3463" s="340" t="s">
        <v>1824</v>
      </c>
      <c r="H3463" s="340"/>
      <c r="I3463" s="340" t="s">
        <v>765</v>
      </c>
      <c r="K3463" s="343">
        <v>368.56</v>
      </c>
      <c r="L3463" s="343">
        <v>0</v>
      </c>
      <c r="M3463" s="343">
        <v>-1009304.43</v>
      </c>
      <c r="O3463" s="343">
        <v>0</v>
      </c>
    </row>
    <row r="3464" spans="1:15" x14ac:dyDescent="0.3">
      <c r="A3464" s="340" t="s">
        <v>891</v>
      </c>
      <c r="B3464" s="350">
        <v>46128</v>
      </c>
      <c r="C3464" s="350">
        <v>46128</v>
      </c>
      <c r="D3464" s="351">
        <v>46113</v>
      </c>
      <c r="E3464" s="340" t="s">
        <v>2851</v>
      </c>
      <c r="F3464" s="340" t="s">
        <v>1078</v>
      </c>
      <c r="G3464" s="340" t="s">
        <v>1826</v>
      </c>
      <c r="H3464" s="340"/>
      <c r="I3464" s="340" t="s">
        <v>765</v>
      </c>
      <c r="K3464" s="343">
        <v>700.08</v>
      </c>
      <c r="L3464" s="343">
        <v>0</v>
      </c>
      <c r="M3464" s="343">
        <v>-1008604.35</v>
      </c>
      <c r="O3464" s="343">
        <v>0</v>
      </c>
    </row>
    <row r="3465" spans="1:15" x14ac:dyDescent="0.3">
      <c r="A3465" s="340" t="s">
        <v>891</v>
      </c>
      <c r="B3465" s="350">
        <v>46128</v>
      </c>
      <c r="C3465" s="350">
        <v>46128</v>
      </c>
      <c r="D3465" s="351">
        <v>46113</v>
      </c>
      <c r="E3465" s="340" t="s">
        <v>2851</v>
      </c>
      <c r="F3465" s="340" t="s">
        <v>1078</v>
      </c>
      <c r="G3465" s="340" t="s">
        <v>1828</v>
      </c>
      <c r="H3465" s="340"/>
      <c r="I3465" s="340" t="s">
        <v>765</v>
      </c>
      <c r="K3465" s="343">
        <v>704.36</v>
      </c>
      <c r="L3465" s="343">
        <v>0</v>
      </c>
      <c r="M3465" s="343">
        <v>-1007899.99</v>
      </c>
      <c r="O3465" s="343">
        <v>0</v>
      </c>
    </row>
    <row r="3466" spans="1:15" x14ac:dyDescent="0.3">
      <c r="A3466" s="340" t="s">
        <v>891</v>
      </c>
      <c r="B3466" s="350">
        <v>46128</v>
      </c>
      <c r="C3466" s="350">
        <v>46128</v>
      </c>
      <c r="D3466" s="351">
        <v>46113</v>
      </c>
      <c r="E3466" s="340" t="s">
        <v>2851</v>
      </c>
      <c r="F3466" s="340" t="s">
        <v>1078</v>
      </c>
      <c r="G3466" s="340" t="s">
        <v>1830</v>
      </c>
      <c r="H3466" s="340"/>
      <c r="I3466" s="340" t="s">
        <v>765</v>
      </c>
      <c r="K3466" s="343">
        <v>632.94000000000005</v>
      </c>
      <c r="L3466" s="343">
        <v>0</v>
      </c>
      <c r="M3466" s="343">
        <v>-1007267.05</v>
      </c>
      <c r="O3466" s="343">
        <v>0</v>
      </c>
    </row>
    <row r="3467" spans="1:15" x14ac:dyDescent="0.3">
      <c r="A3467" s="340" t="s">
        <v>891</v>
      </c>
      <c r="B3467" s="350">
        <v>46128</v>
      </c>
      <c r="C3467" s="350">
        <v>46128</v>
      </c>
      <c r="D3467" s="351">
        <v>46113</v>
      </c>
      <c r="E3467" s="340" t="s">
        <v>2851</v>
      </c>
      <c r="F3467" s="340" t="s">
        <v>1078</v>
      </c>
      <c r="G3467" s="340" t="s">
        <v>1832</v>
      </c>
      <c r="H3467" s="340"/>
      <c r="I3467" s="340" t="s">
        <v>765</v>
      </c>
      <c r="K3467" s="343">
        <v>494.81</v>
      </c>
      <c r="L3467" s="343">
        <v>0</v>
      </c>
      <c r="M3467" s="343">
        <v>-1006772.24</v>
      </c>
      <c r="O3467" s="343">
        <v>0</v>
      </c>
    </row>
    <row r="3468" spans="1:15" x14ac:dyDescent="0.3">
      <c r="A3468" s="340" t="s">
        <v>891</v>
      </c>
      <c r="B3468" s="350">
        <v>46128</v>
      </c>
      <c r="C3468" s="350">
        <v>46128</v>
      </c>
      <c r="D3468" s="351">
        <v>46113</v>
      </c>
      <c r="E3468" s="340" t="s">
        <v>2851</v>
      </c>
      <c r="F3468" s="340" t="s">
        <v>1078</v>
      </c>
      <c r="G3468" s="340" t="s">
        <v>1838</v>
      </c>
      <c r="H3468" s="340"/>
      <c r="I3468" s="340" t="s">
        <v>765</v>
      </c>
      <c r="K3468" s="343">
        <v>606.80999999999995</v>
      </c>
      <c r="L3468" s="343">
        <v>0</v>
      </c>
      <c r="M3468" s="343">
        <v>-1006165.43</v>
      </c>
      <c r="O3468" s="343">
        <v>0</v>
      </c>
    </row>
    <row r="3469" spans="1:15" x14ac:dyDescent="0.3">
      <c r="A3469" s="340" t="s">
        <v>891</v>
      </c>
      <c r="B3469" s="350">
        <v>46128</v>
      </c>
      <c r="C3469" s="350">
        <v>46128</v>
      </c>
      <c r="D3469" s="351">
        <v>46113</v>
      </c>
      <c r="E3469" s="340" t="s">
        <v>2851</v>
      </c>
      <c r="F3469" s="340" t="s">
        <v>1078</v>
      </c>
      <c r="G3469" s="340" t="s">
        <v>1840</v>
      </c>
      <c r="H3469" s="340"/>
      <c r="I3469" s="340" t="s">
        <v>765</v>
      </c>
      <c r="K3469" s="343">
        <v>392.71</v>
      </c>
      <c r="L3469" s="343">
        <v>0</v>
      </c>
      <c r="M3469" s="343">
        <v>-1005772.72</v>
      </c>
      <c r="O3469" s="343">
        <v>0</v>
      </c>
    </row>
    <row r="3470" spans="1:15" x14ac:dyDescent="0.3">
      <c r="A3470" s="340" t="s">
        <v>891</v>
      </c>
      <c r="B3470" s="350">
        <v>46128</v>
      </c>
      <c r="C3470" s="350">
        <v>46128</v>
      </c>
      <c r="D3470" s="351">
        <v>46113</v>
      </c>
      <c r="E3470" s="340" t="s">
        <v>2851</v>
      </c>
      <c r="F3470" s="340" t="s">
        <v>1078</v>
      </c>
      <c r="G3470" s="340" t="s">
        <v>1836</v>
      </c>
      <c r="H3470" s="340"/>
      <c r="I3470" s="340" t="s">
        <v>765</v>
      </c>
      <c r="K3470" s="343">
        <v>1116.04</v>
      </c>
      <c r="L3470" s="343">
        <v>0</v>
      </c>
      <c r="M3470" s="343">
        <v>-1004656.68</v>
      </c>
      <c r="O3470" s="343">
        <v>0</v>
      </c>
    </row>
    <row r="3471" spans="1:15" x14ac:dyDescent="0.3">
      <c r="A3471" s="340" t="s">
        <v>891</v>
      </c>
      <c r="B3471" s="350">
        <v>46128</v>
      </c>
      <c r="C3471" s="350">
        <v>46128</v>
      </c>
      <c r="D3471" s="351">
        <v>46113</v>
      </c>
      <c r="E3471" s="340" t="s">
        <v>2851</v>
      </c>
      <c r="F3471" s="340" t="s">
        <v>1078</v>
      </c>
      <c r="G3471" s="340" t="s">
        <v>1834</v>
      </c>
      <c r="H3471" s="340"/>
      <c r="I3471" s="340" t="s">
        <v>765</v>
      </c>
      <c r="K3471" s="343">
        <v>974.75</v>
      </c>
      <c r="L3471" s="343">
        <v>0</v>
      </c>
      <c r="M3471" s="343">
        <v>-1003681.93</v>
      </c>
      <c r="O3471" s="343">
        <v>0</v>
      </c>
    </row>
    <row r="3472" spans="1:15" x14ac:dyDescent="0.3">
      <c r="A3472" s="340" t="s">
        <v>891</v>
      </c>
      <c r="B3472" s="350">
        <v>46128</v>
      </c>
      <c r="C3472" s="350">
        <v>46128</v>
      </c>
      <c r="D3472" s="351">
        <v>46113</v>
      </c>
      <c r="E3472" s="340" t="s">
        <v>2851</v>
      </c>
      <c r="F3472" s="340" t="s">
        <v>1078</v>
      </c>
      <c r="G3472" s="340" t="s">
        <v>1842</v>
      </c>
      <c r="H3472" s="340"/>
      <c r="I3472" s="340" t="s">
        <v>765</v>
      </c>
      <c r="K3472" s="343">
        <v>1485.04</v>
      </c>
      <c r="L3472" s="343">
        <v>0</v>
      </c>
      <c r="M3472" s="343">
        <v>-1002196.89</v>
      </c>
      <c r="O3472" s="343">
        <v>0</v>
      </c>
    </row>
    <row r="3473" spans="1:15" x14ac:dyDescent="0.3">
      <c r="A3473" s="340" t="s">
        <v>891</v>
      </c>
      <c r="B3473" s="350">
        <v>46128</v>
      </c>
      <c r="C3473" s="350">
        <v>46128</v>
      </c>
      <c r="D3473" s="351">
        <v>46113</v>
      </c>
      <c r="E3473" s="340" t="s">
        <v>2851</v>
      </c>
      <c r="F3473" s="340" t="s">
        <v>1078</v>
      </c>
      <c r="G3473" s="340" t="s">
        <v>2057</v>
      </c>
      <c r="H3473" s="340"/>
      <c r="I3473" s="340" t="s">
        <v>765</v>
      </c>
      <c r="K3473" s="343">
        <v>1359.1</v>
      </c>
      <c r="L3473" s="343">
        <v>0</v>
      </c>
      <c r="M3473" s="343">
        <v>-1000837.79</v>
      </c>
      <c r="O3473" s="343">
        <v>0</v>
      </c>
    </row>
    <row r="3474" spans="1:15" x14ac:dyDescent="0.3">
      <c r="A3474" s="340" t="s">
        <v>891</v>
      </c>
      <c r="B3474" s="350">
        <v>46128</v>
      </c>
      <c r="C3474" s="350">
        <v>46128</v>
      </c>
      <c r="D3474" s="351">
        <v>46113</v>
      </c>
      <c r="E3474" s="340" t="s">
        <v>2851</v>
      </c>
      <c r="F3474" s="340" t="s">
        <v>1078</v>
      </c>
      <c r="G3474" s="340" t="s">
        <v>2055</v>
      </c>
      <c r="H3474" s="340"/>
      <c r="I3474" s="340" t="s">
        <v>765</v>
      </c>
      <c r="K3474" s="343">
        <v>2018.24</v>
      </c>
      <c r="L3474" s="343">
        <v>0</v>
      </c>
      <c r="M3474" s="343">
        <v>-998819.55</v>
      </c>
      <c r="O3474" s="343">
        <v>0</v>
      </c>
    </row>
    <row r="3475" spans="1:15" x14ac:dyDescent="0.3">
      <c r="A3475" s="340" t="s">
        <v>891</v>
      </c>
      <c r="B3475" s="350">
        <v>46128</v>
      </c>
      <c r="C3475" s="350">
        <v>46128</v>
      </c>
      <c r="D3475" s="351">
        <v>46113</v>
      </c>
      <c r="E3475" s="340" t="s">
        <v>2851</v>
      </c>
      <c r="F3475" s="340" t="s">
        <v>1078</v>
      </c>
      <c r="G3475" s="340" t="s">
        <v>2059</v>
      </c>
      <c r="H3475" s="340"/>
      <c r="I3475" s="340" t="s">
        <v>765</v>
      </c>
      <c r="K3475" s="343">
        <v>693.91</v>
      </c>
      <c r="L3475" s="343">
        <v>0</v>
      </c>
      <c r="M3475" s="343">
        <v>-998125.64</v>
      </c>
      <c r="O3475" s="343">
        <v>0</v>
      </c>
    </row>
    <row r="3476" spans="1:15" x14ac:dyDescent="0.3">
      <c r="A3476" s="340" t="s">
        <v>891</v>
      </c>
      <c r="B3476" s="350">
        <v>46128</v>
      </c>
      <c r="C3476" s="350">
        <v>46128</v>
      </c>
      <c r="D3476" s="351">
        <v>46113</v>
      </c>
      <c r="E3476" s="340" t="s">
        <v>2852</v>
      </c>
      <c r="F3476" s="340" t="s">
        <v>1078</v>
      </c>
      <c r="G3476" s="340" t="s">
        <v>1079</v>
      </c>
      <c r="H3476" s="340"/>
      <c r="I3476" s="340" t="s">
        <v>767</v>
      </c>
      <c r="K3476" s="343">
        <v>844.28</v>
      </c>
      <c r="L3476" s="343">
        <v>0</v>
      </c>
      <c r="M3476" s="343">
        <v>-997281.36</v>
      </c>
      <c r="O3476" s="343">
        <v>0</v>
      </c>
    </row>
    <row r="3477" spans="1:15" x14ac:dyDescent="0.3">
      <c r="A3477" s="340" t="s">
        <v>891</v>
      </c>
      <c r="B3477" s="350">
        <v>46128</v>
      </c>
      <c r="C3477" s="350">
        <v>46128</v>
      </c>
      <c r="D3477" s="351">
        <v>46113</v>
      </c>
      <c r="E3477" s="340" t="s">
        <v>2852</v>
      </c>
      <c r="F3477" s="340" t="s">
        <v>1078</v>
      </c>
      <c r="G3477" s="340" t="s">
        <v>1079</v>
      </c>
      <c r="H3477" s="340"/>
      <c r="I3477" s="340" t="s">
        <v>767</v>
      </c>
      <c r="K3477" s="343">
        <v>685.23</v>
      </c>
      <c r="L3477" s="343">
        <v>0</v>
      </c>
      <c r="M3477" s="343">
        <v>-996596.13</v>
      </c>
      <c r="O3477" s="343">
        <v>0</v>
      </c>
    </row>
    <row r="3478" spans="1:15" x14ac:dyDescent="0.3">
      <c r="A3478" s="340" t="s">
        <v>891</v>
      </c>
      <c r="B3478" s="350">
        <v>46128</v>
      </c>
      <c r="C3478" s="350">
        <v>46128</v>
      </c>
      <c r="D3478" s="351">
        <v>46113</v>
      </c>
      <c r="E3478" s="340" t="s">
        <v>2852</v>
      </c>
      <c r="F3478" s="340" t="s">
        <v>1078</v>
      </c>
      <c r="G3478" s="340" t="s">
        <v>1079</v>
      </c>
      <c r="H3478" s="340"/>
      <c r="I3478" s="340" t="s">
        <v>767</v>
      </c>
      <c r="K3478" s="343">
        <v>844.28</v>
      </c>
      <c r="L3478" s="343">
        <v>0</v>
      </c>
      <c r="M3478" s="343">
        <v>-995751.85</v>
      </c>
      <c r="O3478" s="343">
        <v>0</v>
      </c>
    </row>
    <row r="3479" spans="1:15" x14ac:dyDescent="0.3">
      <c r="A3479" s="340" t="s">
        <v>891</v>
      </c>
      <c r="B3479" s="350">
        <v>46128</v>
      </c>
      <c r="C3479" s="350">
        <v>46128</v>
      </c>
      <c r="D3479" s="351">
        <v>46113</v>
      </c>
      <c r="E3479" s="340" t="s">
        <v>2852</v>
      </c>
      <c r="F3479" s="340" t="s">
        <v>1078</v>
      </c>
      <c r="G3479" s="340" t="s">
        <v>1013</v>
      </c>
      <c r="H3479" s="340"/>
      <c r="I3479" s="340" t="s">
        <v>767</v>
      </c>
      <c r="K3479" s="343">
        <v>159.9</v>
      </c>
      <c r="L3479" s="343">
        <v>0</v>
      </c>
      <c r="M3479" s="343">
        <v>-995591.95</v>
      </c>
      <c r="O3479" s="343">
        <v>0</v>
      </c>
    </row>
    <row r="3480" spans="1:15" x14ac:dyDescent="0.3">
      <c r="A3480" s="340" t="s">
        <v>891</v>
      </c>
      <c r="B3480" s="350">
        <v>46128</v>
      </c>
      <c r="C3480" s="350">
        <v>46128</v>
      </c>
      <c r="D3480" s="351">
        <v>46113</v>
      </c>
      <c r="E3480" s="340" t="s">
        <v>2853</v>
      </c>
      <c r="F3480" s="340" t="s">
        <v>1078</v>
      </c>
      <c r="G3480" s="340" t="s">
        <v>1079</v>
      </c>
      <c r="H3480" s="340"/>
      <c r="I3480" s="340" t="s">
        <v>2854</v>
      </c>
      <c r="K3480" s="343">
        <v>53.3</v>
      </c>
      <c r="L3480" s="343">
        <v>0</v>
      </c>
      <c r="M3480" s="343">
        <v>-995538.65</v>
      </c>
      <c r="O3480" s="343">
        <v>0</v>
      </c>
    </row>
    <row r="3481" spans="1:15" x14ac:dyDescent="0.3">
      <c r="A3481" s="340" t="s">
        <v>891</v>
      </c>
      <c r="B3481" s="350">
        <v>46128</v>
      </c>
      <c r="C3481" s="350">
        <v>46128</v>
      </c>
      <c r="D3481" s="351">
        <v>46113</v>
      </c>
      <c r="E3481" s="340" t="s">
        <v>2853</v>
      </c>
      <c r="F3481" s="340" t="s">
        <v>1078</v>
      </c>
      <c r="G3481" s="340" t="s">
        <v>1079</v>
      </c>
      <c r="H3481" s="340"/>
      <c r="I3481" s="340" t="s">
        <v>2854</v>
      </c>
      <c r="K3481" s="343">
        <v>53.3</v>
      </c>
      <c r="L3481" s="343">
        <v>0</v>
      </c>
      <c r="M3481" s="343">
        <v>-995485.35</v>
      </c>
      <c r="O3481" s="343">
        <v>0</v>
      </c>
    </row>
    <row r="3482" spans="1:15" x14ac:dyDescent="0.3">
      <c r="A3482" s="340" t="s">
        <v>891</v>
      </c>
      <c r="B3482" s="350">
        <v>46128</v>
      </c>
      <c r="C3482" s="350">
        <v>46128</v>
      </c>
      <c r="D3482" s="351">
        <v>46113</v>
      </c>
      <c r="E3482" s="340" t="s">
        <v>2853</v>
      </c>
      <c r="F3482" s="340" t="s">
        <v>1078</v>
      </c>
      <c r="G3482" s="340" t="s">
        <v>1079</v>
      </c>
      <c r="H3482" s="340"/>
      <c r="I3482" s="340" t="s">
        <v>2854</v>
      </c>
      <c r="K3482" s="343">
        <v>53.3</v>
      </c>
      <c r="L3482" s="343">
        <v>0</v>
      </c>
      <c r="M3482" s="343">
        <v>-995432.05</v>
      </c>
      <c r="O3482" s="343">
        <v>0</v>
      </c>
    </row>
    <row r="3483" spans="1:15" x14ac:dyDescent="0.3">
      <c r="A3483" s="340" t="s">
        <v>891</v>
      </c>
      <c r="B3483" s="350">
        <v>46128</v>
      </c>
      <c r="C3483" s="350">
        <v>46128</v>
      </c>
      <c r="D3483" s="351">
        <v>46113</v>
      </c>
      <c r="E3483" s="340" t="s">
        <v>2853</v>
      </c>
      <c r="F3483" s="340" t="s">
        <v>1078</v>
      </c>
      <c r="G3483" s="340" t="s">
        <v>1079</v>
      </c>
      <c r="H3483" s="340"/>
      <c r="I3483" s="340" t="s">
        <v>2854</v>
      </c>
      <c r="K3483" s="343">
        <v>53.3</v>
      </c>
      <c r="L3483" s="343">
        <v>0</v>
      </c>
      <c r="M3483" s="343">
        <v>-995378.75</v>
      </c>
      <c r="O3483" s="343">
        <v>0</v>
      </c>
    </row>
    <row r="3484" spans="1:15" x14ac:dyDescent="0.3">
      <c r="A3484" s="340" t="s">
        <v>891</v>
      </c>
      <c r="B3484" s="350">
        <v>46128</v>
      </c>
      <c r="C3484" s="350">
        <v>46128</v>
      </c>
      <c r="D3484" s="351">
        <v>46113</v>
      </c>
      <c r="E3484" s="340" t="s">
        <v>2855</v>
      </c>
      <c r="F3484" s="340" t="s">
        <v>1078</v>
      </c>
      <c r="G3484" s="340" t="s">
        <v>1079</v>
      </c>
      <c r="H3484" s="340"/>
      <c r="I3484" s="340" t="s">
        <v>2856</v>
      </c>
      <c r="K3484" s="343">
        <v>1025</v>
      </c>
      <c r="L3484" s="343">
        <v>0</v>
      </c>
      <c r="M3484" s="343">
        <v>-994353.75</v>
      </c>
      <c r="O3484" s="343">
        <v>0</v>
      </c>
    </row>
    <row r="3485" spans="1:15" x14ac:dyDescent="0.3">
      <c r="A3485" s="340" t="s">
        <v>891</v>
      </c>
      <c r="B3485" s="350">
        <v>46128</v>
      </c>
      <c r="C3485" s="350">
        <v>46128</v>
      </c>
      <c r="D3485" s="351">
        <v>46113</v>
      </c>
      <c r="E3485" s="340" t="s">
        <v>2850</v>
      </c>
      <c r="F3485" s="340" t="s">
        <v>1078</v>
      </c>
      <c r="G3485" s="340" t="s">
        <v>1079</v>
      </c>
      <c r="H3485" s="340"/>
      <c r="I3485" s="340" t="s">
        <v>770</v>
      </c>
      <c r="K3485" s="343">
        <v>178.61</v>
      </c>
      <c r="L3485" s="343">
        <v>0</v>
      </c>
      <c r="M3485" s="343">
        <v>-994175.14</v>
      </c>
      <c r="O3485" s="343">
        <v>0</v>
      </c>
    </row>
    <row r="3486" spans="1:15" x14ac:dyDescent="0.3">
      <c r="A3486" s="340" t="s">
        <v>891</v>
      </c>
      <c r="B3486" s="350">
        <v>46128</v>
      </c>
      <c r="C3486" s="350">
        <v>46128</v>
      </c>
      <c r="D3486" s="351">
        <v>46113</v>
      </c>
      <c r="E3486" s="340" t="s">
        <v>2850</v>
      </c>
      <c r="F3486" s="340" t="s">
        <v>1078</v>
      </c>
      <c r="G3486" s="340" t="s">
        <v>1079</v>
      </c>
      <c r="H3486" s="340"/>
      <c r="I3486" s="340" t="s">
        <v>770</v>
      </c>
      <c r="K3486" s="343">
        <v>178.61</v>
      </c>
      <c r="L3486" s="343">
        <v>0</v>
      </c>
      <c r="M3486" s="343">
        <v>-993996.53</v>
      </c>
      <c r="O3486" s="343">
        <v>0</v>
      </c>
    </row>
    <row r="3487" spans="1:15" x14ac:dyDescent="0.3">
      <c r="A3487" s="340" t="s">
        <v>891</v>
      </c>
      <c r="B3487" s="350">
        <v>46128</v>
      </c>
      <c r="C3487" s="350">
        <v>46128</v>
      </c>
      <c r="D3487" s="351">
        <v>46113</v>
      </c>
      <c r="E3487" s="340" t="s">
        <v>2850</v>
      </c>
      <c r="F3487" s="340" t="s">
        <v>1078</v>
      </c>
      <c r="G3487" s="340" t="s">
        <v>1079</v>
      </c>
      <c r="H3487" s="340"/>
      <c r="I3487" s="340" t="s">
        <v>770</v>
      </c>
      <c r="K3487" s="343">
        <v>178.61</v>
      </c>
      <c r="L3487" s="343">
        <v>0</v>
      </c>
      <c r="M3487" s="343">
        <v>-993817.92</v>
      </c>
      <c r="O3487" s="343">
        <v>0</v>
      </c>
    </row>
    <row r="3488" spans="1:15" x14ac:dyDescent="0.3">
      <c r="A3488" s="340" t="s">
        <v>891</v>
      </c>
      <c r="B3488" s="350">
        <v>46128</v>
      </c>
      <c r="C3488" s="350">
        <v>46128</v>
      </c>
      <c r="D3488" s="351">
        <v>46113</v>
      </c>
      <c r="E3488" s="340" t="s">
        <v>2857</v>
      </c>
      <c r="F3488" s="340" t="s">
        <v>1078</v>
      </c>
      <c r="G3488" s="340" t="s">
        <v>1657</v>
      </c>
      <c r="H3488" s="340"/>
      <c r="I3488" s="340" t="s">
        <v>1658</v>
      </c>
      <c r="K3488" s="343">
        <v>1487.5</v>
      </c>
      <c r="L3488" s="343">
        <v>0</v>
      </c>
      <c r="M3488" s="343">
        <v>-992330.42</v>
      </c>
      <c r="O3488" s="343">
        <v>0</v>
      </c>
    </row>
    <row r="3489" spans="1:15" x14ac:dyDescent="0.3">
      <c r="A3489" s="340" t="s">
        <v>891</v>
      </c>
      <c r="B3489" s="350">
        <v>46128</v>
      </c>
      <c r="C3489" s="350">
        <v>46128</v>
      </c>
      <c r="D3489" s="351">
        <v>46113</v>
      </c>
      <c r="E3489" s="340" t="s">
        <v>2858</v>
      </c>
      <c r="F3489" s="340" t="s">
        <v>1078</v>
      </c>
      <c r="G3489" s="340" t="s">
        <v>1474</v>
      </c>
      <c r="H3489" s="340"/>
      <c r="I3489" s="340" t="s">
        <v>773</v>
      </c>
      <c r="K3489" s="343">
        <v>4330</v>
      </c>
      <c r="L3489" s="343">
        <v>0</v>
      </c>
      <c r="M3489" s="343">
        <v>-988000.42</v>
      </c>
      <c r="O3489" s="343">
        <v>0</v>
      </c>
    </row>
    <row r="3490" spans="1:15" x14ac:dyDescent="0.3">
      <c r="A3490" s="340" t="s">
        <v>891</v>
      </c>
      <c r="B3490" s="350">
        <v>46128</v>
      </c>
      <c r="C3490" s="350">
        <v>46128</v>
      </c>
      <c r="D3490" s="351">
        <v>46113</v>
      </c>
      <c r="E3490" s="340" t="s">
        <v>2858</v>
      </c>
      <c r="F3490" s="340" t="s">
        <v>1078</v>
      </c>
      <c r="G3490" s="340" t="s">
        <v>954</v>
      </c>
      <c r="H3490" s="340"/>
      <c r="I3490" s="340" t="s">
        <v>773</v>
      </c>
      <c r="K3490" s="343">
        <v>2095.16</v>
      </c>
      <c r="L3490" s="343">
        <v>0</v>
      </c>
      <c r="M3490" s="343">
        <v>-985905.26</v>
      </c>
      <c r="O3490" s="343">
        <v>0</v>
      </c>
    </row>
    <row r="3491" spans="1:15" x14ac:dyDescent="0.3">
      <c r="A3491" s="340" t="s">
        <v>891</v>
      </c>
      <c r="B3491" s="350">
        <v>46128</v>
      </c>
      <c r="C3491" s="350">
        <v>46128</v>
      </c>
      <c r="D3491" s="351">
        <v>46113</v>
      </c>
      <c r="E3491" s="340" t="s">
        <v>2858</v>
      </c>
      <c r="F3491" s="340" t="s">
        <v>1078</v>
      </c>
      <c r="G3491" s="340" t="s">
        <v>1019</v>
      </c>
      <c r="H3491" s="340"/>
      <c r="I3491" s="340" t="s">
        <v>773</v>
      </c>
      <c r="K3491" s="343">
        <v>4330</v>
      </c>
      <c r="L3491" s="343">
        <v>0</v>
      </c>
      <c r="M3491" s="343">
        <v>-981575.26</v>
      </c>
      <c r="O3491" s="343">
        <v>0</v>
      </c>
    </row>
    <row r="3492" spans="1:15" x14ac:dyDescent="0.3">
      <c r="A3492" s="340" t="s">
        <v>891</v>
      </c>
      <c r="B3492" s="350">
        <v>46128</v>
      </c>
      <c r="C3492" s="350">
        <v>46128</v>
      </c>
      <c r="D3492" s="351">
        <v>46113</v>
      </c>
      <c r="E3492" s="340" t="s">
        <v>2859</v>
      </c>
      <c r="F3492" s="340" t="s">
        <v>1078</v>
      </c>
      <c r="G3492" s="340" t="s">
        <v>1079</v>
      </c>
      <c r="H3492" s="340"/>
      <c r="I3492" s="340" t="s">
        <v>2860</v>
      </c>
      <c r="K3492" s="343">
        <v>4330</v>
      </c>
      <c r="L3492" s="343">
        <v>0</v>
      </c>
      <c r="M3492" s="343">
        <v>-977245.26</v>
      </c>
      <c r="O3492" s="343">
        <v>0</v>
      </c>
    </row>
    <row r="3493" spans="1:15" x14ac:dyDescent="0.3">
      <c r="A3493" s="340" t="s">
        <v>891</v>
      </c>
      <c r="B3493" s="350">
        <v>46128</v>
      </c>
      <c r="C3493" s="350">
        <v>46128</v>
      </c>
      <c r="D3493" s="351">
        <v>46113</v>
      </c>
      <c r="E3493" s="340" t="s">
        <v>2861</v>
      </c>
      <c r="F3493" s="340" t="s">
        <v>1078</v>
      </c>
      <c r="G3493" s="340" t="s">
        <v>1079</v>
      </c>
      <c r="H3493" s="340"/>
      <c r="I3493" s="340" t="s">
        <v>2862</v>
      </c>
      <c r="K3493" s="343">
        <v>858</v>
      </c>
      <c r="L3493" s="343">
        <v>0</v>
      </c>
      <c r="M3493" s="343">
        <v>-976387.26</v>
      </c>
      <c r="O3493" s="343">
        <v>0</v>
      </c>
    </row>
    <row r="3494" spans="1:15" x14ac:dyDescent="0.3">
      <c r="A3494" s="340" t="s">
        <v>891</v>
      </c>
      <c r="B3494" s="350">
        <v>46128</v>
      </c>
      <c r="C3494" s="350">
        <v>46128</v>
      </c>
      <c r="D3494" s="351">
        <v>46113</v>
      </c>
      <c r="E3494" s="340" t="s">
        <v>2863</v>
      </c>
      <c r="F3494" s="340" t="s">
        <v>1078</v>
      </c>
      <c r="G3494" s="340" t="s">
        <v>1079</v>
      </c>
      <c r="H3494" s="340"/>
      <c r="I3494" s="340" t="s">
        <v>2864</v>
      </c>
      <c r="K3494" s="343">
        <v>1400</v>
      </c>
      <c r="L3494" s="343">
        <v>0</v>
      </c>
      <c r="M3494" s="343">
        <v>-974987.26</v>
      </c>
      <c r="O3494" s="343">
        <v>0</v>
      </c>
    </row>
    <row r="3495" spans="1:15" x14ac:dyDescent="0.3">
      <c r="A3495" s="340" t="s">
        <v>891</v>
      </c>
      <c r="B3495" s="350">
        <v>46128</v>
      </c>
      <c r="C3495" s="350">
        <v>46128</v>
      </c>
      <c r="D3495" s="351">
        <v>46113</v>
      </c>
      <c r="E3495" s="340" t="s">
        <v>2838</v>
      </c>
      <c r="F3495" s="340" t="s">
        <v>1078</v>
      </c>
      <c r="G3495" s="340" t="s">
        <v>1079</v>
      </c>
      <c r="H3495" s="340"/>
      <c r="I3495" s="340" t="s">
        <v>756</v>
      </c>
      <c r="K3495" s="343">
        <v>0</v>
      </c>
      <c r="L3495" s="343">
        <v>-538.66</v>
      </c>
      <c r="M3495" s="343">
        <v>-975525.92</v>
      </c>
      <c r="O3495" s="343">
        <v>0</v>
      </c>
    </row>
    <row r="3496" spans="1:15" x14ac:dyDescent="0.3">
      <c r="A3496" s="340" t="s">
        <v>891</v>
      </c>
      <c r="B3496" s="350">
        <v>46128</v>
      </c>
      <c r="C3496" s="350">
        <v>46128</v>
      </c>
      <c r="D3496" s="351">
        <v>46113</v>
      </c>
      <c r="E3496" s="340" t="s">
        <v>2839</v>
      </c>
      <c r="F3496" s="340" t="s">
        <v>1078</v>
      </c>
      <c r="G3496" s="340" t="s">
        <v>1079</v>
      </c>
      <c r="H3496" s="340"/>
      <c r="I3496" s="340" t="s">
        <v>756</v>
      </c>
      <c r="K3496" s="343">
        <v>0</v>
      </c>
      <c r="L3496" s="343">
        <v>-35.17</v>
      </c>
      <c r="M3496" s="343">
        <v>-975561.09</v>
      </c>
      <c r="O3496" s="343">
        <v>0</v>
      </c>
    </row>
    <row r="3497" spans="1:15" x14ac:dyDescent="0.3">
      <c r="A3497" s="340" t="s">
        <v>891</v>
      </c>
      <c r="B3497" s="350">
        <v>46128</v>
      </c>
      <c r="C3497" s="350">
        <v>46128</v>
      </c>
      <c r="D3497" s="351">
        <v>46113</v>
      </c>
      <c r="E3497" s="340" t="s">
        <v>2840</v>
      </c>
      <c r="F3497" s="340" t="s">
        <v>1078</v>
      </c>
      <c r="G3497" s="340" t="s">
        <v>1079</v>
      </c>
      <c r="H3497" s="340"/>
      <c r="I3497" s="340" t="s">
        <v>756</v>
      </c>
      <c r="K3497" s="343">
        <v>0</v>
      </c>
      <c r="L3497" s="343">
        <v>-573.83000000000004</v>
      </c>
      <c r="M3497" s="343">
        <v>-976134.92</v>
      </c>
      <c r="O3497" s="343">
        <v>0</v>
      </c>
    </row>
    <row r="3498" spans="1:15" x14ac:dyDescent="0.3">
      <c r="A3498" s="340" t="s">
        <v>891</v>
      </c>
      <c r="B3498" s="350">
        <v>46128</v>
      </c>
      <c r="C3498" s="350">
        <v>46128</v>
      </c>
      <c r="D3498" s="351">
        <v>46113</v>
      </c>
      <c r="E3498" s="340" t="s">
        <v>2841</v>
      </c>
      <c r="F3498" s="340" t="s">
        <v>1078</v>
      </c>
      <c r="G3498" s="340" t="s">
        <v>1079</v>
      </c>
      <c r="H3498" s="340"/>
      <c r="I3498" s="340" t="s">
        <v>756</v>
      </c>
      <c r="K3498" s="343">
        <v>0</v>
      </c>
      <c r="L3498" s="343">
        <v>-337.11</v>
      </c>
      <c r="M3498" s="343">
        <v>-976472.03</v>
      </c>
      <c r="O3498" s="343">
        <v>0</v>
      </c>
    </row>
    <row r="3499" spans="1:15" x14ac:dyDescent="0.3">
      <c r="A3499" s="340" t="s">
        <v>891</v>
      </c>
      <c r="B3499" s="350">
        <v>46128</v>
      </c>
      <c r="C3499" s="350">
        <v>46128</v>
      </c>
      <c r="D3499" s="351">
        <v>46113</v>
      </c>
      <c r="E3499" s="340" t="s">
        <v>2848</v>
      </c>
      <c r="F3499" s="340" t="s">
        <v>1078</v>
      </c>
      <c r="G3499" s="340" t="s">
        <v>1079</v>
      </c>
      <c r="H3499" s="340"/>
      <c r="I3499" s="340" t="s">
        <v>763</v>
      </c>
      <c r="K3499" s="343">
        <v>0</v>
      </c>
      <c r="L3499" s="343">
        <v>-328</v>
      </c>
      <c r="M3499" s="343">
        <v>-976800.03</v>
      </c>
      <c r="O3499" s="343">
        <v>0</v>
      </c>
    </row>
    <row r="3500" spans="1:15" x14ac:dyDescent="0.3">
      <c r="A3500" s="340" t="s">
        <v>891</v>
      </c>
      <c r="B3500" s="350">
        <v>46128</v>
      </c>
      <c r="C3500" s="350">
        <v>46128</v>
      </c>
      <c r="D3500" s="351">
        <v>46113</v>
      </c>
      <c r="E3500" s="340" t="s">
        <v>2865</v>
      </c>
      <c r="F3500" s="340" t="s">
        <v>1078</v>
      </c>
      <c r="G3500" s="340" t="s">
        <v>1079</v>
      </c>
      <c r="H3500" s="340"/>
      <c r="I3500" s="340" t="s">
        <v>2866</v>
      </c>
      <c r="K3500" s="343">
        <v>845.3</v>
      </c>
      <c r="L3500" s="343">
        <v>0</v>
      </c>
      <c r="M3500" s="343">
        <v>-975954.73</v>
      </c>
      <c r="O3500" s="343">
        <v>0</v>
      </c>
    </row>
    <row r="3501" spans="1:15" x14ac:dyDescent="0.3">
      <c r="A3501" s="340" t="s">
        <v>891</v>
      </c>
      <c r="B3501" s="350">
        <v>46128</v>
      </c>
      <c r="C3501" s="350">
        <v>46128</v>
      </c>
      <c r="D3501" s="351">
        <v>46113</v>
      </c>
      <c r="E3501" s="340" t="s">
        <v>2865</v>
      </c>
      <c r="F3501" s="340" t="s">
        <v>1078</v>
      </c>
      <c r="G3501" s="340" t="s">
        <v>1079</v>
      </c>
      <c r="H3501" s="340"/>
      <c r="I3501" s="340" t="s">
        <v>2866</v>
      </c>
      <c r="K3501" s="343">
        <v>703.99</v>
      </c>
      <c r="L3501" s="343">
        <v>0</v>
      </c>
      <c r="M3501" s="343">
        <v>-975250.74</v>
      </c>
      <c r="O3501" s="343">
        <v>0</v>
      </c>
    </row>
    <row r="3502" spans="1:15" x14ac:dyDescent="0.3">
      <c r="A3502" s="340" t="s">
        <v>891</v>
      </c>
      <c r="B3502" s="350">
        <v>46128</v>
      </c>
      <c r="C3502" s="350">
        <v>46128</v>
      </c>
      <c r="D3502" s="351">
        <v>46113</v>
      </c>
      <c r="E3502" s="340" t="s">
        <v>2865</v>
      </c>
      <c r="F3502" s="340" t="s">
        <v>1078</v>
      </c>
      <c r="G3502" s="340" t="s">
        <v>1079</v>
      </c>
      <c r="H3502" s="340"/>
      <c r="I3502" s="340" t="s">
        <v>2866</v>
      </c>
      <c r="K3502" s="343">
        <v>286.54000000000002</v>
      </c>
      <c r="L3502" s="343">
        <v>0</v>
      </c>
      <c r="M3502" s="343">
        <v>-974964.2</v>
      </c>
      <c r="O3502" s="343">
        <v>0</v>
      </c>
    </row>
    <row r="3503" spans="1:15" x14ac:dyDescent="0.3">
      <c r="A3503" s="340" t="s">
        <v>891</v>
      </c>
      <c r="B3503" s="350">
        <v>46128</v>
      </c>
      <c r="C3503" s="350">
        <v>46128</v>
      </c>
      <c r="D3503" s="351">
        <v>46113</v>
      </c>
      <c r="E3503" s="340" t="s">
        <v>2865</v>
      </c>
      <c r="F3503" s="340" t="s">
        <v>1078</v>
      </c>
      <c r="G3503" s="340" t="s">
        <v>1079</v>
      </c>
      <c r="H3503" s="340"/>
      <c r="I3503" s="340" t="s">
        <v>2866</v>
      </c>
      <c r="K3503" s="343">
        <v>447.34</v>
      </c>
      <c r="L3503" s="343">
        <v>0</v>
      </c>
      <c r="M3503" s="343">
        <v>-974516.86</v>
      </c>
      <c r="O3503" s="343">
        <v>0</v>
      </c>
    </row>
    <row r="3504" spans="1:15" x14ac:dyDescent="0.3">
      <c r="A3504" s="340" t="s">
        <v>891</v>
      </c>
      <c r="B3504" s="350">
        <v>46128</v>
      </c>
      <c r="C3504" s="350">
        <v>46128</v>
      </c>
      <c r="D3504" s="351">
        <v>46113</v>
      </c>
      <c r="E3504" s="340" t="s">
        <v>2865</v>
      </c>
      <c r="F3504" s="340" t="s">
        <v>1078</v>
      </c>
      <c r="G3504" s="340" t="s">
        <v>1079</v>
      </c>
      <c r="H3504" s="340"/>
      <c r="I3504" s="340" t="s">
        <v>2866</v>
      </c>
      <c r="K3504" s="343">
        <v>407.82</v>
      </c>
      <c r="L3504" s="343">
        <v>0</v>
      </c>
      <c r="M3504" s="343">
        <v>-974109.04</v>
      </c>
      <c r="O3504" s="343">
        <v>0</v>
      </c>
    </row>
    <row r="3505" spans="1:15" x14ac:dyDescent="0.3">
      <c r="A3505" s="340" t="s">
        <v>891</v>
      </c>
      <c r="B3505" s="350">
        <v>46128</v>
      </c>
      <c r="C3505" s="350">
        <v>46128</v>
      </c>
      <c r="D3505" s="351">
        <v>46113</v>
      </c>
      <c r="E3505" s="340" t="s">
        <v>2867</v>
      </c>
      <c r="F3505" s="340" t="s">
        <v>1078</v>
      </c>
      <c r="G3505" s="340" t="s">
        <v>1283</v>
      </c>
      <c r="H3505" s="340"/>
      <c r="I3505" s="340" t="s">
        <v>764</v>
      </c>
      <c r="K3505" s="343">
        <v>184.03</v>
      </c>
      <c r="L3505" s="343">
        <v>0</v>
      </c>
      <c r="M3505" s="343">
        <v>-973925.01</v>
      </c>
      <c r="O3505" s="343">
        <v>0</v>
      </c>
    </row>
    <row r="3506" spans="1:15" x14ac:dyDescent="0.3">
      <c r="A3506" s="340" t="s">
        <v>891</v>
      </c>
      <c r="B3506" s="350">
        <v>46128</v>
      </c>
      <c r="C3506" s="350">
        <v>46128</v>
      </c>
      <c r="D3506" s="351">
        <v>46113</v>
      </c>
      <c r="E3506" s="340" t="s">
        <v>2867</v>
      </c>
      <c r="F3506" s="340" t="s">
        <v>1078</v>
      </c>
      <c r="G3506" s="340" t="s">
        <v>1463</v>
      </c>
      <c r="H3506" s="340"/>
      <c r="I3506" s="340" t="s">
        <v>764</v>
      </c>
      <c r="K3506" s="343">
        <v>54.13</v>
      </c>
      <c r="L3506" s="343">
        <v>0</v>
      </c>
      <c r="M3506" s="343">
        <v>-973870.88</v>
      </c>
      <c r="O3506" s="343">
        <v>0</v>
      </c>
    </row>
    <row r="3507" spans="1:15" x14ac:dyDescent="0.3">
      <c r="A3507" s="340" t="s">
        <v>891</v>
      </c>
      <c r="B3507" s="350">
        <v>46128</v>
      </c>
      <c r="C3507" s="350">
        <v>46128</v>
      </c>
      <c r="D3507" s="351">
        <v>46113</v>
      </c>
      <c r="E3507" s="340" t="s">
        <v>2867</v>
      </c>
      <c r="F3507" s="340" t="s">
        <v>1078</v>
      </c>
      <c r="G3507" s="340" t="s">
        <v>1462</v>
      </c>
      <c r="H3507" s="340"/>
      <c r="I3507" s="340" t="s">
        <v>764</v>
      </c>
      <c r="K3507" s="343">
        <v>86.6</v>
      </c>
      <c r="L3507" s="343">
        <v>0</v>
      </c>
      <c r="M3507" s="343">
        <v>-973784.28</v>
      </c>
      <c r="O3507" s="343">
        <v>0</v>
      </c>
    </row>
    <row r="3508" spans="1:15" x14ac:dyDescent="0.3">
      <c r="A3508" s="340" t="s">
        <v>891</v>
      </c>
      <c r="B3508" s="350">
        <v>46128</v>
      </c>
      <c r="C3508" s="350">
        <v>46128</v>
      </c>
      <c r="D3508" s="351">
        <v>46113</v>
      </c>
      <c r="E3508" s="340" t="s">
        <v>2867</v>
      </c>
      <c r="F3508" s="340" t="s">
        <v>1078</v>
      </c>
      <c r="G3508" s="340" t="s">
        <v>1139</v>
      </c>
      <c r="H3508" s="340"/>
      <c r="I3508" s="340" t="s">
        <v>764</v>
      </c>
      <c r="K3508" s="343">
        <v>129.84</v>
      </c>
      <c r="L3508" s="343">
        <v>0</v>
      </c>
      <c r="M3508" s="343">
        <v>-973654.44</v>
      </c>
      <c r="O3508" s="343">
        <v>0</v>
      </c>
    </row>
    <row r="3509" spans="1:15" x14ac:dyDescent="0.3">
      <c r="A3509" s="340" t="s">
        <v>891</v>
      </c>
      <c r="B3509" s="350">
        <v>46128</v>
      </c>
      <c r="C3509" s="350">
        <v>46128</v>
      </c>
      <c r="D3509" s="351">
        <v>46113</v>
      </c>
      <c r="E3509" s="340" t="s">
        <v>2867</v>
      </c>
      <c r="F3509" s="340" t="s">
        <v>1078</v>
      </c>
      <c r="G3509" s="340" t="s">
        <v>1138</v>
      </c>
      <c r="H3509" s="340"/>
      <c r="I3509" s="340" t="s">
        <v>764</v>
      </c>
      <c r="K3509" s="343">
        <v>54.13</v>
      </c>
      <c r="L3509" s="343">
        <v>0</v>
      </c>
      <c r="M3509" s="343">
        <v>-973600.31</v>
      </c>
      <c r="O3509" s="343">
        <v>0</v>
      </c>
    </row>
    <row r="3510" spans="1:15" x14ac:dyDescent="0.3">
      <c r="A3510" s="340" t="s">
        <v>891</v>
      </c>
      <c r="B3510" s="350">
        <v>46128</v>
      </c>
      <c r="C3510" s="350">
        <v>46128</v>
      </c>
      <c r="D3510" s="351">
        <v>46113</v>
      </c>
      <c r="E3510" s="340" t="s">
        <v>2867</v>
      </c>
      <c r="F3510" s="340" t="s">
        <v>1078</v>
      </c>
      <c r="G3510" s="340" t="s">
        <v>1137</v>
      </c>
      <c r="H3510" s="340"/>
      <c r="I3510" s="340" t="s">
        <v>764</v>
      </c>
      <c r="K3510" s="343">
        <v>54.13</v>
      </c>
      <c r="L3510" s="343">
        <v>0</v>
      </c>
      <c r="M3510" s="343">
        <v>-973546.18</v>
      </c>
      <c r="O3510" s="343">
        <v>0</v>
      </c>
    </row>
    <row r="3511" spans="1:15" x14ac:dyDescent="0.3">
      <c r="A3511" s="340" t="s">
        <v>891</v>
      </c>
      <c r="B3511" s="350">
        <v>46128</v>
      </c>
      <c r="C3511" s="350">
        <v>46128</v>
      </c>
      <c r="D3511" s="351">
        <v>46113</v>
      </c>
      <c r="E3511" s="340" t="s">
        <v>2867</v>
      </c>
      <c r="F3511" s="340" t="s">
        <v>1078</v>
      </c>
      <c r="G3511" s="340" t="s">
        <v>1136</v>
      </c>
      <c r="H3511" s="340"/>
      <c r="I3511" s="340" t="s">
        <v>764</v>
      </c>
      <c r="K3511" s="343">
        <v>54.13</v>
      </c>
      <c r="L3511" s="343">
        <v>0</v>
      </c>
      <c r="M3511" s="343">
        <v>-973492.05</v>
      </c>
      <c r="O3511" s="343">
        <v>0</v>
      </c>
    </row>
    <row r="3512" spans="1:15" x14ac:dyDescent="0.3">
      <c r="A3512" s="340" t="s">
        <v>891</v>
      </c>
      <c r="B3512" s="350">
        <v>46128</v>
      </c>
      <c r="C3512" s="350">
        <v>46128</v>
      </c>
      <c r="D3512" s="351">
        <v>46113</v>
      </c>
      <c r="E3512" s="340" t="s">
        <v>2867</v>
      </c>
      <c r="F3512" s="340" t="s">
        <v>1078</v>
      </c>
      <c r="G3512" s="340" t="s">
        <v>1135</v>
      </c>
      <c r="H3512" s="340"/>
      <c r="I3512" s="340" t="s">
        <v>764</v>
      </c>
      <c r="K3512" s="343">
        <v>54.13</v>
      </c>
      <c r="L3512" s="343">
        <v>0</v>
      </c>
      <c r="M3512" s="343">
        <v>-973437.92</v>
      </c>
      <c r="O3512" s="343">
        <v>0</v>
      </c>
    </row>
    <row r="3513" spans="1:15" x14ac:dyDescent="0.3">
      <c r="A3513" s="340" t="s">
        <v>891</v>
      </c>
      <c r="B3513" s="350">
        <v>46128</v>
      </c>
      <c r="C3513" s="350">
        <v>46128</v>
      </c>
      <c r="D3513" s="351">
        <v>46113</v>
      </c>
      <c r="E3513" s="340" t="s">
        <v>2867</v>
      </c>
      <c r="F3513" s="340" t="s">
        <v>1078</v>
      </c>
      <c r="G3513" s="340" t="s">
        <v>1134</v>
      </c>
      <c r="H3513" s="340"/>
      <c r="I3513" s="340" t="s">
        <v>764</v>
      </c>
      <c r="K3513" s="343">
        <v>54.13</v>
      </c>
      <c r="L3513" s="343">
        <v>0</v>
      </c>
      <c r="M3513" s="343">
        <v>-973383.79</v>
      </c>
      <c r="O3513" s="343">
        <v>0</v>
      </c>
    </row>
    <row r="3514" spans="1:15" x14ac:dyDescent="0.3">
      <c r="A3514" s="340" t="s">
        <v>891</v>
      </c>
      <c r="B3514" s="350">
        <v>46128</v>
      </c>
      <c r="C3514" s="350">
        <v>46128</v>
      </c>
      <c r="D3514" s="351">
        <v>46113</v>
      </c>
      <c r="E3514" s="340" t="s">
        <v>2867</v>
      </c>
      <c r="F3514" s="340" t="s">
        <v>1078</v>
      </c>
      <c r="G3514" s="340" t="s">
        <v>1133</v>
      </c>
      <c r="H3514" s="340"/>
      <c r="I3514" s="340" t="s">
        <v>764</v>
      </c>
      <c r="K3514" s="343">
        <v>54.13</v>
      </c>
      <c r="L3514" s="343">
        <v>0</v>
      </c>
      <c r="M3514" s="343">
        <v>-973329.66</v>
      </c>
      <c r="O3514" s="343">
        <v>0</v>
      </c>
    </row>
    <row r="3515" spans="1:15" x14ac:dyDescent="0.3">
      <c r="A3515" s="340" t="s">
        <v>891</v>
      </c>
      <c r="B3515" s="350">
        <v>46128</v>
      </c>
      <c r="C3515" s="350">
        <v>46128</v>
      </c>
      <c r="D3515" s="351">
        <v>46113</v>
      </c>
      <c r="E3515" s="340" t="s">
        <v>2867</v>
      </c>
      <c r="F3515" s="340" t="s">
        <v>1078</v>
      </c>
      <c r="G3515" s="340" t="s">
        <v>1132</v>
      </c>
      <c r="H3515" s="340"/>
      <c r="I3515" s="340" t="s">
        <v>764</v>
      </c>
      <c r="K3515" s="343">
        <v>54.13</v>
      </c>
      <c r="L3515" s="343">
        <v>0</v>
      </c>
      <c r="M3515" s="343">
        <v>-973275.53</v>
      </c>
      <c r="O3515" s="343">
        <v>0</v>
      </c>
    </row>
    <row r="3516" spans="1:15" x14ac:dyDescent="0.3">
      <c r="A3516" s="340" t="s">
        <v>891</v>
      </c>
      <c r="B3516" s="350">
        <v>46128</v>
      </c>
      <c r="C3516" s="350">
        <v>46128</v>
      </c>
      <c r="D3516" s="351">
        <v>46113</v>
      </c>
      <c r="E3516" s="340" t="s">
        <v>2867</v>
      </c>
      <c r="F3516" s="340" t="s">
        <v>1078</v>
      </c>
      <c r="G3516" s="340" t="s">
        <v>1131</v>
      </c>
      <c r="H3516" s="340"/>
      <c r="I3516" s="340" t="s">
        <v>764</v>
      </c>
      <c r="K3516" s="343">
        <v>54.13</v>
      </c>
      <c r="L3516" s="343">
        <v>0</v>
      </c>
      <c r="M3516" s="343">
        <v>-973221.4</v>
      </c>
      <c r="O3516" s="343">
        <v>0</v>
      </c>
    </row>
    <row r="3517" spans="1:15" x14ac:dyDescent="0.3">
      <c r="A3517" s="340" t="s">
        <v>891</v>
      </c>
      <c r="B3517" s="350">
        <v>46128</v>
      </c>
      <c r="C3517" s="350">
        <v>46128</v>
      </c>
      <c r="D3517" s="351">
        <v>46113</v>
      </c>
      <c r="E3517" s="340" t="s">
        <v>2867</v>
      </c>
      <c r="F3517" s="340" t="s">
        <v>1078</v>
      </c>
      <c r="G3517" s="340" t="s">
        <v>1130</v>
      </c>
      <c r="H3517" s="340"/>
      <c r="I3517" s="340" t="s">
        <v>764</v>
      </c>
      <c r="K3517" s="343">
        <v>54.13</v>
      </c>
      <c r="L3517" s="343">
        <v>0</v>
      </c>
      <c r="M3517" s="343">
        <v>-973167.27</v>
      </c>
      <c r="O3517" s="343">
        <v>0</v>
      </c>
    </row>
    <row r="3518" spans="1:15" x14ac:dyDescent="0.3">
      <c r="A3518" s="340" t="s">
        <v>891</v>
      </c>
      <c r="B3518" s="350">
        <v>46128</v>
      </c>
      <c r="C3518" s="350">
        <v>46128</v>
      </c>
      <c r="D3518" s="351">
        <v>46113</v>
      </c>
      <c r="E3518" s="340" t="s">
        <v>2867</v>
      </c>
      <c r="F3518" s="340" t="s">
        <v>1078</v>
      </c>
      <c r="G3518" s="340" t="s">
        <v>1129</v>
      </c>
      <c r="H3518" s="340"/>
      <c r="I3518" s="340" t="s">
        <v>764</v>
      </c>
      <c r="K3518" s="343">
        <v>54.13</v>
      </c>
      <c r="L3518" s="343">
        <v>0</v>
      </c>
      <c r="M3518" s="343">
        <v>-973113.14</v>
      </c>
      <c r="O3518" s="343">
        <v>0</v>
      </c>
    </row>
    <row r="3519" spans="1:15" x14ac:dyDescent="0.3">
      <c r="A3519" s="340" t="s">
        <v>891</v>
      </c>
      <c r="B3519" s="350">
        <v>46128</v>
      </c>
      <c r="C3519" s="350">
        <v>46128</v>
      </c>
      <c r="D3519" s="351">
        <v>46113</v>
      </c>
      <c r="E3519" s="340" t="s">
        <v>2867</v>
      </c>
      <c r="F3519" s="340" t="s">
        <v>1078</v>
      </c>
      <c r="G3519" s="340" t="s">
        <v>1128</v>
      </c>
      <c r="H3519" s="340"/>
      <c r="I3519" s="340" t="s">
        <v>764</v>
      </c>
      <c r="K3519" s="343">
        <v>54.13</v>
      </c>
      <c r="L3519" s="343">
        <v>0</v>
      </c>
      <c r="M3519" s="343">
        <v>-973059.01</v>
      </c>
      <c r="O3519" s="343">
        <v>0</v>
      </c>
    </row>
    <row r="3520" spans="1:15" x14ac:dyDescent="0.3">
      <c r="A3520" s="340" t="s">
        <v>891</v>
      </c>
      <c r="B3520" s="350">
        <v>46128</v>
      </c>
      <c r="C3520" s="350">
        <v>46128</v>
      </c>
      <c r="D3520" s="351">
        <v>46113</v>
      </c>
      <c r="E3520" s="340" t="s">
        <v>2867</v>
      </c>
      <c r="F3520" s="340" t="s">
        <v>1078</v>
      </c>
      <c r="G3520" s="340" t="s">
        <v>1127</v>
      </c>
      <c r="H3520" s="340"/>
      <c r="I3520" s="340" t="s">
        <v>764</v>
      </c>
      <c r="K3520" s="343">
        <v>54.13</v>
      </c>
      <c r="L3520" s="343">
        <v>0</v>
      </c>
      <c r="M3520" s="343">
        <v>-973004.88</v>
      </c>
      <c r="O3520" s="343">
        <v>0</v>
      </c>
    </row>
    <row r="3521" spans="1:15" x14ac:dyDescent="0.3">
      <c r="A3521" s="340" t="s">
        <v>891</v>
      </c>
      <c r="B3521" s="350">
        <v>46128</v>
      </c>
      <c r="C3521" s="350">
        <v>46128</v>
      </c>
      <c r="D3521" s="351">
        <v>46113</v>
      </c>
      <c r="E3521" s="340" t="s">
        <v>2867</v>
      </c>
      <c r="F3521" s="340" t="s">
        <v>1078</v>
      </c>
      <c r="G3521" s="340" t="s">
        <v>1126</v>
      </c>
      <c r="H3521" s="340"/>
      <c r="I3521" s="340" t="s">
        <v>764</v>
      </c>
      <c r="K3521" s="343">
        <v>140.72</v>
      </c>
      <c r="L3521" s="343">
        <v>0</v>
      </c>
      <c r="M3521" s="343">
        <v>-972864.16</v>
      </c>
      <c r="O3521" s="343">
        <v>0</v>
      </c>
    </row>
    <row r="3522" spans="1:15" x14ac:dyDescent="0.3">
      <c r="A3522" s="340" t="s">
        <v>891</v>
      </c>
      <c r="B3522" s="350">
        <v>46128</v>
      </c>
      <c r="C3522" s="350">
        <v>46128</v>
      </c>
      <c r="D3522" s="351">
        <v>46113</v>
      </c>
      <c r="E3522" s="340" t="s">
        <v>2867</v>
      </c>
      <c r="F3522" s="340" t="s">
        <v>1078</v>
      </c>
      <c r="G3522" s="340" t="s">
        <v>1125</v>
      </c>
      <c r="H3522" s="340"/>
      <c r="I3522" s="340" t="s">
        <v>764</v>
      </c>
      <c r="K3522" s="343">
        <v>54.13</v>
      </c>
      <c r="L3522" s="343">
        <v>0</v>
      </c>
      <c r="M3522" s="343">
        <v>-972810.03</v>
      </c>
      <c r="O3522" s="343">
        <v>0</v>
      </c>
    </row>
    <row r="3523" spans="1:15" x14ac:dyDescent="0.3">
      <c r="A3523" s="340" t="s">
        <v>891</v>
      </c>
      <c r="B3523" s="350">
        <v>46128</v>
      </c>
      <c r="C3523" s="350">
        <v>46128</v>
      </c>
      <c r="D3523" s="351">
        <v>46113</v>
      </c>
      <c r="E3523" s="340" t="s">
        <v>2867</v>
      </c>
      <c r="F3523" s="340" t="s">
        <v>1078</v>
      </c>
      <c r="G3523" s="340" t="s">
        <v>1076</v>
      </c>
      <c r="H3523" s="340"/>
      <c r="I3523" s="340" t="s">
        <v>764</v>
      </c>
      <c r="K3523" s="343">
        <v>119.07</v>
      </c>
      <c r="L3523" s="343">
        <v>0</v>
      </c>
      <c r="M3523" s="343">
        <v>-972690.96</v>
      </c>
      <c r="O3523" s="343">
        <v>0</v>
      </c>
    </row>
    <row r="3524" spans="1:15" x14ac:dyDescent="0.3">
      <c r="A3524" s="340" t="s">
        <v>891</v>
      </c>
      <c r="B3524" s="350">
        <v>46128</v>
      </c>
      <c r="C3524" s="350">
        <v>46128</v>
      </c>
      <c r="D3524" s="351">
        <v>46113</v>
      </c>
      <c r="E3524" s="340" t="s">
        <v>2867</v>
      </c>
      <c r="F3524" s="340" t="s">
        <v>1078</v>
      </c>
      <c r="G3524" s="340" t="s">
        <v>1075</v>
      </c>
      <c r="H3524" s="340"/>
      <c r="I3524" s="340" t="s">
        <v>764</v>
      </c>
      <c r="K3524" s="343">
        <v>86.6</v>
      </c>
      <c r="L3524" s="343">
        <v>0</v>
      </c>
      <c r="M3524" s="343">
        <v>-972604.36</v>
      </c>
      <c r="O3524" s="343">
        <v>0</v>
      </c>
    </row>
    <row r="3525" spans="1:15" x14ac:dyDescent="0.3">
      <c r="A3525" s="340" t="s">
        <v>891</v>
      </c>
      <c r="B3525" s="350">
        <v>46128</v>
      </c>
      <c r="C3525" s="350">
        <v>46128</v>
      </c>
      <c r="D3525" s="351">
        <v>46113</v>
      </c>
      <c r="E3525" s="340" t="s">
        <v>2867</v>
      </c>
      <c r="F3525" s="340" t="s">
        <v>1078</v>
      </c>
      <c r="G3525" s="340" t="s">
        <v>1074</v>
      </c>
      <c r="H3525" s="340"/>
      <c r="I3525" s="340" t="s">
        <v>764</v>
      </c>
      <c r="K3525" s="343">
        <v>97.43</v>
      </c>
      <c r="L3525" s="343">
        <v>0</v>
      </c>
      <c r="M3525" s="343">
        <v>-972506.93</v>
      </c>
      <c r="O3525" s="343">
        <v>0</v>
      </c>
    </row>
    <row r="3526" spans="1:15" x14ac:dyDescent="0.3">
      <c r="A3526" s="340" t="s">
        <v>891</v>
      </c>
      <c r="B3526" s="350">
        <v>46128</v>
      </c>
      <c r="C3526" s="350">
        <v>46128</v>
      </c>
      <c r="D3526" s="351">
        <v>46113</v>
      </c>
      <c r="E3526" s="340" t="s">
        <v>2867</v>
      </c>
      <c r="F3526" s="340" t="s">
        <v>1078</v>
      </c>
      <c r="G3526" s="340" t="s">
        <v>1073</v>
      </c>
      <c r="H3526" s="340"/>
      <c r="I3526" s="340" t="s">
        <v>764</v>
      </c>
      <c r="K3526" s="343">
        <v>162.38</v>
      </c>
      <c r="L3526" s="343">
        <v>0</v>
      </c>
      <c r="M3526" s="343">
        <v>-972344.55</v>
      </c>
      <c r="O3526" s="343">
        <v>0</v>
      </c>
    </row>
    <row r="3527" spans="1:15" x14ac:dyDescent="0.3">
      <c r="A3527" s="340" t="s">
        <v>891</v>
      </c>
      <c r="B3527" s="350">
        <v>46128</v>
      </c>
      <c r="C3527" s="350">
        <v>46128</v>
      </c>
      <c r="D3527" s="351">
        <v>46113</v>
      </c>
      <c r="E3527" s="340" t="s">
        <v>2867</v>
      </c>
      <c r="F3527" s="340" t="s">
        <v>1078</v>
      </c>
      <c r="G3527" s="340" t="s">
        <v>1072</v>
      </c>
      <c r="H3527" s="340"/>
      <c r="I3527" s="340" t="s">
        <v>764</v>
      </c>
      <c r="K3527" s="343">
        <v>173.2</v>
      </c>
      <c r="L3527" s="343">
        <v>0</v>
      </c>
      <c r="M3527" s="343">
        <v>-972171.35</v>
      </c>
      <c r="O3527" s="343">
        <v>0</v>
      </c>
    </row>
    <row r="3528" spans="1:15" x14ac:dyDescent="0.3">
      <c r="A3528" s="340" t="s">
        <v>891</v>
      </c>
      <c r="B3528" s="350">
        <v>46128</v>
      </c>
      <c r="C3528" s="350">
        <v>46128</v>
      </c>
      <c r="D3528" s="351">
        <v>46113</v>
      </c>
      <c r="E3528" s="340" t="s">
        <v>2867</v>
      </c>
      <c r="F3528" s="340" t="s">
        <v>1078</v>
      </c>
      <c r="G3528" s="340" t="s">
        <v>987</v>
      </c>
      <c r="H3528" s="340"/>
      <c r="I3528" s="340" t="s">
        <v>764</v>
      </c>
      <c r="K3528" s="343">
        <v>97.42</v>
      </c>
      <c r="L3528" s="343">
        <v>0</v>
      </c>
      <c r="M3528" s="343">
        <v>-972073.93</v>
      </c>
      <c r="O3528" s="343">
        <v>0</v>
      </c>
    </row>
    <row r="3529" spans="1:15" x14ac:dyDescent="0.3">
      <c r="A3529" s="340" t="s">
        <v>891</v>
      </c>
      <c r="B3529" s="350">
        <v>46128</v>
      </c>
      <c r="C3529" s="350">
        <v>46128</v>
      </c>
      <c r="D3529" s="351">
        <v>46113</v>
      </c>
      <c r="E3529" s="340" t="s">
        <v>2867</v>
      </c>
      <c r="F3529" s="340" t="s">
        <v>1078</v>
      </c>
      <c r="G3529" s="340" t="s">
        <v>986</v>
      </c>
      <c r="H3529" s="340"/>
      <c r="I3529" s="340" t="s">
        <v>764</v>
      </c>
      <c r="K3529" s="343">
        <v>151.55000000000001</v>
      </c>
      <c r="L3529" s="343">
        <v>0</v>
      </c>
      <c r="M3529" s="343">
        <v>-971922.38</v>
      </c>
      <c r="O3529" s="343">
        <v>0</v>
      </c>
    </row>
    <row r="3530" spans="1:15" x14ac:dyDescent="0.3">
      <c r="A3530" s="340" t="s">
        <v>891</v>
      </c>
      <c r="B3530" s="350">
        <v>46128</v>
      </c>
      <c r="C3530" s="350">
        <v>46128</v>
      </c>
      <c r="D3530" s="351">
        <v>46113</v>
      </c>
      <c r="E3530" s="340" t="s">
        <v>2867</v>
      </c>
      <c r="F3530" s="340" t="s">
        <v>1078</v>
      </c>
      <c r="G3530" s="340" t="s">
        <v>985</v>
      </c>
      <c r="H3530" s="340"/>
      <c r="I3530" s="340" t="s">
        <v>764</v>
      </c>
      <c r="K3530" s="343">
        <v>162.38</v>
      </c>
      <c r="L3530" s="343">
        <v>0</v>
      </c>
      <c r="M3530" s="343">
        <v>-971760</v>
      </c>
      <c r="O3530" s="343">
        <v>0</v>
      </c>
    </row>
    <row r="3531" spans="1:15" x14ac:dyDescent="0.3">
      <c r="A3531" s="340" t="s">
        <v>891</v>
      </c>
      <c r="B3531" s="350">
        <v>46128</v>
      </c>
      <c r="C3531" s="350">
        <v>46128</v>
      </c>
      <c r="D3531" s="351">
        <v>46113</v>
      </c>
      <c r="E3531" s="340" t="s">
        <v>2867</v>
      </c>
      <c r="F3531" s="340" t="s">
        <v>1078</v>
      </c>
      <c r="G3531" s="340" t="s">
        <v>984</v>
      </c>
      <c r="H3531" s="340"/>
      <c r="I3531" s="340" t="s">
        <v>764</v>
      </c>
      <c r="K3531" s="343">
        <v>64.95</v>
      </c>
      <c r="L3531" s="343">
        <v>0</v>
      </c>
      <c r="M3531" s="343">
        <v>-971695.05</v>
      </c>
      <c r="O3531" s="343">
        <v>0</v>
      </c>
    </row>
    <row r="3532" spans="1:15" x14ac:dyDescent="0.3">
      <c r="A3532" s="340" t="s">
        <v>891</v>
      </c>
      <c r="B3532" s="350">
        <v>46128</v>
      </c>
      <c r="C3532" s="350">
        <v>46128</v>
      </c>
      <c r="D3532" s="351">
        <v>46113</v>
      </c>
      <c r="E3532" s="340" t="s">
        <v>2867</v>
      </c>
      <c r="F3532" s="340" t="s">
        <v>1078</v>
      </c>
      <c r="G3532" s="340" t="s">
        <v>983</v>
      </c>
      <c r="H3532" s="340"/>
      <c r="I3532" s="340" t="s">
        <v>764</v>
      </c>
      <c r="K3532" s="343">
        <v>173.2</v>
      </c>
      <c r="L3532" s="343">
        <v>0</v>
      </c>
      <c r="M3532" s="343">
        <v>-971521.85</v>
      </c>
      <c r="O3532" s="343">
        <v>0</v>
      </c>
    </row>
    <row r="3533" spans="1:15" x14ac:dyDescent="0.3">
      <c r="A3533" s="340" t="s">
        <v>891</v>
      </c>
      <c r="B3533" s="350">
        <v>46128</v>
      </c>
      <c r="C3533" s="350">
        <v>46128</v>
      </c>
      <c r="D3533" s="351">
        <v>46113</v>
      </c>
      <c r="E3533" s="340" t="s">
        <v>2867</v>
      </c>
      <c r="F3533" s="340" t="s">
        <v>1078</v>
      </c>
      <c r="G3533" s="340" t="s">
        <v>982</v>
      </c>
      <c r="H3533" s="340"/>
      <c r="I3533" s="340" t="s">
        <v>764</v>
      </c>
      <c r="K3533" s="343">
        <v>194.85</v>
      </c>
      <c r="L3533" s="343">
        <v>0</v>
      </c>
      <c r="M3533" s="343">
        <v>-971327</v>
      </c>
      <c r="O3533" s="343">
        <v>0</v>
      </c>
    </row>
    <row r="3534" spans="1:15" x14ac:dyDescent="0.3">
      <c r="A3534" s="340" t="s">
        <v>891</v>
      </c>
      <c r="B3534" s="350">
        <v>46128</v>
      </c>
      <c r="C3534" s="350">
        <v>46132</v>
      </c>
      <c r="D3534" s="351">
        <v>46113</v>
      </c>
      <c r="E3534" s="340" t="s">
        <v>2868</v>
      </c>
      <c r="F3534" s="340" t="s">
        <v>894</v>
      </c>
      <c r="G3534" s="340" t="s">
        <v>2869</v>
      </c>
      <c r="H3534" s="340"/>
      <c r="I3534" s="340" t="s">
        <v>2395</v>
      </c>
      <c r="K3534" s="343">
        <v>0</v>
      </c>
      <c r="L3534" s="343">
        <v>-1075</v>
      </c>
      <c r="M3534" s="343">
        <v>-972402</v>
      </c>
      <c r="O3534" s="343">
        <v>0</v>
      </c>
    </row>
    <row r="3535" spans="1:15" x14ac:dyDescent="0.3">
      <c r="A3535" s="340" t="s">
        <v>891</v>
      </c>
      <c r="B3535" s="350">
        <v>46128</v>
      </c>
      <c r="C3535" s="350">
        <v>46132</v>
      </c>
      <c r="D3535" s="351">
        <v>46113</v>
      </c>
      <c r="E3535" s="340" t="s">
        <v>2870</v>
      </c>
      <c r="F3535" s="340" t="s">
        <v>894</v>
      </c>
      <c r="G3535" s="340" t="s">
        <v>2871</v>
      </c>
      <c r="H3535" s="340"/>
      <c r="I3535" s="340" t="s">
        <v>2395</v>
      </c>
      <c r="K3535" s="343">
        <v>0</v>
      </c>
      <c r="L3535" s="343">
        <v>-1075</v>
      </c>
      <c r="M3535" s="343">
        <v>-973477</v>
      </c>
      <c r="O3535" s="343">
        <v>0</v>
      </c>
    </row>
    <row r="3536" spans="1:15" x14ac:dyDescent="0.3">
      <c r="A3536" s="340" t="s">
        <v>891</v>
      </c>
      <c r="B3536" s="350">
        <v>46128</v>
      </c>
      <c r="C3536" s="350">
        <v>46134</v>
      </c>
      <c r="D3536" s="351">
        <v>46113</v>
      </c>
      <c r="E3536" s="340" t="s">
        <v>2872</v>
      </c>
      <c r="F3536" s="340" t="s">
        <v>894</v>
      </c>
      <c r="G3536" s="340" t="s">
        <v>2873</v>
      </c>
      <c r="H3536" s="340"/>
      <c r="I3536" s="340" t="s">
        <v>742</v>
      </c>
      <c r="K3536" s="343">
        <v>0.39</v>
      </c>
      <c r="L3536" s="343">
        <v>0</v>
      </c>
      <c r="M3536" s="343">
        <v>-973476.61</v>
      </c>
      <c r="O3536" s="343">
        <v>0</v>
      </c>
    </row>
    <row r="3537" spans="1:15" x14ac:dyDescent="0.3">
      <c r="A3537" s="340" t="s">
        <v>891</v>
      </c>
      <c r="B3537" s="350">
        <v>46128</v>
      </c>
      <c r="C3537" s="350">
        <v>46134</v>
      </c>
      <c r="D3537" s="351">
        <v>46113</v>
      </c>
      <c r="E3537" s="340" t="s">
        <v>2872</v>
      </c>
      <c r="F3537" s="340" t="s">
        <v>894</v>
      </c>
      <c r="G3537" s="340" t="s">
        <v>2874</v>
      </c>
      <c r="H3537" s="340"/>
      <c r="I3537" s="340" t="s">
        <v>742</v>
      </c>
      <c r="K3537" s="343">
        <v>0</v>
      </c>
      <c r="L3537" s="343">
        <v>-0.02</v>
      </c>
      <c r="M3537" s="343">
        <v>-973476.63</v>
      </c>
      <c r="O3537" s="343">
        <v>0</v>
      </c>
    </row>
    <row r="3538" spans="1:15" x14ac:dyDescent="0.3">
      <c r="A3538" s="340" t="s">
        <v>891</v>
      </c>
      <c r="B3538" s="350">
        <v>46128</v>
      </c>
      <c r="C3538" s="350">
        <v>46134</v>
      </c>
      <c r="D3538" s="351">
        <v>46113</v>
      </c>
      <c r="E3538" s="340" t="s">
        <v>2872</v>
      </c>
      <c r="F3538" s="340" t="s">
        <v>894</v>
      </c>
      <c r="G3538" s="340" t="s">
        <v>2875</v>
      </c>
      <c r="H3538" s="340"/>
      <c r="I3538" s="340" t="s">
        <v>742</v>
      </c>
      <c r="K3538" s="343">
        <v>0</v>
      </c>
      <c r="L3538" s="343">
        <v>-22.65</v>
      </c>
      <c r="M3538" s="343">
        <v>-973499.28</v>
      </c>
      <c r="O3538" s="343">
        <v>0</v>
      </c>
    </row>
    <row r="3539" spans="1:15" x14ac:dyDescent="0.3">
      <c r="A3539" s="340" t="s">
        <v>891</v>
      </c>
      <c r="B3539" s="350">
        <v>46128</v>
      </c>
      <c r="C3539" s="350">
        <v>46134</v>
      </c>
      <c r="D3539" s="351">
        <v>46113</v>
      </c>
      <c r="E3539" s="340" t="s">
        <v>2872</v>
      </c>
      <c r="F3539" s="340" t="s">
        <v>894</v>
      </c>
      <c r="G3539" s="340" t="s">
        <v>2876</v>
      </c>
      <c r="H3539" s="340"/>
      <c r="I3539" s="340" t="s">
        <v>742</v>
      </c>
      <c r="K3539" s="343">
        <v>0</v>
      </c>
      <c r="L3539" s="343">
        <v>-45.21</v>
      </c>
      <c r="M3539" s="343">
        <v>-973544.49</v>
      </c>
      <c r="O3539" s="343">
        <v>0</v>
      </c>
    </row>
    <row r="3540" spans="1:15" x14ac:dyDescent="0.3">
      <c r="A3540" s="340" t="s">
        <v>891</v>
      </c>
      <c r="B3540" s="350">
        <v>46128</v>
      </c>
      <c r="C3540" s="350">
        <v>46134</v>
      </c>
      <c r="D3540" s="351">
        <v>46113</v>
      </c>
      <c r="E3540" s="340" t="s">
        <v>2872</v>
      </c>
      <c r="F3540" s="340" t="s">
        <v>894</v>
      </c>
      <c r="G3540" s="340" t="s">
        <v>2877</v>
      </c>
      <c r="H3540" s="340"/>
      <c r="I3540" s="340" t="s">
        <v>742</v>
      </c>
      <c r="K3540" s="343">
        <v>0</v>
      </c>
      <c r="L3540" s="343">
        <v>-57.23</v>
      </c>
      <c r="M3540" s="343">
        <v>-973601.72</v>
      </c>
      <c r="O3540" s="343">
        <v>0</v>
      </c>
    </row>
    <row r="3541" spans="1:15" x14ac:dyDescent="0.3">
      <c r="A3541" s="340" t="s">
        <v>891</v>
      </c>
      <c r="B3541" s="350">
        <v>46128</v>
      </c>
      <c r="C3541" s="350">
        <v>46134</v>
      </c>
      <c r="D3541" s="351">
        <v>46113</v>
      </c>
      <c r="E3541" s="340" t="s">
        <v>2872</v>
      </c>
      <c r="F3541" s="340" t="s">
        <v>894</v>
      </c>
      <c r="G3541" s="340" t="s">
        <v>2878</v>
      </c>
      <c r="H3541" s="340"/>
      <c r="I3541" s="340" t="s">
        <v>742</v>
      </c>
      <c r="K3541" s="343">
        <v>0</v>
      </c>
      <c r="L3541" s="343">
        <v>-88.01</v>
      </c>
      <c r="M3541" s="343">
        <v>-973689.73</v>
      </c>
      <c r="O3541" s="343">
        <v>0</v>
      </c>
    </row>
    <row r="3542" spans="1:15" x14ac:dyDescent="0.3">
      <c r="A3542" s="340" t="s">
        <v>891</v>
      </c>
      <c r="B3542" s="350">
        <v>46128</v>
      </c>
      <c r="C3542" s="350">
        <v>46134</v>
      </c>
      <c r="D3542" s="351">
        <v>46113</v>
      </c>
      <c r="E3542" s="340" t="s">
        <v>2872</v>
      </c>
      <c r="F3542" s="340" t="s">
        <v>894</v>
      </c>
      <c r="G3542" s="340" t="s">
        <v>2879</v>
      </c>
      <c r="H3542" s="340"/>
      <c r="I3542" s="340" t="s">
        <v>742</v>
      </c>
      <c r="K3542" s="343">
        <v>0</v>
      </c>
      <c r="L3542" s="343">
        <v>-113.24</v>
      </c>
      <c r="M3542" s="343">
        <v>-973802.97</v>
      </c>
      <c r="O3542" s="343">
        <v>0</v>
      </c>
    </row>
    <row r="3543" spans="1:15" x14ac:dyDescent="0.3">
      <c r="A3543" s="340" t="s">
        <v>891</v>
      </c>
      <c r="B3543" s="350">
        <v>46128</v>
      </c>
      <c r="C3543" s="350">
        <v>46134</v>
      </c>
      <c r="D3543" s="351">
        <v>46113</v>
      </c>
      <c r="E3543" s="340" t="s">
        <v>2872</v>
      </c>
      <c r="F3543" s="340" t="s">
        <v>894</v>
      </c>
      <c r="G3543" s="340" t="s">
        <v>2880</v>
      </c>
      <c r="H3543" s="340"/>
      <c r="I3543" s="340" t="s">
        <v>742</v>
      </c>
      <c r="K3543" s="343">
        <v>0</v>
      </c>
      <c r="L3543" s="343">
        <v>-355.67</v>
      </c>
      <c r="M3543" s="343">
        <v>-974158.64</v>
      </c>
      <c r="O3543" s="343">
        <v>0</v>
      </c>
    </row>
    <row r="3544" spans="1:15" x14ac:dyDescent="0.3">
      <c r="A3544" s="340" t="s">
        <v>891</v>
      </c>
      <c r="B3544" s="350">
        <v>46128</v>
      </c>
      <c r="C3544" s="350">
        <v>46134</v>
      </c>
      <c r="D3544" s="351">
        <v>46113</v>
      </c>
      <c r="E3544" s="340" t="s">
        <v>2872</v>
      </c>
      <c r="F3544" s="340" t="s">
        <v>894</v>
      </c>
      <c r="G3544" s="340" t="s">
        <v>2881</v>
      </c>
      <c r="H3544" s="340"/>
      <c r="I3544" s="340" t="s">
        <v>742</v>
      </c>
      <c r="K3544" s="343">
        <v>0</v>
      </c>
      <c r="L3544" s="343">
        <v>-1861.37</v>
      </c>
      <c r="M3544" s="343">
        <v>-976020.01</v>
      </c>
      <c r="O3544" s="343">
        <v>0</v>
      </c>
    </row>
    <row r="3545" spans="1:15" x14ac:dyDescent="0.3">
      <c r="A3545" s="340" t="s">
        <v>891</v>
      </c>
      <c r="B3545" s="350">
        <v>46128</v>
      </c>
      <c r="C3545" s="350">
        <v>46134</v>
      </c>
      <c r="D3545" s="351">
        <v>46113</v>
      </c>
      <c r="E3545" s="340" t="s">
        <v>2872</v>
      </c>
      <c r="F3545" s="340" t="s">
        <v>894</v>
      </c>
      <c r="G3545" s="340" t="s">
        <v>2882</v>
      </c>
      <c r="H3545" s="340"/>
      <c r="I3545" s="340" t="s">
        <v>742</v>
      </c>
      <c r="K3545" s="343">
        <v>0</v>
      </c>
      <c r="L3545" s="343">
        <v>-1.02</v>
      </c>
      <c r="M3545" s="343">
        <v>-976021.03</v>
      </c>
      <c r="O3545" s="343">
        <v>0</v>
      </c>
    </row>
    <row r="3546" spans="1:15" x14ac:dyDescent="0.3">
      <c r="A3546" s="340" t="s">
        <v>891</v>
      </c>
      <c r="B3546" s="350">
        <v>46129</v>
      </c>
      <c r="C3546" s="350">
        <v>46128</v>
      </c>
      <c r="D3546" s="351">
        <v>46113</v>
      </c>
      <c r="E3546" s="340" t="s">
        <v>2883</v>
      </c>
      <c r="F3546" s="340" t="s">
        <v>1078</v>
      </c>
      <c r="G3546" s="340" t="s">
        <v>1079</v>
      </c>
      <c r="H3546" s="340"/>
      <c r="I3546" s="340" t="s">
        <v>2884</v>
      </c>
      <c r="K3546" s="343">
        <v>22868.43</v>
      </c>
      <c r="L3546" s="343">
        <v>0</v>
      </c>
      <c r="M3546" s="343">
        <v>-953152.6</v>
      </c>
      <c r="O3546" s="343">
        <v>0</v>
      </c>
    </row>
    <row r="3547" spans="1:15" x14ac:dyDescent="0.3">
      <c r="A3547" s="340" t="s">
        <v>891</v>
      </c>
      <c r="B3547" s="350">
        <v>46129</v>
      </c>
      <c r="C3547" s="350">
        <v>46128</v>
      </c>
      <c r="D3547" s="351">
        <v>46113</v>
      </c>
      <c r="E3547" s="340" t="s">
        <v>2883</v>
      </c>
      <c r="F3547" s="340" t="s">
        <v>1078</v>
      </c>
      <c r="G3547" s="340" t="s">
        <v>2541</v>
      </c>
      <c r="H3547" s="340"/>
      <c r="I3547" s="340" t="s">
        <v>232</v>
      </c>
      <c r="K3547" s="343">
        <v>249</v>
      </c>
      <c r="L3547" s="343">
        <v>0</v>
      </c>
      <c r="M3547" s="343">
        <v>-952903.6</v>
      </c>
      <c r="O3547" s="343">
        <v>0</v>
      </c>
    </row>
    <row r="3548" spans="1:15" x14ac:dyDescent="0.3">
      <c r="A3548" s="340" t="s">
        <v>891</v>
      </c>
      <c r="B3548" s="350">
        <v>46129</v>
      </c>
      <c r="C3548" s="350">
        <v>46128</v>
      </c>
      <c r="D3548" s="351">
        <v>46113</v>
      </c>
      <c r="E3548" s="340" t="s">
        <v>2883</v>
      </c>
      <c r="F3548" s="340" t="s">
        <v>1078</v>
      </c>
      <c r="G3548" s="340" t="s">
        <v>2540</v>
      </c>
      <c r="H3548" s="340"/>
      <c r="I3548" s="340" t="s">
        <v>232</v>
      </c>
      <c r="K3548" s="343">
        <v>300</v>
      </c>
      <c r="L3548" s="343">
        <v>0</v>
      </c>
      <c r="M3548" s="343">
        <v>-952603.6</v>
      </c>
      <c r="O3548" s="343">
        <v>0</v>
      </c>
    </row>
    <row r="3549" spans="1:15" x14ac:dyDescent="0.3">
      <c r="A3549" s="340" t="s">
        <v>891</v>
      </c>
      <c r="B3549" s="350">
        <v>46129</v>
      </c>
      <c r="C3549" s="350">
        <v>46128</v>
      </c>
      <c r="D3549" s="351">
        <v>46113</v>
      </c>
      <c r="E3549" s="340" t="s">
        <v>2883</v>
      </c>
      <c r="F3549" s="340" t="s">
        <v>1078</v>
      </c>
      <c r="G3549" s="340" t="s">
        <v>2539</v>
      </c>
      <c r="H3549" s="340"/>
      <c r="I3549" s="340" t="s">
        <v>232</v>
      </c>
      <c r="K3549" s="343">
        <v>11647.53</v>
      </c>
      <c r="L3549" s="343">
        <v>0</v>
      </c>
      <c r="M3549" s="343">
        <v>-940956.07</v>
      </c>
      <c r="O3549" s="343">
        <v>0</v>
      </c>
    </row>
    <row r="3550" spans="1:15" x14ac:dyDescent="0.3">
      <c r="A3550" s="340" t="s">
        <v>891</v>
      </c>
      <c r="B3550" s="350">
        <v>46129</v>
      </c>
      <c r="C3550" s="350">
        <v>46131</v>
      </c>
      <c r="D3550" s="351">
        <v>46113</v>
      </c>
      <c r="E3550" s="340" t="s">
        <v>2885</v>
      </c>
      <c r="F3550" s="340" t="s">
        <v>894</v>
      </c>
      <c r="G3550" s="340" t="s">
        <v>1279</v>
      </c>
      <c r="H3550" s="340"/>
      <c r="I3550" s="340" t="s">
        <v>741</v>
      </c>
      <c r="K3550" s="343">
        <v>0</v>
      </c>
      <c r="L3550" s="343">
        <v>-399.45</v>
      </c>
      <c r="M3550" s="343">
        <v>-941355.52000000002</v>
      </c>
      <c r="O3550" s="343">
        <v>0</v>
      </c>
    </row>
    <row r="3551" spans="1:15" x14ac:dyDescent="0.3">
      <c r="A3551" s="340" t="s">
        <v>891</v>
      </c>
      <c r="B3551" s="350">
        <v>46129</v>
      </c>
      <c r="C3551" s="350">
        <v>46136</v>
      </c>
      <c r="D3551" s="351">
        <v>46113</v>
      </c>
      <c r="E3551" s="340" t="s">
        <v>2886</v>
      </c>
      <c r="F3551" s="340" t="s">
        <v>894</v>
      </c>
      <c r="G3551" s="340" t="s">
        <v>2887</v>
      </c>
      <c r="H3551" s="340"/>
      <c r="I3551" s="340" t="s">
        <v>756</v>
      </c>
      <c r="K3551" s="343">
        <v>0</v>
      </c>
      <c r="L3551" s="343">
        <v>-378.86</v>
      </c>
      <c r="M3551" s="343">
        <v>-941734.38</v>
      </c>
      <c r="O3551" s="343">
        <v>0</v>
      </c>
    </row>
    <row r="3552" spans="1:15" x14ac:dyDescent="0.3">
      <c r="A3552" s="340" t="s">
        <v>891</v>
      </c>
      <c r="B3552" s="350">
        <v>46129</v>
      </c>
      <c r="C3552" s="350">
        <v>46136</v>
      </c>
      <c r="D3552" s="351">
        <v>46113</v>
      </c>
      <c r="E3552" s="340" t="s">
        <v>2886</v>
      </c>
      <c r="F3552" s="340" t="s">
        <v>894</v>
      </c>
      <c r="G3552" s="340" t="s">
        <v>2888</v>
      </c>
      <c r="H3552" s="340"/>
      <c r="I3552" s="340" t="s">
        <v>756</v>
      </c>
      <c r="K3552" s="343">
        <v>0</v>
      </c>
      <c r="L3552" s="343">
        <v>-41.1</v>
      </c>
      <c r="M3552" s="343">
        <v>-941775.48</v>
      </c>
      <c r="O3552" s="343">
        <v>0</v>
      </c>
    </row>
    <row r="3553" spans="1:15" x14ac:dyDescent="0.3">
      <c r="A3553" s="340" t="s">
        <v>891</v>
      </c>
      <c r="B3553" s="350">
        <v>46129</v>
      </c>
      <c r="C3553" s="350">
        <v>46136</v>
      </c>
      <c r="D3553" s="351">
        <v>46113</v>
      </c>
      <c r="E3553" s="340" t="s">
        <v>2889</v>
      </c>
      <c r="F3553" s="340" t="s">
        <v>894</v>
      </c>
      <c r="G3553" s="340" t="s">
        <v>2890</v>
      </c>
      <c r="H3553" s="340"/>
      <c r="I3553" s="340" t="s">
        <v>756</v>
      </c>
      <c r="K3553" s="343">
        <v>0</v>
      </c>
      <c r="L3553" s="343">
        <v>-1.46</v>
      </c>
      <c r="M3553" s="343">
        <v>-941776.94</v>
      </c>
      <c r="O3553" s="343">
        <v>0</v>
      </c>
    </row>
    <row r="3554" spans="1:15" x14ac:dyDescent="0.3">
      <c r="A3554" s="340" t="s">
        <v>891</v>
      </c>
      <c r="B3554" s="350">
        <v>46129</v>
      </c>
      <c r="C3554" s="350">
        <v>46136</v>
      </c>
      <c r="D3554" s="351">
        <v>46113</v>
      </c>
      <c r="E3554" s="340" t="s">
        <v>2889</v>
      </c>
      <c r="F3554" s="340" t="s">
        <v>894</v>
      </c>
      <c r="G3554" s="340" t="s">
        <v>2891</v>
      </c>
      <c r="H3554" s="340"/>
      <c r="I3554" s="340" t="s">
        <v>756</v>
      </c>
      <c r="K3554" s="343">
        <v>0</v>
      </c>
      <c r="L3554" s="343">
        <v>-1281.8399999999999</v>
      </c>
      <c r="M3554" s="343">
        <v>-943058.78</v>
      </c>
      <c r="O3554" s="343">
        <v>0</v>
      </c>
    </row>
    <row r="3555" spans="1:15" x14ac:dyDescent="0.3">
      <c r="A3555" s="340" t="s">
        <v>891</v>
      </c>
      <c r="B3555" s="350">
        <v>46129</v>
      </c>
      <c r="C3555" s="350">
        <v>46136</v>
      </c>
      <c r="D3555" s="351">
        <v>46113</v>
      </c>
      <c r="E3555" s="340" t="s">
        <v>2889</v>
      </c>
      <c r="F3555" s="340" t="s">
        <v>894</v>
      </c>
      <c r="G3555" s="340" t="s">
        <v>2892</v>
      </c>
      <c r="H3555" s="340"/>
      <c r="I3555" s="340" t="s">
        <v>756</v>
      </c>
      <c r="K3555" s="343">
        <v>0</v>
      </c>
      <c r="L3555" s="343">
        <v>-20.92</v>
      </c>
      <c r="M3555" s="343">
        <v>-943079.7</v>
      </c>
      <c r="O3555" s="343">
        <v>0</v>
      </c>
    </row>
    <row r="3556" spans="1:15" x14ac:dyDescent="0.3">
      <c r="A3556" s="340" t="s">
        <v>891</v>
      </c>
      <c r="B3556" s="350">
        <v>46129</v>
      </c>
      <c r="C3556" s="350">
        <v>46136</v>
      </c>
      <c r="D3556" s="351">
        <v>46113</v>
      </c>
      <c r="E3556" s="340" t="s">
        <v>2889</v>
      </c>
      <c r="F3556" s="340" t="s">
        <v>894</v>
      </c>
      <c r="G3556" s="340" t="s">
        <v>2887</v>
      </c>
      <c r="H3556" s="340"/>
      <c r="I3556" s="340" t="s">
        <v>756</v>
      </c>
      <c r="K3556" s="343">
        <v>0</v>
      </c>
      <c r="L3556" s="343">
        <v>-378.86</v>
      </c>
      <c r="M3556" s="343">
        <v>-943458.56</v>
      </c>
      <c r="O3556" s="343">
        <v>0</v>
      </c>
    </row>
    <row r="3557" spans="1:15" x14ac:dyDescent="0.3">
      <c r="A3557" s="340" t="s">
        <v>891</v>
      </c>
      <c r="B3557" s="350">
        <v>46129</v>
      </c>
      <c r="C3557" s="350">
        <v>46136</v>
      </c>
      <c r="D3557" s="351">
        <v>46113</v>
      </c>
      <c r="E3557" s="340" t="s">
        <v>2889</v>
      </c>
      <c r="F3557" s="340" t="s">
        <v>894</v>
      </c>
      <c r="G3557" s="340" t="s">
        <v>2893</v>
      </c>
      <c r="H3557" s="340"/>
      <c r="I3557" s="340" t="s">
        <v>756</v>
      </c>
      <c r="K3557" s="343">
        <v>0</v>
      </c>
      <c r="L3557" s="343">
        <v>-14.3</v>
      </c>
      <c r="M3557" s="343">
        <v>-943472.86</v>
      </c>
      <c r="O3557" s="343">
        <v>0</v>
      </c>
    </row>
    <row r="3558" spans="1:15" x14ac:dyDescent="0.3">
      <c r="A3558" s="340" t="s">
        <v>891</v>
      </c>
      <c r="B3558" s="350">
        <v>46129</v>
      </c>
      <c r="C3558" s="350">
        <v>46136</v>
      </c>
      <c r="D3558" s="351">
        <v>46113</v>
      </c>
      <c r="E3558" s="340" t="s">
        <v>2889</v>
      </c>
      <c r="F3558" s="340" t="s">
        <v>894</v>
      </c>
      <c r="G3558" s="340" t="s">
        <v>2894</v>
      </c>
      <c r="H3558" s="340"/>
      <c r="I3558" s="340" t="s">
        <v>756</v>
      </c>
      <c r="K3558" s="343">
        <v>0</v>
      </c>
      <c r="L3558" s="343">
        <v>-22.91</v>
      </c>
      <c r="M3558" s="343">
        <v>-943495.77</v>
      </c>
      <c r="O3558" s="343">
        <v>0</v>
      </c>
    </row>
    <row r="3559" spans="1:15" x14ac:dyDescent="0.3">
      <c r="A3559" s="340" t="s">
        <v>891</v>
      </c>
      <c r="B3559" s="350">
        <v>46129</v>
      </c>
      <c r="C3559" s="350">
        <v>46148</v>
      </c>
      <c r="D3559" s="351">
        <v>46143</v>
      </c>
      <c r="E3559" s="340" t="s">
        <v>2895</v>
      </c>
      <c r="F3559" s="340" t="s">
        <v>894</v>
      </c>
      <c r="G3559" s="340" t="s">
        <v>2583</v>
      </c>
      <c r="H3559" s="340"/>
      <c r="I3559" s="340" t="s">
        <v>748</v>
      </c>
      <c r="K3559" s="343">
        <v>0</v>
      </c>
      <c r="L3559" s="343">
        <v>-427.57</v>
      </c>
      <c r="M3559" s="343">
        <v>-943923.34</v>
      </c>
      <c r="O3559" s="343">
        <v>0</v>
      </c>
    </row>
    <row r="3560" spans="1:15" x14ac:dyDescent="0.3">
      <c r="A3560" s="340" t="s">
        <v>891</v>
      </c>
      <c r="B3560" s="350">
        <v>46130</v>
      </c>
      <c r="C3560" s="350">
        <v>46131</v>
      </c>
      <c r="D3560" s="351">
        <v>46113</v>
      </c>
      <c r="E3560" s="340" t="s">
        <v>2896</v>
      </c>
      <c r="F3560" s="340" t="s">
        <v>1078</v>
      </c>
      <c r="G3560" s="340" t="s">
        <v>1007</v>
      </c>
      <c r="H3560" s="340"/>
      <c r="I3560" s="340" t="s">
        <v>1005</v>
      </c>
      <c r="K3560" s="343">
        <v>638.63</v>
      </c>
      <c r="L3560" s="343">
        <v>0</v>
      </c>
      <c r="M3560" s="343">
        <v>-943284.71</v>
      </c>
      <c r="O3560" s="343">
        <v>0</v>
      </c>
    </row>
    <row r="3561" spans="1:15" x14ac:dyDescent="0.3">
      <c r="A3561" s="340" t="s">
        <v>891</v>
      </c>
      <c r="B3561" s="350">
        <v>46130</v>
      </c>
      <c r="C3561" s="350">
        <v>46131</v>
      </c>
      <c r="D3561" s="351">
        <v>46113</v>
      </c>
      <c r="E3561" s="340" t="s">
        <v>2897</v>
      </c>
      <c r="F3561" s="340" t="s">
        <v>1078</v>
      </c>
      <c r="G3561" s="340" t="s">
        <v>2562</v>
      </c>
      <c r="H3561" s="340"/>
      <c r="I3561" s="340" t="s">
        <v>1005</v>
      </c>
      <c r="K3561" s="343">
        <v>2574.39</v>
      </c>
      <c r="L3561" s="343">
        <v>0</v>
      </c>
      <c r="M3561" s="343">
        <v>-940710.32</v>
      </c>
      <c r="O3561" s="343">
        <v>0</v>
      </c>
    </row>
    <row r="3562" spans="1:15" x14ac:dyDescent="0.3">
      <c r="A3562" s="340" t="s">
        <v>891</v>
      </c>
      <c r="B3562" s="350">
        <v>46130</v>
      </c>
      <c r="C3562" s="350">
        <v>46131</v>
      </c>
      <c r="D3562" s="351">
        <v>46113</v>
      </c>
      <c r="E3562" s="340" t="s">
        <v>2897</v>
      </c>
      <c r="F3562" s="340" t="s">
        <v>1078</v>
      </c>
      <c r="G3562" s="340" t="s">
        <v>1004</v>
      </c>
      <c r="H3562" s="340"/>
      <c r="I3562" s="340" t="s">
        <v>1005</v>
      </c>
      <c r="K3562" s="343">
        <v>5197</v>
      </c>
      <c r="L3562" s="343">
        <v>0</v>
      </c>
      <c r="M3562" s="343">
        <v>-935513.32</v>
      </c>
      <c r="O3562" s="343">
        <v>0</v>
      </c>
    </row>
    <row r="3563" spans="1:15" x14ac:dyDescent="0.3">
      <c r="A3563" s="340" t="s">
        <v>891</v>
      </c>
      <c r="B3563" s="350">
        <v>46130</v>
      </c>
      <c r="C3563" s="350">
        <v>46131</v>
      </c>
      <c r="D3563" s="351">
        <v>46113</v>
      </c>
      <c r="E3563" s="340" t="s">
        <v>2897</v>
      </c>
      <c r="F3563" s="340" t="s">
        <v>1078</v>
      </c>
      <c r="G3563" s="340" t="s">
        <v>1007</v>
      </c>
      <c r="H3563" s="340"/>
      <c r="I3563" s="340" t="s">
        <v>1005</v>
      </c>
      <c r="K3563" s="343">
        <v>2111.4299999999998</v>
      </c>
      <c r="L3563" s="343">
        <v>0</v>
      </c>
      <c r="M3563" s="343">
        <v>-933401.89</v>
      </c>
      <c r="O3563" s="343">
        <v>0</v>
      </c>
    </row>
    <row r="3564" spans="1:15" x14ac:dyDescent="0.3">
      <c r="A3564" s="340" t="s">
        <v>891</v>
      </c>
      <c r="B3564" s="350">
        <v>46130</v>
      </c>
      <c r="C3564" s="350">
        <v>46131</v>
      </c>
      <c r="D3564" s="351">
        <v>46113</v>
      </c>
      <c r="E3564" s="340" t="s">
        <v>2898</v>
      </c>
      <c r="F3564" s="340" t="s">
        <v>1078</v>
      </c>
      <c r="G3564" s="340" t="s">
        <v>1281</v>
      </c>
      <c r="H3564" s="340"/>
      <c r="I3564" s="340" t="s">
        <v>771</v>
      </c>
      <c r="K3564" s="343">
        <v>116071.39</v>
      </c>
      <c r="L3564" s="343">
        <v>0</v>
      </c>
      <c r="M3564" s="343">
        <v>-817330.5</v>
      </c>
      <c r="O3564" s="343">
        <v>0</v>
      </c>
    </row>
    <row r="3565" spans="1:15" x14ac:dyDescent="0.3">
      <c r="A3565" s="340" t="s">
        <v>891</v>
      </c>
      <c r="B3565" s="350">
        <v>46130</v>
      </c>
      <c r="C3565" s="350">
        <v>46131</v>
      </c>
      <c r="D3565" s="351">
        <v>46113</v>
      </c>
      <c r="E3565" s="340" t="s">
        <v>2899</v>
      </c>
      <c r="F3565" s="340" t="s">
        <v>1078</v>
      </c>
      <c r="G3565" s="340" t="s">
        <v>2567</v>
      </c>
      <c r="H3565" s="340"/>
      <c r="I3565" s="340" t="s">
        <v>771</v>
      </c>
      <c r="K3565" s="343">
        <v>0.01</v>
      </c>
      <c r="L3565" s="343">
        <v>0</v>
      </c>
      <c r="M3565" s="343">
        <v>-817330.49</v>
      </c>
      <c r="O3565" s="343">
        <v>0</v>
      </c>
    </row>
    <row r="3566" spans="1:15" x14ac:dyDescent="0.3">
      <c r="A3566" s="340" t="s">
        <v>891</v>
      </c>
      <c r="B3566" s="350">
        <v>46130</v>
      </c>
      <c r="C3566" s="350">
        <v>46131</v>
      </c>
      <c r="D3566" s="351">
        <v>46113</v>
      </c>
      <c r="E3566" s="340" t="s">
        <v>2899</v>
      </c>
      <c r="F3566" s="340" t="s">
        <v>1078</v>
      </c>
      <c r="G3566" s="340" t="s">
        <v>2568</v>
      </c>
      <c r="H3566" s="340"/>
      <c r="I3566" s="340" t="s">
        <v>771</v>
      </c>
      <c r="K3566" s="343">
        <v>0.01</v>
      </c>
      <c r="L3566" s="343">
        <v>0</v>
      </c>
      <c r="M3566" s="343">
        <v>-817330.48</v>
      </c>
      <c r="O3566" s="343">
        <v>0</v>
      </c>
    </row>
    <row r="3567" spans="1:15" x14ac:dyDescent="0.3">
      <c r="A3567" s="340" t="s">
        <v>891</v>
      </c>
      <c r="B3567" s="350">
        <v>46130</v>
      </c>
      <c r="C3567" s="350">
        <v>46131</v>
      </c>
      <c r="D3567" s="351">
        <v>46113</v>
      </c>
      <c r="E3567" s="340" t="s">
        <v>2899</v>
      </c>
      <c r="F3567" s="340" t="s">
        <v>1078</v>
      </c>
      <c r="G3567" s="340" t="s">
        <v>2568</v>
      </c>
      <c r="H3567" s="340"/>
      <c r="I3567" s="340" t="s">
        <v>771</v>
      </c>
      <c r="K3567" s="343">
        <v>0.02</v>
      </c>
      <c r="L3567" s="343">
        <v>0</v>
      </c>
      <c r="M3567" s="343">
        <v>-817330.46</v>
      </c>
      <c r="O3567" s="343">
        <v>0</v>
      </c>
    </row>
    <row r="3568" spans="1:15" x14ac:dyDescent="0.3">
      <c r="A3568" s="340" t="s">
        <v>891</v>
      </c>
      <c r="B3568" s="350">
        <v>46130</v>
      </c>
      <c r="C3568" s="350">
        <v>46131</v>
      </c>
      <c r="D3568" s="351">
        <v>46113</v>
      </c>
      <c r="E3568" s="340" t="s">
        <v>2899</v>
      </c>
      <c r="F3568" s="340" t="s">
        <v>1078</v>
      </c>
      <c r="G3568" s="340" t="s">
        <v>2569</v>
      </c>
      <c r="H3568" s="340"/>
      <c r="I3568" s="340" t="s">
        <v>771</v>
      </c>
      <c r="K3568" s="343">
        <v>7.0000000000000007E-2</v>
      </c>
      <c r="L3568" s="343">
        <v>0</v>
      </c>
      <c r="M3568" s="343">
        <v>-817330.39</v>
      </c>
      <c r="O3568" s="343">
        <v>0</v>
      </c>
    </row>
    <row r="3569" spans="1:15" x14ac:dyDescent="0.3">
      <c r="A3569" s="340" t="s">
        <v>891</v>
      </c>
      <c r="B3569" s="350">
        <v>46130</v>
      </c>
      <c r="C3569" s="350">
        <v>46131</v>
      </c>
      <c r="D3569" s="351">
        <v>46113</v>
      </c>
      <c r="E3569" s="340" t="s">
        <v>2899</v>
      </c>
      <c r="F3569" s="340" t="s">
        <v>1078</v>
      </c>
      <c r="G3569" s="340" t="s">
        <v>2439</v>
      </c>
      <c r="H3569" s="340"/>
      <c r="I3569" s="340" t="s">
        <v>771</v>
      </c>
      <c r="K3569" s="343">
        <v>0.08</v>
      </c>
      <c r="L3569" s="343">
        <v>0</v>
      </c>
      <c r="M3569" s="343">
        <v>-817330.31</v>
      </c>
      <c r="O3569" s="343">
        <v>0</v>
      </c>
    </row>
    <row r="3570" spans="1:15" x14ac:dyDescent="0.3">
      <c r="A3570" s="340" t="s">
        <v>891</v>
      </c>
      <c r="B3570" s="350">
        <v>46130</v>
      </c>
      <c r="C3570" s="350">
        <v>46131</v>
      </c>
      <c r="D3570" s="351">
        <v>46113</v>
      </c>
      <c r="E3570" s="340" t="s">
        <v>2899</v>
      </c>
      <c r="F3570" s="340" t="s">
        <v>1078</v>
      </c>
      <c r="G3570" s="340" t="s">
        <v>2570</v>
      </c>
      <c r="H3570" s="340"/>
      <c r="I3570" s="340" t="s">
        <v>771</v>
      </c>
      <c r="K3570" s="343">
        <v>0.08</v>
      </c>
      <c r="L3570" s="343">
        <v>0</v>
      </c>
      <c r="M3570" s="343">
        <v>-817330.23</v>
      </c>
      <c r="O3570" s="343">
        <v>0</v>
      </c>
    </row>
    <row r="3571" spans="1:15" x14ac:dyDescent="0.3">
      <c r="A3571" s="340" t="s">
        <v>891</v>
      </c>
      <c r="B3571" s="350">
        <v>46130</v>
      </c>
      <c r="C3571" s="350">
        <v>46131</v>
      </c>
      <c r="D3571" s="351">
        <v>46113</v>
      </c>
      <c r="E3571" s="340" t="s">
        <v>2899</v>
      </c>
      <c r="F3571" s="340" t="s">
        <v>1078</v>
      </c>
      <c r="G3571" s="340" t="s">
        <v>2439</v>
      </c>
      <c r="H3571" s="340"/>
      <c r="I3571" s="340" t="s">
        <v>771</v>
      </c>
      <c r="K3571" s="343">
        <v>0.12</v>
      </c>
      <c r="L3571" s="343">
        <v>0</v>
      </c>
      <c r="M3571" s="343">
        <v>-817330.11</v>
      </c>
      <c r="O3571" s="343">
        <v>0</v>
      </c>
    </row>
    <row r="3572" spans="1:15" x14ac:dyDescent="0.3">
      <c r="A3572" s="340" t="s">
        <v>891</v>
      </c>
      <c r="B3572" s="350">
        <v>46130</v>
      </c>
      <c r="C3572" s="350">
        <v>46131</v>
      </c>
      <c r="D3572" s="351">
        <v>46113</v>
      </c>
      <c r="E3572" s="340" t="s">
        <v>2899</v>
      </c>
      <c r="F3572" s="340" t="s">
        <v>1078</v>
      </c>
      <c r="G3572" s="340" t="s">
        <v>2441</v>
      </c>
      <c r="H3572" s="340"/>
      <c r="I3572" s="340" t="s">
        <v>771</v>
      </c>
      <c r="K3572" s="343">
        <v>0.16</v>
      </c>
      <c r="L3572" s="343">
        <v>0</v>
      </c>
      <c r="M3572" s="343">
        <v>-817329.95</v>
      </c>
      <c r="O3572" s="343">
        <v>0</v>
      </c>
    </row>
    <row r="3573" spans="1:15" x14ac:dyDescent="0.3">
      <c r="A3573" s="340" t="s">
        <v>891</v>
      </c>
      <c r="B3573" s="350">
        <v>46130</v>
      </c>
      <c r="C3573" s="350">
        <v>46131</v>
      </c>
      <c r="D3573" s="351">
        <v>46113</v>
      </c>
      <c r="E3573" s="340" t="s">
        <v>2899</v>
      </c>
      <c r="F3573" s="340" t="s">
        <v>1078</v>
      </c>
      <c r="G3573" s="340" t="s">
        <v>2441</v>
      </c>
      <c r="H3573" s="340"/>
      <c r="I3573" s="340" t="s">
        <v>771</v>
      </c>
      <c r="K3573" s="343">
        <v>0.24</v>
      </c>
      <c r="L3573" s="343">
        <v>0</v>
      </c>
      <c r="M3573" s="343">
        <v>-817329.71</v>
      </c>
      <c r="O3573" s="343">
        <v>0</v>
      </c>
    </row>
    <row r="3574" spans="1:15" x14ac:dyDescent="0.3">
      <c r="A3574" s="340" t="s">
        <v>891</v>
      </c>
      <c r="B3574" s="350">
        <v>46130</v>
      </c>
      <c r="C3574" s="350">
        <v>46131</v>
      </c>
      <c r="D3574" s="351">
        <v>46113</v>
      </c>
      <c r="E3574" s="340" t="s">
        <v>2899</v>
      </c>
      <c r="F3574" s="340" t="s">
        <v>1078</v>
      </c>
      <c r="G3574" s="340" t="s">
        <v>2571</v>
      </c>
      <c r="H3574" s="340"/>
      <c r="I3574" s="340" t="s">
        <v>771</v>
      </c>
      <c r="K3574" s="343">
        <v>0.69</v>
      </c>
      <c r="L3574" s="343">
        <v>0</v>
      </c>
      <c r="M3574" s="343">
        <v>-817329.02</v>
      </c>
      <c r="O3574" s="343">
        <v>0</v>
      </c>
    </row>
    <row r="3575" spans="1:15" x14ac:dyDescent="0.3">
      <c r="A3575" s="340" t="s">
        <v>891</v>
      </c>
      <c r="B3575" s="350">
        <v>46130</v>
      </c>
      <c r="C3575" s="350">
        <v>46131</v>
      </c>
      <c r="D3575" s="351">
        <v>46113</v>
      </c>
      <c r="E3575" s="340" t="s">
        <v>2899</v>
      </c>
      <c r="F3575" s="340" t="s">
        <v>1078</v>
      </c>
      <c r="G3575" s="340" t="s">
        <v>2572</v>
      </c>
      <c r="H3575" s="340"/>
      <c r="I3575" s="340" t="s">
        <v>771</v>
      </c>
      <c r="K3575" s="343">
        <v>1.94</v>
      </c>
      <c r="L3575" s="343">
        <v>0</v>
      </c>
      <c r="M3575" s="343">
        <v>-817327.08</v>
      </c>
      <c r="O3575" s="343">
        <v>0</v>
      </c>
    </row>
    <row r="3576" spans="1:15" x14ac:dyDescent="0.3">
      <c r="A3576" s="340" t="s">
        <v>891</v>
      </c>
      <c r="B3576" s="350">
        <v>46130</v>
      </c>
      <c r="C3576" s="350">
        <v>46131</v>
      </c>
      <c r="D3576" s="351">
        <v>46113</v>
      </c>
      <c r="E3576" s="340" t="s">
        <v>2899</v>
      </c>
      <c r="F3576" s="340" t="s">
        <v>1078</v>
      </c>
      <c r="G3576" s="340" t="s">
        <v>2442</v>
      </c>
      <c r="H3576" s="340"/>
      <c r="I3576" s="340" t="s">
        <v>771</v>
      </c>
      <c r="K3576" s="343">
        <v>2.2599999999999998</v>
      </c>
      <c r="L3576" s="343">
        <v>0</v>
      </c>
      <c r="M3576" s="343">
        <v>-817324.82</v>
      </c>
      <c r="O3576" s="343">
        <v>0</v>
      </c>
    </row>
    <row r="3577" spans="1:15" x14ac:dyDescent="0.3">
      <c r="A3577" s="340" t="s">
        <v>891</v>
      </c>
      <c r="B3577" s="350">
        <v>46130</v>
      </c>
      <c r="C3577" s="350">
        <v>46131</v>
      </c>
      <c r="D3577" s="351">
        <v>46113</v>
      </c>
      <c r="E3577" s="340" t="s">
        <v>2899</v>
      </c>
      <c r="F3577" s="340" t="s">
        <v>1078</v>
      </c>
      <c r="G3577" s="340" t="s">
        <v>2573</v>
      </c>
      <c r="H3577" s="340"/>
      <c r="I3577" s="340" t="s">
        <v>771</v>
      </c>
      <c r="K3577" s="343">
        <v>2.27</v>
      </c>
      <c r="L3577" s="343">
        <v>0</v>
      </c>
      <c r="M3577" s="343">
        <v>-817322.55</v>
      </c>
      <c r="O3577" s="343">
        <v>0</v>
      </c>
    </row>
    <row r="3578" spans="1:15" x14ac:dyDescent="0.3">
      <c r="A3578" s="340" t="s">
        <v>891</v>
      </c>
      <c r="B3578" s="350">
        <v>46130</v>
      </c>
      <c r="C3578" s="350">
        <v>46131</v>
      </c>
      <c r="D3578" s="351">
        <v>46113</v>
      </c>
      <c r="E3578" s="340" t="s">
        <v>2899</v>
      </c>
      <c r="F3578" s="340" t="s">
        <v>1078</v>
      </c>
      <c r="G3578" s="340" t="s">
        <v>2565</v>
      </c>
      <c r="H3578" s="340"/>
      <c r="I3578" s="340" t="s">
        <v>771</v>
      </c>
      <c r="K3578" s="343">
        <v>4.6100000000000003</v>
      </c>
      <c r="L3578" s="343">
        <v>0</v>
      </c>
      <c r="M3578" s="343">
        <v>-817317.94</v>
      </c>
      <c r="O3578" s="343">
        <v>0</v>
      </c>
    </row>
    <row r="3579" spans="1:15" x14ac:dyDescent="0.3">
      <c r="A3579" s="340" t="s">
        <v>891</v>
      </c>
      <c r="B3579" s="350">
        <v>46130</v>
      </c>
      <c r="C3579" s="350">
        <v>46131</v>
      </c>
      <c r="D3579" s="351">
        <v>46113</v>
      </c>
      <c r="E3579" s="340" t="s">
        <v>2899</v>
      </c>
      <c r="F3579" s="340" t="s">
        <v>1078</v>
      </c>
      <c r="G3579" s="340" t="s">
        <v>2566</v>
      </c>
      <c r="H3579" s="340"/>
      <c r="I3579" s="340" t="s">
        <v>771</v>
      </c>
      <c r="K3579" s="343">
        <v>7.78</v>
      </c>
      <c r="L3579" s="343">
        <v>0</v>
      </c>
      <c r="M3579" s="343">
        <v>-817310.16</v>
      </c>
      <c r="O3579" s="343">
        <v>0</v>
      </c>
    </row>
    <row r="3580" spans="1:15" x14ac:dyDescent="0.3">
      <c r="A3580" s="340" t="s">
        <v>891</v>
      </c>
      <c r="B3580" s="350">
        <v>46130</v>
      </c>
      <c r="C3580" s="350">
        <v>46131</v>
      </c>
      <c r="D3580" s="351">
        <v>46113</v>
      </c>
      <c r="E3580" s="340" t="s">
        <v>2899</v>
      </c>
      <c r="F3580" s="340" t="s">
        <v>1078</v>
      </c>
      <c r="G3580" s="340" t="s">
        <v>2566</v>
      </c>
      <c r="H3580" s="340"/>
      <c r="I3580" s="340" t="s">
        <v>771</v>
      </c>
      <c r="K3580" s="343">
        <v>13.01</v>
      </c>
      <c r="L3580" s="343">
        <v>0</v>
      </c>
      <c r="M3580" s="343">
        <v>-817297.15</v>
      </c>
      <c r="O3580" s="343">
        <v>0</v>
      </c>
    </row>
    <row r="3581" spans="1:15" x14ac:dyDescent="0.3">
      <c r="A3581" s="340" t="s">
        <v>891</v>
      </c>
      <c r="B3581" s="350">
        <v>46130</v>
      </c>
      <c r="C3581" s="350">
        <v>46131</v>
      </c>
      <c r="D3581" s="351">
        <v>46113</v>
      </c>
      <c r="E3581" s="340" t="s">
        <v>2899</v>
      </c>
      <c r="F3581" s="340" t="s">
        <v>1078</v>
      </c>
      <c r="G3581" s="340" t="s">
        <v>2567</v>
      </c>
      <c r="H3581" s="340"/>
      <c r="I3581" s="340" t="s">
        <v>771</v>
      </c>
      <c r="K3581" s="343">
        <v>0.01</v>
      </c>
      <c r="L3581" s="343">
        <v>0</v>
      </c>
      <c r="M3581" s="343">
        <v>-817297.14</v>
      </c>
      <c r="O3581" s="343">
        <v>0</v>
      </c>
    </row>
    <row r="3582" spans="1:15" x14ac:dyDescent="0.3">
      <c r="A3582" s="340" t="s">
        <v>891</v>
      </c>
      <c r="B3582" s="350">
        <v>46130</v>
      </c>
      <c r="C3582" s="350">
        <v>46131</v>
      </c>
      <c r="D3582" s="351">
        <v>46113</v>
      </c>
      <c r="E3582" s="340" t="s">
        <v>2899</v>
      </c>
      <c r="F3582" s="340" t="s">
        <v>1078</v>
      </c>
      <c r="G3582" s="340" t="s">
        <v>2568</v>
      </c>
      <c r="H3582" s="340"/>
      <c r="I3582" s="340" t="s">
        <v>771</v>
      </c>
      <c r="K3582" s="343">
        <v>0.02</v>
      </c>
      <c r="L3582" s="343">
        <v>0</v>
      </c>
      <c r="M3582" s="343">
        <v>-817297.12</v>
      </c>
      <c r="O3582" s="343">
        <v>0</v>
      </c>
    </row>
    <row r="3583" spans="1:15" x14ac:dyDescent="0.3">
      <c r="A3583" s="340" t="s">
        <v>891</v>
      </c>
      <c r="B3583" s="350">
        <v>46130</v>
      </c>
      <c r="C3583" s="350">
        <v>46131</v>
      </c>
      <c r="D3583" s="351">
        <v>46113</v>
      </c>
      <c r="E3583" s="340" t="s">
        <v>2899</v>
      </c>
      <c r="F3583" s="340" t="s">
        <v>1078</v>
      </c>
      <c r="G3583" s="340" t="s">
        <v>2568</v>
      </c>
      <c r="H3583" s="340"/>
      <c r="I3583" s="340" t="s">
        <v>771</v>
      </c>
      <c r="K3583" s="343">
        <v>0.03</v>
      </c>
      <c r="L3583" s="343">
        <v>0</v>
      </c>
      <c r="M3583" s="343">
        <v>-817297.09</v>
      </c>
      <c r="O3583" s="343">
        <v>0</v>
      </c>
    </row>
    <row r="3584" spans="1:15" x14ac:dyDescent="0.3">
      <c r="A3584" s="340" t="s">
        <v>891</v>
      </c>
      <c r="B3584" s="350">
        <v>46130</v>
      </c>
      <c r="C3584" s="350">
        <v>46131</v>
      </c>
      <c r="D3584" s="351">
        <v>46113</v>
      </c>
      <c r="E3584" s="340" t="s">
        <v>2899</v>
      </c>
      <c r="F3584" s="340" t="s">
        <v>1078</v>
      </c>
      <c r="G3584" s="340" t="s">
        <v>2569</v>
      </c>
      <c r="H3584" s="340"/>
      <c r="I3584" s="340" t="s">
        <v>771</v>
      </c>
      <c r="K3584" s="343">
        <v>0.11</v>
      </c>
      <c r="L3584" s="343">
        <v>0</v>
      </c>
      <c r="M3584" s="343">
        <v>-817296.98</v>
      </c>
      <c r="O3584" s="343">
        <v>0</v>
      </c>
    </row>
    <row r="3585" spans="1:15" x14ac:dyDescent="0.3">
      <c r="A3585" s="340" t="s">
        <v>891</v>
      </c>
      <c r="B3585" s="350">
        <v>46130</v>
      </c>
      <c r="C3585" s="350">
        <v>46131</v>
      </c>
      <c r="D3585" s="351">
        <v>46113</v>
      </c>
      <c r="E3585" s="340" t="s">
        <v>2899</v>
      </c>
      <c r="F3585" s="340" t="s">
        <v>1078</v>
      </c>
      <c r="G3585" s="340" t="s">
        <v>2570</v>
      </c>
      <c r="H3585" s="340"/>
      <c r="I3585" s="340" t="s">
        <v>771</v>
      </c>
      <c r="K3585" s="343">
        <v>0.13</v>
      </c>
      <c r="L3585" s="343">
        <v>0</v>
      </c>
      <c r="M3585" s="343">
        <v>-817296.85</v>
      </c>
      <c r="O3585" s="343">
        <v>0</v>
      </c>
    </row>
    <row r="3586" spans="1:15" x14ac:dyDescent="0.3">
      <c r="A3586" s="340" t="s">
        <v>891</v>
      </c>
      <c r="B3586" s="350">
        <v>46130</v>
      </c>
      <c r="C3586" s="350">
        <v>46131</v>
      </c>
      <c r="D3586" s="351">
        <v>46113</v>
      </c>
      <c r="E3586" s="340" t="s">
        <v>2899</v>
      </c>
      <c r="F3586" s="340" t="s">
        <v>1078</v>
      </c>
      <c r="G3586" s="340" t="s">
        <v>2439</v>
      </c>
      <c r="H3586" s="340"/>
      <c r="I3586" s="340" t="s">
        <v>771</v>
      </c>
      <c r="K3586" s="343">
        <v>0.14000000000000001</v>
      </c>
      <c r="L3586" s="343">
        <v>0</v>
      </c>
      <c r="M3586" s="343">
        <v>-817296.71</v>
      </c>
      <c r="O3586" s="343">
        <v>0</v>
      </c>
    </row>
    <row r="3587" spans="1:15" x14ac:dyDescent="0.3">
      <c r="A3587" s="340" t="s">
        <v>891</v>
      </c>
      <c r="B3587" s="350">
        <v>46130</v>
      </c>
      <c r="C3587" s="350">
        <v>46131</v>
      </c>
      <c r="D3587" s="351">
        <v>46113</v>
      </c>
      <c r="E3587" s="340" t="s">
        <v>2899</v>
      </c>
      <c r="F3587" s="340" t="s">
        <v>1078</v>
      </c>
      <c r="G3587" s="340" t="s">
        <v>2439</v>
      </c>
      <c r="H3587" s="340"/>
      <c r="I3587" s="340" t="s">
        <v>771</v>
      </c>
      <c r="K3587" s="343">
        <v>0.15</v>
      </c>
      <c r="L3587" s="343">
        <v>0</v>
      </c>
      <c r="M3587" s="343">
        <v>-817296.56</v>
      </c>
      <c r="O3587" s="343">
        <v>0</v>
      </c>
    </row>
    <row r="3588" spans="1:15" x14ac:dyDescent="0.3">
      <c r="A3588" s="340" t="s">
        <v>891</v>
      </c>
      <c r="B3588" s="350">
        <v>46130</v>
      </c>
      <c r="C3588" s="350">
        <v>46131</v>
      </c>
      <c r="D3588" s="351">
        <v>46113</v>
      </c>
      <c r="E3588" s="340" t="s">
        <v>2899</v>
      </c>
      <c r="F3588" s="340" t="s">
        <v>1078</v>
      </c>
      <c r="G3588" s="340" t="s">
        <v>2441</v>
      </c>
      <c r="H3588" s="340"/>
      <c r="I3588" s="340" t="s">
        <v>771</v>
      </c>
      <c r="K3588" s="343">
        <v>0.27</v>
      </c>
      <c r="L3588" s="343">
        <v>0</v>
      </c>
      <c r="M3588" s="343">
        <v>-817296.29</v>
      </c>
      <c r="O3588" s="343">
        <v>0</v>
      </c>
    </row>
    <row r="3589" spans="1:15" x14ac:dyDescent="0.3">
      <c r="A3589" s="340" t="s">
        <v>891</v>
      </c>
      <c r="B3589" s="350">
        <v>46130</v>
      </c>
      <c r="C3589" s="350">
        <v>46131</v>
      </c>
      <c r="D3589" s="351">
        <v>46113</v>
      </c>
      <c r="E3589" s="340" t="s">
        <v>2899</v>
      </c>
      <c r="F3589" s="340" t="s">
        <v>1078</v>
      </c>
      <c r="G3589" s="340" t="s">
        <v>2441</v>
      </c>
      <c r="H3589" s="340"/>
      <c r="I3589" s="340" t="s">
        <v>771</v>
      </c>
      <c r="K3589" s="343">
        <v>0.31</v>
      </c>
      <c r="L3589" s="343">
        <v>0</v>
      </c>
      <c r="M3589" s="343">
        <v>-817295.98</v>
      </c>
      <c r="O3589" s="343">
        <v>0</v>
      </c>
    </row>
    <row r="3590" spans="1:15" x14ac:dyDescent="0.3">
      <c r="A3590" s="340" t="s">
        <v>891</v>
      </c>
      <c r="B3590" s="350">
        <v>46130</v>
      </c>
      <c r="C3590" s="350">
        <v>46131</v>
      </c>
      <c r="D3590" s="351">
        <v>46113</v>
      </c>
      <c r="E3590" s="340" t="s">
        <v>2899</v>
      </c>
      <c r="F3590" s="340" t="s">
        <v>1078</v>
      </c>
      <c r="G3590" s="340" t="s">
        <v>2571</v>
      </c>
      <c r="H3590" s="340"/>
      <c r="I3590" s="340" t="s">
        <v>771</v>
      </c>
      <c r="K3590" s="343">
        <v>1.1499999999999999</v>
      </c>
      <c r="L3590" s="343">
        <v>0</v>
      </c>
      <c r="M3590" s="343">
        <v>-817294.83</v>
      </c>
      <c r="O3590" s="343">
        <v>0</v>
      </c>
    </row>
    <row r="3591" spans="1:15" x14ac:dyDescent="0.3">
      <c r="A3591" s="340" t="s">
        <v>891</v>
      </c>
      <c r="B3591" s="350">
        <v>46130</v>
      </c>
      <c r="C3591" s="350">
        <v>46131</v>
      </c>
      <c r="D3591" s="351">
        <v>46113</v>
      </c>
      <c r="E3591" s="340" t="s">
        <v>2899</v>
      </c>
      <c r="F3591" s="340" t="s">
        <v>1078</v>
      </c>
      <c r="G3591" s="340" t="s">
        <v>2442</v>
      </c>
      <c r="H3591" s="340"/>
      <c r="I3591" s="340" t="s">
        <v>771</v>
      </c>
      <c r="K3591" s="343">
        <v>2.2599999999999998</v>
      </c>
      <c r="L3591" s="343">
        <v>0</v>
      </c>
      <c r="M3591" s="343">
        <v>-817292.57</v>
      </c>
      <c r="O3591" s="343">
        <v>0</v>
      </c>
    </row>
    <row r="3592" spans="1:15" x14ac:dyDescent="0.3">
      <c r="A3592" s="340" t="s">
        <v>891</v>
      </c>
      <c r="B3592" s="350">
        <v>46130</v>
      </c>
      <c r="C3592" s="350">
        <v>46131</v>
      </c>
      <c r="D3592" s="351">
        <v>46113</v>
      </c>
      <c r="E3592" s="340" t="s">
        <v>2899</v>
      </c>
      <c r="F3592" s="340" t="s">
        <v>1078</v>
      </c>
      <c r="G3592" s="340" t="s">
        <v>2572</v>
      </c>
      <c r="H3592" s="340"/>
      <c r="I3592" s="340" t="s">
        <v>771</v>
      </c>
      <c r="K3592" s="343">
        <v>3.25</v>
      </c>
      <c r="L3592" s="343">
        <v>0</v>
      </c>
      <c r="M3592" s="343">
        <v>-817289.32</v>
      </c>
      <c r="O3592" s="343">
        <v>0</v>
      </c>
    </row>
    <row r="3593" spans="1:15" x14ac:dyDescent="0.3">
      <c r="A3593" s="340" t="s">
        <v>891</v>
      </c>
      <c r="B3593" s="350">
        <v>46130</v>
      </c>
      <c r="C3593" s="350">
        <v>46131</v>
      </c>
      <c r="D3593" s="351">
        <v>46113</v>
      </c>
      <c r="E3593" s="340" t="s">
        <v>2899</v>
      </c>
      <c r="F3593" s="340" t="s">
        <v>1078</v>
      </c>
      <c r="G3593" s="340" t="s">
        <v>2573</v>
      </c>
      <c r="H3593" s="340"/>
      <c r="I3593" s="340" t="s">
        <v>771</v>
      </c>
      <c r="K3593" s="343">
        <v>3.8</v>
      </c>
      <c r="L3593" s="343">
        <v>0</v>
      </c>
      <c r="M3593" s="343">
        <v>-817285.52</v>
      </c>
      <c r="O3593" s="343">
        <v>0</v>
      </c>
    </row>
    <row r="3594" spans="1:15" x14ac:dyDescent="0.3">
      <c r="A3594" s="340" t="s">
        <v>891</v>
      </c>
      <c r="B3594" s="350">
        <v>46130</v>
      </c>
      <c r="C3594" s="350">
        <v>46131</v>
      </c>
      <c r="D3594" s="351">
        <v>46113</v>
      </c>
      <c r="E3594" s="340" t="s">
        <v>2899</v>
      </c>
      <c r="F3594" s="340" t="s">
        <v>1078</v>
      </c>
      <c r="G3594" s="340" t="s">
        <v>2565</v>
      </c>
      <c r="H3594" s="340"/>
      <c r="I3594" s="340" t="s">
        <v>771</v>
      </c>
      <c r="K3594" s="343">
        <v>4.6100000000000003</v>
      </c>
      <c r="L3594" s="343">
        <v>0</v>
      </c>
      <c r="M3594" s="343">
        <v>-817280.91</v>
      </c>
      <c r="O3594" s="343">
        <v>0</v>
      </c>
    </row>
    <row r="3595" spans="1:15" x14ac:dyDescent="0.3">
      <c r="A3595" s="340" t="s">
        <v>891</v>
      </c>
      <c r="B3595" s="350">
        <v>46130</v>
      </c>
      <c r="C3595" s="350">
        <v>46131</v>
      </c>
      <c r="D3595" s="351">
        <v>46113</v>
      </c>
      <c r="E3595" s="340" t="s">
        <v>2899</v>
      </c>
      <c r="F3595" s="340" t="s">
        <v>1078</v>
      </c>
      <c r="G3595" s="340" t="s">
        <v>2566</v>
      </c>
      <c r="H3595" s="340"/>
      <c r="I3595" s="340" t="s">
        <v>771</v>
      </c>
      <c r="K3595" s="343">
        <v>10.69</v>
      </c>
      <c r="L3595" s="343">
        <v>0</v>
      </c>
      <c r="M3595" s="343">
        <v>-817270.22</v>
      </c>
      <c r="O3595" s="343">
        <v>0</v>
      </c>
    </row>
    <row r="3596" spans="1:15" x14ac:dyDescent="0.3">
      <c r="A3596" s="340" t="s">
        <v>891</v>
      </c>
      <c r="B3596" s="350">
        <v>46130</v>
      </c>
      <c r="C3596" s="350">
        <v>46131</v>
      </c>
      <c r="D3596" s="351">
        <v>46113</v>
      </c>
      <c r="E3596" s="340" t="s">
        <v>2899</v>
      </c>
      <c r="F3596" s="340" t="s">
        <v>1078</v>
      </c>
      <c r="G3596" s="340" t="s">
        <v>2570</v>
      </c>
      <c r="H3596" s="340"/>
      <c r="I3596" s="340" t="s">
        <v>771</v>
      </c>
      <c r="K3596" s="343">
        <v>0.11</v>
      </c>
      <c r="L3596" s="343">
        <v>0</v>
      </c>
      <c r="M3596" s="343">
        <v>-817270.11</v>
      </c>
      <c r="O3596" s="343">
        <v>0</v>
      </c>
    </row>
    <row r="3597" spans="1:15" x14ac:dyDescent="0.3">
      <c r="A3597" s="340" t="s">
        <v>891</v>
      </c>
      <c r="B3597" s="350">
        <v>46130</v>
      </c>
      <c r="C3597" s="350">
        <v>46131</v>
      </c>
      <c r="D3597" s="351">
        <v>46113</v>
      </c>
      <c r="E3597" s="340" t="s">
        <v>2899</v>
      </c>
      <c r="F3597" s="340" t="s">
        <v>1078</v>
      </c>
      <c r="G3597" s="340" t="s">
        <v>2569</v>
      </c>
      <c r="H3597" s="340"/>
      <c r="I3597" s="340" t="s">
        <v>771</v>
      </c>
      <c r="K3597" s="343">
        <v>0.09</v>
      </c>
      <c r="L3597" s="343">
        <v>0</v>
      </c>
      <c r="M3597" s="343">
        <v>-817270.02</v>
      </c>
      <c r="O3597" s="343">
        <v>0</v>
      </c>
    </row>
    <row r="3598" spans="1:15" x14ac:dyDescent="0.3">
      <c r="A3598" s="340" t="s">
        <v>891</v>
      </c>
      <c r="B3598" s="350">
        <v>46130</v>
      </c>
      <c r="C3598" s="350">
        <v>46131</v>
      </c>
      <c r="D3598" s="351">
        <v>46113</v>
      </c>
      <c r="E3598" s="340" t="s">
        <v>2899</v>
      </c>
      <c r="F3598" s="340" t="s">
        <v>1078</v>
      </c>
      <c r="G3598" s="340" t="s">
        <v>2568</v>
      </c>
      <c r="H3598" s="340"/>
      <c r="I3598" s="340" t="s">
        <v>771</v>
      </c>
      <c r="K3598" s="343">
        <v>0.02</v>
      </c>
      <c r="L3598" s="343">
        <v>0</v>
      </c>
      <c r="M3598" s="343">
        <v>-817270</v>
      </c>
      <c r="O3598" s="343">
        <v>0</v>
      </c>
    </row>
    <row r="3599" spans="1:15" x14ac:dyDescent="0.3">
      <c r="A3599" s="340" t="s">
        <v>891</v>
      </c>
      <c r="B3599" s="350">
        <v>46130</v>
      </c>
      <c r="C3599" s="350">
        <v>46131</v>
      </c>
      <c r="D3599" s="351">
        <v>46113</v>
      </c>
      <c r="E3599" s="340" t="s">
        <v>2899</v>
      </c>
      <c r="F3599" s="340" t="s">
        <v>1078</v>
      </c>
      <c r="G3599" s="340" t="s">
        <v>2441</v>
      </c>
      <c r="H3599" s="340"/>
      <c r="I3599" s="340" t="s">
        <v>771</v>
      </c>
      <c r="K3599" s="343">
        <v>0.22</v>
      </c>
      <c r="L3599" s="343">
        <v>0</v>
      </c>
      <c r="M3599" s="343">
        <v>-817269.78</v>
      </c>
      <c r="O3599" s="343">
        <v>0</v>
      </c>
    </row>
    <row r="3600" spans="1:15" x14ac:dyDescent="0.3">
      <c r="A3600" s="340" t="s">
        <v>891</v>
      </c>
      <c r="B3600" s="350">
        <v>46130</v>
      </c>
      <c r="C3600" s="350">
        <v>46131</v>
      </c>
      <c r="D3600" s="351">
        <v>46113</v>
      </c>
      <c r="E3600" s="340" t="s">
        <v>2899</v>
      </c>
      <c r="F3600" s="340" t="s">
        <v>1078</v>
      </c>
      <c r="G3600" s="340" t="s">
        <v>2567</v>
      </c>
      <c r="H3600" s="340"/>
      <c r="I3600" s="340" t="s">
        <v>771</v>
      </c>
      <c r="K3600" s="343">
        <v>0.01</v>
      </c>
      <c r="L3600" s="343">
        <v>0</v>
      </c>
      <c r="M3600" s="343">
        <v>-817269.77</v>
      </c>
      <c r="O3600" s="343">
        <v>0</v>
      </c>
    </row>
    <row r="3601" spans="1:15" x14ac:dyDescent="0.3">
      <c r="A3601" s="340" t="s">
        <v>891</v>
      </c>
      <c r="B3601" s="350">
        <v>46130</v>
      </c>
      <c r="C3601" s="350">
        <v>46131</v>
      </c>
      <c r="D3601" s="351">
        <v>46113</v>
      </c>
      <c r="E3601" s="340" t="s">
        <v>2899</v>
      </c>
      <c r="F3601" s="340" t="s">
        <v>1078</v>
      </c>
      <c r="G3601" s="340" t="s">
        <v>2568</v>
      </c>
      <c r="H3601" s="340"/>
      <c r="I3601" s="340" t="s">
        <v>771</v>
      </c>
      <c r="K3601" s="343">
        <v>0.02</v>
      </c>
      <c r="L3601" s="343">
        <v>0</v>
      </c>
      <c r="M3601" s="343">
        <v>-817269.75</v>
      </c>
      <c r="O3601" s="343">
        <v>0</v>
      </c>
    </row>
    <row r="3602" spans="1:15" x14ac:dyDescent="0.3">
      <c r="A3602" s="340" t="s">
        <v>891</v>
      </c>
      <c r="B3602" s="350">
        <v>46130</v>
      </c>
      <c r="C3602" s="350">
        <v>46131</v>
      </c>
      <c r="D3602" s="351">
        <v>46113</v>
      </c>
      <c r="E3602" s="340" t="s">
        <v>2899</v>
      </c>
      <c r="F3602" s="340" t="s">
        <v>1078</v>
      </c>
      <c r="G3602" s="340" t="s">
        <v>2439</v>
      </c>
      <c r="H3602" s="340"/>
      <c r="I3602" s="340" t="s">
        <v>771</v>
      </c>
      <c r="K3602" s="343">
        <v>0.11</v>
      </c>
      <c r="L3602" s="343">
        <v>0</v>
      </c>
      <c r="M3602" s="343">
        <v>-817269.64</v>
      </c>
      <c r="O3602" s="343">
        <v>0</v>
      </c>
    </row>
    <row r="3603" spans="1:15" x14ac:dyDescent="0.3">
      <c r="A3603" s="340" t="s">
        <v>891</v>
      </c>
      <c r="B3603" s="350">
        <v>46130</v>
      </c>
      <c r="C3603" s="350">
        <v>46131</v>
      </c>
      <c r="D3603" s="351">
        <v>46113</v>
      </c>
      <c r="E3603" s="340" t="s">
        <v>2899</v>
      </c>
      <c r="F3603" s="340" t="s">
        <v>1078</v>
      </c>
      <c r="G3603" s="340" t="s">
        <v>2439</v>
      </c>
      <c r="H3603" s="340"/>
      <c r="I3603" s="340" t="s">
        <v>771</v>
      </c>
      <c r="K3603" s="343">
        <v>0.14000000000000001</v>
      </c>
      <c r="L3603" s="343">
        <v>0</v>
      </c>
      <c r="M3603" s="343">
        <v>-817269.5</v>
      </c>
      <c r="O3603" s="343">
        <v>0</v>
      </c>
    </row>
    <row r="3604" spans="1:15" x14ac:dyDescent="0.3">
      <c r="A3604" s="340" t="s">
        <v>891</v>
      </c>
      <c r="B3604" s="350">
        <v>46130</v>
      </c>
      <c r="C3604" s="350">
        <v>46131</v>
      </c>
      <c r="D3604" s="351">
        <v>46113</v>
      </c>
      <c r="E3604" s="340" t="s">
        <v>2899</v>
      </c>
      <c r="F3604" s="340" t="s">
        <v>1078</v>
      </c>
      <c r="G3604" s="340" t="s">
        <v>2441</v>
      </c>
      <c r="H3604" s="340"/>
      <c r="I3604" s="340" t="s">
        <v>771</v>
      </c>
      <c r="K3604" s="343">
        <v>0.28000000000000003</v>
      </c>
      <c r="L3604" s="343">
        <v>0</v>
      </c>
      <c r="M3604" s="343">
        <v>-817269.22</v>
      </c>
      <c r="O3604" s="343">
        <v>0</v>
      </c>
    </row>
    <row r="3605" spans="1:15" x14ac:dyDescent="0.3">
      <c r="A3605" s="340" t="s">
        <v>891</v>
      </c>
      <c r="B3605" s="350">
        <v>46130</v>
      </c>
      <c r="C3605" s="350">
        <v>46131</v>
      </c>
      <c r="D3605" s="351">
        <v>46113</v>
      </c>
      <c r="E3605" s="340" t="s">
        <v>2899</v>
      </c>
      <c r="F3605" s="340" t="s">
        <v>1078</v>
      </c>
      <c r="G3605" s="340" t="s">
        <v>2571</v>
      </c>
      <c r="H3605" s="340"/>
      <c r="I3605" s="340" t="s">
        <v>771</v>
      </c>
      <c r="K3605" s="343">
        <v>0.94</v>
      </c>
      <c r="L3605" s="343">
        <v>0</v>
      </c>
      <c r="M3605" s="343">
        <v>-817268.28</v>
      </c>
      <c r="O3605" s="343">
        <v>0</v>
      </c>
    </row>
    <row r="3606" spans="1:15" x14ac:dyDescent="0.3">
      <c r="A3606" s="340" t="s">
        <v>891</v>
      </c>
      <c r="B3606" s="350">
        <v>46130</v>
      </c>
      <c r="C3606" s="350">
        <v>46131</v>
      </c>
      <c r="D3606" s="351">
        <v>46113</v>
      </c>
      <c r="E3606" s="340" t="s">
        <v>2899</v>
      </c>
      <c r="F3606" s="340" t="s">
        <v>1078</v>
      </c>
      <c r="G3606" s="340" t="s">
        <v>2442</v>
      </c>
      <c r="H3606" s="340"/>
      <c r="I3606" s="340" t="s">
        <v>771</v>
      </c>
      <c r="K3606" s="343">
        <v>2.2599999999999998</v>
      </c>
      <c r="L3606" s="343">
        <v>0</v>
      </c>
      <c r="M3606" s="343">
        <v>-817266.02</v>
      </c>
      <c r="O3606" s="343">
        <v>0</v>
      </c>
    </row>
    <row r="3607" spans="1:15" x14ac:dyDescent="0.3">
      <c r="A3607" s="340" t="s">
        <v>891</v>
      </c>
      <c r="B3607" s="350">
        <v>46130</v>
      </c>
      <c r="C3607" s="350">
        <v>46131</v>
      </c>
      <c r="D3607" s="351">
        <v>46113</v>
      </c>
      <c r="E3607" s="340" t="s">
        <v>2899</v>
      </c>
      <c r="F3607" s="340" t="s">
        <v>1078</v>
      </c>
      <c r="G3607" s="340" t="s">
        <v>2572</v>
      </c>
      <c r="H3607" s="340"/>
      <c r="I3607" s="340" t="s">
        <v>771</v>
      </c>
      <c r="K3607" s="343">
        <v>2.67</v>
      </c>
      <c r="L3607" s="343">
        <v>0</v>
      </c>
      <c r="M3607" s="343">
        <v>-817263.35</v>
      </c>
      <c r="O3607" s="343">
        <v>0</v>
      </c>
    </row>
    <row r="3608" spans="1:15" x14ac:dyDescent="0.3">
      <c r="A3608" s="340" t="s">
        <v>891</v>
      </c>
      <c r="B3608" s="350">
        <v>46130</v>
      </c>
      <c r="C3608" s="350">
        <v>46131</v>
      </c>
      <c r="D3608" s="351">
        <v>46113</v>
      </c>
      <c r="E3608" s="340" t="s">
        <v>2899</v>
      </c>
      <c r="F3608" s="340" t="s">
        <v>1078</v>
      </c>
      <c r="G3608" s="340" t="s">
        <v>2573</v>
      </c>
      <c r="H3608" s="340"/>
      <c r="I3608" s="340" t="s">
        <v>771</v>
      </c>
      <c r="K3608" s="343">
        <v>3.12</v>
      </c>
      <c r="L3608" s="343">
        <v>0</v>
      </c>
      <c r="M3608" s="343">
        <v>-817260.23</v>
      </c>
      <c r="O3608" s="343">
        <v>0</v>
      </c>
    </row>
    <row r="3609" spans="1:15" x14ac:dyDescent="0.3">
      <c r="A3609" s="340" t="s">
        <v>891</v>
      </c>
      <c r="B3609" s="350">
        <v>46130</v>
      </c>
      <c r="C3609" s="350">
        <v>46131</v>
      </c>
      <c r="D3609" s="351">
        <v>46113</v>
      </c>
      <c r="E3609" s="340" t="s">
        <v>2899</v>
      </c>
      <c r="F3609" s="340" t="s">
        <v>1078</v>
      </c>
      <c r="G3609" s="340" t="s">
        <v>2565</v>
      </c>
      <c r="H3609" s="340"/>
      <c r="I3609" s="340" t="s">
        <v>771</v>
      </c>
      <c r="K3609" s="343">
        <v>4.6100000000000003</v>
      </c>
      <c r="L3609" s="343">
        <v>0</v>
      </c>
      <c r="M3609" s="343">
        <v>-817255.62</v>
      </c>
      <c r="O3609" s="343">
        <v>0</v>
      </c>
    </row>
    <row r="3610" spans="1:15" x14ac:dyDescent="0.3">
      <c r="A3610" s="340" t="s">
        <v>891</v>
      </c>
      <c r="B3610" s="350">
        <v>46130</v>
      </c>
      <c r="C3610" s="350">
        <v>46131</v>
      </c>
      <c r="D3610" s="351">
        <v>46113</v>
      </c>
      <c r="E3610" s="340" t="s">
        <v>2899</v>
      </c>
      <c r="F3610" s="340" t="s">
        <v>1078</v>
      </c>
      <c r="G3610" s="340" t="s">
        <v>2566</v>
      </c>
      <c r="H3610" s="340"/>
      <c r="I3610" s="340" t="s">
        <v>771</v>
      </c>
      <c r="K3610" s="343">
        <v>15.92</v>
      </c>
      <c r="L3610" s="343">
        <v>0</v>
      </c>
      <c r="M3610" s="343">
        <v>-817239.7</v>
      </c>
      <c r="O3610" s="343">
        <v>0</v>
      </c>
    </row>
    <row r="3611" spans="1:15" x14ac:dyDescent="0.3">
      <c r="A3611" s="340" t="s">
        <v>891</v>
      </c>
      <c r="B3611" s="350">
        <v>46130</v>
      </c>
      <c r="C3611" s="350">
        <v>46131</v>
      </c>
      <c r="D3611" s="351">
        <v>46113</v>
      </c>
      <c r="E3611" s="340" t="s">
        <v>2899</v>
      </c>
      <c r="F3611" s="340" t="s">
        <v>1078</v>
      </c>
      <c r="G3611" s="340" t="s">
        <v>2570</v>
      </c>
      <c r="H3611" s="340"/>
      <c r="I3611" s="340" t="s">
        <v>771</v>
      </c>
      <c r="K3611" s="343">
        <v>0.16</v>
      </c>
      <c r="L3611" s="343">
        <v>0</v>
      </c>
      <c r="M3611" s="343">
        <v>-817239.54</v>
      </c>
      <c r="O3611" s="343">
        <v>0</v>
      </c>
    </row>
    <row r="3612" spans="1:15" x14ac:dyDescent="0.3">
      <c r="A3612" s="340" t="s">
        <v>891</v>
      </c>
      <c r="B3612" s="350">
        <v>46130</v>
      </c>
      <c r="C3612" s="350">
        <v>46131</v>
      </c>
      <c r="D3612" s="351">
        <v>46113</v>
      </c>
      <c r="E3612" s="340" t="s">
        <v>2899</v>
      </c>
      <c r="F3612" s="340" t="s">
        <v>1078</v>
      </c>
      <c r="G3612" s="340" t="s">
        <v>2567</v>
      </c>
      <c r="H3612" s="340"/>
      <c r="I3612" s="340" t="s">
        <v>771</v>
      </c>
      <c r="K3612" s="343">
        <v>0.01</v>
      </c>
      <c r="L3612" s="343">
        <v>0</v>
      </c>
      <c r="M3612" s="343">
        <v>-817239.53</v>
      </c>
      <c r="O3612" s="343">
        <v>0</v>
      </c>
    </row>
    <row r="3613" spans="1:15" x14ac:dyDescent="0.3">
      <c r="A3613" s="340" t="s">
        <v>891</v>
      </c>
      <c r="B3613" s="350">
        <v>46130</v>
      </c>
      <c r="C3613" s="350">
        <v>46131</v>
      </c>
      <c r="D3613" s="351">
        <v>46113</v>
      </c>
      <c r="E3613" s="340" t="s">
        <v>2899</v>
      </c>
      <c r="F3613" s="340" t="s">
        <v>1078</v>
      </c>
      <c r="G3613" s="340" t="s">
        <v>2568</v>
      </c>
      <c r="H3613" s="340"/>
      <c r="I3613" s="340" t="s">
        <v>771</v>
      </c>
      <c r="K3613" s="343">
        <v>0.03</v>
      </c>
      <c r="L3613" s="343">
        <v>0</v>
      </c>
      <c r="M3613" s="343">
        <v>-817239.5</v>
      </c>
      <c r="O3613" s="343">
        <v>0</v>
      </c>
    </row>
    <row r="3614" spans="1:15" x14ac:dyDescent="0.3">
      <c r="A3614" s="340" t="s">
        <v>891</v>
      </c>
      <c r="B3614" s="350">
        <v>46130</v>
      </c>
      <c r="C3614" s="350">
        <v>46131</v>
      </c>
      <c r="D3614" s="351">
        <v>46113</v>
      </c>
      <c r="E3614" s="340" t="s">
        <v>2899</v>
      </c>
      <c r="F3614" s="340" t="s">
        <v>1078</v>
      </c>
      <c r="G3614" s="340" t="s">
        <v>2568</v>
      </c>
      <c r="H3614" s="340"/>
      <c r="I3614" s="340" t="s">
        <v>771</v>
      </c>
      <c r="K3614" s="343">
        <v>0.03</v>
      </c>
      <c r="L3614" s="343">
        <v>0</v>
      </c>
      <c r="M3614" s="343">
        <v>-817239.47</v>
      </c>
      <c r="O3614" s="343">
        <v>0</v>
      </c>
    </row>
    <row r="3615" spans="1:15" x14ac:dyDescent="0.3">
      <c r="A3615" s="340" t="s">
        <v>891</v>
      </c>
      <c r="B3615" s="350">
        <v>46130</v>
      </c>
      <c r="C3615" s="350">
        <v>46131</v>
      </c>
      <c r="D3615" s="351">
        <v>46113</v>
      </c>
      <c r="E3615" s="340" t="s">
        <v>2899</v>
      </c>
      <c r="F3615" s="340" t="s">
        <v>1078</v>
      </c>
      <c r="G3615" s="340" t="s">
        <v>2569</v>
      </c>
      <c r="H3615" s="340"/>
      <c r="I3615" s="340" t="s">
        <v>771</v>
      </c>
      <c r="K3615" s="343">
        <v>0.14000000000000001</v>
      </c>
      <c r="L3615" s="343">
        <v>0</v>
      </c>
      <c r="M3615" s="343">
        <v>-817239.33</v>
      </c>
      <c r="O3615" s="343">
        <v>0</v>
      </c>
    </row>
    <row r="3616" spans="1:15" x14ac:dyDescent="0.3">
      <c r="A3616" s="340" t="s">
        <v>891</v>
      </c>
      <c r="B3616" s="350">
        <v>46130</v>
      </c>
      <c r="C3616" s="350">
        <v>46131</v>
      </c>
      <c r="D3616" s="351">
        <v>46113</v>
      </c>
      <c r="E3616" s="340" t="s">
        <v>2899</v>
      </c>
      <c r="F3616" s="340" t="s">
        <v>1078</v>
      </c>
      <c r="G3616" s="340" t="s">
        <v>2439</v>
      </c>
      <c r="H3616" s="340"/>
      <c r="I3616" s="340" t="s">
        <v>771</v>
      </c>
      <c r="K3616" s="343">
        <v>0.17</v>
      </c>
      <c r="L3616" s="343">
        <v>0</v>
      </c>
      <c r="M3616" s="343">
        <v>-817239.16</v>
      </c>
      <c r="O3616" s="343">
        <v>0</v>
      </c>
    </row>
    <row r="3617" spans="1:15" x14ac:dyDescent="0.3">
      <c r="A3617" s="340" t="s">
        <v>891</v>
      </c>
      <c r="B3617" s="350">
        <v>46130</v>
      </c>
      <c r="C3617" s="350">
        <v>46131</v>
      </c>
      <c r="D3617" s="351">
        <v>46113</v>
      </c>
      <c r="E3617" s="340" t="s">
        <v>2899</v>
      </c>
      <c r="F3617" s="340" t="s">
        <v>1078</v>
      </c>
      <c r="G3617" s="340" t="s">
        <v>2439</v>
      </c>
      <c r="H3617" s="340"/>
      <c r="I3617" s="340" t="s">
        <v>771</v>
      </c>
      <c r="K3617" s="343">
        <v>0.17</v>
      </c>
      <c r="L3617" s="343">
        <v>0</v>
      </c>
      <c r="M3617" s="343">
        <v>-817238.99</v>
      </c>
      <c r="O3617" s="343">
        <v>0</v>
      </c>
    </row>
    <row r="3618" spans="1:15" x14ac:dyDescent="0.3">
      <c r="A3618" s="340" t="s">
        <v>891</v>
      </c>
      <c r="B3618" s="350">
        <v>46130</v>
      </c>
      <c r="C3618" s="350">
        <v>46131</v>
      </c>
      <c r="D3618" s="351">
        <v>46113</v>
      </c>
      <c r="E3618" s="340" t="s">
        <v>2899</v>
      </c>
      <c r="F3618" s="340" t="s">
        <v>1078</v>
      </c>
      <c r="G3618" s="340" t="s">
        <v>2441</v>
      </c>
      <c r="H3618" s="340"/>
      <c r="I3618" s="340" t="s">
        <v>771</v>
      </c>
      <c r="K3618" s="343">
        <v>0.33</v>
      </c>
      <c r="L3618" s="343">
        <v>0</v>
      </c>
      <c r="M3618" s="343">
        <v>-817238.66</v>
      </c>
      <c r="O3618" s="343">
        <v>0</v>
      </c>
    </row>
    <row r="3619" spans="1:15" x14ac:dyDescent="0.3">
      <c r="A3619" s="340" t="s">
        <v>891</v>
      </c>
      <c r="B3619" s="350">
        <v>46130</v>
      </c>
      <c r="C3619" s="350">
        <v>46131</v>
      </c>
      <c r="D3619" s="351">
        <v>46113</v>
      </c>
      <c r="E3619" s="340" t="s">
        <v>2899</v>
      </c>
      <c r="F3619" s="340" t="s">
        <v>1078</v>
      </c>
      <c r="G3619" s="340" t="s">
        <v>2441</v>
      </c>
      <c r="H3619" s="340"/>
      <c r="I3619" s="340" t="s">
        <v>771</v>
      </c>
      <c r="K3619" s="343">
        <v>0.34</v>
      </c>
      <c r="L3619" s="343">
        <v>0</v>
      </c>
      <c r="M3619" s="343">
        <v>-817238.32</v>
      </c>
      <c r="O3619" s="343">
        <v>0</v>
      </c>
    </row>
    <row r="3620" spans="1:15" x14ac:dyDescent="0.3">
      <c r="A3620" s="340" t="s">
        <v>891</v>
      </c>
      <c r="B3620" s="350">
        <v>46130</v>
      </c>
      <c r="C3620" s="350">
        <v>46131</v>
      </c>
      <c r="D3620" s="351">
        <v>46113</v>
      </c>
      <c r="E3620" s="340" t="s">
        <v>2899</v>
      </c>
      <c r="F3620" s="340" t="s">
        <v>1078</v>
      </c>
      <c r="G3620" s="340" t="s">
        <v>2571</v>
      </c>
      <c r="H3620" s="340"/>
      <c r="I3620" s="340" t="s">
        <v>771</v>
      </c>
      <c r="K3620" s="343">
        <v>1.4</v>
      </c>
      <c r="L3620" s="343">
        <v>0</v>
      </c>
      <c r="M3620" s="343">
        <v>-817236.92</v>
      </c>
      <c r="O3620" s="343">
        <v>0</v>
      </c>
    </row>
    <row r="3621" spans="1:15" x14ac:dyDescent="0.3">
      <c r="A3621" s="340" t="s">
        <v>891</v>
      </c>
      <c r="B3621" s="350">
        <v>46130</v>
      </c>
      <c r="C3621" s="350">
        <v>46131</v>
      </c>
      <c r="D3621" s="351">
        <v>46113</v>
      </c>
      <c r="E3621" s="340" t="s">
        <v>2899</v>
      </c>
      <c r="F3621" s="340" t="s">
        <v>1078</v>
      </c>
      <c r="G3621" s="340" t="s">
        <v>2442</v>
      </c>
      <c r="H3621" s="340"/>
      <c r="I3621" s="340" t="s">
        <v>771</v>
      </c>
      <c r="K3621" s="343">
        <v>2.2599999999999998</v>
      </c>
      <c r="L3621" s="343">
        <v>0</v>
      </c>
      <c r="M3621" s="343">
        <v>-817234.66</v>
      </c>
      <c r="O3621" s="343">
        <v>0</v>
      </c>
    </row>
    <row r="3622" spans="1:15" x14ac:dyDescent="0.3">
      <c r="A3622" s="340" t="s">
        <v>891</v>
      </c>
      <c r="B3622" s="350">
        <v>46130</v>
      </c>
      <c r="C3622" s="350">
        <v>46131</v>
      </c>
      <c r="D3622" s="351">
        <v>46113</v>
      </c>
      <c r="E3622" s="340" t="s">
        <v>2899</v>
      </c>
      <c r="F3622" s="340" t="s">
        <v>1078</v>
      </c>
      <c r="G3622" s="340" t="s">
        <v>2572</v>
      </c>
      <c r="H3622" s="340"/>
      <c r="I3622" s="340" t="s">
        <v>771</v>
      </c>
      <c r="K3622" s="343">
        <v>3.98</v>
      </c>
      <c r="L3622" s="343">
        <v>0</v>
      </c>
      <c r="M3622" s="343">
        <v>-817230.68</v>
      </c>
      <c r="O3622" s="343">
        <v>0</v>
      </c>
    </row>
    <row r="3623" spans="1:15" x14ac:dyDescent="0.3">
      <c r="A3623" s="340" t="s">
        <v>891</v>
      </c>
      <c r="B3623" s="350">
        <v>46130</v>
      </c>
      <c r="C3623" s="350">
        <v>46131</v>
      </c>
      <c r="D3623" s="351">
        <v>46113</v>
      </c>
      <c r="E3623" s="340" t="s">
        <v>2899</v>
      </c>
      <c r="F3623" s="340" t="s">
        <v>1078</v>
      </c>
      <c r="G3623" s="340" t="s">
        <v>2565</v>
      </c>
      <c r="H3623" s="340"/>
      <c r="I3623" s="340" t="s">
        <v>771</v>
      </c>
      <c r="K3623" s="343">
        <v>4.6100000000000003</v>
      </c>
      <c r="L3623" s="343">
        <v>0</v>
      </c>
      <c r="M3623" s="343">
        <v>-817226.07</v>
      </c>
      <c r="O3623" s="343">
        <v>0</v>
      </c>
    </row>
    <row r="3624" spans="1:15" x14ac:dyDescent="0.3">
      <c r="A3624" s="340" t="s">
        <v>891</v>
      </c>
      <c r="B3624" s="350">
        <v>46130</v>
      </c>
      <c r="C3624" s="350">
        <v>46131</v>
      </c>
      <c r="D3624" s="351">
        <v>46113</v>
      </c>
      <c r="E3624" s="340" t="s">
        <v>2899</v>
      </c>
      <c r="F3624" s="340" t="s">
        <v>1078</v>
      </c>
      <c r="G3624" s="340" t="s">
        <v>2573</v>
      </c>
      <c r="H3624" s="340"/>
      <c r="I3624" s="340" t="s">
        <v>771</v>
      </c>
      <c r="K3624" s="343">
        <v>4.6500000000000004</v>
      </c>
      <c r="L3624" s="343">
        <v>0</v>
      </c>
      <c r="M3624" s="343">
        <v>-817221.42</v>
      </c>
      <c r="O3624" s="343">
        <v>0</v>
      </c>
    </row>
    <row r="3625" spans="1:15" x14ac:dyDescent="0.3">
      <c r="A3625" s="340" t="s">
        <v>891</v>
      </c>
      <c r="B3625" s="350">
        <v>46130</v>
      </c>
      <c r="C3625" s="350">
        <v>46131</v>
      </c>
      <c r="D3625" s="351">
        <v>46113</v>
      </c>
      <c r="E3625" s="340" t="s">
        <v>2899</v>
      </c>
      <c r="F3625" s="340" t="s">
        <v>1078</v>
      </c>
      <c r="G3625" s="340" t="s">
        <v>2568</v>
      </c>
      <c r="H3625" s="340"/>
      <c r="I3625" s="340" t="s">
        <v>771</v>
      </c>
      <c r="K3625" s="343">
        <v>0.02</v>
      </c>
      <c r="L3625" s="343">
        <v>0</v>
      </c>
      <c r="M3625" s="343">
        <v>-817221.4</v>
      </c>
      <c r="O3625" s="343">
        <v>0</v>
      </c>
    </row>
    <row r="3626" spans="1:15" x14ac:dyDescent="0.3">
      <c r="A3626" s="340" t="s">
        <v>891</v>
      </c>
      <c r="B3626" s="350">
        <v>46130</v>
      </c>
      <c r="C3626" s="350">
        <v>46131</v>
      </c>
      <c r="D3626" s="351">
        <v>46113</v>
      </c>
      <c r="E3626" s="340" t="s">
        <v>2899</v>
      </c>
      <c r="F3626" s="340" t="s">
        <v>1078</v>
      </c>
      <c r="G3626" s="340" t="s">
        <v>2567</v>
      </c>
      <c r="H3626" s="340"/>
      <c r="I3626" s="340" t="s">
        <v>771</v>
      </c>
      <c r="K3626" s="343">
        <v>0.01</v>
      </c>
      <c r="L3626" s="343">
        <v>0</v>
      </c>
      <c r="M3626" s="343">
        <v>-817221.39</v>
      </c>
      <c r="O3626" s="343">
        <v>0</v>
      </c>
    </row>
    <row r="3627" spans="1:15" x14ac:dyDescent="0.3">
      <c r="A3627" s="340" t="s">
        <v>891</v>
      </c>
      <c r="B3627" s="350">
        <v>46130</v>
      </c>
      <c r="C3627" s="350">
        <v>46131</v>
      </c>
      <c r="D3627" s="351">
        <v>46113</v>
      </c>
      <c r="E3627" s="340" t="s">
        <v>2899</v>
      </c>
      <c r="F3627" s="340" t="s">
        <v>1078</v>
      </c>
      <c r="G3627" s="340" t="s">
        <v>2568</v>
      </c>
      <c r="H3627" s="340"/>
      <c r="I3627" s="340" t="s">
        <v>771</v>
      </c>
      <c r="K3627" s="343">
        <v>0.02</v>
      </c>
      <c r="L3627" s="343">
        <v>0</v>
      </c>
      <c r="M3627" s="343">
        <v>-817221.37</v>
      </c>
      <c r="O3627" s="343">
        <v>0</v>
      </c>
    </row>
    <row r="3628" spans="1:15" x14ac:dyDescent="0.3">
      <c r="A3628" s="340" t="s">
        <v>891</v>
      </c>
      <c r="B3628" s="350">
        <v>46130</v>
      </c>
      <c r="C3628" s="350">
        <v>46131</v>
      </c>
      <c r="D3628" s="351">
        <v>46113</v>
      </c>
      <c r="E3628" s="340" t="s">
        <v>2899</v>
      </c>
      <c r="F3628" s="340" t="s">
        <v>1078</v>
      </c>
      <c r="G3628" s="340" t="s">
        <v>2569</v>
      </c>
      <c r="H3628" s="340"/>
      <c r="I3628" s="340" t="s">
        <v>771</v>
      </c>
      <c r="K3628" s="343">
        <v>0.08</v>
      </c>
      <c r="L3628" s="343">
        <v>0</v>
      </c>
      <c r="M3628" s="343">
        <v>-817221.29</v>
      </c>
      <c r="O3628" s="343">
        <v>0</v>
      </c>
    </row>
    <row r="3629" spans="1:15" x14ac:dyDescent="0.3">
      <c r="A3629" s="340" t="s">
        <v>891</v>
      </c>
      <c r="B3629" s="350">
        <v>46130</v>
      </c>
      <c r="C3629" s="350">
        <v>46131</v>
      </c>
      <c r="D3629" s="351">
        <v>46113</v>
      </c>
      <c r="E3629" s="340" t="s">
        <v>2899</v>
      </c>
      <c r="F3629" s="340" t="s">
        <v>1078</v>
      </c>
      <c r="G3629" s="340" t="s">
        <v>2439</v>
      </c>
      <c r="H3629" s="340"/>
      <c r="I3629" s="340" t="s">
        <v>771</v>
      </c>
      <c r="K3629" s="343">
        <v>0.09</v>
      </c>
      <c r="L3629" s="343">
        <v>0</v>
      </c>
      <c r="M3629" s="343">
        <v>-817221.2</v>
      </c>
      <c r="O3629" s="343">
        <v>0</v>
      </c>
    </row>
    <row r="3630" spans="1:15" x14ac:dyDescent="0.3">
      <c r="A3630" s="340" t="s">
        <v>891</v>
      </c>
      <c r="B3630" s="350">
        <v>46130</v>
      </c>
      <c r="C3630" s="350">
        <v>46131</v>
      </c>
      <c r="D3630" s="351">
        <v>46113</v>
      </c>
      <c r="E3630" s="340" t="s">
        <v>2899</v>
      </c>
      <c r="F3630" s="340" t="s">
        <v>1078</v>
      </c>
      <c r="G3630" s="340" t="s">
        <v>2570</v>
      </c>
      <c r="H3630" s="340"/>
      <c r="I3630" s="340" t="s">
        <v>771</v>
      </c>
      <c r="K3630" s="343">
        <v>0.09</v>
      </c>
      <c r="L3630" s="343">
        <v>0</v>
      </c>
      <c r="M3630" s="343">
        <v>-817221.11</v>
      </c>
      <c r="O3630" s="343">
        <v>0</v>
      </c>
    </row>
    <row r="3631" spans="1:15" x14ac:dyDescent="0.3">
      <c r="A3631" s="340" t="s">
        <v>891</v>
      </c>
      <c r="B3631" s="350">
        <v>46130</v>
      </c>
      <c r="C3631" s="350">
        <v>46131</v>
      </c>
      <c r="D3631" s="351">
        <v>46113</v>
      </c>
      <c r="E3631" s="340" t="s">
        <v>2899</v>
      </c>
      <c r="F3631" s="340" t="s">
        <v>1078</v>
      </c>
      <c r="G3631" s="340" t="s">
        <v>2439</v>
      </c>
      <c r="H3631" s="340"/>
      <c r="I3631" s="340" t="s">
        <v>771</v>
      </c>
      <c r="K3631" s="343">
        <v>0.13</v>
      </c>
      <c r="L3631" s="343">
        <v>0</v>
      </c>
      <c r="M3631" s="343">
        <v>-817220.98</v>
      </c>
      <c r="O3631" s="343">
        <v>0</v>
      </c>
    </row>
    <row r="3632" spans="1:15" x14ac:dyDescent="0.3">
      <c r="A3632" s="340" t="s">
        <v>891</v>
      </c>
      <c r="B3632" s="350">
        <v>46130</v>
      </c>
      <c r="C3632" s="350">
        <v>46131</v>
      </c>
      <c r="D3632" s="351">
        <v>46113</v>
      </c>
      <c r="E3632" s="340" t="s">
        <v>2899</v>
      </c>
      <c r="F3632" s="340" t="s">
        <v>1078</v>
      </c>
      <c r="G3632" s="340" t="s">
        <v>2441</v>
      </c>
      <c r="H3632" s="340"/>
      <c r="I3632" s="340" t="s">
        <v>771</v>
      </c>
      <c r="K3632" s="343">
        <v>0.19</v>
      </c>
      <c r="L3632" s="343">
        <v>0</v>
      </c>
      <c r="M3632" s="343">
        <v>-817220.79</v>
      </c>
      <c r="O3632" s="343">
        <v>0</v>
      </c>
    </row>
    <row r="3633" spans="1:15" x14ac:dyDescent="0.3">
      <c r="A3633" s="340" t="s">
        <v>891</v>
      </c>
      <c r="B3633" s="350">
        <v>46130</v>
      </c>
      <c r="C3633" s="350">
        <v>46131</v>
      </c>
      <c r="D3633" s="351">
        <v>46113</v>
      </c>
      <c r="E3633" s="340" t="s">
        <v>2899</v>
      </c>
      <c r="F3633" s="340" t="s">
        <v>1078</v>
      </c>
      <c r="G3633" s="340" t="s">
        <v>2441</v>
      </c>
      <c r="H3633" s="340"/>
      <c r="I3633" s="340" t="s">
        <v>771</v>
      </c>
      <c r="K3633" s="343">
        <v>0.25</v>
      </c>
      <c r="L3633" s="343">
        <v>0</v>
      </c>
      <c r="M3633" s="343">
        <v>-817220.54</v>
      </c>
      <c r="O3633" s="343">
        <v>0</v>
      </c>
    </row>
    <row r="3634" spans="1:15" x14ac:dyDescent="0.3">
      <c r="A3634" s="340" t="s">
        <v>891</v>
      </c>
      <c r="B3634" s="350">
        <v>46130</v>
      </c>
      <c r="C3634" s="350">
        <v>46131</v>
      </c>
      <c r="D3634" s="351">
        <v>46113</v>
      </c>
      <c r="E3634" s="340" t="s">
        <v>2899</v>
      </c>
      <c r="F3634" s="340" t="s">
        <v>1078</v>
      </c>
      <c r="G3634" s="340" t="s">
        <v>2571</v>
      </c>
      <c r="H3634" s="340"/>
      <c r="I3634" s="340" t="s">
        <v>771</v>
      </c>
      <c r="K3634" s="343">
        <v>0.79</v>
      </c>
      <c r="L3634" s="343">
        <v>0</v>
      </c>
      <c r="M3634" s="343">
        <v>-817219.75</v>
      </c>
      <c r="O3634" s="343">
        <v>0</v>
      </c>
    </row>
    <row r="3635" spans="1:15" x14ac:dyDescent="0.3">
      <c r="A3635" s="340" t="s">
        <v>891</v>
      </c>
      <c r="B3635" s="350">
        <v>46130</v>
      </c>
      <c r="C3635" s="350">
        <v>46131</v>
      </c>
      <c r="D3635" s="351">
        <v>46113</v>
      </c>
      <c r="E3635" s="340" t="s">
        <v>2899</v>
      </c>
      <c r="F3635" s="340" t="s">
        <v>1078</v>
      </c>
      <c r="G3635" s="340" t="s">
        <v>2572</v>
      </c>
      <c r="H3635" s="340"/>
      <c r="I3635" s="340" t="s">
        <v>771</v>
      </c>
      <c r="K3635" s="343">
        <v>2.23</v>
      </c>
      <c r="L3635" s="343">
        <v>0</v>
      </c>
      <c r="M3635" s="343">
        <v>-817217.52</v>
      </c>
      <c r="O3635" s="343">
        <v>0</v>
      </c>
    </row>
    <row r="3636" spans="1:15" x14ac:dyDescent="0.3">
      <c r="A3636" s="340" t="s">
        <v>891</v>
      </c>
      <c r="B3636" s="350">
        <v>46130</v>
      </c>
      <c r="C3636" s="350">
        <v>46131</v>
      </c>
      <c r="D3636" s="351">
        <v>46113</v>
      </c>
      <c r="E3636" s="340" t="s">
        <v>2899</v>
      </c>
      <c r="F3636" s="340" t="s">
        <v>1078</v>
      </c>
      <c r="G3636" s="340" t="s">
        <v>2442</v>
      </c>
      <c r="H3636" s="340"/>
      <c r="I3636" s="340" t="s">
        <v>771</v>
      </c>
      <c r="K3636" s="343">
        <v>2.2599999999999998</v>
      </c>
      <c r="L3636" s="343">
        <v>0</v>
      </c>
      <c r="M3636" s="343">
        <v>-817215.26</v>
      </c>
      <c r="O3636" s="343">
        <v>0</v>
      </c>
    </row>
    <row r="3637" spans="1:15" x14ac:dyDescent="0.3">
      <c r="A3637" s="340" t="s">
        <v>891</v>
      </c>
      <c r="B3637" s="350">
        <v>46130</v>
      </c>
      <c r="C3637" s="350">
        <v>46131</v>
      </c>
      <c r="D3637" s="351">
        <v>46113</v>
      </c>
      <c r="E3637" s="340" t="s">
        <v>2899</v>
      </c>
      <c r="F3637" s="340" t="s">
        <v>1078</v>
      </c>
      <c r="G3637" s="340" t="s">
        <v>2573</v>
      </c>
      <c r="H3637" s="340"/>
      <c r="I3637" s="340" t="s">
        <v>771</v>
      </c>
      <c r="K3637" s="343">
        <v>2.61</v>
      </c>
      <c r="L3637" s="343">
        <v>0</v>
      </c>
      <c r="M3637" s="343">
        <v>-817212.65</v>
      </c>
      <c r="O3637" s="343">
        <v>0</v>
      </c>
    </row>
    <row r="3638" spans="1:15" x14ac:dyDescent="0.3">
      <c r="A3638" s="340" t="s">
        <v>891</v>
      </c>
      <c r="B3638" s="350">
        <v>46130</v>
      </c>
      <c r="C3638" s="350">
        <v>46131</v>
      </c>
      <c r="D3638" s="351">
        <v>46113</v>
      </c>
      <c r="E3638" s="340" t="s">
        <v>2899</v>
      </c>
      <c r="F3638" s="340" t="s">
        <v>1078</v>
      </c>
      <c r="G3638" s="340" t="s">
        <v>2565</v>
      </c>
      <c r="H3638" s="340"/>
      <c r="I3638" s="340" t="s">
        <v>771</v>
      </c>
      <c r="K3638" s="343">
        <v>4.6100000000000003</v>
      </c>
      <c r="L3638" s="343">
        <v>0</v>
      </c>
      <c r="M3638" s="343">
        <v>-817208.04</v>
      </c>
      <c r="O3638" s="343">
        <v>0</v>
      </c>
    </row>
    <row r="3639" spans="1:15" x14ac:dyDescent="0.3">
      <c r="A3639" s="340" t="s">
        <v>891</v>
      </c>
      <c r="B3639" s="350">
        <v>46130</v>
      </c>
      <c r="C3639" s="350">
        <v>46131</v>
      </c>
      <c r="D3639" s="351">
        <v>46113</v>
      </c>
      <c r="E3639" s="340" t="s">
        <v>2899</v>
      </c>
      <c r="F3639" s="340" t="s">
        <v>1078</v>
      </c>
      <c r="G3639" s="340" t="s">
        <v>2566</v>
      </c>
      <c r="H3639" s="340"/>
      <c r="I3639" s="340" t="s">
        <v>771</v>
      </c>
      <c r="K3639" s="343">
        <v>8.94</v>
      </c>
      <c r="L3639" s="343">
        <v>0</v>
      </c>
      <c r="M3639" s="343">
        <v>-817199.1</v>
      </c>
      <c r="O3639" s="343">
        <v>0</v>
      </c>
    </row>
    <row r="3640" spans="1:15" x14ac:dyDescent="0.3">
      <c r="A3640" s="340" t="s">
        <v>891</v>
      </c>
      <c r="B3640" s="350">
        <v>46130</v>
      </c>
      <c r="C3640" s="350">
        <v>46131</v>
      </c>
      <c r="D3640" s="351">
        <v>46113</v>
      </c>
      <c r="E3640" s="340" t="s">
        <v>2899</v>
      </c>
      <c r="F3640" s="340" t="s">
        <v>1078</v>
      </c>
      <c r="G3640" s="340" t="s">
        <v>2568</v>
      </c>
      <c r="H3640" s="340"/>
      <c r="I3640" s="340" t="s">
        <v>771</v>
      </c>
      <c r="K3640" s="343">
        <v>0.04</v>
      </c>
      <c r="L3640" s="343">
        <v>0</v>
      </c>
      <c r="M3640" s="343">
        <v>-817199.06</v>
      </c>
      <c r="O3640" s="343">
        <v>0</v>
      </c>
    </row>
    <row r="3641" spans="1:15" x14ac:dyDescent="0.3">
      <c r="A3641" s="340" t="s">
        <v>891</v>
      </c>
      <c r="B3641" s="350">
        <v>46130</v>
      </c>
      <c r="C3641" s="350">
        <v>46131</v>
      </c>
      <c r="D3641" s="351">
        <v>46113</v>
      </c>
      <c r="E3641" s="340" t="s">
        <v>2899</v>
      </c>
      <c r="F3641" s="340" t="s">
        <v>1078</v>
      </c>
      <c r="G3641" s="340" t="s">
        <v>2441</v>
      </c>
      <c r="H3641" s="340"/>
      <c r="I3641" s="340" t="s">
        <v>771</v>
      </c>
      <c r="K3641" s="343">
        <v>0.45</v>
      </c>
      <c r="L3641" s="343">
        <v>0</v>
      </c>
      <c r="M3641" s="343">
        <v>-817198.61</v>
      </c>
      <c r="O3641" s="343">
        <v>0</v>
      </c>
    </row>
    <row r="3642" spans="1:15" x14ac:dyDescent="0.3">
      <c r="A3642" s="340" t="s">
        <v>891</v>
      </c>
      <c r="B3642" s="350">
        <v>46130</v>
      </c>
      <c r="C3642" s="350">
        <v>46131</v>
      </c>
      <c r="D3642" s="351">
        <v>46113</v>
      </c>
      <c r="E3642" s="340" t="s">
        <v>2899</v>
      </c>
      <c r="F3642" s="340" t="s">
        <v>1078</v>
      </c>
      <c r="G3642" s="340" t="s">
        <v>2439</v>
      </c>
      <c r="H3642" s="340"/>
      <c r="I3642" s="340" t="s">
        <v>771</v>
      </c>
      <c r="K3642" s="343">
        <v>0.22</v>
      </c>
      <c r="L3642" s="343">
        <v>0</v>
      </c>
      <c r="M3642" s="343">
        <v>-817198.39</v>
      </c>
      <c r="O3642" s="343">
        <v>0</v>
      </c>
    </row>
    <row r="3643" spans="1:15" x14ac:dyDescent="0.3">
      <c r="A3643" s="340" t="s">
        <v>891</v>
      </c>
      <c r="B3643" s="350">
        <v>46130</v>
      </c>
      <c r="C3643" s="350">
        <v>46131</v>
      </c>
      <c r="D3643" s="351">
        <v>46113</v>
      </c>
      <c r="E3643" s="340" t="s">
        <v>2899</v>
      </c>
      <c r="F3643" s="340" t="s">
        <v>1078</v>
      </c>
      <c r="G3643" s="340" t="s">
        <v>2567</v>
      </c>
      <c r="H3643" s="340"/>
      <c r="I3643" s="340" t="s">
        <v>771</v>
      </c>
      <c r="K3643" s="343">
        <v>0.02</v>
      </c>
      <c r="L3643" s="343">
        <v>0</v>
      </c>
      <c r="M3643" s="343">
        <v>-817198.37</v>
      </c>
      <c r="O3643" s="343">
        <v>0</v>
      </c>
    </row>
    <row r="3644" spans="1:15" x14ac:dyDescent="0.3">
      <c r="A3644" s="340" t="s">
        <v>891</v>
      </c>
      <c r="B3644" s="350">
        <v>46130</v>
      </c>
      <c r="C3644" s="350">
        <v>46131</v>
      </c>
      <c r="D3644" s="351">
        <v>46113</v>
      </c>
      <c r="E3644" s="340" t="s">
        <v>2899</v>
      </c>
      <c r="F3644" s="340" t="s">
        <v>1078</v>
      </c>
      <c r="G3644" s="340" t="s">
        <v>2568</v>
      </c>
      <c r="H3644" s="340"/>
      <c r="I3644" s="340" t="s">
        <v>771</v>
      </c>
      <c r="K3644" s="343">
        <v>0.04</v>
      </c>
      <c r="L3644" s="343">
        <v>0</v>
      </c>
      <c r="M3644" s="343">
        <v>-817198.33</v>
      </c>
      <c r="O3644" s="343">
        <v>0</v>
      </c>
    </row>
    <row r="3645" spans="1:15" x14ac:dyDescent="0.3">
      <c r="A3645" s="340" t="s">
        <v>891</v>
      </c>
      <c r="B3645" s="350">
        <v>46130</v>
      </c>
      <c r="C3645" s="350">
        <v>46131</v>
      </c>
      <c r="D3645" s="351">
        <v>46113</v>
      </c>
      <c r="E3645" s="340" t="s">
        <v>2899</v>
      </c>
      <c r="F3645" s="340" t="s">
        <v>1078</v>
      </c>
      <c r="G3645" s="340" t="s">
        <v>2569</v>
      </c>
      <c r="H3645" s="340"/>
      <c r="I3645" s="340" t="s">
        <v>771</v>
      </c>
      <c r="K3645" s="343">
        <v>0.21</v>
      </c>
      <c r="L3645" s="343">
        <v>0</v>
      </c>
      <c r="M3645" s="343">
        <v>-817198.12</v>
      </c>
      <c r="O3645" s="343">
        <v>0</v>
      </c>
    </row>
    <row r="3646" spans="1:15" x14ac:dyDescent="0.3">
      <c r="A3646" s="340" t="s">
        <v>891</v>
      </c>
      <c r="B3646" s="350">
        <v>46130</v>
      </c>
      <c r="C3646" s="350">
        <v>46131</v>
      </c>
      <c r="D3646" s="351">
        <v>46113</v>
      </c>
      <c r="E3646" s="340" t="s">
        <v>2899</v>
      </c>
      <c r="F3646" s="340" t="s">
        <v>1078</v>
      </c>
      <c r="G3646" s="340" t="s">
        <v>2570</v>
      </c>
      <c r="H3646" s="340"/>
      <c r="I3646" s="340" t="s">
        <v>771</v>
      </c>
      <c r="K3646" s="343">
        <v>0.24</v>
      </c>
      <c r="L3646" s="343">
        <v>0</v>
      </c>
      <c r="M3646" s="343">
        <v>-817197.88</v>
      </c>
      <c r="O3646" s="343">
        <v>0</v>
      </c>
    </row>
    <row r="3647" spans="1:15" x14ac:dyDescent="0.3">
      <c r="A3647" s="340" t="s">
        <v>891</v>
      </c>
      <c r="B3647" s="350">
        <v>46130</v>
      </c>
      <c r="C3647" s="350">
        <v>46131</v>
      </c>
      <c r="D3647" s="351">
        <v>46113</v>
      </c>
      <c r="E3647" s="340" t="s">
        <v>2899</v>
      </c>
      <c r="F3647" s="340" t="s">
        <v>1078</v>
      </c>
      <c r="G3647" s="340" t="s">
        <v>2439</v>
      </c>
      <c r="H3647" s="340"/>
      <c r="I3647" s="340" t="s">
        <v>771</v>
      </c>
      <c r="K3647" s="343">
        <v>0.25</v>
      </c>
      <c r="L3647" s="343">
        <v>0</v>
      </c>
      <c r="M3647" s="343">
        <v>-817197.63</v>
      </c>
      <c r="O3647" s="343">
        <v>0</v>
      </c>
    </row>
    <row r="3648" spans="1:15" x14ac:dyDescent="0.3">
      <c r="A3648" s="340" t="s">
        <v>891</v>
      </c>
      <c r="B3648" s="350">
        <v>46130</v>
      </c>
      <c r="C3648" s="350">
        <v>46131</v>
      </c>
      <c r="D3648" s="351">
        <v>46113</v>
      </c>
      <c r="E3648" s="340" t="s">
        <v>2899</v>
      </c>
      <c r="F3648" s="340" t="s">
        <v>1078</v>
      </c>
      <c r="G3648" s="340" t="s">
        <v>2441</v>
      </c>
      <c r="H3648" s="340"/>
      <c r="I3648" s="340" t="s">
        <v>771</v>
      </c>
      <c r="K3648" s="343">
        <v>0.5</v>
      </c>
      <c r="L3648" s="343">
        <v>0</v>
      </c>
      <c r="M3648" s="343">
        <v>-817197.13</v>
      </c>
      <c r="O3648" s="343">
        <v>0</v>
      </c>
    </row>
    <row r="3649" spans="1:15" x14ac:dyDescent="0.3">
      <c r="A3649" s="340" t="s">
        <v>891</v>
      </c>
      <c r="B3649" s="350">
        <v>46130</v>
      </c>
      <c r="C3649" s="350">
        <v>46131</v>
      </c>
      <c r="D3649" s="351">
        <v>46113</v>
      </c>
      <c r="E3649" s="340" t="s">
        <v>2899</v>
      </c>
      <c r="F3649" s="340" t="s">
        <v>1078</v>
      </c>
      <c r="G3649" s="340" t="s">
        <v>2571</v>
      </c>
      <c r="H3649" s="340"/>
      <c r="I3649" s="340" t="s">
        <v>771</v>
      </c>
      <c r="K3649" s="343">
        <v>2.11</v>
      </c>
      <c r="L3649" s="343">
        <v>0</v>
      </c>
      <c r="M3649" s="343">
        <v>-817195.02</v>
      </c>
      <c r="O3649" s="343">
        <v>0</v>
      </c>
    </row>
    <row r="3650" spans="1:15" x14ac:dyDescent="0.3">
      <c r="A3650" s="340" t="s">
        <v>891</v>
      </c>
      <c r="B3650" s="350">
        <v>46130</v>
      </c>
      <c r="C3650" s="350">
        <v>46131</v>
      </c>
      <c r="D3650" s="351">
        <v>46113</v>
      </c>
      <c r="E3650" s="340" t="s">
        <v>2899</v>
      </c>
      <c r="F3650" s="340" t="s">
        <v>1078</v>
      </c>
      <c r="G3650" s="340" t="s">
        <v>2442</v>
      </c>
      <c r="H3650" s="340"/>
      <c r="I3650" s="340" t="s">
        <v>771</v>
      </c>
      <c r="K3650" s="343">
        <v>2.2599999999999998</v>
      </c>
      <c r="L3650" s="343">
        <v>0</v>
      </c>
      <c r="M3650" s="343">
        <v>-817192.76</v>
      </c>
      <c r="O3650" s="343">
        <v>0</v>
      </c>
    </row>
    <row r="3651" spans="1:15" x14ac:dyDescent="0.3">
      <c r="A3651" s="340" t="s">
        <v>891</v>
      </c>
      <c r="B3651" s="350">
        <v>46130</v>
      </c>
      <c r="C3651" s="350">
        <v>46131</v>
      </c>
      <c r="D3651" s="351">
        <v>46113</v>
      </c>
      <c r="E3651" s="340" t="s">
        <v>2899</v>
      </c>
      <c r="F3651" s="340" t="s">
        <v>1078</v>
      </c>
      <c r="G3651" s="340" t="s">
        <v>2565</v>
      </c>
      <c r="H3651" s="340"/>
      <c r="I3651" s="340" t="s">
        <v>771</v>
      </c>
      <c r="K3651" s="343">
        <v>4.6100000000000003</v>
      </c>
      <c r="L3651" s="343">
        <v>0</v>
      </c>
      <c r="M3651" s="343">
        <v>-817188.15</v>
      </c>
      <c r="O3651" s="343">
        <v>0</v>
      </c>
    </row>
    <row r="3652" spans="1:15" x14ac:dyDescent="0.3">
      <c r="A3652" s="340" t="s">
        <v>891</v>
      </c>
      <c r="B3652" s="350">
        <v>46130</v>
      </c>
      <c r="C3652" s="350">
        <v>46131</v>
      </c>
      <c r="D3652" s="351">
        <v>46113</v>
      </c>
      <c r="E3652" s="340" t="s">
        <v>2899</v>
      </c>
      <c r="F3652" s="340" t="s">
        <v>1078</v>
      </c>
      <c r="G3652" s="340" t="s">
        <v>2572</v>
      </c>
      <c r="H3652" s="340"/>
      <c r="I3652" s="340" t="s">
        <v>771</v>
      </c>
      <c r="K3652" s="343">
        <v>5.97</v>
      </c>
      <c r="L3652" s="343">
        <v>0</v>
      </c>
      <c r="M3652" s="343">
        <v>-817182.18</v>
      </c>
      <c r="O3652" s="343">
        <v>0</v>
      </c>
    </row>
    <row r="3653" spans="1:15" x14ac:dyDescent="0.3">
      <c r="A3653" s="340" t="s">
        <v>891</v>
      </c>
      <c r="B3653" s="350">
        <v>46130</v>
      </c>
      <c r="C3653" s="350">
        <v>46131</v>
      </c>
      <c r="D3653" s="351">
        <v>46113</v>
      </c>
      <c r="E3653" s="340" t="s">
        <v>2899</v>
      </c>
      <c r="F3653" s="340" t="s">
        <v>1078</v>
      </c>
      <c r="G3653" s="340" t="s">
        <v>2573</v>
      </c>
      <c r="H3653" s="340"/>
      <c r="I3653" s="340" t="s">
        <v>771</v>
      </c>
      <c r="K3653" s="343">
        <v>6.99</v>
      </c>
      <c r="L3653" s="343">
        <v>0</v>
      </c>
      <c r="M3653" s="343">
        <v>-817175.19</v>
      </c>
      <c r="O3653" s="343">
        <v>0</v>
      </c>
    </row>
    <row r="3654" spans="1:15" x14ac:dyDescent="0.3">
      <c r="A3654" s="340" t="s">
        <v>891</v>
      </c>
      <c r="B3654" s="350">
        <v>46130</v>
      </c>
      <c r="C3654" s="350">
        <v>46131</v>
      </c>
      <c r="D3654" s="351">
        <v>46113</v>
      </c>
      <c r="E3654" s="340" t="s">
        <v>2899</v>
      </c>
      <c r="F3654" s="340" t="s">
        <v>1078</v>
      </c>
      <c r="G3654" s="340" t="s">
        <v>2566</v>
      </c>
      <c r="H3654" s="340"/>
      <c r="I3654" s="340" t="s">
        <v>771</v>
      </c>
      <c r="K3654" s="343">
        <v>23.92</v>
      </c>
      <c r="L3654" s="343">
        <v>0</v>
      </c>
      <c r="M3654" s="343">
        <v>-817151.27</v>
      </c>
      <c r="O3654" s="343">
        <v>0</v>
      </c>
    </row>
    <row r="3655" spans="1:15" x14ac:dyDescent="0.3">
      <c r="A3655" s="340" t="s">
        <v>891</v>
      </c>
      <c r="B3655" s="350">
        <v>46130</v>
      </c>
      <c r="C3655" s="350">
        <v>46131</v>
      </c>
      <c r="D3655" s="351">
        <v>46113</v>
      </c>
      <c r="E3655" s="340" t="s">
        <v>2899</v>
      </c>
      <c r="F3655" s="340" t="s">
        <v>1078</v>
      </c>
      <c r="G3655" s="340" t="s">
        <v>2567</v>
      </c>
      <c r="H3655" s="340"/>
      <c r="I3655" s="340" t="s">
        <v>771</v>
      </c>
      <c r="K3655" s="343">
        <v>0.01</v>
      </c>
      <c r="L3655" s="343">
        <v>0</v>
      </c>
      <c r="M3655" s="343">
        <v>-817151.26</v>
      </c>
      <c r="O3655" s="343">
        <v>0</v>
      </c>
    </row>
    <row r="3656" spans="1:15" x14ac:dyDescent="0.3">
      <c r="A3656" s="340" t="s">
        <v>891</v>
      </c>
      <c r="B3656" s="350">
        <v>46130</v>
      </c>
      <c r="C3656" s="350">
        <v>46131</v>
      </c>
      <c r="D3656" s="351">
        <v>46113</v>
      </c>
      <c r="E3656" s="340" t="s">
        <v>2899</v>
      </c>
      <c r="F3656" s="340" t="s">
        <v>1078</v>
      </c>
      <c r="G3656" s="340" t="s">
        <v>2568</v>
      </c>
      <c r="H3656" s="340"/>
      <c r="I3656" s="340" t="s">
        <v>771</v>
      </c>
      <c r="K3656" s="343">
        <v>0.01</v>
      </c>
      <c r="L3656" s="343">
        <v>0</v>
      </c>
      <c r="M3656" s="343">
        <v>-817151.25</v>
      </c>
      <c r="O3656" s="343">
        <v>0</v>
      </c>
    </row>
    <row r="3657" spans="1:15" x14ac:dyDescent="0.3">
      <c r="A3657" s="340" t="s">
        <v>891</v>
      </c>
      <c r="B3657" s="350">
        <v>46130</v>
      </c>
      <c r="C3657" s="350">
        <v>46131</v>
      </c>
      <c r="D3657" s="351">
        <v>46113</v>
      </c>
      <c r="E3657" s="340" t="s">
        <v>2899</v>
      </c>
      <c r="F3657" s="340" t="s">
        <v>1078</v>
      </c>
      <c r="G3657" s="340" t="s">
        <v>2568</v>
      </c>
      <c r="H3657" s="340"/>
      <c r="I3657" s="340" t="s">
        <v>771</v>
      </c>
      <c r="K3657" s="343">
        <v>0.02</v>
      </c>
      <c r="L3657" s="343">
        <v>0</v>
      </c>
      <c r="M3657" s="343">
        <v>-817151.23</v>
      </c>
      <c r="O3657" s="343">
        <v>0</v>
      </c>
    </row>
    <row r="3658" spans="1:15" x14ac:dyDescent="0.3">
      <c r="A3658" s="340" t="s">
        <v>891</v>
      </c>
      <c r="B3658" s="350">
        <v>46130</v>
      </c>
      <c r="C3658" s="350">
        <v>46131</v>
      </c>
      <c r="D3658" s="351">
        <v>46113</v>
      </c>
      <c r="E3658" s="340" t="s">
        <v>2899</v>
      </c>
      <c r="F3658" s="340" t="s">
        <v>1078</v>
      </c>
      <c r="G3658" s="340" t="s">
        <v>2569</v>
      </c>
      <c r="H3658" s="340"/>
      <c r="I3658" s="340" t="s">
        <v>771</v>
      </c>
      <c r="K3658" s="343">
        <v>7.0000000000000007E-2</v>
      </c>
      <c r="L3658" s="343">
        <v>0</v>
      </c>
      <c r="M3658" s="343">
        <v>-817151.16</v>
      </c>
      <c r="O3658" s="343">
        <v>0</v>
      </c>
    </row>
    <row r="3659" spans="1:15" x14ac:dyDescent="0.3">
      <c r="A3659" s="340" t="s">
        <v>891</v>
      </c>
      <c r="B3659" s="350">
        <v>46130</v>
      </c>
      <c r="C3659" s="350">
        <v>46131</v>
      </c>
      <c r="D3659" s="351">
        <v>46113</v>
      </c>
      <c r="E3659" s="340" t="s">
        <v>2899</v>
      </c>
      <c r="F3659" s="340" t="s">
        <v>1078</v>
      </c>
      <c r="G3659" s="340" t="s">
        <v>2439</v>
      </c>
      <c r="H3659" s="340"/>
      <c r="I3659" s="340" t="s">
        <v>771</v>
      </c>
      <c r="K3659" s="343">
        <v>0.08</v>
      </c>
      <c r="L3659" s="343">
        <v>0</v>
      </c>
      <c r="M3659" s="343">
        <v>-817151.08</v>
      </c>
      <c r="O3659" s="343">
        <v>0</v>
      </c>
    </row>
    <row r="3660" spans="1:15" x14ac:dyDescent="0.3">
      <c r="A3660" s="340" t="s">
        <v>891</v>
      </c>
      <c r="B3660" s="350">
        <v>46130</v>
      </c>
      <c r="C3660" s="350">
        <v>46131</v>
      </c>
      <c r="D3660" s="351">
        <v>46113</v>
      </c>
      <c r="E3660" s="340" t="s">
        <v>2899</v>
      </c>
      <c r="F3660" s="340" t="s">
        <v>1078</v>
      </c>
      <c r="G3660" s="340" t="s">
        <v>2570</v>
      </c>
      <c r="H3660" s="340"/>
      <c r="I3660" s="340" t="s">
        <v>771</v>
      </c>
      <c r="K3660" s="343">
        <v>0.08</v>
      </c>
      <c r="L3660" s="343">
        <v>0</v>
      </c>
      <c r="M3660" s="343">
        <v>-817151</v>
      </c>
      <c r="O3660" s="343">
        <v>0</v>
      </c>
    </row>
    <row r="3661" spans="1:15" x14ac:dyDescent="0.3">
      <c r="A3661" s="340" t="s">
        <v>891</v>
      </c>
      <c r="B3661" s="350">
        <v>46130</v>
      </c>
      <c r="C3661" s="350">
        <v>46131</v>
      </c>
      <c r="D3661" s="351">
        <v>46113</v>
      </c>
      <c r="E3661" s="340" t="s">
        <v>2899</v>
      </c>
      <c r="F3661" s="340" t="s">
        <v>1078</v>
      </c>
      <c r="G3661" s="340" t="s">
        <v>2439</v>
      </c>
      <c r="H3661" s="340"/>
      <c r="I3661" s="340" t="s">
        <v>771</v>
      </c>
      <c r="K3661" s="343">
        <v>0.12</v>
      </c>
      <c r="L3661" s="343">
        <v>0</v>
      </c>
      <c r="M3661" s="343">
        <v>-817150.88</v>
      </c>
      <c r="O3661" s="343">
        <v>0</v>
      </c>
    </row>
    <row r="3662" spans="1:15" x14ac:dyDescent="0.3">
      <c r="A3662" s="340" t="s">
        <v>891</v>
      </c>
      <c r="B3662" s="350">
        <v>46130</v>
      </c>
      <c r="C3662" s="350">
        <v>46131</v>
      </c>
      <c r="D3662" s="351">
        <v>46113</v>
      </c>
      <c r="E3662" s="340" t="s">
        <v>2899</v>
      </c>
      <c r="F3662" s="340" t="s">
        <v>1078</v>
      </c>
      <c r="G3662" s="340" t="s">
        <v>2441</v>
      </c>
      <c r="H3662" s="340"/>
      <c r="I3662" s="340" t="s">
        <v>771</v>
      </c>
      <c r="K3662" s="343">
        <v>0.16</v>
      </c>
      <c r="L3662" s="343">
        <v>0</v>
      </c>
      <c r="M3662" s="343">
        <v>-817150.72</v>
      </c>
      <c r="O3662" s="343">
        <v>0</v>
      </c>
    </row>
    <row r="3663" spans="1:15" x14ac:dyDescent="0.3">
      <c r="A3663" s="340" t="s">
        <v>891</v>
      </c>
      <c r="B3663" s="350">
        <v>46130</v>
      </c>
      <c r="C3663" s="350">
        <v>46131</v>
      </c>
      <c r="D3663" s="351">
        <v>46113</v>
      </c>
      <c r="E3663" s="340" t="s">
        <v>2899</v>
      </c>
      <c r="F3663" s="340" t="s">
        <v>1078</v>
      </c>
      <c r="G3663" s="340" t="s">
        <v>2441</v>
      </c>
      <c r="H3663" s="340"/>
      <c r="I3663" s="340" t="s">
        <v>771</v>
      </c>
      <c r="K3663" s="343">
        <v>0.24</v>
      </c>
      <c r="L3663" s="343">
        <v>0</v>
      </c>
      <c r="M3663" s="343">
        <v>-817150.48</v>
      </c>
      <c r="O3663" s="343">
        <v>0</v>
      </c>
    </row>
    <row r="3664" spans="1:15" x14ac:dyDescent="0.3">
      <c r="A3664" s="340" t="s">
        <v>891</v>
      </c>
      <c r="B3664" s="350">
        <v>46130</v>
      </c>
      <c r="C3664" s="350">
        <v>46131</v>
      </c>
      <c r="D3664" s="351">
        <v>46113</v>
      </c>
      <c r="E3664" s="340" t="s">
        <v>2899</v>
      </c>
      <c r="F3664" s="340" t="s">
        <v>1078</v>
      </c>
      <c r="G3664" s="340" t="s">
        <v>2571</v>
      </c>
      <c r="H3664" s="340"/>
      <c r="I3664" s="340" t="s">
        <v>771</v>
      </c>
      <c r="K3664" s="343">
        <v>0.69</v>
      </c>
      <c r="L3664" s="343">
        <v>0</v>
      </c>
      <c r="M3664" s="343">
        <v>-817149.79</v>
      </c>
      <c r="O3664" s="343">
        <v>0</v>
      </c>
    </row>
    <row r="3665" spans="1:15" x14ac:dyDescent="0.3">
      <c r="A3665" s="340" t="s">
        <v>891</v>
      </c>
      <c r="B3665" s="350">
        <v>46130</v>
      </c>
      <c r="C3665" s="350">
        <v>46131</v>
      </c>
      <c r="D3665" s="351">
        <v>46113</v>
      </c>
      <c r="E3665" s="340" t="s">
        <v>2899</v>
      </c>
      <c r="F3665" s="340" t="s">
        <v>1078</v>
      </c>
      <c r="G3665" s="340" t="s">
        <v>2572</v>
      </c>
      <c r="H3665" s="340"/>
      <c r="I3665" s="340" t="s">
        <v>771</v>
      </c>
      <c r="K3665" s="343">
        <v>1.94</v>
      </c>
      <c r="L3665" s="343">
        <v>0</v>
      </c>
      <c r="M3665" s="343">
        <v>-817147.85</v>
      </c>
      <c r="O3665" s="343">
        <v>0</v>
      </c>
    </row>
    <row r="3666" spans="1:15" x14ac:dyDescent="0.3">
      <c r="A3666" s="340" t="s">
        <v>891</v>
      </c>
      <c r="B3666" s="350">
        <v>46130</v>
      </c>
      <c r="C3666" s="350">
        <v>46131</v>
      </c>
      <c r="D3666" s="351">
        <v>46113</v>
      </c>
      <c r="E3666" s="340" t="s">
        <v>2899</v>
      </c>
      <c r="F3666" s="340" t="s">
        <v>1078</v>
      </c>
      <c r="G3666" s="340" t="s">
        <v>2442</v>
      </c>
      <c r="H3666" s="340"/>
      <c r="I3666" s="340" t="s">
        <v>771</v>
      </c>
      <c r="K3666" s="343">
        <v>2.2599999999999998</v>
      </c>
      <c r="L3666" s="343">
        <v>0</v>
      </c>
      <c r="M3666" s="343">
        <v>-817145.59</v>
      </c>
      <c r="O3666" s="343">
        <v>0</v>
      </c>
    </row>
    <row r="3667" spans="1:15" x14ac:dyDescent="0.3">
      <c r="A3667" s="340" t="s">
        <v>891</v>
      </c>
      <c r="B3667" s="350">
        <v>46130</v>
      </c>
      <c r="C3667" s="350">
        <v>46131</v>
      </c>
      <c r="D3667" s="351">
        <v>46113</v>
      </c>
      <c r="E3667" s="340" t="s">
        <v>2899</v>
      </c>
      <c r="F3667" s="340" t="s">
        <v>1078</v>
      </c>
      <c r="G3667" s="340" t="s">
        <v>2573</v>
      </c>
      <c r="H3667" s="340"/>
      <c r="I3667" s="340" t="s">
        <v>771</v>
      </c>
      <c r="K3667" s="343">
        <v>2.27</v>
      </c>
      <c r="L3667" s="343">
        <v>0</v>
      </c>
      <c r="M3667" s="343">
        <v>-817143.32</v>
      </c>
      <c r="O3667" s="343">
        <v>0</v>
      </c>
    </row>
    <row r="3668" spans="1:15" x14ac:dyDescent="0.3">
      <c r="A3668" s="340" t="s">
        <v>891</v>
      </c>
      <c r="B3668" s="350">
        <v>46130</v>
      </c>
      <c r="C3668" s="350">
        <v>46131</v>
      </c>
      <c r="D3668" s="351">
        <v>46113</v>
      </c>
      <c r="E3668" s="340" t="s">
        <v>2899</v>
      </c>
      <c r="F3668" s="340" t="s">
        <v>1078</v>
      </c>
      <c r="G3668" s="340" t="s">
        <v>2565</v>
      </c>
      <c r="H3668" s="340"/>
      <c r="I3668" s="340" t="s">
        <v>771</v>
      </c>
      <c r="K3668" s="343">
        <v>4.6100000000000003</v>
      </c>
      <c r="L3668" s="343">
        <v>0</v>
      </c>
      <c r="M3668" s="343">
        <v>-817138.71</v>
      </c>
      <c r="O3668" s="343">
        <v>0</v>
      </c>
    </row>
    <row r="3669" spans="1:15" x14ac:dyDescent="0.3">
      <c r="A3669" s="340" t="s">
        <v>891</v>
      </c>
      <c r="B3669" s="350">
        <v>46130</v>
      </c>
      <c r="C3669" s="350">
        <v>46131</v>
      </c>
      <c r="D3669" s="351">
        <v>46113</v>
      </c>
      <c r="E3669" s="340" t="s">
        <v>2899</v>
      </c>
      <c r="F3669" s="340" t="s">
        <v>1078</v>
      </c>
      <c r="G3669" s="340" t="s">
        <v>2566</v>
      </c>
      <c r="H3669" s="340"/>
      <c r="I3669" s="340" t="s">
        <v>771</v>
      </c>
      <c r="K3669" s="343">
        <v>7.78</v>
      </c>
      <c r="L3669" s="343">
        <v>0</v>
      </c>
      <c r="M3669" s="343">
        <v>-817130.93</v>
      </c>
      <c r="O3669" s="343">
        <v>0</v>
      </c>
    </row>
    <row r="3670" spans="1:15" x14ac:dyDescent="0.3">
      <c r="A3670" s="340" t="s">
        <v>891</v>
      </c>
      <c r="B3670" s="350">
        <v>46130</v>
      </c>
      <c r="C3670" s="350">
        <v>46131</v>
      </c>
      <c r="D3670" s="351">
        <v>46113</v>
      </c>
      <c r="E3670" s="340" t="s">
        <v>2899</v>
      </c>
      <c r="F3670" s="340" t="s">
        <v>1078</v>
      </c>
      <c r="G3670" s="340" t="s">
        <v>2568</v>
      </c>
      <c r="H3670" s="340"/>
      <c r="I3670" s="340" t="s">
        <v>771</v>
      </c>
      <c r="K3670" s="343">
        <v>0.01</v>
      </c>
      <c r="L3670" s="343">
        <v>0</v>
      </c>
      <c r="M3670" s="343">
        <v>-817130.92</v>
      </c>
      <c r="O3670" s="343">
        <v>0</v>
      </c>
    </row>
    <row r="3671" spans="1:15" x14ac:dyDescent="0.3">
      <c r="A3671" s="340" t="s">
        <v>891</v>
      </c>
      <c r="B3671" s="350">
        <v>46130</v>
      </c>
      <c r="C3671" s="350">
        <v>46131</v>
      </c>
      <c r="D3671" s="351">
        <v>46113</v>
      </c>
      <c r="E3671" s="340" t="s">
        <v>2899</v>
      </c>
      <c r="F3671" s="340" t="s">
        <v>1078</v>
      </c>
      <c r="G3671" s="340" t="s">
        <v>2439</v>
      </c>
      <c r="H3671" s="340"/>
      <c r="I3671" s="340" t="s">
        <v>771</v>
      </c>
      <c r="K3671" s="343">
        <v>7.0000000000000007E-2</v>
      </c>
      <c r="L3671" s="343">
        <v>0</v>
      </c>
      <c r="M3671" s="343">
        <v>-817130.85</v>
      </c>
      <c r="O3671" s="343">
        <v>0</v>
      </c>
    </row>
    <row r="3672" spans="1:15" x14ac:dyDescent="0.3">
      <c r="A3672" s="340" t="s">
        <v>891</v>
      </c>
      <c r="B3672" s="350">
        <v>46130</v>
      </c>
      <c r="C3672" s="350">
        <v>46131</v>
      </c>
      <c r="D3672" s="351">
        <v>46113</v>
      </c>
      <c r="E3672" s="340" t="s">
        <v>2899</v>
      </c>
      <c r="F3672" s="340" t="s">
        <v>1078</v>
      </c>
      <c r="G3672" s="340" t="s">
        <v>2441</v>
      </c>
      <c r="H3672" s="340"/>
      <c r="I3672" s="340" t="s">
        <v>771</v>
      </c>
      <c r="K3672" s="343">
        <v>0.14000000000000001</v>
      </c>
      <c r="L3672" s="343">
        <v>0</v>
      </c>
      <c r="M3672" s="343">
        <v>-817130.71</v>
      </c>
      <c r="O3672" s="343">
        <v>0</v>
      </c>
    </row>
    <row r="3673" spans="1:15" x14ac:dyDescent="0.3">
      <c r="A3673" s="340" t="s">
        <v>891</v>
      </c>
      <c r="B3673" s="350">
        <v>46130</v>
      </c>
      <c r="C3673" s="350">
        <v>46131</v>
      </c>
      <c r="D3673" s="351">
        <v>46113</v>
      </c>
      <c r="E3673" s="340" t="s">
        <v>2899</v>
      </c>
      <c r="F3673" s="340" t="s">
        <v>1078</v>
      </c>
      <c r="G3673" s="340" t="s">
        <v>2442</v>
      </c>
      <c r="H3673" s="340"/>
      <c r="I3673" s="340" t="s">
        <v>771</v>
      </c>
      <c r="K3673" s="343">
        <v>2.2599999999999998</v>
      </c>
      <c r="L3673" s="343">
        <v>0</v>
      </c>
      <c r="M3673" s="343">
        <v>-817128.45</v>
      </c>
      <c r="O3673" s="343">
        <v>0</v>
      </c>
    </row>
    <row r="3674" spans="1:15" x14ac:dyDescent="0.3">
      <c r="A3674" s="340" t="s">
        <v>891</v>
      </c>
      <c r="B3674" s="350">
        <v>46130</v>
      </c>
      <c r="C3674" s="350">
        <v>46131</v>
      </c>
      <c r="D3674" s="351">
        <v>46113</v>
      </c>
      <c r="E3674" s="340" t="s">
        <v>2899</v>
      </c>
      <c r="F3674" s="340" t="s">
        <v>1078</v>
      </c>
      <c r="G3674" s="340" t="s">
        <v>2565</v>
      </c>
      <c r="H3674" s="340"/>
      <c r="I3674" s="340" t="s">
        <v>771</v>
      </c>
      <c r="K3674" s="343">
        <v>4.6100000000000003</v>
      </c>
      <c r="L3674" s="343">
        <v>0</v>
      </c>
      <c r="M3674" s="343">
        <v>-817123.83999999997</v>
      </c>
      <c r="O3674" s="343">
        <v>0</v>
      </c>
    </row>
    <row r="3675" spans="1:15" x14ac:dyDescent="0.3">
      <c r="A3675" s="340" t="s">
        <v>891</v>
      </c>
      <c r="B3675" s="350">
        <v>46130</v>
      </c>
      <c r="C3675" s="350">
        <v>46131</v>
      </c>
      <c r="D3675" s="351">
        <v>46113</v>
      </c>
      <c r="E3675" s="340" t="s">
        <v>2899</v>
      </c>
      <c r="F3675" s="340" t="s">
        <v>1078</v>
      </c>
      <c r="G3675" s="340" t="s">
        <v>2570</v>
      </c>
      <c r="H3675" s="340"/>
      <c r="I3675" s="340" t="s">
        <v>771</v>
      </c>
      <c r="K3675" s="343">
        <v>7.0000000000000007E-2</v>
      </c>
      <c r="L3675" s="343">
        <v>0</v>
      </c>
      <c r="M3675" s="343">
        <v>-817123.77</v>
      </c>
      <c r="O3675" s="343">
        <v>0</v>
      </c>
    </row>
    <row r="3676" spans="1:15" x14ac:dyDescent="0.3">
      <c r="A3676" s="340" t="s">
        <v>891</v>
      </c>
      <c r="B3676" s="350">
        <v>46130</v>
      </c>
      <c r="C3676" s="350">
        <v>46131</v>
      </c>
      <c r="D3676" s="351">
        <v>46113</v>
      </c>
      <c r="E3676" s="340" t="s">
        <v>2899</v>
      </c>
      <c r="F3676" s="340" t="s">
        <v>1078</v>
      </c>
      <c r="G3676" s="340" t="s">
        <v>2569</v>
      </c>
      <c r="H3676" s="340"/>
      <c r="I3676" s="340" t="s">
        <v>771</v>
      </c>
      <c r="K3676" s="343">
        <v>0.06</v>
      </c>
      <c r="L3676" s="343">
        <v>0</v>
      </c>
      <c r="M3676" s="343">
        <v>-817123.71</v>
      </c>
      <c r="O3676" s="343">
        <v>0</v>
      </c>
    </row>
    <row r="3677" spans="1:15" x14ac:dyDescent="0.3">
      <c r="A3677" s="340" t="s">
        <v>891</v>
      </c>
      <c r="B3677" s="350">
        <v>46130</v>
      </c>
      <c r="C3677" s="350">
        <v>46131</v>
      </c>
      <c r="D3677" s="351">
        <v>46113</v>
      </c>
      <c r="E3677" s="340" t="s">
        <v>2899</v>
      </c>
      <c r="F3677" s="340" t="s">
        <v>1078</v>
      </c>
      <c r="G3677" s="340" t="s">
        <v>2568</v>
      </c>
      <c r="H3677" s="340"/>
      <c r="I3677" s="340" t="s">
        <v>771</v>
      </c>
      <c r="K3677" s="343">
        <v>0.01</v>
      </c>
      <c r="L3677" s="343">
        <v>0</v>
      </c>
      <c r="M3677" s="343">
        <v>-817123.7</v>
      </c>
      <c r="O3677" s="343">
        <v>0</v>
      </c>
    </row>
    <row r="3678" spans="1:15" x14ac:dyDescent="0.3">
      <c r="A3678" s="340" t="s">
        <v>891</v>
      </c>
      <c r="B3678" s="350">
        <v>46130</v>
      </c>
      <c r="C3678" s="350">
        <v>46131</v>
      </c>
      <c r="D3678" s="351">
        <v>46113</v>
      </c>
      <c r="E3678" s="340" t="s">
        <v>2899</v>
      </c>
      <c r="F3678" s="340" t="s">
        <v>1078</v>
      </c>
      <c r="G3678" s="340" t="s">
        <v>2439</v>
      </c>
      <c r="H3678" s="340"/>
      <c r="I3678" s="340" t="s">
        <v>771</v>
      </c>
      <c r="K3678" s="343">
        <v>7.0000000000000007E-2</v>
      </c>
      <c r="L3678" s="343">
        <v>0</v>
      </c>
      <c r="M3678" s="343">
        <v>-817123.63</v>
      </c>
      <c r="O3678" s="343">
        <v>0</v>
      </c>
    </row>
    <row r="3679" spans="1:15" x14ac:dyDescent="0.3">
      <c r="A3679" s="340" t="s">
        <v>891</v>
      </c>
      <c r="B3679" s="350">
        <v>46130</v>
      </c>
      <c r="C3679" s="350">
        <v>46131</v>
      </c>
      <c r="D3679" s="351">
        <v>46113</v>
      </c>
      <c r="E3679" s="340" t="s">
        <v>2899</v>
      </c>
      <c r="F3679" s="340" t="s">
        <v>1078</v>
      </c>
      <c r="G3679" s="340" t="s">
        <v>2567</v>
      </c>
      <c r="H3679" s="340"/>
      <c r="I3679" s="340" t="s">
        <v>771</v>
      </c>
      <c r="K3679" s="343">
        <v>0.01</v>
      </c>
      <c r="L3679" s="343">
        <v>0</v>
      </c>
      <c r="M3679" s="343">
        <v>-817123.62</v>
      </c>
      <c r="O3679" s="343">
        <v>0</v>
      </c>
    </row>
    <row r="3680" spans="1:15" x14ac:dyDescent="0.3">
      <c r="A3680" s="340" t="s">
        <v>891</v>
      </c>
      <c r="B3680" s="350">
        <v>46130</v>
      </c>
      <c r="C3680" s="350">
        <v>46131</v>
      </c>
      <c r="D3680" s="351">
        <v>46113</v>
      </c>
      <c r="E3680" s="340" t="s">
        <v>2899</v>
      </c>
      <c r="F3680" s="340" t="s">
        <v>1078</v>
      </c>
      <c r="G3680" s="340" t="s">
        <v>2568</v>
      </c>
      <c r="H3680" s="340"/>
      <c r="I3680" s="340" t="s">
        <v>771</v>
      </c>
      <c r="K3680" s="343">
        <v>0.02</v>
      </c>
      <c r="L3680" s="343">
        <v>0</v>
      </c>
      <c r="M3680" s="343">
        <v>-817123.6</v>
      </c>
      <c r="O3680" s="343">
        <v>0</v>
      </c>
    </row>
    <row r="3681" spans="1:15" x14ac:dyDescent="0.3">
      <c r="A3681" s="340" t="s">
        <v>891</v>
      </c>
      <c r="B3681" s="350">
        <v>46130</v>
      </c>
      <c r="C3681" s="350">
        <v>46131</v>
      </c>
      <c r="D3681" s="351">
        <v>46113</v>
      </c>
      <c r="E3681" s="340" t="s">
        <v>2899</v>
      </c>
      <c r="F3681" s="340" t="s">
        <v>1078</v>
      </c>
      <c r="G3681" s="340" t="s">
        <v>2439</v>
      </c>
      <c r="H3681" s="340"/>
      <c r="I3681" s="340" t="s">
        <v>771</v>
      </c>
      <c r="K3681" s="343">
        <v>0.11</v>
      </c>
      <c r="L3681" s="343">
        <v>0</v>
      </c>
      <c r="M3681" s="343">
        <v>-817123.49</v>
      </c>
      <c r="O3681" s="343">
        <v>0</v>
      </c>
    </row>
    <row r="3682" spans="1:15" x14ac:dyDescent="0.3">
      <c r="A3682" s="340" t="s">
        <v>891</v>
      </c>
      <c r="B3682" s="350">
        <v>46130</v>
      </c>
      <c r="C3682" s="350">
        <v>46131</v>
      </c>
      <c r="D3682" s="351">
        <v>46113</v>
      </c>
      <c r="E3682" s="340" t="s">
        <v>2899</v>
      </c>
      <c r="F3682" s="340" t="s">
        <v>1078</v>
      </c>
      <c r="G3682" s="340" t="s">
        <v>2441</v>
      </c>
      <c r="H3682" s="340"/>
      <c r="I3682" s="340" t="s">
        <v>771</v>
      </c>
      <c r="K3682" s="343">
        <v>0.14000000000000001</v>
      </c>
      <c r="L3682" s="343">
        <v>0</v>
      </c>
      <c r="M3682" s="343">
        <v>-817123.35</v>
      </c>
      <c r="O3682" s="343">
        <v>0</v>
      </c>
    </row>
    <row r="3683" spans="1:15" x14ac:dyDescent="0.3">
      <c r="A3683" s="340" t="s">
        <v>891</v>
      </c>
      <c r="B3683" s="350">
        <v>46130</v>
      </c>
      <c r="C3683" s="350">
        <v>46131</v>
      </c>
      <c r="D3683" s="351">
        <v>46113</v>
      </c>
      <c r="E3683" s="340" t="s">
        <v>2899</v>
      </c>
      <c r="F3683" s="340" t="s">
        <v>1078</v>
      </c>
      <c r="G3683" s="340" t="s">
        <v>2441</v>
      </c>
      <c r="H3683" s="340"/>
      <c r="I3683" s="340" t="s">
        <v>771</v>
      </c>
      <c r="K3683" s="343">
        <v>0.22</v>
      </c>
      <c r="L3683" s="343">
        <v>0</v>
      </c>
      <c r="M3683" s="343">
        <v>-817123.13</v>
      </c>
      <c r="O3683" s="343">
        <v>0</v>
      </c>
    </row>
    <row r="3684" spans="1:15" x14ac:dyDescent="0.3">
      <c r="A3684" s="340" t="s">
        <v>891</v>
      </c>
      <c r="B3684" s="350">
        <v>46130</v>
      </c>
      <c r="C3684" s="350">
        <v>46131</v>
      </c>
      <c r="D3684" s="351">
        <v>46113</v>
      </c>
      <c r="E3684" s="340" t="s">
        <v>2899</v>
      </c>
      <c r="F3684" s="340" t="s">
        <v>1078</v>
      </c>
      <c r="G3684" s="340" t="s">
        <v>2571</v>
      </c>
      <c r="H3684" s="340"/>
      <c r="I3684" s="340" t="s">
        <v>771</v>
      </c>
      <c r="K3684" s="343">
        <v>0.57999999999999996</v>
      </c>
      <c r="L3684" s="343">
        <v>0</v>
      </c>
      <c r="M3684" s="343">
        <v>-817122.55</v>
      </c>
      <c r="O3684" s="343">
        <v>0</v>
      </c>
    </row>
    <row r="3685" spans="1:15" x14ac:dyDescent="0.3">
      <c r="A3685" s="340" t="s">
        <v>891</v>
      </c>
      <c r="B3685" s="350">
        <v>46130</v>
      </c>
      <c r="C3685" s="350">
        <v>46131</v>
      </c>
      <c r="D3685" s="351">
        <v>46113</v>
      </c>
      <c r="E3685" s="340" t="s">
        <v>2899</v>
      </c>
      <c r="F3685" s="340" t="s">
        <v>1078</v>
      </c>
      <c r="G3685" s="340" t="s">
        <v>2572</v>
      </c>
      <c r="H3685" s="340"/>
      <c r="I3685" s="340" t="s">
        <v>771</v>
      </c>
      <c r="K3685" s="343">
        <v>1.65</v>
      </c>
      <c r="L3685" s="343">
        <v>0</v>
      </c>
      <c r="M3685" s="343">
        <v>-817120.9</v>
      </c>
      <c r="O3685" s="343">
        <v>0</v>
      </c>
    </row>
    <row r="3686" spans="1:15" x14ac:dyDescent="0.3">
      <c r="A3686" s="340" t="s">
        <v>891</v>
      </c>
      <c r="B3686" s="350">
        <v>46130</v>
      </c>
      <c r="C3686" s="350">
        <v>46131</v>
      </c>
      <c r="D3686" s="351">
        <v>46113</v>
      </c>
      <c r="E3686" s="340" t="s">
        <v>2899</v>
      </c>
      <c r="F3686" s="340" t="s">
        <v>1078</v>
      </c>
      <c r="G3686" s="340" t="s">
        <v>2573</v>
      </c>
      <c r="H3686" s="340"/>
      <c r="I3686" s="340" t="s">
        <v>771</v>
      </c>
      <c r="K3686" s="343">
        <v>1.93</v>
      </c>
      <c r="L3686" s="343">
        <v>0</v>
      </c>
      <c r="M3686" s="343">
        <v>-817118.97</v>
      </c>
      <c r="O3686" s="343">
        <v>0</v>
      </c>
    </row>
    <row r="3687" spans="1:15" x14ac:dyDescent="0.3">
      <c r="A3687" s="340" t="s">
        <v>891</v>
      </c>
      <c r="B3687" s="350">
        <v>46130</v>
      </c>
      <c r="C3687" s="350">
        <v>46131</v>
      </c>
      <c r="D3687" s="351">
        <v>46113</v>
      </c>
      <c r="E3687" s="340" t="s">
        <v>2899</v>
      </c>
      <c r="F3687" s="340" t="s">
        <v>1078</v>
      </c>
      <c r="G3687" s="340" t="s">
        <v>2442</v>
      </c>
      <c r="H3687" s="340"/>
      <c r="I3687" s="340" t="s">
        <v>771</v>
      </c>
      <c r="K3687" s="343">
        <v>2.2599999999999998</v>
      </c>
      <c r="L3687" s="343">
        <v>0</v>
      </c>
      <c r="M3687" s="343">
        <v>-817116.71</v>
      </c>
      <c r="O3687" s="343">
        <v>0</v>
      </c>
    </row>
    <row r="3688" spans="1:15" x14ac:dyDescent="0.3">
      <c r="A3688" s="340" t="s">
        <v>891</v>
      </c>
      <c r="B3688" s="350">
        <v>46130</v>
      </c>
      <c r="C3688" s="350">
        <v>46131</v>
      </c>
      <c r="D3688" s="351">
        <v>46113</v>
      </c>
      <c r="E3688" s="340" t="s">
        <v>2899</v>
      </c>
      <c r="F3688" s="340" t="s">
        <v>1078</v>
      </c>
      <c r="G3688" s="340" t="s">
        <v>2565</v>
      </c>
      <c r="H3688" s="340"/>
      <c r="I3688" s="340" t="s">
        <v>771</v>
      </c>
      <c r="K3688" s="343">
        <v>4.6100000000000003</v>
      </c>
      <c r="L3688" s="343">
        <v>0</v>
      </c>
      <c r="M3688" s="343">
        <v>-817112.1</v>
      </c>
      <c r="O3688" s="343">
        <v>0</v>
      </c>
    </row>
    <row r="3689" spans="1:15" x14ac:dyDescent="0.3">
      <c r="A3689" s="340" t="s">
        <v>891</v>
      </c>
      <c r="B3689" s="350">
        <v>46130</v>
      </c>
      <c r="C3689" s="350">
        <v>46131</v>
      </c>
      <c r="D3689" s="351">
        <v>46113</v>
      </c>
      <c r="E3689" s="340" t="s">
        <v>2899</v>
      </c>
      <c r="F3689" s="340" t="s">
        <v>1078</v>
      </c>
      <c r="G3689" s="340" t="s">
        <v>2566</v>
      </c>
      <c r="H3689" s="340"/>
      <c r="I3689" s="340" t="s">
        <v>771</v>
      </c>
      <c r="K3689" s="343">
        <v>6.62</v>
      </c>
      <c r="L3689" s="343">
        <v>0</v>
      </c>
      <c r="M3689" s="343">
        <v>-817105.48</v>
      </c>
      <c r="O3689" s="343">
        <v>0</v>
      </c>
    </row>
    <row r="3690" spans="1:15" x14ac:dyDescent="0.3">
      <c r="A3690" s="340" t="s">
        <v>891</v>
      </c>
      <c r="B3690" s="350">
        <v>46130</v>
      </c>
      <c r="C3690" s="350">
        <v>46131</v>
      </c>
      <c r="D3690" s="351">
        <v>46113</v>
      </c>
      <c r="E3690" s="340" t="s">
        <v>2899</v>
      </c>
      <c r="F3690" s="340" t="s">
        <v>1078</v>
      </c>
      <c r="G3690" s="340" t="s">
        <v>2567</v>
      </c>
      <c r="H3690" s="340"/>
      <c r="I3690" s="340" t="s">
        <v>771</v>
      </c>
      <c r="K3690" s="343">
        <v>0.01</v>
      </c>
      <c r="L3690" s="343">
        <v>0</v>
      </c>
      <c r="M3690" s="343">
        <v>-817105.47</v>
      </c>
      <c r="O3690" s="343">
        <v>0</v>
      </c>
    </row>
    <row r="3691" spans="1:15" x14ac:dyDescent="0.3">
      <c r="A3691" s="340" t="s">
        <v>891</v>
      </c>
      <c r="B3691" s="350">
        <v>46130</v>
      </c>
      <c r="C3691" s="350">
        <v>46131</v>
      </c>
      <c r="D3691" s="351">
        <v>46113</v>
      </c>
      <c r="E3691" s="340" t="s">
        <v>2899</v>
      </c>
      <c r="F3691" s="340" t="s">
        <v>1078</v>
      </c>
      <c r="G3691" s="340" t="s">
        <v>2568</v>
      </c>
      <c r="H3691" s="340"/>
      <c r="I3691" s="340" t="s">
        <v>771</v>
      </c>
      <c r="K3691" s="343">
        <v>0.01</v>
      </c>
      <c r="L3691" s="343">
        <v>0</v>
      </c>
      <c r="M3691" s="343">
        <v>-817105.46</v>
      </c>
      <c r="O3691" s="343">
        <v>0</v>
      </c>
    </row>
    <row r="3692" spans="1:15" x14ac:dyDescent="0.3">
      <c r="A3692" s="340" t="s">
        <v>891</v>
      </c>
      <c r="B3692" s="350">
        <v>46130</v>
      </c>
      <c r="C3692" s="350">
        <v>46131</v>
      </c>
      <c r="D3692" s="351">
        <v>46113</v>
      </c>
      <c r="E3692" s="340" t="s">
        <v>2899</v>
      </c>
      <c r="F3692" s="340" t="s">
        <v>1078</v>
      </c>
      <c r="G3692" s="340" t="s">
        <v>2568</v>
      </c>
      <c r="H3692" s="340"/>
      <c r="I3692" s="340" t="s">
        <v>771</v>
      </c>
      <c r="K3692" s="343">
        <v>0.02</v>
      </c>
      <c r="L3692" s="343">
        <v>0</v>
      </c>
      <c r="M3692" s="343">
        <v>-817105.44</v>
      </c>
      <c r="O3692" s="343">
        <v>0</v>
      </c>
    </row>
    <row r="3693" spans="1:15" x14ac:dyDescent="0.3">
      <c r="A3693" s="340" t="s">
        <v>891</v>
      </c>
      <c r="B3693" s="350">
        <v>46130</v>
      </c>
      <c r="C3693" s="350">
        <v>46131</v>
      </c>
      <c r="D3693" s="351">
        <v>46113</v>
      </c>
      <c r="E3693" s="340" t="s">
        <v>2899</v>
      </c>
      <c r="F3693" s="340" t="s">
        <v>1078</v>
      </c>
      <c r="G3693" s="340" t="s">
        <v>2569</v>
      </c>
      <c r="H3693" s="340"/>
      <c r="I3693" s="340" t="s">
        <v>771</v>
      </c>
      <c r="K3693" s="343">
        <v>7.0000000000000007E-2</v>
      </c>
      <c r="L3693" s="343">
        <v>0</v>
      </c>
      <c r="M3693" s="343">
        <v>-817105.37</v>
      </c>
      <c r="O3693" s="343">
        <v>0</v>
      </c>
    </row>
    <row r="3694" spans="1:15" x14ac:dyDescent="0.3">
      <c r="A3694" s="340" t="s">
        <v>891</v>
      </c>
      <c r="B3694" s="350">
        <v>46130</v>
      </c>
      <c r="C3694" s="350">
        <v>46131</v>
      </c>
      <c r="D3694" s="351">
        <v>46113</v>
      </c>
      <c r="E3694" s="340" t="s">
        <v>2899</v>
      </c>
      <c r="F3694" s="340" t="s">
        <v>1078</v>
      </c>
      <c r="G3694" s="340" t="s">
        <v>2439</v>
      </c>
      <c r="H3694" s="340"/>
      <c r="I3694" s="340" t="s">
        <v>771</v>
      </c>
      <c r="K3694" s="343">
        <v>0.08</v>
      </c>
      <c r="L3694" s="343">
        <v>0</v>
      </c>
      <c r="M3694" s="343">
        <v>-817105.29</v>
      </c>
      <c r="O3694" s="343">
        <v>0</v>
      </c>
    </row>
    <row r="3695" spans="1:15" x14ac:dyDescent="0.3">
      <c r="A3695" s="340" t="s">
        <v>891</v>
      </c>
      <c r="B3695" s="350">
        <v>46130</v>
      </c>
      <c r="C3695" s="350">
        <v>46131</v>
      </c>
      <c r="D3695" s="351">
        <v>46113</v>
      </c>
      <c r="E3695" s="340" t="s">
        <v>2899</v>
      </c>
      <c r="F3695" s="340" t="s">
        <v>1078</v>
      </c>
      <c r="G3695" s="340" t="s">
        <v>2570</v>
      </c>
      <c r="H3695" s="340"/>
      <c r="I3695" s="340" t="s">
        <v>771</v>
      </c>
      <c r="K3695" s="343">
        <v>0.08</v>
      </c>
      <c r="L3695" s="343">
        <v>0</v>
      </c>
      <c r="M3695" s="343">
        <v>-817105.21</v>
      </c>
      <c r="O3695" s="343">
        <v>0</v>
      </c>
    </row>
    <row r="3696" spans="1:15" x14ac:dyDescent="0.3">
      <c r="A3696" s="340" t="s">
        <v>891</v>
      </c>
      <c r="B3696" s="350">
        <v>46130</v>
      </c>
      <c r="C3696" s="350">
        <v>46131</v>
      </c>
      <c r="D3696" s="351">
        <v>46113</v>
      </c>
      <c r="E3696" s="340" t="s">
        <v>2899</v>
      </c>
      <c r="F3696" s="340" t="s">
        <v>1078</v>
      </c>
      <c r="G3696" s="340" t="s">
        <v>2439</v>
      </c>
      <c r="H3696" s="340"/>
      <c r="I3696" s="340" t="s">
        <v>771</v>
      </c>
      <c r="K3696" s="343">
        <v>0.12</v>
      </c>
      <c r="L3696" s="343">
        <v>0</v>
      </c>
      <c r="M3696" s="343">
        <v>-817105.09</v>
      </c>
      <c r="O3696" s="343">
        <v>0</v>
      </c>
    </row>
    <row r="3697" spans="1:15" x14ac:dyDescent="0.3">
      <c r="A3697" s="340" t="s">
        <v>891</v>
      </c>
      <c r="B3697" s="350">
        <v>46130</v>
      </c>
      <c r="C3697" s="350">
        <v>46131</v>
      </c>
      <c r="D3697" s="351">
        <v>46113</v>
      </c>
      <c r="E3697" s="340" t="s">
        <v>2899</v>
      </c>
      <c r="F3697" s="340" t="s">
        <v>1078</v>
      </c>
      <c r="G3697" s="340" t="s">
        <v>2441</v>
      </c>
      <c r="H3697" s="340"/>
      <c r="I3697" s="340" t="s">
        <v>771</v>
      </c>
      <c r="K3697" s="343">
        <v>0.16</v>
      </c>
      <c r="L3697" s="343">
        <v>0</v>
      </c>
      <c r="M3697" s="343">
        <v>-817104.93</v>
      </c>
      <c r="O3697" s="343">
        <v>0</v>
      </c>
    </row>
    <row r="3698" spans="1:15" x14ac:dyDescent="0.3">
      <c r="A3698" s="340" t="s">
        <v>891</v>
      </c>
      <c r="B3698" s="350">
        <v>46130</v>
      </c>
      <c r="C3698" s="350">
        <v>46131</v>
      </c>
      <c r="D3698" s="351">
        <v>46113</v>
      </c>
      <c r="E3698" s="340" t="s">
        <v>2899</v>
      </c>
      <c r="F3698" s="340" t="s">
        <v>1078</v>
      </c>
      <c r="G3698" s="340" t="s">
        <v>2441</v>
      </c>
      <c r="H3698" s="340"/>
      <c r="I3698" s="340" t="s">
        <v>771</v>
      </c>
      <c r="K3698" s="343">
        <v>0.24</v>
      </c>
      <c r="L3698" s="343">
        <v>0</v>
      </c>
      <c r="M3698" s="343">
        <v>-817104.69</v>
      </c>
      <c r="O3698" s="343">
        <v>0</v>
      </c>
    </row>
    <row r="3699" spans="1:15" x14ac:dyDescent="0.3">
      <c r="A3699" s="340" t="s">
        <v>891</v>
      </c>
      <c r="B3699" s="350">
        <v>46130</v>
      </c>
      <c r="C3699" s="350">
        <v>46131</v>
      </c>
      <c r="D3699" s="351">
        <v>46113</v>
      </c>
      <c r="E3699" s="340" t="s">
        <v>2899</v>
      </c>
      <c r="F3699" s="340" t="s">
        <v>1078</v>
      </c>
      <c r="G3699" s="340" t="s">
        <v>2571</v>
      </c>
      <c r="H3699" s="340"/>
      <c r="I3699" s="340" t="s">
        <v>771</v>
      </c>
      <c r="K3699" s="343">
        <v>0.69</v>
      </c>
      <c r="L3699" s="343">
        <v>0</v>
      </c>
      <c r="M3699" s="343">
        <v>-817104</v>
      </c>
      <c r="O3699" s="343">
        <v>0</v>
      </c>
    </row>
    <row r="3700" spans="1:15" x14ac:dyDescent="0.3">
      <c r="A3700" s="340" t="s">
        <v>891</v>
      </c>
      <c r="B3700" s="350">
        <v>46130</v>
      </c>
      <c r="C3700" s="350">
        <v>46131</v>
      </c>
      <c r="D3700" s="351">
        <v>46113</v>
      </c>
      <c r="E3700" s="340" t="s">
        <v>2899</v>
      </c>
      <c r="F3700" s="340" t="s">
        <v>1078</v>
      </c>
      <c r="G3700" s="340" t="s">
        <v>2572</v>
      </c>
      <c r="H3700" s="340"/>
      <c r="I3700" s="340" t="s">
        <v>771</v>
      </c>
      <c r="K3700" s="343">
        <v>1.94</v>
      </c>
      <c r="L3700" s="343">
        <v>0</v>
      </c>
      <c r="M3700" s="343">
        <v>-817102.06</v>
      </c>
      <c r="O3700" s="343">
        <v>0</v>
      </c>
    </row>
    <row r="3701" spans="1:15" x14ac:dyDescent="0.3">
      <c r="A3701" s="340" t="s">
        <v>891</v>
      </c>
      <c r="B3701" s="350">
        <v>46130</v>
      </c>
      <c r="C3701" s="350">
        <v>46131</v>
      </c>
      <c r="D3701" s="351">
        <v>46113</v>
      </c>
      <c r="E3701" s="340" t="s">
        <v>2899</v>
      </c>
      <c r="F3701" s="340" t="s">
        <v>1078</v>
      </c>
      <c r="G3701" s="340" t="s">
        <v>2442</v>
      </c>
      <c r="H3701" s="340"/>
      <c r="I3701" s="340" t="s">
        <v>771</v>
      </c>
      <c r="K3701" s="343">
        <v>2.2599999999999998</v>
      </c>
      <c r="L3701" s="343">
        <v>0</v>
      </c>
      <c r="M3701" s="343">
        <v>-817099.8</v>
      </c>
      <c r="O3701" s="343">
        <v>0</v>
      </c>
    </row>
    <row r="3702" spans="1:15" x14ac:dyDescent="0.3">
      <c r="A3702" s="340" t="s">
        <v>891</v>
      </c>
      <c r="B3702" s="350">
        <v>46130</v>
      </c>
      <c r="C3702" s="350">
        <v>46131</v>
      </c>
      <c r="D3702" s="351">
        <v>46113</v>
      </c>
      <c r="E3702" s="340" t="s">
        <v>2899</v>
      </c>
      <c r="F3702" s="340" t="s">
        <v>1078</v>
      </c>
      <c r="G3702" s="340" t="s">
        <v>2573</v>
      </c>
      <c r="H3702" s="340"/>
      <c r="I3702" s="340" t="s">
        <v>771</v>
      </c>
      <c r="K3702" s="343">
        <v>2.27</v>
      </c>
      <c r="L3702" s="343">
        <v>0</v>
      </c>
      <c r="M3702" s="343">
        <v>-817097.53</v>
      </c>
      <c r="O3702" s="343">
        <v>0</v>
      </c>
    </row>
    <row r="3703" spans="1:15" x14ac:dyDescent="0.3">
      <c r="A3703" s="340" t="s">
        <v>891</v>
      </c>
      <c r="B3703" s="350">
        <v>46130</v>
      </c>
      <c r="C3703" s="350">
        <v>46131</v>
      </c>
      <c r="D3703" s="351">
        <v>46113</v>
      </c>
      <c r="E3703" s="340" t="s">
        <v>2899</v>
      </c>
      <c r="F3703" s="340" t="s">
        <v>1078</v>
      </c>
      <c r="G3703" s="340" t="s">
        <v>2565</v>
      </c>
      <c r="H3703" s="340"/>
      <c r="I3703" s="340" t="s">
        <v>771</v>
      </c>
      <c r="K3703" s="343">
        <v>4.6100000000000003</v>
      </c>
      <c r="L3703" s="343">
        <v>0</v>
      </c>
      <c r="M3703" s="343">
        <v>-817092.92</v>
      </c>
      <c r="O3703" s="343">
        <v>0</v>
      </c>
    </row>
    <row r="3704" spans="1:15" x14ac:dyDescent="0.3">
      <c r="A3704" s="340" t="s">
        <v>891</v>
      </c>
      <c r="B3704" s="350">
        <v>46130</v>
      </c>
      <c r="C3704" s="350">
        <v>46131</v>
      </c>
      <c r="D3704" s="351">
        <v>46113</v>
      </c>
      <c r="E3704" s="340" t="s">
        <v>2899</v>
      </c>
      <c r="F3704" s="340" t="s">
        <v>1078</v>
      </c>
      <c r="G3704" s="340" t="s">
        <v>2566</v>
      </c>
      <c r="H3704" s="340"/>
      <c r="I3704" s="340" t="s">
        <v>771</v>
      </c>
      <c r="K3704" s="343">
        <v>7.78</v>
      </c>
      <c r="L3704" s="343">
        <v>0</v>
      </c>
      <c r="M3704" s="343">
        <v>-817085.14</v>
      </c>
      <c r="O3704" s="343">
        <v>0</v>
      </c>
    </row>
    <row r="3705" spans="1:15" x14ac:dyDescent="0.3">
      <c r="A3705" s="340" t="s">
        <v>891</v>
      </c>
      <c r="B3705" s="350">
        <v>46130</v>
      </c>
      <c r="C3705" s="350">
        <v>46131</v>
      </c>
      <c r="D3705" s="351">
        <v>46113</v>
      </c>
      <c r="E3705" s="340" t="s">
        <v>2899</v>
      </c>
      <c r="F3705" s="340" t="s">
        <v>1078</v>
      </c>
      <c r="G3705" s="340" t="s">
        <v>2570</v>
      </c>
      <c r="H3705" s="340"/>
      <c r="I3705" s="340" t="s">
        <v>771</v>
      </c>
      <c r="K3705" s="343">
        <v>0.1</v>
      </c>
      <c r="L3705" s="343">
        <v>0</v>
      </c>
      <c r="M3705" s="343">
        <v>-817085.04</v>
      </c>
      <c r="O3705" s="343">
        <v>0</v>
      </c>
    </row>
    <row r="3706" spans="1:15" x14ac:dyDescent="0.3">
      <c r="A3706" s="340" t="s">
        <v>891</v>
      </c>
      <c r="B3706" s="350">
        <v>46130</v>
      </c>
      <c r="C3706" s="350">
        <v>46131</v>
      </c>
      <c r="D3706" s="351">
        <v>46113</v>
      </c>
      <c r="E3706" s="340" t="s">
        <v>2899</v>
      </c>
      <c r="F3706" s="340" t="s">
        <v>1078</v>
      </c>
      <c r="G3706" s="340" t="s">
        <v>2569</v>
      </c>
      <c r="H3706" s="340"/>
      <c r="I3706" s="340" t="s">
        <v>771</v>
      </c>
      <c r="K3706" s="343">
        <v>0.09</v>
      </c>
      <c r="L3706" s="343">
        <v>0</v>
      </c>
      <c r="M3706" s="343">
        <v>-817084.95</v>
      </c>
      <c r="O3706" s="343">
        <v>0</v>
      </c>
    </row>
    <row r="3707" spans="1:15" x14ac:dyDescent="0.3">
      <c r="A3707" s="340" t="s">
        <v>891</v>
      </c>
      <c r="B3707" s="350">
        <v>46130</v>
      </c>
      <c r="C3707" s="350">
        <v>46131</v>
      </c>
      <c r="D3707" s="351">
        <v>46113</v>
      </c>
      <c r="E3707" s="340" t="s">
        <v>2899</v>
      </c>
      <c r="F3707" s="340" t="s">
        <v>1078</v>
      </c>
      <c r="G3707" s="340" t="s">
        <v>2568</v>
      </c>
      <c r="H3707" s="340"/>
      <c r="I3707" s="340" t="s">
        <v>771</v>
      </c>
      <c r="K3707" s="343">
        <v>0.02</v>
      </c>
      <c r="L3707" s="343">
        <v>0</v>
      </c>
      <c r="M3707" s="343">
        <v>-817084.93</v>
      </c>
      <c r="O3707" s="343">
        <v>0</v>
      </c>
    </row>
    <row r="3708" spans="1:15" x14ac:dyDescent="0.3">
      <c r="A3708" s="340" t="s">
        <v>891</v>
      </c>
      <c r="B3708" s="350">
        <v>46130</v>
      </c>
      <c r="C3708" s="350">
        <v>46131</v>
      </c>
      <c r="D3708" s="351">
        <v>46113</v>
      </c>
      <c r="E3708" s="340" t="s">
        <v>2899</v>
      </c>
      <c r="F3708" s="340" t="s">
        <v>1078</v>
      </c>
      <c r="G3708" s="340" t="s">
        <v>2567</v>
      </c>
      <c r="H3708" s="340"/>
      <c r="I3708" s="340" t="s">
        <v>771</v>
      </c>
      <c r="K3708" s="343">
        <v>0.01</v>
      </c>
      <c r="L3708" s="343">
        <v>0</v>
      </c>
      <c r="M3708" s="343">
        <v>-817084.92</v>
      </c>
      <c r="O3708" s="343">
        <v>0</v>
      </c>
    </row>
    <row r="3709" spans="1:15" x14ac:dyDescent="0.3">
      <c r="A3709" s="340" t="s">
        <v>891</v>
      </c>
      <c r="B3709" s="350">
        <v>46130</v>
      </c>
      <c r="C3709" s="350">
        <v>46131</v>
      </c>
      <c r="D3709" s="351">
        <v>46113</v>
      </c>
      <c r="E3709" s="340" t="s">
        <v>2899</v>
      </c>
      <c r="F3709" s="340" t="s">
        <v>1078</v>
      </c>
      <c r="G3709" s="340" t="s">
        <v>2568</v>
      </c>
      <c r="H3709" s="340"/>
      <c r="I3709" s="340" t="s">
        <v>771</v>
      </c>
      <c r="K3709" s="343">
        <v>0.02</v>
      </c>
      <c r="L3709" s="343">
        <v>0</v>
      </c>
      <c r="M3709" s="343">
        <v>-817084.9</v>
      </c>
      <c r="O3709" s="343">
        <v>0</v>
      </c>
    </row>
    <row r="3710" spans="1:15" x14ac:dyDescent="0.3">
      <c r="A3710" s="340" t="s">
        <v>891</v>
      </c>
      <c r="B3710" s="350">
        <v>46130</v>
      </c>
      <c r="C3710" s="350">
        <v>46131</v>
      </c>
      <c r="D3710" s="351">
        <v>46113</v>
      </c>
      <c r="E3710" s="340" t="s">
        <v>2899</v>
      </c>
      <c r="F3710" s="340" t="s">
        <v>1078</v>
      </c>
      <c r="G3710" s="340" t="s">
        <v>2439</v>
      </c>
      <c r="H3710" s="340"/>
      <c r="I3710" s="340" t="s">
        <v>771</v>
      </c>
      <c r="K3710" s="343">
        <v>0.11</v>
      </c>
      <c r="L3710" s="343">
        <v>0</v>
      </c>
      <c r="M3710" s="343">
        <v>-817084.79</v>
      </c>
      <c r="O3710" s="343">
        <v>0</v>
      </c>
    </row>
    <row r="3711" spans="1:15" x14ac:dyDescent="0.3">
      <c r="A3711" s="340" t="s">
        <v>891</v>
      </c>
      <c r="B3711" s="350">
        <v>46130</v>
      </c>
      <c r="C3711" s="350">
        <v>46131</v>
      </c>
      <c r="D3711" s="351">
        <v>46113</v>
      </c>
      <c r="E3711" s="340" t="s">
        <v>2899</v>
      </c>
      <c r="F3711" s="340" t="s">
        <v>1078</v>
      </c>
      <c r="G3711" s="340" t="s">
        <v>2439</v>
      </c>
      <c r="H3711" s="340"/>
      <c r="I3711" s="340" t="s">
        <v>771</v>
      </c>
      <c r="K3711" s="343">
        <v>0.14000000000000001</v>
      </c>
      <c r="L3711" s="343">
        <v>0</v>
      </c>
      <c r="M3711" s="343">
        <v>-817084.65</v>
      </c>
      <c r="O3711" s="343">
        <v>0</v>
      </c>
    </row>
    <row r="3712" spans="1:15" x14ac:dyDescent="0.3">
      <c r="A3712" s="340" t="s">
        <v>891</v>
      </c>
      <c r="B3712" s="350">
        <v>46130</v>
      </c>
      <c r="C3712" s="350">
        <v>46131</v>
      </c>
      <c r="D3712" s="351">
        <v>46113</v>
      </c>
      <c r="E3712" s="340" t="s">
        <v>2899</v>
      </c>
      <c r="F3712" s="340" t="s">
        <v>1078</v>
      </c>
      <c r="G3712" s="340" t="s">
        <v>2441</v>
      </c>
      <c r="H3712" s="340"/>
      <c r="I3712" s="340" t="s">
        <v>771</v>
      </c>
      <c r="K3712" s="343">
        <v>0.21</v>
      </c>
      <c r="L3712" s="343">
        <v>0</v>
      </c>
      <c r="M3712" s="343">
        <v>-817084.44</v>
      </c>
      <c r="O3712" s="343">
        <v>0</v>
      </c>
    </row>
    <row r="3713" spans="1:15" x14ac:dyDescent="0.3">
      <c r="A3713" s="340" t="s">
        <v>891</v>
      </c>
      <c r="B3713" s="350">
        <v>46130</v>
      </c>
      <c r="C3713" s="350">
        <v>46131</v>
      </c>
      <c r="D3713" s="351">
        <v>46113</v>
      </c>
      <c r="E3713" s="340" t="s">
        <v>2899</v>
      </c>
      <c r="F3713" s="340" t="s">
        <v>1078</v>
      </c>
      <c r="G3713" s="340" t="s">
        <v>2441</v>
      </c>
      <c r="H3713" s="340"/>
      <c r="I3713" s="340" t="s">
        <v>771</v>
      </c>
      <c r="K3713" s="343">
        <v>0.27</v>
      </c>
      <c r="L3713" s="343">
        <v>0</v>
      </c>
      <c r="M3713" s="343">
        <v>-817084.17</v>
      </c>
      <c r="O3713" s="343">
        <v>0</v>
      </c>
    </row>
    <row r="3714" spans="1:15" x14ac:dyDescent="0.3">
      <c r="A3714" s="340" t="s">
        <v>891</v>
      </c>
      <c r="B3714" s="350">
        <v>46130</v>
      </c>
      <c r="C3714" s="350">
        <v>46131</v>
      </c>
      <c r="D3714" s="351">
        <v>46113</v>
      </c>
      <c r="E3714" s="340" t="s">
        <v>2899</v>
      </c>
      <c r="F3714" s="340" t="s">
        <v>1078</v>
      </c>
      <c r="G3714" s="340" t="s">
        <v>2571</v>
      </c>
      <c r="H3714" s="340"/>
      <c r="I3714" s="340" t="s">
        <v>771</v>
      </c>
      <c r="K3714" s="343">
        <v>0.9</v>
      </c>
      <c r="L3714" s="343">
        <v>0</v>
      </c>
      <c r="M3714" s="343">
        <v>-817083.27</v>
      </c>
      <c r="O3714" s="343">
        <v>0</v>
      </c>
    </row>
    <row r="3715" spans="1:15" x14ac:dyDescent="0.3">
      <c r="A3715" s="340" t="s">
        <v>891</v>
      </c>
      <c r="B3715" s="350">
        <v>46130</v>
      </c>
      <c r="C3715" s="350">
        <v>46131</v>
      </c>
      <c r="D3715" s="351">
        <v>46113</v>
      </c>
      <c r="E3715" s="340" t="s">
        <v>2899</v>
      </c>
      <c r="F3715" s="340" t="s">
        <v>1078</v>
      </c>
      <c r="G3715" s="340" t="s">
        <v>2442</v>
      </c>
      <c r="H3715" s="340"/>
      <c r="I3715" s="340" t="s">
        <v>771</v>
      </c>
      <c r="K3715" s="343">
        <v>2.2599999999999998</v>
      </c>
      <c r="L3715" s="343">
        <v>0</v>
      </c>
      <c r="M3715" s="343">
        <v>-817081.01</v>
      </c>
      <c r="O3715" s="343">
        <v>0</v>
      </c>
    </row>
    <row r="3716" spans="1:15" x14ac:dyDescent="0.3">
      <c r="A3716" s="340" t="s">
        <v>891</v>
      </c>
      <c r="B3716" s="350">
        <v>46130</v>
      </c>
      <c r="C3716" s="350">
        <v>46131</v>
      </c>
      <c r="D3716" s="351">
        <v>46113</v>
      </c>
      <c r="E3716" s="340" t="s">
        <v>2899</v>
      </c>
      <c r="F3716" s="340" t="s">
        <v>1078</v>
      </c>
      <c r="G3716" s="340" t="s">
        <v>2572</v>
      </c>
      <c r="H3716" s="340"/>
      <c r="I3716" s="340" t="s">
        <v>771</v>
      </c>
      <c r="K3716" s="343">
        <v>2.54</v>
      </c>
      <c r="L3716" s="343">
        <v>0</v>
      </c>
      <c r="M3716" s="343">
        <v>-817078.47</v>
      </c>
      <c r="O3716" s="343">
        <v>0</v>
      </c>
    </row>
    <row r="3717" spans="1:15" x14ac:dyDescent="0.3">
      <c r="A3717" s="340" t="s">
        <v>891</v>
      </c>
      <c r="B3717" s="350">
        <v>46130</v>
      </c>
      <c r="C3717" s="350">
        <v>46131</v>
      </c>
      <c r="D3717" s="351">
        <v>46113</v>
      </c>
      <c r="E3717" s="340" t="s">
        <v>2899</v>
      </c>
      <c r="F3717" s="340" t="s">
        <v>1078</v>
      </c>
      <c r="G3717" s="340" t="s">
        <v>2573</v>
      </c>
      <c r="H3717" s="340"/>
      <c r="I3717" s="340" t="s">
        <v>771</v>
      </c>
      <c r="K3717" s="343">
        <v>2.98</v>
      </c>
      <c r="L3717" s="343">
        <v>0</v>
      </c>
      <c r="M3717" s="343">
        <v>-817075.49</v>
      </c>
      <c r="O3717" s="343">
        <v>0</v>
      </c>
    </row>
    <row r="3718" spans="1:15" x14ac:dyDescent="0.3">
      <c r="A3718" s="340" t="s">
        <v>891</v>
      </c>
      <c r="B3718" s="350">
        <v>46130</v>
      </c>
      <c r="C3718" s="350">
        <v>46131</v>
      </c>
      <c r="D3718" s="351">
        <v>46113</v>
      </c>
      <c r="E3718" s="340" t="s">
        <v>2899</v>
      </c>
      <c r="F3718" s="340" t="s">
        <v>1078</v>
      </c>
      <c r="G3718" s="340" t="s">
        <v>2565</v>
      </c>
      <c r="H3718" s="340"/>
      <c r="I3718" s="340" t="s">
        <v>771</v>
      </c>
      <c r="K3718" s="343">
        <v>4.6100000000000003</v>
      </c>
      <c r="L3718" s="343">
        <v>0</v>
      </c>
      <c r="M3718" s="343">
        <v>-817070.88</v>
      </c>
      <c r="O3718" s="343">
        <v>0</v>
      </c>
    </row>
    <row r="3719" spans="1:15" x14ac:dyDescent="0.3">
      <c r="A3719" s="340" t="s">
        <v>891</v>
      </c>
      <c r="B3719" s="350">
        <v>46130</v>
      </c>
      <c r="C3719" s="350">
        <v>46131</v>
      </c>
      <c r="D3719" s="351">
        <v>46113</v>
      </c>
      <c r="E3719" s="340" t="s">
        <v>2899</v>
      </c>
      <c r="F3719" s="340" t="s">
        <v>1078</v>
      </c>
      <c r="G3719" s="340" t="s">
        <v>2566</v>
      </c>
      <c r="H3719" s="340"/>
      <c r="I3719" s="340" t="s">
        <v>771</v>
      </c>
      <c r="K3719" s="343">
        <v>10.18</v>
      </c>
      <c r="L3719" s="343">
        <v>0</v>
      </c>
      <c r="M3719" s="343">
        <v>-817060.7</v>
      </c>
      <c r="O3719" s="343">
        <v>0</v>
      </c>
    </row>
    <row r="3720" spans="1:15" x14ac:dyDescent="0.3">
      <c r="A3720" s="340" t="s">
        <v>891</v>
      </c>
      <c r="B3720" s="350">
        <v>46130</v>
      </c>
      <c r="C3720" s="350">
        <v>46131</v>
      </c>
      <c r="D3720" s="351">
        <v>46113</v>
      </c>
      <c r="E3720" s="340" t="s">
        <v>2899</v>
      </c>
      <c r="F3720" s="340" t="s">
        <v>1078</v>
      </c>
      <c r="G3720" s="340" t="s">
        <v>2568</v>
      </c>
      <c r="H3720" s="340"/>
      <c r="I3720" s="340" t="s">
        <v>771</v>
      </c>
      <c r="K3720" s="343">
        <v>0.15</v>
      </c>
      <c r="L3720" s="343">
        <v>0</v>
      </c>
      <c r="M3720" s="343">
        <v>-817060.55</v>
      </c>
      <c r="O3720" s="343">
        <v>0</v>
      </c>
    </row>
    <row r="3721" spans="1:15" x14ac:dyDescent="0.3">
      <c r="A3721" s="340" t="s">
        <v>891</v>
      </c>
      <c r="B3721" s="350">
        <v>46130</v>
      </c>
      <c r="C3721" s="350">
        <v>46131</v>
      </c>
      <c r="D3721" s="351">
        <v>46113</v>
      </c>
      <c r="E3721" s="340" t="s">
        <v>2899</v>
      </c>
      <c r="F3721" s="340" t="s">
        <v>1078</v>
      </c>
      <c r="G3721" s="340" t="s">
        <v>2568</v>
      </c>
      <c r="H3721" s="340"/>
      <c r="I3721" s="340" t="s">
        <v>771</v>
      </c>
      <c r="K3721" s="343">
        <v>0.16</v>
      </c>
      <c r="L3721" s="343">
        <v>0</v>
      </c>
      <c r="M3721" s="343">
        <v>-817060.39</v>
      </c>
      <c r="O3721" s="343">
        <v>0</v>
      </c>
    </row>
    <row r="3722" spans="1:15" x14ac:dyDescent="0.3">
      <c r="A3722" s="340" t="s">
        <v>891</v>
      </c>
      <c r="B3722" s="350">
        <v>46130</v>
      </c>
      <c r="C3722" s="350">
        <v>46131</v>
      </c>
      <c r="D3722" s="351">
        <v>46113</v>
      </c>
      <c r="E3722" s="340" t="s">
        <v>2899</v>
      </c>
      <c r="F3722" s="340" t="s">
        <v>1078</v>
      </c>
      <c r="G3722" s="340" t="s">
        <v>2570</v>
      </c>
      <c r="H3722" s="340"/>
      <c r="I3722" s="340" t="s">
        <v>771</v>
      </c>
      <c r="K3722" s="343">
        <v>0.69</v>
      </c>
      <c r="L3722" s="343">
        <v>0</v>
      </c>
      <c r="M3722" s="343">
        <v>-817059.7</v>
      </c>
      <c r="O3722" s="343">
        <v>0</v>
      </c>
    </row>
    <row r="3723" spans="1:15" x14ac:dyDescent="0.3">
      <c r="A3723" s="340" t="s">
        <v>891</v>
      </c>
      <c r="B3723" s="350">
        <v>46130</v>
      </c>
      <c r="C3723" s="350">
        <v>46131</v>
      </c>
      <c r="D3723" s="351">
        <v>46113</v>
      </c>
      <c r="E3723" s="340" t="s">
        <v>2899</v>
      </c>
      <c r="F3723" s="340" t="s">
        <v>1078</v>
      </c>
      <c r="G3723" s="340" t="s">
        <v>2567</v>
      </c>
      <c r="H3723" s="340"/>
      <c r="I3723" s="340" t="s">
        <v>771</v>
      </c>
      <c r="K3723" s="343">
        <v>0.72</v>
      </c>
      <c r="L3723" s="343">
        <v>0</v>
      </c>
      <c r="M3723" s="343">
        <v>-817058.98</v>
      </c>
      <c r="O3723" s="343">
        <v>0</v>
      </c>
    </row>
    <row r="3724" spans="1:15" x14ac:dyDescent="0.3">
      <c r="A3724" s="340" t="s">
        <v>891</v>
      </c>
      <c r="B3724" s="350">
        <v>46130</v>
      </c>
      <c r="C3724" s="350">
        <v>46131</v>
      </c>
      <c r="D3724" s="351">
        <v>46113</v>
      </c>
      <c r="E3724" s="340" t="s">
        <v>2899</v>
      </c>
      <c r="F3724" s="340" t="s">
        <v>1078</v>
      </c>
      <c r="G3724" s="340" t="s">
        <v>2569</v>
      </c>
      <c r="H3724" s="340"/>
      <c r="I3724" s="340" t="s">
        <v>771</v>
      </c>
      <c r="K3724" s="343">
        <v>0.85</v>
      </c>
      <c r="L3724" s="343">
        <v>0</v>
      </c>
      <c r="M3724" s="343">
        <v>-817058.13</v>
      </c>
      <c r="O3724" s="343">
        <v>0</v>
      </c>
    </row>
    <row r="3725" spans="1:15" x14ac:dyDescent="0.3">
      <c r="A3725" s="340" t="s">
        <v>891</v>
      </c>
      <c r="B3725" s="350">
        <v>46130</v>
      </c>
      <c r="C3725" s="350">
        <v>46131</v>
      </c>
      <c r="D3725" s="351">
        <v>46113</v>
      </c>
      <c r="E3725" s="340" t="s">
        <v>2899</v>
      </c>
      <c r="F3725" s="340" t="s">
        <v>1078</v>
      </c>
      <c r="G3725" s="340" t="s">
        <v>2439</v>
      </c>
      <c r="H3725" s="340"/>
      <c r="I3725" s="340" t="s">
        <v>771</v>
      </c>
      <c r="K3725" s="343">
        <v>0.91</v>
      </c>
      <c r="L3725" s="343">
        <v>0</v>
      </c>
      <c r="M3725" s="343">
        <v>-817057.22</v>
      </c>
      <c r="O3725" s="343">
        <v>0</v>
      </c>
    </row>
    <row r="3726" spans="1:15" x14ac:dyDescent="0.3">
      <c r="A3726" s="340" t="s">
        <v>891</v>
      </c>
      <c r="B3726" s="350">
        <v>46130</v>
      </c>
      <c r="C3726" s="350">
        <v>46131</v>
      </c>
      <c r="D3726" s="351">
        <v>46113</v>
      </c>
      <c r="E3726" s="340" t="s">
        <v>2899</v>
      </c>
      <c r="F3726" s="340" t="s">
        <v>1078</v>
      </c>
      <c r="G3726" s="340" t="s">
        <v>2439</v>
      </c>
      <c r="H3726" s="340"/>
      <c r="I3726" s="340" t="s">
        <v>771</v>
      </c>
      <c r="K3726" s="343">
        <v>1</v>
      </c>
      <c r="L3726" s="343">
        <v>0</v>
      </c>
      <c r="M3726" s="343">
        <v>-817056.22</v>
      </c>
      <c r="O3726" s="343">
        <v>0</v>
      </c>
    </row>
    <row r="3727" spans="1:15" x14ac:dyDescent="0.3">
      <c r="A3727" s="340" t="s">
        <v>891</v>
      </c>
      <c r="B3727" s="350">
        <v>46130</v>
      </c>
      <c r="C3727" s="350">
        <v>46131</v>
      </c>
      <c r="D3727" s="351">
        <v>46113</v>
      </c>
      <c r="E3727" s="340" t="s">
        <v>2899</v>
      </c>
      <c r="F3727" s="340" t="s">
        <v>1078</v>
      </c>
      <c r="G3727" s="340" t="s">
        <v>2441</v>
      </c>
      <c r="H3727" s="340"/>
      <c r="I3727" s="340" t="s">
        <v>771</v>
      </c>
      <c r="K3727" s="343">
        <v>1.82</v>
      </c>
      <c r="L3727" s="343">
        <v>0</v>
      </c>
      <c r="M3727" s="343">
        <v>-817054.4</v>
      </c>
      <c r="O3727" s="343">
        <v>0</v>
      </c>
    </row>
    <row r="3728" spans="1:15" x14ac:dyDescent="0.3">
      <c r="A3728" s="340" t="s">
        <v>891</v>
      </c>
      <c r="B3728" s="350">
        <v>46130</v>
      </c>
      <c r="C3728" s="350">
        <v>46131</v>
      </c>
      <c r="D3728" s="351">
        <v>46113</v>
      </c>
      <c r="E3728" s="340" t="s">
        <v>2899</v>
      </c>
      <c r="F3728" s="340" t="s">
        <v>1078</v>
      </c>
      <c r="G3728" s="340" t="s">
        <v>2441</v>
      </c>
      <c r="H3728" s="340"/>
      <c r="I3728" s="340" t="s">
        <v>771</v>
      </c>
      <c r="K3728" s="343">
        <v>1.99</v>
      </c>
      <c r="L3728" s="343">
        <v>0</v>
      </c>
      <c r="M3728" s="343">
        <v>-817052.41</v>
      </c>
      <c r="O3728" s="343">
        <v>0</v>
      </c>
    </row>
    <row r="3729" spans="1:15" x14ac:dyDescent="0.3">
      <c r="A3729" s="340" t="s">
        <v>891</v>
      </c>
      <c r="B3729" s="350">
        <v>46130</v>
      </c>
      <c r="C3729" s="350">
        <v>46131</v>
      </c>
      <c r="D3729" s="351">
        <v>46113</v>
      </c>
      <c r="E3729" s="340" t="s">
        <v>2899</v>
      </c>
      <c r="F3729" s="340" t="s">
        <v>1078</v>
      </c>
      <c r="G3729" s="340" t="s">
        <v>2571</v>
      </c>
      <c r="H3729" s="340"/>
      <c r="I3729" s="340" t="s">
        <v>771</v>
      </c>
      <c r="K3729" s="343">
        <v>5.18</v>
      </c>
      <c r="L3729" s="343">
        <v>0</v>
      </c>
      <c r="M3729" s="343">
        <v>-817047.23</v>
      </c>
      <c r="O3729" s="343">
        <v>0</v>
      </c>
    </row>
    <row r="3730" spans="1:15" x14ac:dyDescent="0.3">
      <c r="A3730" s="340" t="s">
        <v>891</v>
      </c>
      <c r="B3730" s="350">
        <v>46130</v>
      </c>
      <c r="C3730" s="350">
        <v>46131</v>
      </c>
      <c r="D3730" s="351">
        <v>46113</v>
      </c>
      <c r="E3730" s="340" t="s">
        <v>2899</v>
      </c>
      <c r="F3730" s="340" t="s">
        <v>1078</v>
      </c>
      <c r="G3730" s="340" t="s">
        <v>2442</v>
      </c>
      <c r="H3730" s="340"/>
      <c r="I3730" s="340" t="s">
        <v>771</v>
      </c>
      <c r="K3730" s="343">
        <v>11.13</v>
      </c>
      <c r="L3730" s="343">
        <v>0</v>
      </c>
      <c r="M3730" s="343">
        <v>-817036.1</v>
      </c>
      <c r="O3730" s="343">
        <v>0</v>
      </c>
    </row>
    <row r="3731" spans="1:15" x14ac:dyDescent="0.3">
      <c r="A3731" s="340" t="s">
        <v>891</v>
      </c>
      <c r="B3731" s="350">
        <v>46130</v>
      </c>
      <c r="C3731" s="350">
        <v>46131</v>
      </c>
      <c r="D3731" s="351">
        <v>46113</v>
      </c>
      <c r="E3731" s="340" t="s">
        <v>2899</v>
      </c>
      <c r="F3731" s="340" t="s">
        <v>1078</v>
      </c>
      <c r="G3731" s="340" t="s">
        <v>2565</v>
      </c>
      <c r="H3731" s="340"/>
      <c r="I3731" s="340" t="s">
        <v>771</v>
      </c>
      <c r="K3731" s="343">
        <v>21.3</v>
      </c>
      <c r="L3731" s="343">
        <v>0</v>
      </c>
      <c r="M3731" s="343">
        <v>-817014.8</v>
      </c>
      <c r="O3731" s="343">
        <v>0</v>
      </c>
    </row>
    <row r="3732" spans="1:15" x14ac:dyDescent="0.3">
      <c r="A3732" s="340" t="s">
        <v>891</v>
      </c>
      <c r="B3732" s="350">
        <v>46130</v>
      </c>
      <c r="C3732" s="350">
        <v>46131</v>
      </c>
      <c r="D3732" s="351">
        <v>46113</v>
      </c>
      <c r="E3732" s="340" t="s">
        <v>2899</v>
      </c>
      <c r="F3732" s="340" t="s">
        <v>1078</v>
      </c>
      <c r="G3732" s="340" t="s">
        <v>2572</v>
      </c>
      <c r="H3732" s="340"/>
      <c r="I3732" s="340" t="s">
        <v>771</v>
      </c>
      <c r="K3732" s="343">
        <v>25.57</v>
      </c>
      <c r="L3732" s="343">
        <v>0</v>
      </c>
      <c r="M3732" s="343">
        <v>-816989.23</v>
      </c>
      <c r="O3732" s="343">
        <v>0</v>
      </c>
    </row>
    <row r="3733" spans="1:15" x14ac:dyDescent="0.3">
      <c r="A3733" s="340" t="s">
        <v>891</v>
      </c>
      <c r="B3733" s="350">
        <v>46130</v>
      </c>
      <c r="C3733" s="350">
        <v>46131</v>
      </c>
      <c r="D3733" s="351">
        <v>46113</v>
      </c>
      <c r="E3733" s="340" t="s">
        <v>2899</v>
      </c>
      <c r="F3733" s="340" t="s">
        <v>1078</v>
      </c>
      <c r="G3733" s="340" t="s">
        <v>2573</v>
      </c>
      <c r="H3733" s="340"/>
      <c r="I3733" s="340" t="s">
        <v>771</v>
      </c>
      <c r="K3733" s="343">
        <v>25.61</v>
      </c>
      <c r="L3733" s="343">
        <v>0</v>
      </c>
      <c r="M3733" s="343">
        <v>-816963.62</v>
      </c>
      <c r="O3733" s="343">
        <v>0</v>
      </c>
    </row>
    <row r="3734" spans="1:15" x14ac:dyDescent="0.3">
      <c r="A3734" s="340" t="s">
        <v>891</v>
      </c>
      <c r="B3734" s="350">
        <v>46130</v>
      </c>
      <c r="C3734" s="350">
        <v>46131</v>
      </c>
      <c r="D3734" s="351">
        <v>46113</v>
      </c>
      <c r="E3734" s="340" t="s">
        <v>2899</v>
      </c>
      <c r="F3734" s="340" t="s">
        <v>1078</v>
      </c>
      <c r="G3734" s="340" t="s">
        <v>2566</v>
      </c>
      <c r="H3734" s="340"/>
      <c r="I3734" s="340" t="s">
        <v>771</v>
      </c>
      <c r="K3734" s="343">
        <v>95.96</v>
      </c>
      <c r="L3734" s="343">
        <v>0</v>
      </c>
      <c r="M3734" s="343">
        <v>-816867.66</v>
      </c>
      <c r="O3734" s="343">
        <v>0</v>
      </c>
    </row>
    <row r="3735" spans="1:15" x14ac:dyDescent="0.3">
      <c r="A3735" s="340" t="s">
        <v>891</v>
      </c>
      <c r="B3735" s="350">
        <v>46130</v>
      </c>
      <c r="C3735" s="350">
        <v>46131</v>
      </c>
      <c r="D3735" s="351">
        <v>46113</v>
      </c>
      <c r="E3735" s="340" t="s">
        <v>2899</v>
      </c>
      <c r="F3735" s="340" t="s">
        <v>1078</v>
      </c>
      <c r="G3735" s="340" t="s">
        <v>2567</v>
      </c>
      <c r="H3735" s="340"/>
      <c r="I3735" s="340" t="s">
        <v>771</v>
      </c>
      <c r="K3735" s="343">
        <v>0.01</v>
      </c>
      <c r="L3735" s="343">
        <v>0</v>
      </c>
      <c r="M3735" s="343">
        <v>-816867.65</v>
      </c>
      <c r="O3735" s="343">
        <v>0</v>
      </c>
    </row>
    <row r="3736" spans="1:15" x14ac:dyDescent="0.3">
      <c r="A3736" s="340" t="s">
        <v>891</v>
      </c>
      <c r="B3736" s="350">
        <v>46130</v>
      </c>
      <c r="C3736" s="350">
        <v>46131</v>
      </c>
      <c r="D3736" s="351">
        <v>46113</v>
      </c>
      <c r="E3736" s="340" t="s">
        <v>2899</v>
      </c>
      <c r="F3736" s="340" t="s">
        <v>1078</v>
      </c>
      <c r="G3736" s="340" t="s">
        <v>2568</v>
      </c>
      <c r="H3736" s="340"/>
      <c r="I3736" s="340" t="s">
        <v>771</v>
      </c>
      <c r="K3736" s="343">
        <v>0.02</v>
      </c>
      <c r="L3736" s="343">
        <v>0</v>
      </c>
      <c r="M3736" s="343">
        <v>-816867.63</v>
      </c>
      <c r="O3736" s="343">
        <v>0</v>
      </c>
    </row>
    <row r="3737" spans="1:15" x14ac:dyDescent="0.3">
      <c r="A3737" s="340" t="s">
        <v>891</v>
      </c>
      <c r="B3737" s="350">
        <v>46130</v>
      </c>
      <c r="C3737" s="350">
        <v>46131</v>
      </c>
      <c r="D3737" s="351">
        <v>46113</v>
      </c>
      <c r="E3737" s="340" t="s">
        <v>2899</v>
      </c>
      <c r="F3737" s="340" t="s">
        <v>1078</v>
      </c>
      <c r="G3737" s="340" t="s">
        <v>2568</v>
      </c>
      <c r="H3737" s="340"/>
      <c r="I3737" s="340" t="s">
        <v>771</v>
      </c>
      <c r="K3737" s="343">
        <v>0.02</v>
      </c>
      <c r="L3737" s="343">
        <v>0</v>
      </c>
      <c r="M3737" s="343">
        <v>-816867.61</v>
      </c>
      <c r="O3737" s="343">
        <v>0</v>
      </c>
    </row>
    <row r="3738" spans="1:15" x14ac:dyDescent="0.3">
      <c r="A3738" s="340" t="s">
        <v>891</v>
      </c>
      <c r="B3738" s="350">
        <v>46130</v>
      </c>
      <c r="C3738" s="350">
        <v>46131</v>
      </c>
      <c r="D3738" s="351">
        <v>46113</v>
      </c>
      <c r="E3738" s="340" t="s">
        <v>2899</v>
      </c>
      <c r="F3738" s="340" t="s">
        <v>1078</v>
      </c>
      <c r="G3738" s="340" t="s">
        <v>2569</v>
      </c>
      <c r="H3738" s="340"/>
      <c r="I3738" s="340" t="s">
        <v>771</v>
      </c>
      <c r="K3738" s="343">
        <v>0.1</v>
      </c>
      <c r="L3738" s="343">
        <v>0</v>
      </c>
      <c r="M3738" s="343">
        <v>-816867.51</v>
      </c>
      <c r="O3738" s="343">
        <v>0</v>
      </c>
    </row>
    <row r="3739" spans="1:15" x14ac:dyDescent="0.3">
      <c r="A3739" s="340" t="s">
        <v>891</v>
      </c>
      <c r="B3739" s="350">
        <v>46130</v>
      </c>
      <c r="C3739" s="350">
        <v>46131</v>
      </c>
      <c r="D3739" s="351">
        <v>46113</v>
      </c>
      <c r="E3739" s="340" t="s">
        <v>2899</v>
      </c>
      <c r="F3739" s="340" t="s">
        <v>1078</v>
      </c>
      <c r="G3739" s="340" t="s">
        <v>2570</v>
      </c>
      <c r="H3739" s="340"/>
      <c r="I3739" s="340" t="s">
        <v>771</v>
      </c>
      <c r="K3739" s="343">
        <v>0.11</v>
      </c>
      <c r="L3739" s="343">
        <v>0</v>
      </c>
      <c r="M3739" s="343">
        <v>-816867.4</v>
      </c>
      <c r="O3739" s="343">
        <v>0</v>
      </c>
    </row>
    <row r="3740" spans="1:15" x14ac:dyDescent="0.3">
      <c r="A3740" s="340" t="s">
        <v>891</v>
      </c>
      <c r="B3740" s="350">
        <v>46130</v>
      </c>
      <c r="C3740" s="350">
        <v>46131</v>
      </c>
      <c r="D3740" s="351">
        <v>46113</v>
      </c>
      <c r="E3740" s="340" t="s">
        <v>2899</v>
      </c>
      <c r="F3740" s="340" t="s">
        <v>1078</v>
      </c>
      <c r="G3740" s="340" t="s">
        <v>2439</v>
      </c>
      <c r="H3740" s="340"/>
      <c r="I3740" s="340" t="s">
        <v>771</v>
      </c>
      <c r="K3740" s="343">
        <v>0.12</v>
      </c>
      <c r="L3740" s="343">
        <v>0</v>
      </c>
      <c r="M3740" s="343">
        <v>-816867.28</v>
      </c>
      <c r="O3740" s="343">
        <v>0</v>
      </c>
    </row>
    <row r="3741" spans="1:15" x14ac:dyDescent="0.3">
      <c r="A3741" s="340" t="s">
        <v>891</v>
      </c>
      <c r="B3741" s="350">
        <v>46130</v>
      </c>
      <c r="C3741" s="350">
        <v>46131</v>
      </c>
      <c r="D3741" s="351">
        <v>46113</v>
      </c>
      <c r="E3741" s="340" t="s">
        <v>2899</v>
      </c>
      <c r="F3741" s="340" t="s">
        <v>1078</v>
      </c>
      <c r="G3741" s="340" t="s">
        <v>2439</v>
      </c>
      <c r="H3741" s="340"/>
      <c r="I3741" s="340" t="s">
        <v>771</v>
      </c>
      <c r="K3741" s="343">
        <v>0.14000000000000001</v>
      </c>
      <c r="L3741" s="343">
        <v>0</v>
      </c>
      <c r="M3741" s="343">
        <v>-816867.14</v>
      </c>
      <c r="O3741" s="343">
        <v>0</v>
      </c>
    </row>
    <row r="3742" spans="1:15" x14ac:dyDescent="0.3">
      <c r="A3742" s="340" t="s">
        <v>891</v>
      </c>
      <c r="B3742" s="350">
        <v>46130</v>
      </c>
      <c r="C3742" s="350">
        <v>46131</v>
      </c>
      <c r="D3742" s="351">
        <v>46113</v>
      </c>
      <c r="E3742" s="340" t="s">
        <v>2899</v>
      </c>
      <c r="F3742" s="340" t="s">
        <v>1078</v>
      </c>
      <c r="G3742" s="340" t="s">
        <v>2441</v>
      </c>
      <c r="H3742" s="340"/>
      <c r="I3742" s="340" t="s">
        <v>771</v>
      </c>
      <c r="K3742" s="343">
        <v>0.23</v>
      </c>
      <c r="L3742" s="343">
        <v>0</v>
      </c>
      <c r="M3742" s="343">
        <v>-816866.91</v>
      </c>
      <c r="O3742" s="343">
        <v>0</v>
      </c>
    </row>
    <row r="3743" spans="1:15" x14ac:dyDescent="0.3">
      <c r="A3743" s="340" t="s">
        <v>891</v>
      </c>
      <c r="B3743" s="350">
        <v>46130</v>
      </c>
      <c r="C3743" s="350">
        <v>46131</v>
      </c>
      <c r="D3743" s="351">
        <v>46113</v>
      </c>
      <c r="E3743" s="340" t="s">
        <v>2899</v>
      </c>
      <c r="F3743" s="340" t="s">
        <v>1078</v>
      </c>
      <c r="G3743" s="340" t="s">
        <v>2441</v>
      </c>
      <c r="H3743" s="340"/>
      <c r="I3743" s="340" t="s">
        <v>771</v>
      </c>
      <c r="K3743" s="343">
        <v>0.28000000000000003</v>
      </c>
      <c r="L3743" s="343">
        <v>0</v>
      </c>
      <c r="M3743" s="343">
        <v>-816866.63</v>
      </c>
      <c r="O3743" s="343">
        <v>0</v>
      </c>
    </row>
    <row r="3744" spans="1:15" x14ac:dyDescent="0.3">
      <c r="A3744" s="340" t="s">
        <v>891</v>
      </c>
      <c r="B3744" s="350">
        <v>46130</v>
      </c>
      <c r="C3744" s="350">
        <v>46131</v>
      </c>
      <c r="D3744" s="351">
        <v>46113</v>
      </c>
      <c r="E3744" s="340" t="s">
        <v>2899</v>
      </c>
      <c r="F3744" s="340" t="s">
        <v>1078</v>
      </c>
      <c r="G3744" s="340" t="s">
        <v>2571</v>
      </c>
      <c r="H3744" s="340"/>
      <c r="I3744" s="340" t="s">
        <v>771</v>
      </c>
      <c r="K3744" s="343">
        <v>0.99</v>
      </c>
      <c r="L3744" s="343">
        <v>0</v>
      </c>
      <c r="M3744" s="343">
        <v>-816865.64</v>
      </c>
      <c r="O3744" s="343">
        <v>0</v>
      </c>
    </row>
    <row r="3745" spans="1:15" x14ac:dyDescent="0.3">
      <c r="A3745" s="340" t="s">
        <v>891</v>
      </c>
      <c r="B3745" s="350">
        <v>46130</v>
      </c>
      <c r="C3745" s="350">
        <v>46131</v>
      </c>
      <c r="D3745" s="351">
        <v>46113</v>
      </c>
      <c r="E3745" s="340" t="s">
        <v>2899</v>
      </c>
      <c r="F3745" s="340" t="s">
        <v>1078</v>
      </c>
      <c r="G3745" s="340" t="s">
        <v>2442</v>
      </c>
      <c r="H3745" s="340"/>
      <c r="I3745" s="340" t="s">
        <v>771</v>
      </c>
      <c r="K3745" s="343">
        <v>2.2599999999999998</v>
      </c>
      <c r="L3745" s="343">
        <v>0</v>
      </c>
      <c r="M3745" s="343">
        <v>-816863.38</v>
      </c>
      <c r="O3745" s="343">
        <v>0</v>
      </c>
    </row>
    <row r="3746" spans="1:15" x14ac:dyDescent="0.3">
      <c r="A3746" s="340" t="s">
        <v>891</v>
      </c>
      <c r="B3746" s="350">
        <v>46130</v>
      </c>
      <c r="C3746" s="350">
        <v>46131</v>
      </c>
      <c r="D3746" s="351">
        <v>46113</v>
      </c>
      <c r="E3746" s="340" t="s">
        <v>2899</v>
      </c>
      <c r="F3746" s="340" t="s">
        <v>1078</v>
      </c>
      <c r="G3746" s="340" t="s">
        <v>2572</v>
      </c>
      <c r="H3746" s="340"/>
      <c r="I3746" s="340" t="s">
        <v>771</v>
      </c>
      <c r="K3746" s="343">
        <v>2.8</v>
      </c>
      <c r="L3746" s="343">
        <v>0</v>
      </c>
      <c r="M3746" s="343">
        <v>-816860.58</v>
      </c>
      <c r="O3746" s="343">
        <v>0</v>
      </c>
    </row>
    <row r="3747" spans="1:15" x14ac:dyDescent="0.3">
      <c r="A3747" s="340" t="s">
        <v>891</v>
      </c>
      <c r="B3747" s="350">
        <v>46130</v>
      </c>
      <c r="C3747" s="350">
        <v>46131</v>
      </c>
      <c r="D3747" s="351">
        <v>46113</v>
      </c>
      <c r="E3747" s="340" t="s">
        <v>2899</v>
      </c>
      <c r="F3747" s="340" t="s">
        <v>1078</v>
      </c>
      <c r="G3747" s="340" t="s">
        <v>2573</v>
      </c>
      <c r="H3747" s="340"/>
      <c r="I3747" s="340" t="s">
        <v>771</v>
      </c>
      <c r="K3747" s="343">
        <v>3.27</v>
      </c>
      <c r="L3747" s="343">
        <v>0</v>
      </c>
      <c r="M3747" s="343">
        <v>-816857.31</v>
      </c>
      <c r="O3747" s="343">
        <v>0</v>
      </c>
    </row>
    <row r="3748" spans="1:15" x14ac:dyDescent="0.3">
      <c r="A3748" s="340" t="s">
        <v>891</v>
      </c>
      <c r="B3748" s="350">
        <v>46130</v>
      </c>
      <c r="C3748" s="350">
        <v>46131</v>
      </c>
      <c r="D3748" s="351">
        <v>46113</v>
      </c>
      <c r="E3748" s="340" t="s">
        <v>2899</v>
      </c>
      <c r="F3748" s="340" t="s">
        <v>1078</v>
      </c>
      <c r="G3748" s="340" t="s">
        <v>2565</v>
      </c>
      <c r="H3748" s="340"/>
      <c r="I3748" s="340" t="s">
        <v>771</v>
      </c>
      <c r="K3748" s="343">
        <v>4.6100000000000003</v>
      </c>
      <c r="L3748" s="343">
        <v>0</v>
      </c>
      <c r="M3748" s="343">
        <v>-816852.7</v>
      </c>
      <c r="O3748" s="343">
        <v>0</v>
      </c>
    </row>
    <row r="3749" spans="1:15" x14ac:dyDescent="0.3">
      <c r="A3749" s="340" t="s">
        <v>891</v>
      </c>
      <c r="B3749" s="350">
        <v>46130</v>
      </c>
      <c r="C3749" s="350">
        <v>46131</v>
      </c>
      <c r="D3749" s="351">
        <v>46113</v>
      </c>
      <c r="E3749" s="340" t="s">
        <v>2899</v>
      </c>
      <c r="F3749" s="340" t="s">
        <v>1078</v>
      </c>
      <c r="G3749" s="340" t="s">
        <v>2566</v>
      </c>
      <c r="H3749" s="340"/>
      <c r="I3749" s="340" t="s">
        <v>771</v>
      </c>
      <c r="K3749" s="343">
        <v>11.2</v>
      </c>
      <c r="L3749" s="343">
        <v>0</v>
      </c>
      <c r="M3749" s="343">
        <v>-816841.5</v>
      </c>
      <c r="O3749" s="343">
        <v>0</v>
      </c>
    </row>
    <row r="3750" spans="1:15" x14ac:dyDescent="0.3">
      <c r="A3750" s="340" t="s">
        <v>891</v>
      </c>
      <c r="B3750" s="350">
        <v>46130</v>
      </c>
      <c r="C3750" s="350">
        <v>46131</v>
      </c>
      <c r="D3750" s="351">
        <v>46113</v>
      </c>
      <c r="E3750" s="340" t="s">
        <v>2899</v>
      </c>
      <c r="F3750" s="340" t="s">
        <v>1078</v>
      </c>
      <c r="G3750" s="340" t="s">
        <v>2570</v>
      </c>
      <c r="H3750" s="340"/>
      <c r="I3750" s="340" t="s">
        <v>771</v>
      </c>
      <c r="K3750" s="343">
        <v>0.08</v>
      </c>
      <c r="L3750" s="343">
        <v>0</v>
      </c>
      <c r="M3750" s="343">
        <v>-816841.42</v>
      </c>
      <c r="O3750" s="343">
        <v>0</v>
      </c>
    </row>
    <row r="3751" spans="1:15" x14ac:dyDescent="0.3">
      <c r="A3751" s="340" t="s">
        <v>891</v>
      </c>
      <c r="B3751" s="350">
        <v>46130</v>
      </c>
      <c r="C3751" s="350">
        <v>46131</v>
      </c>
      <c r="D3751" s="351">
        <v>46113</v>
      </c>
      <c r="E3751" s="340" t="s">
        <v>2899</v>
      </c>
      <c r="F3751" s="340" t="s">
        <v>1078</v>
      </c>
      <c r="G3751" s="340" t="s">
        <v>2567</v>
      </c>
      <c r="H3751" s="340"/>
      <c r="I3751" s="340" t="s">
        <v>771</v>
      </c>
      <c r="K3751" s="343">
        <v>0.01</v>
      </c>
      <c r="L3751" s="343">
        <v>0</v>
      </c>
      <c r="M3751" s="343">
        <v>-816841.41</v>
      </c>
      <c r="O3751" s="343">
        <v>0</v>
      </c>
    </row>
    <row r="3752" spans="1:15" x14ac:dyDescent="0.3">
      <c r="A3752" s="340" t="s">
        <v>891</v>
      </c>
      <c r="B3752" s="350">
        <v>46130</v>
      </c>
      <c r="C3752" s="350">
        <v>46131</v>
      </c>
      <c r="D3752" s="351">
        <v>46113</v>
      </c>
      <c r="E3752" s="340" t="s">
        <v>2899</v>
      </c>
      <c r="F3752" s="340" t="s">
        <v>1078</v>
      </c>
      <c r="G3752" s="340" t="s">
        <v>2568</v>
      </c>
      <c r="H3752" s="340"/>
      <c r="I3752" s="340" t="s">
        <v>771</v>
      </c>
      <c r="K3752" s="343">
        <v>0.02</v>
      </c>
      <c r="L3752" s="343">
        <v>0</v>
      </c>
      <c r="M3752" s="343">
        <v>-816841.39</v>
      </c>
      <c r="O3752" s="343">
        <v>0</v>
      </c>
    </row>
    <row r="3753" spans="1:15" x14ac:dyDescent="0.3">
      <c r="A3753" s="340" t="s">
        <v>891</v>
      </c>
      <c r="B3753" s="350">
        <v>46130</v>
      </c>
      <c r="C3753" s="350">
        <v>46131</v>
      </c>
      <c r="D3753" s="351">
        <v>46113</v>
      </c>
      <c r="E3753" s="340" t="s">
        <v>2899</v>
      </c>
      <c r="F3753" s="340" t="s">
        <v>1078</v>
      </c>
      <c r="G3753" s="340" t="s">
        <v>2441</v>
      </c>
      <c r="H3753" s="340"/>
      <c r="I3753" s="340" t="s">
        <v>771</v>
      </c>
      <c r="K3753" s="343">
        <v>0.24</v>
      </c>
      <c r="L3753" s="343">
        <v>0</v>
      </c>
      <c r="M3753" s="343">
        <v>-816841.15</v>
      </c>
      <c r="O3753" s="343">
        <v>0</v>
      </c>
    </row>
    <row r="3754" spans="1:15" x14ac:dyDescent="0.3">
      <c r="A3754" s="340" t="s">
        <v>891</v>
      </c>
      <c r="B3754" s="350">
        <v>46130</v>
      </c>
      <c r="C3754" s="350">
        <v>46131</v>
      </c>
      <c r="D3754" s="351">
        <v>46113</v>
      </c>
      <c r="E3754" s="340" t="s">
        <v>2899</v>
      </c>
      <c r="F3754" s="340" t="s">
        <v>1078</v>
      </c>
      <c r="G3754" s="340" t="s">
        <v>2439</v>
      </c>
      <c r="H3754" s="340"/>
      <c r="I3754" s="340" t="s">
        <v>771</v>
      </c>
      <c r="K3754" s="343">
        <v>0.12</v>
      </c>
      <c r="L3754" s="343">
        <v>0</v>
      </c>
      <c r="M3754" s="343">
        <v>-816841.03</v>
      </c>
      <c r="O3754" s="343">
        <v>0</v>
      </c>
    </row>
    <row r="3755" spans="1:15" x14ac:dyDescent="0.3">
      <c r="A3755" s="340" t="s">
        <v>891</v>
      </c>
      <c r="B3755" s="350">
        <v>46130</v>
      </c>
      <c r="C3755" s="350">
        <v>46131</v>
      </c>
      <c r="D3755" s="351">
        <v>46113</v>
      </c>
      <c r="E3755" s="340" t="s">
        <v>2899</v>
      </c>
      <c r="F3755" s="340" t="s">
        <v>1078</v>
      </c>
      <c r="G3755" s="340" t="s">
        <v>2568</v>
      </c>
      <c r="H3755" s="340"/>
      <c r="I3755" s="340" t="s">
        <v>771</v>
      </c>
      <c r="K3755" s="343">
        <v>0.01</v>
      </c>
      <c r="L3755" s="343">
        <v>0</v>
      </c>
      <c r="M3755" s="343">
        <v>-816841.02</v>
      </c>
      <c r="O3755" s="343">
        <v>0</v>
      </c>
    </row>
    <row r="3756" spans="1:15" x14ac:dyDescent="0.3">
      <c r="A3756" s="340" t="s">
        <v>891</v>
      </c>
      <c r="B3756" s="350">
        <v>46130</v>
      </c>
      <c r="C3756" s="350">
        <v>46131</v>
      </c>
      <c r="D3756" s="351">
        <v>46113</v>
      </c>
      <c r="E3756" s="340" t="s">
        <v>2899</v>
      </c>
      <c r="F3756" s="340" t="s">
        <v>1078</v>
      </c>
      <c r="G3756" s="340" t="s">
        <v>2569</v>
      </c>
      <c r="H3756" s="340"/>
      <c r="I3756" s="340" t="s">
        <v>771</v>
      </c>
      <c r="K3756" s="343">
        <v>7.0000000000000007E-2</v>
      </c>
      <c r="L3756" s="343">
        <v>0</v>
      </c>
      <c r="M3756" s="343">
        <v>-816840.95</v>
      </c>
      <c r="O3756" s="343">
        <v>0</v>
      </c>
    </row>
    <row r="3757" spans="1:15" x14ac:dyDescent="0.3">
      <c r="A3757" s="340" t="s">
        <v>891</v>
      </c>
      <c r="B3757" s="350">
        <v>46130</v>
      </c>
      <c r="C3757" s="350">
        <v>46131</v>
      </c>
      <c r="D3757" s="351">
        <v>46113</v>
      </c>
      <c r="E3757" s="340" t="s">
        <v>2899</v>
      </c>
      <c r="F3757" s="340" t="s">
        <v>1078</v>
      </c>
      <c r="G3757" s="340" t="s">
        <v>2439</v>
      </c>
      <c r="H3757" s="340"/>
      <c r="I3757" s="340" t="s">
        <v>771</v>
      </c>
      <c r="K3757" s="343">
        <v>0.08</v>
      </c>
      <c r="L3757" s="343">
        <v>0</v>
      </c>
      <c r="M3757" s="343">
        <v>-816840.87</v>
      </c>
      <c r="O3757" s="343">
        <v>0</v>
      </c>
    </row>
    <row r="3758" spans="1:15" x14ac:dyDescent="0.3">
      <c r="A3758" s="340" t="s">
        <v>891</v>
      </c>
      <c r="B3758" s="350">
        <v>46130</v>
      </c>
      <c r="C3758" s="350">
        <v>46131</v>
      </c>
      <c r="D3758" s="351">
        <v>46113</v>
      </c>
      <c r="E3758" s="340" t="s">
        <v>2899</v>
      </c>
      <c r="F3758" s="340" t="s">
        <v>1078</v>
      </c>
      <c r="G3758" s="340" t="s">
        <v>2441</v>
      </c>
      <c r="H3758" s="340"/>
      <c r="I3758" s="340" t="s">
        <v>771</v>
      </c>
      <c r="K3758" s="343">
        <v>0.17</v>
      </c>
      <c r="L3758" s="343">
        <v>0</v>
      </c>
      <c r="M3758" s="343">
        <v>-816840.7</v>
      </c>
      <c r="O3758" s="343">
        <v>0</v>
      </c>
    </row>
    <row r="3759" spans="1:15" x14ac:dyDescent="0.3">
      <c r="A3759" s="340" t="s">
        <v>891</v>
      </c>
      <c r="B3759" s="350">
        <v>46130</v>
      </c>
      <c r="C3759" s="350">
        <v>46131</v>
      </c>
      <c r="D3759" s="351">
        <v>46113</v>
      </c>
      <c r="E3759" s="340" t="s">
        <v>2899</v>
      </c>
      <c r="F3759" s="340" t="s">
        <v>1078</v>
      </c>
      <c r="G3759" s="340" t="s">
        <v>2571</v>
      </c>
      <c r="H3759" s="340"/>
      <c r="I3759" s="340" t="s">
        <v>771</v>
      </c>
      <c r="K3759" s="343">
        <v>0.71</v>
      </c>
      <c r="L3759" s="343">
        <v>0</v>
      </c>
      <c r="M3759" s="343">
        <v>-816839.99</v>
      </c>
      <c r="O3759" s="343">
        <v>0</v>
      </c>
    </row>
    <row r="3760" spans="1:15" x14ac:dyDescent="0.3">
      <c r="A3760" s="340" t="s">
        <v>891</v>
      </c>
      <c r="B3760" s="350">
        <v>46130</v>
      </c>
      <c r="C3760" s="350">
        <v>46131</v>
      </c>
      <c r="D3760" s="351">
        <v>46113</v>
      </c>
      <c r="E3760" s="340" t="s">
        <v>2899</v>
      </c>
      <c r="F3760" s="340" t="s">
        <v>1078</v>
      </c>
      <c r="G3760" s="340" t="s">
        <v>2572</v>
      </c>
      <c r="H3760" s="340"/>
      <c r="I3760" s="340" t="s">
        <v>771</v>
      </c>
      <c r="K3760" s="343">
        <v>2.02</v>
      </c>
      <c r="L3760" s="343">
        <v>0</v>
      </c>
      <c r="M3760" s="343">
        <v>-816837.97</v>
      </c>
      <c r="O3760" s="343">
        <v>0</v>
      </c>
    </row>
    <row r="3761" spans="1:15" x14ac:dyDescent="0.3">
      <c r="A3761" s="340" t="s">
        <v>891</v>
      </c>
      <c r="B3761" s="350">
        <v>46130</v>
      </c>
      <c r="C3761" s="350">
        <v>46131</v>
      </c>
      <c r="D3761" s="351">
        <v>46113</v>
      </c>
      <c r="E3761" s="340" t="s">
        <v>2899</v>
      </c>
      <c r="F3761" s="340" t="s">
        <v>1078</v>
      </c>
      <c r="G3761" s="340" t="s">
        <v>2442</v>
      </c>
      <c r="H3761" s="340"/>
      <c r="I3761" s="340" t="s">
        <v>771</v>
      </c>
      <c r="K3761" s="343">
        <v>2.2599999999999998</v>
      </c>
      <c r="L3761" s="343">
        <v>0</v>
      </c>
      <c r="M3761" s="343">
        <v>-816835.71</v>
      </c>
      <c r="O3761" s="343">
        <v>0</v>
      </c>
    </row>
    <row r="3762" spans="1:15" x14ac:dyDescent="0.3">
      <c r="A3762" s="340" t="s">
        <v>891</v>
      </c>
      <c r="B3762" s="350">
        <v>46130</v>
      </c>
      <c r="C3762" s="350">
        <v>46131</v>
      </c>
      <c r="D3762" s="351">
        <v>46113</v>
      </c>
      <c r="E3762" s="340" t="s">
        <v>2899</v>
      </c>
      <c r="F3762" s="340" t="s">
        <v>1078</v>
      </c>
      <c r="G3762" s="340" t="s">
        <v>2573</v>
      </c>
      <c r="H3762" s="340"/>
      <c r="I3762" s="340" t="s">
        <v>771</v>
      </c>
      <c r="K3762" s="343">
        <v>2.36</v>
      </c>
      <c r="L3762" s="343">
        <v>0</v>
      </c>
      <c r="M3762" s="343">
        <v>-816833.35</v>
      </c>
      <c r="O3762" s="343">
        <v>0</v>
      </c>
    </row>
    <row r="3763" spans="1:15" x14ac:dyDescent="0.3">
      <c r="A3763" s="340" t="s">
        <v>891</v>
      </c>
      <c r="B3763" s="350">
        <v>46130</v>
      </c>
      <c r="C3763" s="350">
        <v>46131</v>
      </c>
      <c r="D3763" s="351">
        <v>46113</v>
      </c>
      <c r="E3763" s="340" t="s">
        <v>2899</v>
      </c>
      <c r="F3763" s="340" t="s">
        <v>1078</v>
      </c>
      <c r="G3763" s="340" t="s">
        <v>2565</v>
      </c>
      <c r="H3763" s="340"/>
      <c r="I3763" s="340" t="s">
        <v>771</v>
      </c>
      <c r="K3763" s="343">
        <v>4.6100000000000003</v>
      </c>
      <c r="L3763" s="343">
        <v>0</v>
      </c>
      <c r="M3763" s="343">
        <v>-816828.74</v>
      </c>
      <c r="O3763" s="343">
        <v>0</v>
      </c>
    </row>
    <row r="3764" spans="1:15" x14ac:dyDescent="0.3">
      <c r="A3764" s="340" t="s">
        <v>891</v>
      </c>
      <c r="B3764" s="350">
        <v>46130</v>
      </c>
      <c r="C3764" s="350">
        <v>46131</v>
      </c>
      <c r="D3764" s="351">
        <v>46113</v>
      </c>
      <c r="E3764" s="340" t="s">
        <v>2899</v>
      </c>
      <c r="F3764" s="340" t="s">
        <v>1078</v>
      </c>
      <c r="G3764" s="340" t="s">
        <v>2566</v>
      </c>
      <c r="H3764" s="340"/>
      <c r="I3764" s="340" t="s">
        <v>771</v>
      </c>
      <c r="K3764" s="343">
        <v>8.07</v>
      </c>
      <c r="L3764" s="343">
        <v>0</v>
      </c>
      <c r="M3764" s="343">
        <v>-816820.67</v>
      </c>
      <c r="O3764" s="343">
        <v>0</v>
      </c>
    </row>
    <row r="3765" spans="1:15" x14ac:dyDescent="0.3">
      <c r="A3765" s="340" t="s">
        <v>891</v>
      </c>
      <c r="B3765" s="350">
        <v>46130</v>
      </c>
      <c r="C3765" s="350">
        <v>46131</v>
      </c>
      <c r="D3765" s="351">
        <v>46113</v>
      </c>
      <c r="E3765" s="340" t="s">
        <v>2899</v>
      </c>
      <c r="F3765" s="340" t="s">
        <v>1078</v>
      </c>
      <c r="G3765" s="340" t="s">
        <v>2567</v>
      </c>
      <c r="H3765" s="340"/>
      <c r="I3765" s="340" t="s">
        <v>771</v>
      </c>
      <c r="K3765" s="343">
        <v>0.1</v>
      </c>
      <c r="L3765" s="343">
        <v>0</v>
      </c>
      <c r="M3765" s="343">
        <v>-816820.57</v>
      </c>
      <c r="O3765" s="343">
        <v>0</v>
      </c>
    </row>
    <row r="3766" spans="1:15" x14ac:dyDescent="0.3">
      <c r="A3766" s="340" t="s">
        <v>891</v>
      </c>
      <c r="B3766" s="350">
        <v>46130</v>
      </c>
      <c r="C3766" s="350">
        <v>46131</v>
      </c>
      <c r="D3766" s="351">
        <v>46113</v>
      </c>
      <c r="E3766" s="340" t="s">
        <v>2899</v>
      </c>
      <c r="F3766" s="340" t="s">
        <v>1078</v>
      </c>
      <c r="G3766" s="340" t="s">
        <v>2568</v>
      </c>
      <c r="H3766" s="340"/>
      <c r="I3766" s="340" t="s">
        <v>771</v>
      </c>
      <c r="K3766" s="343">
        <v>0.15</v>
      </c>
      <c r="L3766" s="343">
        <v>0</v>
      </c>
      <c r="M3766" s="343">
        <v>-816820.42</v>
      </c>
      <c r="O3766" s="343">
        <v>0</v>
      </c>
    </row>
    <row r="3767" spans="1:15" x14ac:dyDescent="0.3">
      <c r="A3767" s="340" t="s">
        <v>891</v>
      </c>
      <c r="B3767" s="350">
        <v>46130</v>
      </c>
      <c r="C3767" s="350">
        <v>46131</v>
      </c>
      <c r="D3767" s="351">
        <v>46113</v>
      </c>
      <c r="E3767" s="340" t="s">
        <v>2899</v>
      </c>
      <c r="F3767" s="340" t="s">
        <v>1078</v>
      </c>
      <c r="G3767" s="340" t="s">
        <v>2568</v>
      </c>
      <c r="H3767" s="340"/>
      <c r="I3767" s="340" t="s">
        <v>771</v>
      </c>
      <c r="K3767" s="343">
        <v>0.22</v>
      </c>
      <c r="L3767" s="343">
        <v>0</v>
      </c>
      <c r="M3767" s="343">
        <v>-816820.2</v>
      </c>
      <c r="O3767" s="343">
        <v>0</v>
      </c>
    </row>
    <row r="3768" spans="1:15" x14ac:dyDescent="0.3">
      <c r="A3768" s="340" t="s">
        <v>891</v>
      </c>
      <c r="B3768" s="350">
        <v>46130</v>
      </c>
      <c r="C3768" s="350">
        <v>46131</v>
      </c>
      <c r="D3768" s="351">
        <v>46113</v>
      </c>
      <c r="E3768" s="340" t="s">
        <v>2899</v>
      </c>
      <c r="F3768" s="340" t="s">
        <v>1078</v>
      </c>
      <c r="G3768" s="340" t="s">
        <v>2439</v>
      </c>
      <c r="H3768" s="340"/>
      <c r="I3768" s="340" t="s">
        <v>771</v>
      </c>
      <c r="K3768" s="343">
        <v>0.89</v>
      </c>
      <c r="L3768" s="343">
        <v>0</v>
      </c>
      <c r="M3768" s="343">
        <v>-816819.31</v>
      </c>
      <c r="O3768" s="343">
        <v>0</v>
      </c>
    </row>
    <row r="3769" spans="1:15" x14ac:dyDescent="0.3">
      <c r="A3769" s="340" t="s">
        <v>891</v>
      </c>
      <c r="B3769" s="350">
        <v>46130</v>
      </c>
      <c r="C3769" s="350">
        <v>46131</v>
      </c>
      <c r="D3769" s="351">
        <v>46113</v>
      </c>
      <c r="E3769" s="340" t="s">
        <v>2899</v>
      </c>
      <c r="F3769" s="340" t="s">
        <v>1078</v>
      </c>
      <c r="G3769" s="340" t="s">
        <v>2569</v>
      </c>
      <c r="H3769" s="340"/>
      <c r="I3769" s="340" t="s">
        <v>771</v>
      </c>
      <c r="K3769" s="343">
        <v>1.1299999999999999</v>
      </c>
      <c r="L3769" s="343">
        <v>0</v>
      </c>
      <c r="M3769" s="343">
        <v>-816818.18</v>
      </c>
      <c r="O3769" s="343">
        <v>0</v>
      </c>
    </row>
    <row r="3770" spans="1:15" x14ac:dyDescent="0.3">
      <c r="A3770" s="340" t="s">
        <v>891</v>
      </c>
      <c r="B3770" s="350">
        <v>46130</v>
      </c>
      <c r="C3770" s="350">
        <v>46131</v>
      </c>
      <c r="D3770" s="351">
        <v>46113</v>
      </c>
      <c r="E3770" s="340" t="s">
        <v>2899</v>
      </c>
      <c r="F3770" s="340" t="s">
        <v>1078</v>
      </c>
      <c r="G3770" s="340" t="s">
        <v>2570</v>
      </c>
      <c r="H3770" s="340"/>
      <c r="I3770" s="340" t="s">
        <v>771</v>
      </c>
      <c r="K3770" s="343">
        <v>1.28</v>
      </c>
      <c r="L3770" s="343">
        <v>0</v>
      </c>
      <c r="M3770" s="343">
        <v>-816816.9</v>
      </c>
      <c r="O3770" s="343">
        <v>0</v>
      </c>
    </row>
    <row r="3771" spans="1:15" x14ac:dyDescent="0.3">
      <c r="A3771" s="340" t="s">
        <v>891</v>
      </c>
      <c r="B3771" s="350">
        <v>46130</v>
      </c>
      <c r="C3771" s="350">
        <v>46131</v>
      </c>
      <c r="D3771" s="351">
        <v>46113</v>
      </c>
      <c r="E3771" s="340" t="s">
        <v>2899</v>
      </c>
      <c r="F3771" s="340" t="s">
        <v>1078</v>
      </c>
      <c r="G3771" s="340" t="s">
        <v>2439</v>
      </c>
      <c r="H3771" s="340"/>
      <c r="I3771" s="340" t="s">
        <v>771</v>
      </c>
      <c r="K3771" s="343">
        <v>1.32</v>
      </c>
      <c r="L3771" s="343">
        <v>0</v>
      </c>
      <c r="M3771" s="343">
        <v>-816815.58</v>
      </c>
      <c r="O3771" s="343">
        <v>0</v>
      </c>
    </row>
    <row r="3772" spans="1:15" x14ac:dyDescent="0.3">
      <c r="A3772" s="340" t="s">
        <v>891</v>
      </c>
      <c r="B3772" s="350">
        <v>46130</v>
      </c>
      <c r="C3772" s="350">
        <v>46131</v>
      </c>
      <c r="D3772" s="351">
        <v>46113</v>
      </c>
      <c r="E3772" s="340" t="s">
        <v>2899</v>
      </c>
      <c r="F3772" s="340" t="s">
        <v>1078</v>
      </c>
      <c r="G3772" s="340" t="s">
        <v>2441</v>
      </c>
      <c r="H3772" s="340"/>
      <c r="I3772" s="340" t="s">
        <v>771</v>
      </c>
      <c r="K3772" s="343">
        <v>1.78</v>
      </c>
      <c r="L3772" s="343">
        <v>0</v>
      </c>
      <c r="M3772" s="343">
        <v>-816813.8</v>
      </c>
      <c r="O3772" s="343">
        <v>0</v>
      </c>
    </row>
    <row r="3773" spans="1:15" x14ac:dyDescent="0.3">
      <c r="A3773" s="340" t="s">
        <v>891</v>
      </c>
      <c r="B3773" s="350">
        <v>46130</v>
      </c>
      <c r="C3773" s="350">
        <v>46131</v>
      </c>
      <c r="D3773" s="351">
        <v>46113</v>
      </c>
      <c r="E3773" s="340" t="s">
        <v>2899</v>
      </c>
      <c r="F3773" s="340" t="s">
        <v>1078</v>
      </c>
      <c r="G3773" s="340" t="s">
        <v>2442</v>
      </c>
      <c r="H3773" s="340"/>
      <c r="I3773" s="340" t="s">
        <v>771</v>
      </c>
      <c r="K3773" s="343">
        <v>2.2599999999999998</v>
      </c>
      <c r="L3773" s="343">
        <v>0</v>
      </c>
      <c r="M3773" s="343">
        <v>-816811.54</v>
      </c>
      <c r="O3773" s="343">
        <v>0</v>
      </c>
    </row>
    <row r="3774" spans="1:15" x14ac:dyDescent="0.3">
      <c r="A3774" s="340" t="s">
        <v>891</v>
      </c>
      <c r="B3774" s="350">
        <v>46130</v>
      </c>
      <c r="C3774" s="350">
        <v>46131</v>
      </c>
      <c r="D3774" s="351">
        <v>46113</v>
      </c>
      <c r="E3774" s="340" t="s">
        <v>2899</v>
      </c>
      <c r="F3774" s="340" t="s">
        <v>1078</v>
      </c>
      <c r="G3774" s="340" t="s">
        <v>2441</v>
      </c>
      <c r="H3774" s="340"/>
      <c r="I3774" s="340" t="s">
        <v>771</v>
      </c>
      <c r="K3774" s="343">
        <v>2.64</v>
      </c>
      <c r="L3774" s="343">
        <v>0</v>
      </c>
      <c r="M3774" s="343">
        <v>-816808.9</v>
      </c>
      <c r="O3774" s="343">
        <v>0</v>
      </c>
    </row>
    <row r="3775" spans="1:15" x14ac:dyDescent="0.3">
      <c r="A3775" s="340" t="s">
        <v>891</v>
      </c>
      <c r="B3775" s="350">
        <v>46130</v>
      </c>
      <c r="C3775" s="350">
        <v>46131</v>
      </c>
      <c r="D3775" s="351">
        <v>46113</v>
      </c>
      <c r="E3775" s="340" t="s">
        <v>2899</v>
      </c>
      <c r="F3775" s="340" t="s">
        <v>1078</v>
      </c>
      <c r="G3775" s="340" t="s">
        <v>2565</v>
      </c>
      <c r="H3775" s="340"/>
      <c r="I3775" s="340" t="s">
        <v>771</v>
      </c>
      <c r="K3775" s="343">
        <v>4.6100000000000003</v>
      </c>
      <c r="L3775" s="343">
        <v>0</v>
      </c>
      <c r="M3775" s="343">
        <v>-816804.29</v>
      </c>
      <c r="O3775" s="343">
        <v>0</v>
      </c>
    </row>
    <row r="3776" spans="1:15" x14ac:dyDescent="0.3">
      <c r="A3776" s="340" t="s">
        <v>891</v>
      </c>
      <c r="B3776" s="350">
        <v>46130</v>
      </c>
      <c r="C3776" s="350">
        <v>46131</v>
      </c>
      <c r="D3776" s="351">
        <v>46113</v>
      </c>
      <c r="E3776" s="340" t="s">
        <v>2899</v>
      </c>
      <c r="F3776" s="340" t="s">
        <v>1078</v>
      </c>
      <c r="G3776" s="340" t="s">
        <v>2571</v>
      </c>
      <c r="H3776" s="340"/>
      <c r="I3776" s="340" t="s">
        <v>771</v>
      </c>
      <c r="K3776" s="343">
        <v>11.22</v>
      </c>
      <c r="L3776" s="343">
        <v>0</v>
      </c>
      <c r="M3776" s="343">
        <v>-816793.07</v>
      </c>
      <c r="O3776" s="343">
        <v>0</v>
      </c>
    </row>
    <row r="3777" spans="1:15" x14ac:dyDescent="0.3">
      <c r="A3777" s="340" t="s">
        <v>891</v>
      </c>
      <c r="B3777" s="350">
        <v>46130</v>
      </c>
      <c r="C3777" s="350">
        <v>46131</v>
      </c>
      <c r="D3777" s="351">
        <v>46113</v>
      </c>
      <c r="E3777" s="340" t="s">
        <v>2899</v>
      </c>
      <c r="F3777" s="340" t="s">
        <v>1078</v>
      </c>
      <c r="G3777" s="340" t="s">
        <v>2572</v>
      </c>
      <c r="H3777" s="340"/>
      <c r="I3777" s="340" t="s">
        <v>771</v>
      </c>
      <c r="K3777" s="343">
        <v>31.77</v>
      </c>
      <c r="L3777" s="343">
        <v>0</v>
      </c>
      <c r="M3777" s="343">
        <v>-816761.3</v>
      </c>
      <c r="O3777" s="343">
        <v>0</v>
      </c>
    </row>
    <row r="3778" spans="1:15" x14ac:dyDescent="0.3">
      <c r="A3778" s="340" t="s">
        <v>891</v>
      </c>
      <c r="B3778" s="350">
        <v>46130</v>
      </c>
      <c r="C3778" s="350">
        <v>46131</v>
      </c>
      <c r="D3778" s="351">
        <v>46113</v>
      </c>
      <c r="E3778" s="340" t="s">
        <v>2899</v>
      </c>
      <c r="F3778" s="340" t="s">
        <v>1078</v>
      </c>
      <c r="G3778" s="340" t="s">
        <v>2573</v>
      </c>
      <c r="H3778" s="340"/>
      <c r="I3778" s="340" t="s">
        <v>771</v>
      </c>
      <c r="K3778" s="343">
        <v>37.19</v>
      </c>
      <c r="L3778" s="343">
        <v>0</v>
      </c>
      <c r="M3778" s="343">
        <v>-816724.11</v>
      </c>
      <c r="O3778" s="343">
        <v>0</v>
      </c>
    </row>
    <row r="3779" spans="1:15" x14ac:dyDescent="0.3">
      <c r="A3779" s="340" t="s">
        <v>891</v>
      </c>
      <c r="B3779" s="350">
        <v>46130</v>
      </c>
      <c r="C3779" s="350">
        <v>46131</v>
      </c>
      <c r="D3779" s="351">
        <v>46113</v>
      </c>
      <c r="E3779" s="340" t="s">
        <v>2899</v>
      </c>
      <c r="F3779" s="340" t="s">
        <v>1078</v>
      </c>
      <c r="G3779" s="340" t="s">
        <v>2566</v>
      </c>
      <c r="H3779" s="340"/>
      <c r="I3779" s="340" t="s">
        <v>771</v>
      </c>
      <c r="K3779" s="343">
        <v>127.22</v>
      </c>
      <c r="L3779" s="343">
        <v>0</v>
      </c>
      <c r="M3779" s="343">
        <v>-816596.89</v>
      </c>
      <c r="O3779" s="343">
        <v>0</v>
      </c>
    </row>
    <row r="3780" spans="1:15" x14ac:dyDescent="0.3">
      <c r="A3780" s="340" t="s">
        <v>891</v>
      </c>
      <c r="B3780" s="350">
        <v>46130</v>
      </c>
      <c r="C3780" s="350">
        <v>46131</v>
      </c>
      <c r="D3780" s="351">
        <v>46113</v>
      </c>
      <c r="E3780" s="340" t="s">
        <v>2899</v>
      </c>
      <c r="F3780" s="340" t="s">
        <v>1078</v>
      </c>
      <c r="G3780" s="340" t="s">
        <v>2567</v>
      </c>
      <c r="H3780" s="340"/>
      <c r="I3780" s="340" t="s">
        <v>771</v>
      </c>
      <c r="K3780" s="343">
        <v>0.01</v>
      </c>
      <c r="L3780" s="343">
        <v>0</v>
      </c>
      <c r="M3780" s="343">
        <v>-816596.88</v>
      </c>
      <c r="O3780" s="343">
        <v>0</v>
      </c>
    </row>
    <row r="3781" spans="1:15" x14ac:dyDescent="0.3">
      <c r="A3781" s="340" t="s">
        <v>891</v>
      </c>
      <c r="B3781" s="350">
        <v>46130</v>
      </c>
      <c r="C3781" s="350">
        <v>46131</v>
      </c>
      <c r="D3781" s="351">
        <v>46113</v>
      </c>
      <c r="E3781" s="340" t="s">
        <v>2899</v>
      </c>
      <c r="F3781" s="340" t="s">
        <v>1078</v>
      </c>
      <c r="G3781" s="340" t="s">
        <v>2568</v>
      </c>
      <c r="H3781" s="340"/>
      <c r="I3781" s="340" t="s">
        <v>771</v>
      </c>
      <c r="K3781" s="343">
        <v>0.02</v>
      </c>
      <c r="L3781" s="343">
        <v>0</v>
      </c>
      <c r="M3781" s="343">
        <v>-816596.86</v>
      </c>
      <c r="O3781" s="343">
        <v>0</v>
      </c>
    </row>
    <row r="3782" spans="1:15" x14ac:dyDescent="0.3">
      <c r="A3782" s="340" t="s">
        <v>891</v>
      </c>
      <c r="B3782" s="350">
        <v>46130</v>
      </c>
      <c r="C3782" s="350">
        <v>46131</v>
      </c>
      <c r="D3782" s="351">
        <v>46113</v>
      </c>
      <c r="E3782" s="340" t="s">
        <v>2899</v>
      </c>
      <c r="F3782" s="340" t="s">
        <v>1078</v>
      </c>
      <c r="G3782" s="340" t="s">
        <v>2568</v>
      </c>
      <c r="H3782" s="340"/>
      <c r="I3782" s="340" t="s">
        <v>771</v>
      </c>
      <c r="K3782" s="343">
        <v>0.03</v>
      </c>
      <c r="L3782" s="343">
        <v>0</v>
      </c>
      <c r="M3782" s="343">
        <v>-816596.83</v>
      </c>
      <c r="O3782" s="343">
        <v>0</v>
      </c>
    </row>
    <row r="3783" spans="1:15" x14ac:dyDescent="0.3">
      <c r="A3783" s="340" t="s">
        <v>891</v>
      </c>
      <c r="B3783" s="350">
        <v>46130</v>
      </c>
      <c r="C3783" s="350">
        <v>46131</v>
      </c>
      <c r="D3783" s="351">
        <v>46113</v>
      </c>
      <c r="E3783" s="340" t="s">
        <v>2899</v>
      </c>
      <c r="F3783" s="340" t="s">
        <v>1078</v>
      </c>
      <c r="G3783" s="340" t="s">
        <v>2569</v>
      </c>
      <c r="H3783" s="340"/>
      <c r="I3783" s="340" t="s">
        <v>771</v>
      </c>
      <c r="K3783" s="343">
        <v>0.12</v>
      </c>
      <c r="L3783" s="343">
        <v>0</v>
      </c>
      <c r="M3783" s="343">
        <v>-816596.71</v>
      </c>
      <c r="O3783" s="343">
        <v>0</v>
      </c>
    </row>
    <row r="3784" spans="1:15" x14ac:dyDescent="0.3">
      <c r="A3784" s="340" t="s">
        <v>891</v>
      </c>
      <c r="B3784" s="350">
        <v>46130</v>
      </c>
      <c r="C3784" s="350">
        <v>46131</v>
      </c>
      <c r="D3784" s="351">
        <v>46113</v>
      </c>
      <c r="E3784" s="340" t="s">
        <v>2899</v>
      </c>
      <c r="F3784" s="340" t="s">
        <v>1078</v>
      </c>
      <c r="G3784" s="340" t="s">
        <v>2439</v>
      </c>
      <c r="H3784" s="340"/>
      <c r="I3784" s="340" t="s">
        <v>771</v>
      </c>
      <c r="K3784" s="343">
        <v>0.14000000000000001</v>
      </c>
      <c r="L3784" s="343">
        <v>0</v>
      </c>
      <c r="M3784" s="343">
        <v>-816596.57</v>
      </c>
      <c r="O3784" s="343">
        <v>0</v>
      </c>
    </row>
    <row r="3785" spans="1:15" x14ac:dyDescent="0.3">
      <c r="A3785" s="340" t="s">
        <v>891</v>
      </c>
      <c r="B3785" s="350">
        <v>46130</v>
      </c>
      <c r="C3785" s="350">
        <v>46131</v>
      </c>
      <c r="D3785" s="351">
        <v>46113</v>
      </c>
      <c r="E3785" s="340" t="s">
        <v>2899</v>
      </c>
      <c r="F3785" s="340" t="s">
        <v>1078</v>
      </c>
      <c r="G3785" s="340" t="s">
        <v>2570</v>
      </c>
      <c r="H3785" s="340"/>
      <c r="I3785" s="340" t="s">
        <v>771</v>
      </c>
      <c r="K3785" s="343">
        <v>0.14000000000000001</v>
      </c>
      <c r="L3785" s="343">
        <v>0</v>
      </c>
      <c r="M3785" s="343">
        <v>-816596.43</v>
      </c>
      <c r="O3785" s="343">
        <v>0</v>
      </c>
    </row>
    <row r="3786" spans="1:15" x14ac:dyDescent="0.3">
      <c r="A3786" s="340" t="s">
        <v>891</v>
      </c>
      <c r="B3786" s="350">
        <v>46130</v>
      </c>
      <c r="C3786" s="350">
        <v>46131</v>
      </c>
      <c r="D3786" s="351">
        <v>46113</v>
      </c>
      <c r="E3786" s="340" t="s">
        <v>2899</v>
      </c>
      <c r="F3786" s="340" t="s">
        <v>1078</v>
      </c>
      <c r="G3786" s="340" t="s">
        <v>2439</v>
      </c>
      <c r="H3786" s="340"/>
      <c r="I3786" s="340" t="s">
        <v>771</v>
      </c>
      <c r="K3786" s="343">
        <v>0.16</v>
      </c>
      <c r="L3786" s="343">
        <v>0</v>
      </c>
      <c r="M3786" s="343">
        <v>-816596.27</v>
      </c>
      <c r="O3786" s="343">
        <v>0</v>
      </c>
    </row>
    <row r="3787" spans="1:15" x14ac:dyDescent="0.3">
      <c r="A3787" s="340" t="s">
        <v>891</v>
      </c>
      <c r="B3787" s="350">
        <v>46130</v>
      </c>
      <c r="C3787" s="350">
        <v>46131</v>
      </c>
      <c r="D3787" s="351">
        <v>46113</v>
      </c>
      <c r="E3787" s="340" t="s">
        <v>2899</v>
      </c>
      <c r="F3787" s="340" t="s">
        <v>1078</v>
      </c>
      <c r="G3787" s="340" t="s">
        <v>2441</v>
      </c>
      <c r="H3787" s="340"/>
      <c r="I3787" s="340" t="s">
        <v>771</v>
      </c>
      <c r="K3787" s="343">
        <v>0.28999999999999998</v>
      </c>
      <c r="L3787" s="343">
        <v>0</v>
      </c>
      <c r="M3787" s="343">
        <v>-816595.98</v>
      </c>
      <c r="O3787" s="343">
        <v>0</v>
      </c>
    </row>
    <row r="3788" spans="1:15" x14ac:dyDescent="0.3">
      <c r="A3788" s="340" t="s">
        <v>891</v>
      </c>
      <c r="B3788" s="350">
        <v>46130</v>
      </c>
      <c r="C3788" s="350">
        <v>46131</v>
      </c>
      <c r="D3788" s="351">
        <v>46113</v>
      </c>
      <c r="E3788" s="340" t="s">
        <v>2899</v>
      </c>
      <c r="F3788" s="340" t="s">
        <v>1078</v>
      </c>
      <c r="G3788" s="340" t="s">
        <v>2441</v>
      </c>
      <c r="H3788" s="340"/>
      <c r="I3788" s="340" t="s">
        <v>771</v>
      </c>
      <c r="K3788" s="343">
        <v>0.32</v>
      </c>
      <c r="L3788" s="343">
        <v>0</v>
      </c>
      <c r="M3788" s="343">
        <v>-816595.66</v>
      </c>
      <c r="O3788" s="343">
        <v>0</v>
      </c>
    </row>
    <row r="3789" spans="1:15" x14ac:dyDescent="0.3">
      <c r="A3789" s="340" t="s">
        <v>891</v>
      </c>
      <c r="B3789" s="350">
        <v>46130</v>
      </c>
      <c r="C3789" s="350">
        <v>46131</v>
      </c>
      <c r="D3789" s="351">
        <v>46113</v>
      </c>
      <c r="E3789" s="340" t="s">
        <v>2899</v>
      </c>
      <c r="F3789" s="340" t="s">
        <v>1078</v>
      </c>
      <c r="G3789" s="340" t="s">
        <v>2571</v>
      </c>
      <c r="H3789" s="340"/>
      <c r="I3789" s="340" t="s">
        <v>771</v>
      </c>
      <c r="K3789" s="343">
        <v>1.21</v>
      </c>
      <c r="L3789" s="343">
        <v>0</v>
      </c>
      <c r="M3789" s="343">
        <v>-816594.45</v>
      </c>
      <c r="O3789" s="343">
        <v>0</v>
      </c>
    </row>
    <row r="3790" spans="1:15" x14ac:dyDescent="0.3">
      <c r="A3790" s="340" t="s">
        <v>891</v>
      </c>
      <c r="B3790" s="350">
        <v>46130</v>
      </c>
      <c r="C3790" s="350">
        <v>46131</v>
      </c>
      <c r="D3790" s="351">
        <v>46113</v>
      </c>
      <c r="E3790" s="340" t="s">
        <v>2899</v>
      </c>
      <c r="F3790" s="340" t="s">
        <v>1078</v>
      </c>
      <c r="G3790" s="340" t="s">
        <v>2442</v>
      </c>
      <c r="H3790" s="340"/>
      <c r="I3790" s="340" t="s">
        <v>771</v>
      </c>
      <c r="K3790" s="343">
        <v>2.2599999999999998</v>
      </c>
      <c r="L3790" s="343">
        <v>0</v>
      </c>
      <c r="M3790" s="343">
        <v>-816592.19</v>
      </c>
      <c r="O3790" s="343">
        <v>0</v>
      </c>
    </row>
    <row r="3791" spans="1:15" x14ac:dyDescent="0.3">
      <c r="A3791" s="340" t="s">
        <v>891</v>
      </c>
      <c r="B3791" s="350">
        <v>46130</v>
      </c>
      <c r="C3791" s="350">
        <v>46131</v>
      </c>
      <c r="D3791" s="351">
        <v>46113</v>
      </c>
      <c r="E3791" s="340" t="s">
        <v>2899</v>
      </c>
      <c r="F3791" s="340" t="s">
        <v>1078</v>
      </c>
      <c r="G3791" s="340" t="s">
        <v>2572</v>
      </c>
      <c r="H3791" s="340"/>
      <c r="I3791" s="340" t="s">
        <v>771</v>
      </c>
      <c r="K3791" s="343">
        <v>3.43</v>
      </c>
      <c r="L3791" s="343">
        <v>0</v>
      </c>
      <c r="M3791" s="343">
        <v>-816588.76</v>
      </c>
      <c r="O3791" s="343">
        <v>0</v>
      </c>
    </row>
    <row r="3792" spans="1:15" x14ac:dyDescent="0.3">
      <c r="A3792" s="340" t="s">
        <v>891</v>
      </c>
      <c r="B3792" s="350">
        <v>46130</v>
      </c>
      <c r="C3792" s="350">
        <v>46131</v>
      </c>
      <c r="D3792" s="351">
        <v>46113</v>
      </c>
      <c r="E3792" s="340" t="s">
        <v>2899</v>
      </c>
      <c r="F3792" s="340" t="s">
        <v>1078</v>
      </c>
      <c r="G3792" s="340" t="s">
        <v>2573</v>
      </c>
      <c r="H3792" s="340"/>
      <c r="I3792" s="340" t="s">
        <v>771</v>
      </c>
      <c r="K3792" s="343">
        <v>4.0199999999999996</v>
      </c>
      <c r="L3792" s="343">
        <v>0</v>
      </c>
      <c r="M3792" s="343">
        <v>-816584.74</v>
      </c>
      <c r="O3792" s="343">
        <v>0</v>
      </c>
    </row>
    <row r="3793" spans="1:15" x14ac:dyDescent="0.3">
      <c r="A3793" s="340" t="s">
        <v>891</v>
      </c>
      <c r="B3793" s="350">
        <v>46130</v>
      </c>
      <c r="C3793" s="350">
        <v>46131</v>
      </c>
      <c r="D3793" s="351">
        <v>46113</v>
      </c>
      <c r="E3793" s="340" t="s">
        <v>2899</v>
      </c>
      <c r="F3793" s="340" t="s">
        <v>1078</v>
      </c>
      <c r="G3793" s="340" t="s">
        <v>2565</v>
      </c>
      <c r="H3793" s="340"/>
      <c r="I3793" s="340" t="s">
        <v>771</v>
      </c>
      <c r="K3793" s="343">
        <v>4.6100000000000003</v>
      </c>
      <c r="L3793" s="343">
        <v>0</v>
      </c>
      <c r="M3793" s="343">
        <v>-816580.13</v>
      </c>
      <c r="O3793" s="343">
        <v>0</v>
      </c>
    </row>
    <row r="3794" spans="1:15" x14ac:dyDescent="0.3">
      <c r="A3794" s="340" t="s">
        <v>891</v>
      </c>
      <c r="B3794" s="350">
        <v>46130</v>
      </c>
      <c r="C3794" s="350">
        <v>46131</v>
      </c>
      <c r="D3794" s="351">
        <v>46113</v>
      </c>
      <c r="E3794" s="340" t="s">
        <v>2899</v>
      </c>
      <c r="F3794" s="340" t="s">
        <v>1078</v>
      </c>
      <c r="G3794" s="340" t="s">
        <v>2566</v>
      </c>
      <c r="H3794" s="340"/>
      <c r="I3794" s="340" t="s">
        <v>771</v>
      </c>
      <c r="K3794" s="343">
        <v>13.74</v>
      </c>
      <c r="L3794" s="343">
        <v>0</v>
      </c>
      <c r="M3794" s="343">
        <v>-816566.39</v>
      </c>
      <c r="O3794" s="343">
        <v>0</v>
      </c>
    </row>
    <row r="3795" spans="1:15" x14ac:dyDescent="0.3">
      <c r="A3795" s="340" t="s">
        <v>891</v>
      </c>
      <c r="B3795" s="350">
        <v>46130</v>
      </c>
      <c r="C3795" s="350">
        <v>46131</v>
      </c>
      <c r="D3795" s="351">
        <v>46113</v>
      </c>
      <c r="E3795" s="340" t="s">
        <v>2899</v>
      </c>
      <c r="F3795" s="340" t="s">
        <v>1078</v>
      </c>
      <c r="G3795" s="340" t="s">
        <v>2567</v>
      </c>
      <c r="H3795" s="340"/>
      <c r="I3795" s="340" t="s">
        <v>771</v>
      </c>
      <c r="K3795" s="343">
        <v>0.01</v>
      </c>
      <c r="L3795" s="343">
        <v>0</v>
      </c>
      <c r="M3795" s="343">
        <v>-816566.38</v>
      </c>
      <c r="O3795" s="343">
        <v>0</v>
      </c>
    </row>
    <row r="3796" spans="1:15" x14ac:dyDescent="0.3">
      <c r="A3796" s="340" t="s">
        <v>891</v>
      </c>
      <c r="B3796" s="350">
        <v>46130</v>
      </c>
      <c r="C3796" s="350">
        <v>46131</v>
      </c>
      <c r="D3796" s="351">
        <v>46113</v>
      </c>
      <c r="E3796" s="340" t="s">
        <v>2899</v>
      </c>
      <c r="F3796" s="340" t="s">
        <v>1078</v>
      </c>
      <c r="G3796" s="340" t="s">
        <v>2568</v>
      </c>
      <c r="H3796" s="340"/>
      <c r="I3796" s="340" t="s">
        <v>771</v>
      </c>
      <c r="K3796" s="343">
        <v>0.02</v>
      </c>
      <c r="L3796" s="343">
        <v>0</v>
      </c>
      <c r="M3796" s="343">
        <v>-816566.36</v>
      </c>
      <c r="O3796" s="343">
        <v>0</v>
      </c>
    </row>
    <row r="3797" spans="1:15" x14ac:dyDescent="0.3">
      <c r="A3797" s="340" t="s">
        <v>891</v>
      </c>
      <c r="B3797" s="350">
        <v>46130</v>
      </c>
      <c r="C3797" s="350">
        <v>46131</v>
      </c>
      <c r="D3797" s="351">
        <v>46113</v>
      </c>
      <c r="E3797" s="340" t="s">
        <v>2899</v>
      </c>
      <c r="F3797" s="340" t="s">
        <v>1078</v>
      </c>
      <c r="G3797" s="340" t="s">
        <v>2441</v>
      </c>
      <c r="H3797" s="340"/>
      <c r="I3797" s="340" t="s">
        <v>771</v>
      </c>
      <c r="K3797" s="343">
        <v>0.27</v>
      </c>
      <c r="L3797" s="343">
        <v>0</v>
      </c>
      <c r="M3797" s="343">
        <v>-816566.09</v>
      </c>
      <c r="O3797" s="343">
        <v>0</v>
      </c>
    </row>
    <row r="3798" spans="1:15" x14ac:dyDescent="0.3">
      <c r="A3798" s="340" t="s">
        <v>891</v>
      </c>
      <c r="B3798" s="350">
        <v>46130</v>
      </c>
      <c r="C3798" s="350">
        <v>46131</v>
      </c>
      <c r="D3798" s="351">
        <v>46113</v>
      </c>
      <c r="E3798" s="340" t="s">
        <v>2899</v>
      </c>
      <c r="F3798" s="340" t="s">
        <v>1078</v>
      </c>
      <c r="G3798" s="340" t="s">
        <v>2439</v>
      </c>
      <c r="H3798" s="340"/>
      <c r="I3798" s="340" t="s">
        <v>771</v>
      </c>
      <c r="K3798" s="343">
        <v>0.13</v>
      </c>
      <c r="L3798" s="343">
        <v>0</v>
      </c>
      <c r="M3798" s="343">
        <v>-816565.96</v>
      </c>
      <c r="O3798" s="343">
        <v>0</v>
      </c>
    </row>
    <row r="3799" spans="1:15" x14ac:dyDescent="0.3">
      <c r="A3799" s="340" t="s">
        <v>891</v>
      </c>
      <c r="B3799" s="350">
        <v>46130</v>
      </c>
      <c r="C3799" s="350">
        <v>46131</v>
      </c>
      <c r="D3799" s="351">
        <v>46113</v>
      </c>
      <c r="E3799" s="340" t="s">
        <v>2899</v>
      </c>
      <c r="F3799" s="340" t="s">
        <v>1078</v>
      </c>
      <c r="G3799" s="340" t="s">
        <v>2568</v>
      </c>
      <c r="H3799" s="340"/>
      <c r="I3799" s="340" t="s">
        <v>771</v>
      </c>
      <c r="K3799" s="343">
        <v>0.02</v>
      </c>
      <c r="L3799" s="343">
        <v>0</v>
      </c>
      <c r="M3799" s="343">
        <v>-816565.94</v>
      </c>
      <c r="O3799" s="343">
        <v>0</v>
      </c>
    </row>
    <row r="3800" spans="1:15" x14ac:dyDescent="0.3">
      <c r="A3800" s="340" t="s">
        <v>891</v>
      </c>
      <c r="B3800" s="350">
        <v>46130</v>
      </c>
      <c r="C3800" s="350">
        <v>46131</v>
      </c>
      <c r="D3800" s="351">
        <v>46113</v>
      </c>
      <c r="E3800" s="340" t="s">
        <v>2899</v>
      </c>
      <c r="F3800" s="340" t="s">
        <v>1078</v>
      </c>
      <c r="G3800" s="340" t="s">
        <v>2569</v>
      </c>
      <c r="H3800" s="340"/>
      <c r="I3800" s="340" t="s">
        <v>771</v>
      </c>
      <c r="K3800" s="343">
        <v>0.08</v>
      </c>
      <c r="L3800" s="343">
        <v>0</v>
      </c>
      <c r="M3800" s="343">
        <v>-816565.86</v>
      </c>
      <c r="O3800" s="343">
        <v>0</v>
      </c>
    </row>
    <row r="3801" spans="1:15" x14ac:dyDescent="0.3">
      <c r="A3801" s="340" t="s">
        <v>891</v>
      </c>
      <c r="B3801" s="350">
        <v>46130</v>
      </c>
      <c r="C3801" s="350">
        <v>46131</v>
      </c>
      <c r="D3801" s="351">
        <v>46113</v>
      </c>
      <c r="E3801" s="340" t="s">
        <v>2899</v>
      </c>
      <c r="F3801" s="340" t="s">
        <v>1078</v>
      </c>
      <c r="G3801" s="340" t="s">
        <v>2439</v>
      </c>
      <c r="H3801" s="340"/>
      <c r="I3801" s="340" t="s">
        <v>771</v>
      </c>
      <c r="K3801" s="343">
        <v>0.1</v>
      </c>
      <c r="L3801" s="343">
        <v>0</v>
      </c>
      <c r="M3801" s="343">
        <v>-816565.76000000001</v>
      </c>
      <c r="O3801" s="343">
        <v>0</v>
      </c>
    </row>
    <row r="3802" spans="1:15" x14ac:dyDescent="0.3">
      <c r="A3802" s="340" t="s">
        <v>891</v>
      </c>
      <c r="B3802" s="350">
        <v>46130</v>
      </c>
      <c r="C3802" s="350">
        <v>46131</v>
      </c>
      <c r="D3802" s="351">
        <v>46113</v>
      </c>
      <c r="E3802" s="340" t="s">
        <v>2899</v>
      </c>
      <c r="F3802" s="340" t="s">
        <v>1078</v>
      </c>
      <c r="G3802" s="340" t="s">
        <v>2570</v>
      </c>
      <c r="H3802" s="340"/>
      <c r="I3802" s="340" t="s">
        <v>771</v>
      </c>
      <c r="K3802" s="343">
        <v>0.1</v>
      </c>
      <c r="L3802" s="343">
        <v>0</v>
      </c>
      <c r="M3802" s="343">
        <v>-816565.66</v>
      </c>
      <c r="O3802" s="343">
        <v>0</v>
      </c>
    </row>
    <row r="3803" spans="1:15" x14ac:dyDescent="0.3">
      <c r="A3803" s="340" t="s">
        <v>891</v>
      </c>
      <c r="B3803" s="350">
        <v>46130</v>
      </c>
      <c r="C3803" s="350">
        <v>46131</v>
      </c>
      <c r="D3803" s="351">
        <v>46113</v>
      </c>
      <c r="E3803" s="340" t="s">
        <v>2899</v>
      </c>
      <c r="F3803" s="340" t="s">
        <v>1078</v>
      </c>
      <c r="G3803" s="340" t="s">
        <v>2441</v>
      </c>
      <c r="H3803" s="340"/>
      <c r="I3803" s="340" t="s">
        <v>771</v>
      </c>
      <c r="K3803" s="343">
        <v>0.2</v>
      </c>
      <c r="L3803" s="343">
        <v>0</v>
      </c>
      <c r="M3803" s="343">
        <v>-816565.46</v>
      </c>
      <c r="O3803" s="343">
        <v>0</v>
      </c>
    </row>
    <row r="3804" spans="1:15" x14ac:dyDescent="0.3">
      <c r="A3804" s="340" t="s">
        <v>891</v>
      </c>
      <c r="B3804" s="350">
        <v>46130</v>
      </c>
      <c r="C3804" s="350">
        <v>46131</v>
      </c>
      <c r="D3804" s="351">
        <v>46113</v>
      </c>
      <c r="E3804" s="340" t="s">
        <v>2899</v>
      </c>
      <c r="F3804" s="340" t="s">
        <v>1078</v>
      </c>
      <c r="G3804" s="340" t="s">
        <v>2571</v>
      </c>
      <c r="H3804" s="340"/>
      <c r="I3804" s="340" t="s">
        <v>771</v>
      </c>
      <c r="K3804" s="343">
        <v>0.86</v>
      </c>
      <c r="L3804" s="343">
        <v>0</v>
      </c>
      <c r="M3804" s="343">
        <v>-816564.6</v>
      </c>
      <c r="O3804" s="343">
        <v>0</v>
      </c>
    </row>
    <row r="3805" spans="1:15" x14ac:dyDescent="0.3">
      <c r="A3805" s="340" t="s">
        <v>891</v>
      </c>
      <c r="B3805" s="350">
        <v>46130</v>
      </c>
      <c r="C3805" s="350">
        <v>46131</v>
      </c>
      <c r="D3805" s="351">
        <v>46113</v>
      </c>
      <c r="E3805" s="340" t="s">
        <v>2899</v>
      </c>
      <c r="F3805" s="340" t="s">
        <v>1078</v>
      </c>
      <c r="G3805" s="340" t="s">
        <v>2442</v>
      </c>
      <c r="H3805" s="340"/>
      <c r="I3805" s="340" t="s">
        <v>771</v>
      </c>
      <c r="K3805" s="343">
        <v>2.2599999999999998</v>
      </c>
      <c r="L3805" s="343">
        <v>0</v>
      </c>
      <c r="M3805" s="343">
        <v>-816562.34</v>
      </c>
      <c r="O3805" s="343">
        <v>0</v>
      </c>
    </row>
    <row r="3806" spans="1:15" x14ac:dyDescent="0.3">
      <c r="A3806" s="340" t="s">
        <v>891</v>
      </c>
      <c r="B3806" s="350">
        <v>46130</v>
      </c>
      <c r="C3806" s="350">
        <v>46131</v>
      </c>
      <c r="D3806" s="351">
        <v>46113</v>
      </c>
      <c r="E3806" s="340" t="s">
        <v>2899</v>
      </c>
      <c r="F3806" s="340" t="s">
        <v>1078</v>
      </c>
      <c r="G3806" s="340" t="s">
        <v>2572</v>
      </c>
      <c r="H3806" s="340"/>
      <c r="I3806" s="340" t="s">
        <v>771</v>
      </c>
      <c r="K3806" s="343">
        <v>2.4300000000000002</v>
      </c>
      <c r="L3806" s="343">
        <v>0</v>
      </c>
      <c r="M3806" s="343">
        <v>-816559.91</v>
      </c>
      <c r="O3806" s="343">
        <v>0</v>
      </c>
    </row>
    <row r="3807" spans="1:15" x14ac:dyDescent="0.3">
      <c r="A3807" s="340" t="s">
        <v>891</v>
      </c>
      <c r="B3807" s="350">
        <v>46130</v>
      </c>
      <c r="C3807" s="350">
        <v>46131</v>
      </c>
      <c r="D3807" s="351">
        <v>46113</v>
      </c>
      <c r="E3807" s="340" t="s">
        <v>2899</v>
      </c>
      <c r="F3807" s="340" t="s">
        <v>1078</v>
      </c>
      <c r="G3807" s="340" t="s">
        <v>2573</v>
      </c>
      <c r="H3807" s="340"/>
      <c r="I3807" s="340" t="s">
        <v>771</v>
      </c>
      <c r="K3807" s="343">
        <v>2.85</v>
      </c>
      <c r="L3807" s="343">
        <v>0</v>
      </c>
      <c r="M3807" s="343">
        <v>-816557.06</v>
      </c>
      <c r="O3807" s="343">
        <v>0</v>
      </c>
    </row>
    <row r="3808" spans="1:15" x14ac:dyDescent="0.3">
      <c r="A3808" s="340" t="s">
        <v>891</v>
      </c>
      <c r="B3808" s="350">
        <v>46130</v>
      </c>
      <c r="C3808" s="350">
        <v>46131</v>
      </c>
      <c r="D3808" s="351">
        <v>46113</v>
      </c>
      <c r="E3808" s="340" t="s">
        <v>2899</v>
      </c>
      <c r="F3808" s="340" t="s">
        <v>1078</v>
      </c>
      <c r="G3808" s="340" t="s">
        <v>2565</v>
      </c>
      <c r="H3808" s="340"/>
      <c r="I3808" s="340" t="s">
        <v>771</v>
      </c>
      <c r="K3808" s="343">
        <v>4.6100000000000003</v>
      </c>
      <c r="L3808" s="343">
        <v>0</v>
      </c>
      <c r="M3808" s="343">
        <v>-816552.45</v>
      </c>
      <c r="O3808" s="343">
        <v>0</v>
      </c>
    </row>
    <row r="3809" spans="1:15" x14ac:dyDescent="0.3">
      <c r="A3809" s="340" t="s">
        <v>891</v>
      </c>
      <c r="B3809" s="350">
        <v>46130</v>
      </c>
      <c r="C3809" s="350">
        <v>46131</v>
      </c>
      <c r="D3809" s="351">
        <v>46113</v>
      </c>
      <c r="E3809" s="340" t="s">
        <v>2899</v>
      </c>
      <c r="F3809" s="340" t="s">
        <v>1078</v>
      </c>
      <c r="G3809" s="340" t="s">
        <v>2566</v>
      </c>
      <c r="H3809" s="340"/>
      <c r="I3809" s="340" t="s">
        <v>771</v>
      </c>
      <c r="K3809" s="343">
        <v>9.74</v>
      </c>
      <c r="L3809" s="343">
        <v>0</v>
      </c>
      <c r="M3809" s="343">
        <v>-816542.71</v>
      </c>
      <c r="O3809" s="343">
        <v>0</v>
      </c>
    </row>
    <row r="3810" spans="1:15" x14ac:dyDescent="0.3">
      <c r="A3810" s="340" t="s">
        <v>891</v>
      </c>
      <c r="B3810" s="350">
        <v>46130</v>
      </c>
      <c r="C3810" s="350">
        <v>46131</v>
      </c>
      <c r="D3810" s="351">
        <v>46113</v>
      </c>
      <c r="E3810" s="340" t="s">
        <v>2899</v>
      </c>
      <c r="F3810" s="340" t="s">
        <v>1078</v>
      </c>
      <c r="G3810" s="340" t="s">
        <v>2566</v>
      </c>
      <c r="H3810" s="340"/>
      <c r="I3810" s="340" t="s">
        <v>771</v>
      </c>
      <c r="K3810" s="343">
        <v>16.940000000000001</v>
      </c>
      <c r="L3810" s="343">
        <v>0</v>
      </c>
      <c r="M3810" s="343">
        <v>-816525.77</v>
      </c>
      <c r="O3810" s="343">
        <v>0</v>
      </c>
    </row>
    <row r="3811" spans="1:15" x14ac:dyDescent="0.3">
      <c r="A3811" s="340" t="s">
        <v>891</v>
      </c>
      <c r="B3811" s="350">
        <v>46130</v>
      </c>
      <c r="C3811" s="350">
        <v>46131</v>
      </c>
      <c r="D3811" s="351">
        <v>46113</v>
      </c>
      <c r="E3811" s="340" t="s">
        <v>2899</v>
      </c>
      <c r="F3811" s="340" t="s">
        <v>1078</v>
      </c>
      <c r="G3811" s="340" t="s">
        <v>2570</v>
      </c>
      <c r="H3811" s="340"/>
      <c r="I3811" s="340" t="s">
        <v>771</v>
      </c>
      <c r="K3811" s="343">
        <v>0.17</v>
      </c>
      <c r="L3811" s="343">
        <v>0</v>
      </c>
      <c r="M3811" s="343">
        <v>-816525.6</v>
      </c>
      <c r="O3811" s="343">
        <v>0</v>
      </c>
    </row>
    <row r="3812" spans="1:15" x14ac:dyDescent="0.3">
      <c r="A3812" s="340" t="s">
        <v>891</v>
      </c>
      <c r="B3812" s="350">
        <v>46130</v>
      </c>
      <c r="C3812" s="350">
        <v>46131</v>
      </c>
      <c r="D3812" s="351">
        <v>46113</v>
      </c>
      <c r="E3812" s="340" t="s">
        <v>2899</v>
      </c>
      <c r="F3812" s="340" t="s">
        <v>1078</v>
      </c>
      <c r="G3812" s="340" t="s">
        <v>2568</v>
      </c>
      <c r="H3812" s="340"/>
      <c r="I3812" s="340" t="s">
        <v>771</v>
      </c>
      <c r="K3812" s="343">
        <v>0.03</v>
      </c>
      <c r="L3812" s="343">
        <v>0</v>
      </c>
      <c r="M3812" s="343">
        <v>-816525.57</v>
      </c>
      <c r="O3812" s="343">
        <v>0</v>
      </c>
    </row>
    <row r="3813" spans="1:15" x14ac:dyDescent="0.3">
      <c r="A3813" s="340" t="s">
        <v>891</v>
      </c>
      <c r="B3813" s="350">
        <v>46130</v>
      </c>
      <c r="C3813" s="350">
        <v>46131</v>
      </c>
      <c r="D3813" s="351">
        <v>46113</v>
      </c>
      <c r="E3813" s="340" t="s">
        <v>2899</v>
      </c>
      <c r="F3813" s="340" t="s">
        <v>1078</v>
      </c>
      <c r="G3813" s="340" t="s">
        <v>2567</v>
      </c>
      <c r="H3813" s="340"/>
      <c r="I3813" s="340" t="s">
        <v>771</v>
      </c>
      <c r="K3813" s="343">
        <v>0.01</v>
      </c>
      <c r="L3813" s="343">
        <v>0</v>
      </c>
      <c r="M3813" s="343">
        <v>-816525.56</v>
      </c>
      <c r="O3813" s="343">
        <v>0</v>
      </c>
    </row>
    <row r="3814" spans="1:15" x14ac:dyDescent="0.3">
      <c r="A3814" s="340" t="s">
        <v>891</v>
      </c>
      <c r="B3814" s="350">
        <v>46130</v>
      </c>
      <c r="C3814" s="350">
        <v>46131</v>
      </c>
      <c r="D3814" s="351">
        <v>46113</v>
      </c>
      <c r="E3814" s="340" t="s">
        <v>2899</v>
      </c>
      <c r="F3814" s="340" t="s">
        <v>1078</v>
      </c>
      <c r="G3814" s="340" t="s">
        <v>2568</v>
      </c>
      <c r="H3814" s="340"/>
      <c r="I3814" s="340" t="s">
        <v>771</v>
      </c>
      <c r="K3814" s="343">
        <v>0.03</v>
      </c>
      <c r="L3814" s="343">
        <v>0</v>
      </c>
      <c r="M3814" s="343">
        <v>-816525.53</v>
      </c>
      <c r="O3814" s="343">
        <v>0</v>
      </c>
    </row>
    <row r="3815" spans="1:15" x14ac:dyDescent="0.3">
      <c r="A3815" s="340" t="s">
        <v>891</v>
      </c>
      <c r="B3815" s="350">
        <v>46130</v>
      </c>
      <c r="C3815" s="350">
        <v>46131</v>
      </c>
      <c r="D3815" s="351">
        <v>46113</v>
      </c>
      <c r="E3815" s="340" t="s">
        <v>2899</v>
      </c>
      <c r="F3815" s="340" t="s">
        <v>1078</v>
      </c>
      <c r="G3815" s="340" t="s">
        <v>2569</v>
      </c>
      <c r="H3815" s="340"/>
      <c r="I3815" s="340" t="s">
        <v>771</v>
      </c>
      <c r="K3815" s="343">
        <v>0.15</v>
      </c>
      <c r="L3815" s="343">
        <v>0</v>
      </c>
      <c r="M3815" s="343">
        <v>-816525.38</v>
      </c>
      <c r="O3815" s="343">
        <v>0</v>
      </c>
    </row>
    <row r="3816" spans="1:15" x14ac:dyDescent="0.3">
      <c r="A3816" s="340" t="s">
        <v>891</v>
      </c>
      <c r="B3816" s="350">
        <v>46130</v>
      </c>
      <c r="C3816" s="350">
        <v>46131</v>
      </c>
      <c r="D3816" s="351">
        <v>46113</v>
      </c>
      <c r="E3816" s="340" t="s">
        <v>2899</v>
      </c>
      <c r="F3816" s="340" t="s">
        <v>1078</v>
      </c>
      <c r="G3816" s="340" t="s">
        <v>2439</v>
      </c>
      <c r="H3816" s="340"/>
      <c r="I3816" s="340" t="s">
        <v>771</v>
      </c>
      <c r="K3816" s="343">
        <v>0.18</v>
      </c>
      <c r="L3816" s="343">
        <v>0</v>
      </c>
      <c r="M3816" s="343">
        <v>-816525.2</v>
      </c>
      <c r="O3816" s="343">
        <v>0</v>
      </c>
    </row>
    <row r="3817" spans="1:15" x14ac:dyDescent="0.3">
      <c r="A3817" s="340" t="s">
        <v>891</v>
      </c>
      <c r="B3817" s="350">
        <v>46130</v>
      </c>
      <c r="C3817" s="350">
        <v>46131</v>
      </c>
      <c r="D3817" s="351">
        <v>46113</v>
      </c>
      <c r="E3817" s="340" t="s">
        <v>2899</v>
      </c>
      <c r="F3817" s="340" t="s">
        <v>1078</v>
      </c>
      <c r="G3817" s="340" t="s">
        <v>2439</v>
      </c>
      <c r="H3817" s="340"/>
      <c r="I3817" s="340" t="s">
        <v>771</v>
      </c>
      <c r="K3817" s="343">
        <v>0.18</v>
      </c>
      <c r="L3817" s="343">
        <v>0</v>
      </c>
      <c r="M3817" s="343">
        <v>-816525.02</v>
      </c>
      <c r="O3817" s="343">
        <v>0</v>
      </c>
    </row>
    <row r="3818" spans="1:15" x14ac:dyDescent="0.3">
      <c r="A3818" s="340" t="s">
        <v>891</v>
      </c>
      <c r="B3818" s="350">
        <v>46130</v>
      </c>
      <c r="C3818" s="350">
        <v>46131</v>
      </c>
      <c r="D3818" s="351">
        <v>46113</v>
      </c>
      <c r="E3818" s="340" t="s">
        <v>2899</v>
      </c>
      <c r="F3818" s="340" t="s">
        <v>1078</v>
      </c>
      <c r="G3818" s="340" t="s">
        <v>2441</v>
      </c>
      <c r="H3818" s="340"/>
      <c r="I3818" s="340" t="s">
        <v>771</v>
      </c>
      <c r="K3818" s="343">
        <v>0.35</v>
      </c>
      <c r="L3818" s="343">
        <v>0</v>
      </c>
      <c r="M3818" s="343">
        <v>-816524.67</v>
      </c>
      <c r="O3818" s="343">
        <v>0</v>
      </c>
    </row>
    <row r="3819" spans="1:15" x14ac:dyDescent="0.3">
      <c r="A3819" s="340" t="s">
        <v>891</v>
      </c>
      <c r="B3819" s="350">
        <v>46130</v>
      </c>
      <c r="C3819" s="350">
        <v>46131</v>
      </c>
      <c r="D3819" s="351">
        <v>46113</v>
      </c>
      <c r="E3819" s="340" t="s">
        <v>2899</v>
      </c>
      <c r="F3819" s="340" t="s">
        <v>1078</v>
      </c>
      <c r="G3819" s="340" t="s">
        <v>2441</v>
      </c>
      <c r="H3819" s="340"/>
      <c r="I3819" s="340" t="s">
        <v>771</v>
      </c>
      <c r="K3819" s="343">
        <v>0.36</v>
      </c>
      <c r="L3819" s="343">
        <v>0</v>
      </c>
      <c r="M3819" s="343">
        <v>-816524.31</v>
      </c>
      <c r="O3819" s="343">
        <v>0</v>
      </c>
    </row>
    <row r="3820" spans="1:15" x14ac:dyDescent="0.3">
      <c r="A3820" s="340" t="s">
        <v>891</v>
      </c>
      <c r="B3820" s="350">
        <v>46130</v>
      </c>
      <c r="C3820" s="350">
        <v>46131</v>
      </c>
      <c r="D3820" s="351">
        <v>46113</v>
      </c>
      <c r="E3820" s="340" t="s">
        <v>2899</v>
      </c>
      <c r="F3820" s="340" t="s">
        <v>1078</v>
      </c>
      <c r="G3820" s="340" t="s">
        <v>2571</v>
      </c>
      <c r="H3820" s="340"/>
      <c r="I3820" s="340" t="s">
        <v>771</v>
      </c>
      <c r="K3820" s="343">
        <v>1.49</v>
      </c>
      <c r="L3820" s="343">
        <v>0</v>
      </c>
      <c r="M3820" s="343">
        <v>-816522.82</v>
      </c>
      <c r="O3820" s="343">
        <v>0</v>
      </c>
    </row>
    <row r="3821" spans="1:15" x14ac:dyDescent="0.3">
      <c r="A3821" s="340" t="s">
        <v>891</v>
      </c>
      <c r="B3821" s="350">
        <v>46130</v>
      </c>
      <c r="C3821" s="350">
        <v>46131</v>
      </c>
      <c r="D3821" s="351">
        <v>46113</v>
      </c>
      <c r="E3821" s="340" t="s">
        <v>2899</v>
      </c>
      <c r="F3821" s="340" t="s">
        <v>1078</v>
      </c>
      <c r="G3821" s="340" t="s">
        <v>2442</v>
      </c>
      <c r="H3821" s="340"/>
      <c r="I3821" s="340" t="s">
        <v>771</v>
      </c>
      <c r="K3821" s="343">
        <v>2.2599999999999998</v>
      </c>
      <c r="L3821" s="343">
        <v>0</v>
      </c>
      <c r="M3821" s="343">
        <v>-816520.56</v>
      </c>
      <c r="O3821" s="343">
        <v>0</v>
      </c>
    </row>
    <row r="3822" spans="1:15" x14ac:dyDescent="0.3">
      <c r="A3822" s="340" t="s">
        <v>891</v>
      </c>
      <c r="B3822" s="350">
        <v>46130</v>
      </c>
      <c r="C3822" s="350">
        <v>46131</v>
      </c>
      <c r="D3822" s="351">
        <v>46113</v>
      </c>
      <c r="E3822" s="340" t="s">
        <v>2899</v>
      </c>
      <c r="F3822" s="340" t="s">
        <v>1078</v>
      </c>
      <c r="G3822" s="340" t="s">
        <v>2572</v>
      </c>
      <c r="H3822" s="340"/>
      <c r="I3822" s="340" t="s">
        <v>771</v>
      </c>
      <c r="K3822" s="343">
        <v>4.2300000000000004</v>
      </c>
      <c r="L3822" s="343">
        <v>0</v>
      </c>
      <c r="M3822" s="343">
        <v>-816516.33</v>
      </c>
      <c r="O3822" s="343">
        <v>0</v>
      </c>
    </row>
    <row r="3823" spans="1:15" x14ac:dyDescent="0.3">
      <c r="A3823" s="340" t="s">
        <v>891</v>
      </c>
      <c r="B3823" s="350">
        <v>46130</v>
      </c>
      <c r="C3823" s="350">
        <v>46131</v>
      </c>
      <c r="D3823" s="351">
        <v>46113</v>
      </c>
      <c r="E3823" s="340" t="s">
        <v>2899</v>
      </c>
      <c r="F3823" s="340" t="s">
        <v>1078</v>
      </c>
      <c r="G3823" s="340" t="s">
        <v>2565</v>
      </c>
      <c r="H3823" s="340"/>
      <c r="I3823" s="340" t="s">
        <v>771</v>
      </c>
      <c r="K3823" s="343">
        <v>4.6100000000000003</v>
      </c>
      <c r="L3823" s="343">
        <v>0</v>
      </c>
      <c r="M3823" s="343">
        <v>-816511.72</v>
      </c>
      <c r="O3823" s="343">
        <v>0</v>
      </c>
    </row>
    <row r="3824" spans="1:15" x14ac:dyDescent="0.3">
      <c r="A3824" s="340" t="s">
        <v>891</v>
      </c>
      <c r="B3824" s="350">
        <v>46130</v>
      </c>
      <c r="C3824" s="350">
        <v>46131</v>
      </c>
      <c r="D3824" s="351">
        <v>46113</v>
      </c>
      <c r="E3824" s="340" t="s">
        <v>2899</v>
      </c>
      <c r="F3824" s="340" t="s">
        <v>1078</v>
      </c>
      <c r="G3824" s="340" t="s">
        <v>2573</v>
      </c>
      <c r="H3824" s="340"/>
      <c r="I3824" s="340" t="s">
        <v>771</v>
      </c>
      <c r="K3824" s="343">
        <v>4.95</v>
      </c>
      <c r="L3824" s="343">
        <v>0</v>
      </c>
      <c r="M3824" s="343">
        <v>-816506.77</v>
      </c>
      <c r="O3824" s="343">
        <v>0</v>
      </c>
    </row>
    <row r="3825" spans="1:15" x14ac:dyDescent="0.3">
      <c r="A3825" s="340" t="s">
        <v>891</v>
      </c>
      <c r="B3825" s="350">
        <v>46130</v>
      </c>
      <c r="C3825" s="350">
        <v>46131</v>
      </c>
      <c r="D3825" s="351">
        <v>46113</v>
      </c>
      <c r="E3825" s="340" t="s">
        <v>2899</v>
      </c>
      <c r="F3825" s="340" t="s">
        <v>1078</v>
      </c>
      <c r="G3825" s="340" t="s">
        <v>2618</v>
      </c>
      <c r="H3825" s="340"/>
      <c r="I3825" s="340" t="s">
        <v>771</v>
      </c>
      <c r="K3825" s="343">
        <v>15.38</v>
      </c>
      <c r="L3825" s="343">
        <v>0</v>
      </c>
      <c r="M3825" s="343">
        <v>-816491.39</v>
      </c>
      <c r="O3825" s="343">
        <v>0</v>
      </c>
    </row>
    <row r="3826" spans="1:15" x14ac:dyDescent="0.3">
      <c r="A3826" s="340" t="s">
        <v>891</v>
      </c>
      <c r="B3826" s="350">
        <v>46130</v>
      </c>
      <c r="C3826" s="350">
        <v>46131</v>
      </c>
      <c r="D3826" s="351">
        <v>46113</v>
      </c>
      <c r="E3826" s="340" t="s">
        <v>2899</v>
      </c>
      <c r="F3826" s="340" t="s">
        <v>1078</v>
      </c>
      <c r="G3826" s="340" t="s">
        <v>2439</v>
      </c>
      <c r="H3826" s="340" t="s">
        <v>2440</v>
      </c>
      <c r="I3826" s="340" t="s">
        <v>771</v>
      </c>
      <c r="K3826" s="343">
        <v>0.08</v>
      </c>
      <c r="L3826" s="343">
        <v>0</v>
      </c>
      <c r="M3826" s="343">
        <v>-816491.31</v>
      </c>
      <c r="O3826" s="343">
        <v>0</v>
      </c>
    </row>
    <row r="3827" spans="1:15" x14ac:dyDescent="0.3">
      <c r="A3827" s="340" t="s">
        <v>891</v>
      </c>
      <c r="B3827" s="350">
        <v>46130</v>
      </c>
      <c r="C3827" s="350">
        <v>46131</v>
      </c>
      <c r="D3827" s="351">
        <v>46113</v>
      </c>
      <c r="E3827" s="340" t="s">
        <v>2899</v>
      </c>
      <c r="F3827" s="340" t="s">
        <v>1078</v>
      </c>
      <c r="G3827" s="340" t="s">
        <v>2441</v>
      </c>
      <c r="H3827" s="340" t="s">
        <v>2440</v>
      </c>
      <c r="I3827" s="340" t="s">
        <v>771</v>
      </c>
      <c r="K3827" s="343">
        <v>0.15</v>
      </c>
      <c r="L3827" s="343">
        <v>0</v>
      </c>
      <c r="M3827" s="343">
        <v>-816491.16</v>
      </c>
      <c r="O3827" s="343">
        <v>0</v>
      </c>
    </row>
    <row r="3828" spans="1:15" x14ac:dyDescent="0.3">
      <c r="A3828" s="340" t="s">
        <v>891</v>
      </c>
      <c r="B3828" s="350">
        <v>46130</v>
      </c>
      <c r="C3828" s="350">
        <v>46131</v>
      </c>
      <c r="D3828" s="351">
        <v>46113</v>
      </c>
      <c r="E3828" s="340" t="s">
        <v>2899</v>
      </c>
      <c r="F3828" s="340" t="s">
        <v>1078</v>
      </c>
      <c r="G3828" s="340" t="s">
        <v>2442</v>
      </c>
      <c r="H3828" s="340" t="s">
        <v>2440</v>
      </c>
      <c r="I3828" s="340" t="s">
        <v>771</v>
      </c>
      <c r="K3828" s="343">
        <v>2.95</v>
      </c>
      <c r="L3828" s="343">
        <v>0</v>
      </c>
      <c r="M3828" s="343">
        <v>-816488.21</v>
      </c>
      <c r="O3828" s="343">
        <v>0</v>
      </c>
    </row>
    <row r="3829" spans="1:15" x14ac:dyDescent="0.3">
      <c r="A3829" s="340" t="s">
        <v>891</v>
      </c>
      <c r="B3829" s="350">
        <v>46130</v>
      </c>
      <c r="C3829" s="350">
        <v>46131</v>
      </c>
      <c r="D3829" s="351">
        <v>46113</v>
      </c>
      <c r="E3829" s="340" t="s">
        <v>2899</v>
      </c>
      <c r="F3829" s="340" t="s">
        <v>1078</v>
      </c>
      <c r="G3829" s="340" t="s">
        <v>2443</v>
      </c>
      <c r="H3829" s="340" t="s">
        <v>2440</v>
      </c>
      <c r="I3829" s="340" t="s">
        <v>771</v>
      </c>
      <c r="K3829" s="343">
        <v>4.57</v>
      </c>
      <c r="L3829" s="343">
        <v>0</v>
      </c>
      <c r="M3829" s="343">
        <v>-816483.64</v>
      </c>
      <c r="O3829" s="343">
        <v>0</v>
      </c>
    </row>
    <row r="3830" spans="1:15" x14ac:dyDescent="0.3">
      <c r="A3830" s="340" t="s">
        <v>891</v>
      </c>
      <c r="B3830" s="350">
        <v>46130</v>
      </c>
      <c r="C3830" s="350">
        <v>46131</v>
      </c>
      <c r="D3830" s="351">
        <v>46113</v>
      </c>
      <c r="E3830" s="340" t="s">
        <v>2899</v>
      </c>
      <c r="F3830" s="340" t="s">
        <v>1078</v>
      </c>
      <c r="G3830" s="340" t="s">
        <v>2439</v>
      </c>
      <c r="H3830" s="340" t="s">
        <v>2444</v>
      </c>
      <c r="I3830" s="340" t="s">
        <v>771</v>
      </c>
      <c r="K3830" s="343">
        <v>0.06</v>
      </c>
      <c r="L3830" s="343">
        <v>0</v>
      </c>
      <c r="M3830" s="343">
        <v>-816483.58</v>
      </c>
      <c r="O3830" s="343">
        <v>0</v>
      </c>
    </row>
    <row r="3831" spans="1:15" x14ac:dyDescent="0.3">
      <c r="A3831" s="340" t="s">
        <v>891</v>
      </c>
      <c r="B3831" s="350">
        <v>46130</v>
      </c>
      <c r="C3831" s="350">
        <v>46131</v>
      </c>
      <c r="D3831" s="351">
        <v>46113</v>
      </c>
      <c r="E3831" s="340" t="s">
        <v>2899</v>
      </c>
      <c r="F3831" s="340" t="s">
        <v>1078</v>
      </c>
      <c r="G3831" s="340" t="s">
        <v>2441</v>
      </c>
      <c r="H3831" s="340" t="s">
        <v>2444</v>
      </c>
      <c r="I3831" s="340" t="s">
        <v>771</v>
      </c>
      <c r="K3831" s="343">
        <v>0.12</v>
      </c>
      <c r="L3831" s="343">
        <v>0</v>
      </c>
      <c r="M3831" s="343">
        <v>-816483.46</v>
      </c>
      <c r="O3831" s="343">
        <v>0</v>
      </c>
    </row>
    <row r="3832" spans="1:15" x14ac:dyDescent="0.3">
      <c r="A3832" s="340" t="s">
        <v>891</v>
      </c>
      <c r="B3832" s="350">
        <v>46130</v>
      </c>
      <c r="C3832" s="350">
        <v>46131</v>
      </c>
      <c r="D3832" s="351">
        <v>46113</v>
      </c>
      <c r="E3832" s="340" t="s">
        <v>2899</v>
      </c>
      <c r="F3832" s="340" t="s">
        <v>1078</v>
      </c>
      <c r="G3832" s="340" t="s">
        <v>2442</v>
      </c>
      <c r="H3832" s="340" t="s">
        <v>2444</v>
      </c>
      <c r="I3832" s="340" t="s">
        <v>771</v>
      </c>
      <c r="K3832" s="343">
        <v>2.95</v>
      </c>
      <c r="L3832" s="343">
        <v>0</v>
      </c>
      <c r="M3832" s="343">
        <v>-816480.51</v>
      </c>
      <c r="O3832" s="343">
        <v>0</v>
      </c>
    </row>
    <row r="3833" spans="1:15" x14ac:dyDescent="0.3">
      <c r="A3833" s="340" t="s">
        <v>891</v>
      </c>
      <c r="B3833" s="350">
        <v>46130</v>
      </c>
      <c r="C3833" s="350">
        <v>46131</v>
      </c>
      <c r="D3833" s="351">
        <v>46113</v>
      </c>
      <c r="E3833" s="340" t="s">
        <v>2899</v>
      </c>
      <c r="F3833" s="340" t="s">
        <v>1078</v>
      </c>
      <c r="G3833" s="340" t="s">
        <v>2443</v>
      </c>
      <c r="H3833" s="340" t="s">
        <v>2444</v>
      </c>
      <c r="I3833" s="340" t="s">
        <v>771</v>
      </c>
      <c r="K3833" s="343">
        <v>3.07</v>
      </c>
      <c r="L3833" s="343">
        <v>0</v>
      </c>
      <c r="M3833" s="343">
        <v>-816477.44</v>
      </c>
      <c r="O3833" s="343">
        <v>0</v>
      </c>
    </row>
    <row r="3834" spans="1:15" x14ac:dyDescent="0.3">
      <c r="A3834" s="340" t="s">
        <v>891</v>
      </c>
      <c r="B3834" s="350">
        <v>46130</v>
      </c>
      <c r="C3834" s="350">
        <v>46131</v>
      </c>
      <c r="D3834" s="351">
        <v>46113</v>
      </c>
      <c r="E3834" s="340" t="s">
        <v>2899</v>
      </c>
      <c r="F3834" s="340" t="s">
        <v>1078</v>
      </c>
      <c r="G3834" s="340" t="s">
        <v>2442</v>
      </c>
      <c r="H3834" s="340" t="s">
        <v>2445</v>
      </c>
      <c r="I3834" s="340" t="s">
        <v>771</v>
      </c>
      <c r="K3834" s="343">
        <v>2.95</v>
      </c>
      <c r="L3834" s="343">
        <v>0</v>
      </c>
      <c r="M3834" s="343">
        <v>-816474.49</v>
      </c>
      <c r="O3834" s="343">
        <v>0</v>
      </c>
    </row>
    <row r="3835" spans="1:15" x14ac:dyDescent="0.3">
      <c r="A3835" s="340" t="s">
        <v>891</v>
      </c>
      <c r="B3835" s="350">
        <v>46130</v>
      </c>
      <c r="C3835" s="350">
        <v>46131</v>
      </c>
      <c r="D3835" s="351">
        <v>46113</v>
      </c>
      <c r="E3835" s="340" t="s">
        <v>2899</v>
      </c>
      <c r="F3835" s="340" t="s">
        <v>1078</v>
      </c>
      <c r="G3835" s="340" t="s">
        <v>2443</v>
      </c>
      <c r="H3835" s="340" t="s">
        <v>2445</v>
      </c>
      <c r="I3835" s="340" t="s">
        <v>771</v>
      </c>
      <c r="K3835" s="343">
        <v>3.32</v>
      </c>
      <c r="L3835" s="343">
        <v>0</v>
      </c>
      <c r="M3835" s="343">
        <v>-816471.17</v>
      </c>
      <c r="O3835" s="343">
        <v>0</v>
      </c>
    </row>
    <row r="3836" spans="1:15" x14ac:dyDescent="0.3">
      <c r="A3836" s="340" t="s">
        <v>891</v>
      </c>
      <c r="B3836" s="350">
        <v>46130</v>
      </c>
      <c r="C3836" s="350">
        <v>46131</v>
      </c>
      <c r="D3836" s="351">
        <v>46113</v>
      </c>
      <c r="E3836" s="340" t="s">
        <v>2899</v>
      </c>
      <c r="F3836" s="340" t="s">
        <v>1078</v>
      </c>
      <c r="G3836" s="340" t="s">
        <v>2439</v>
      </c>
      <c r="H3836" s="340" t="s">
        <v>2445</v>
      </c>
      <c r="I3836" s="340" t="s">
        <v>771</v>
      </c>
      <c r="K3836" s="343">
        <v>0.06</v>
      </c>
      <c r="L3836" s="343">
        <v>0</v>
      </c>
      <c r="M3836" s="343">
        <v>-816471.11</v>
      </c>
      <c r="O3836" s="343">
        <v>0</v>
      </c>
    </row>
    <row r="3837" spans="1:15" x14ac:dyDescent="0.3">
      <c r="A3837" s="340" t="s">
        <v>891</v>
      </c>
      <c r="B3837" s="350">
        <v>46130</v>
      </c>
      <c r="C3837" s="350">
        <v>46131</v>
      </c>
      <c r="D3837" s="351">
        <v>46113</v>
      </c>
      <c r="E3837" s="340" t="s">
        <v>2899</v>
      </c>
      <c r="F3837" s="340" t="s">
        <v>1078</v>
      </c>
      <c r="G3837" s="340" t="s">
        <v>2441</v>
      </c>
      <c r="H3837" s="340" t="s">
        <v>2445</v>
      </c>
      <c r="I3837" s="340" t="s">
        <v>771</v>
      </c>
      <c r="K3837" s="343">
        <v>0.13</v>
      </c>
      <c r="L3837" s="343">
        <v>0</v>
      </c>
      <c r="M3837" s="343">
        <v>-816470.98</v>
      </c>
      <c r="O3837" s="343">
        <v>0</v>
      </c>
    </row>
    <row r="3838" spans="1:15" x14ac:dyDescent="0.3">
      <c r="A3838" s="340" t="s">
        <v>891</v>
      </c>
      <c r="B3838" s="350">
        <v>46130</v>
      </c>
      <c r="C3838" s="350">
        <v>46131</v>
      </c>
      <c r="D3838" s="351">
        <v>46113</v>
      </c>
      <c r="E3838" s="340" t="s">
        <v>2899</v>
      </c>
      <c r="F3838" s="340" t="s">
        <v>1078</v>
      </c>
      <c r="G3838" s="340" t="s">
        <v>2439</v>
      </c>
      <c r="H3838" s="340" t="s">
        <v>2446</v>
      </c>
      <c r="I3838" s="340" t="s">
        <v>771</v>
      </c>
      <c r="K3838" s="343">
        <v>0.28000000000000003</v>
      </c>
      <c r="L3838" s="343">
        <v>0</v>
      </c>
      <c r="M3838" s="343">
        <v>-816470.7</v>
      </c>
      <c r="O3838" s="343">
        <v>0</v>
      </c>
    </row>
    <row r="3839" spans="1:15" x14ac:dyDescent="0.3">
      <c r="A3839" s="340" t="s">
        <v>891</v>
      </c>
      <c r="B3839" s="350">
        <v>46130</v>
      </c>
      <c r="C3839" s="350">
        <v>46131</v>
      </c>
      <c r="D3839" s="351">
        <v>46113</v>
      </c>
      <c r="E3839" s="340" t="s">
        <v>2899</v>
      </c>
      <c r="F3839" s="340" t="s">
        <v>1078</v>
      </c>
      <c r="G3839" s="340" t="s">
        <v>2441</v>
      </c>
      <c r="H3839" s="340" t="s">
        <v>2446</v>
      </c>
      <c r="I3839" s="340" t="s">
        <v>771</v>
      </c>
      <c r="K3839" s="343">
        <v>0.56000000000000005</v>
      </c>
      <c r="L3839" s="343">
        <v>0</v>
      </c>
      <c r="M3839" s="343">
        <v>-816470.14</v>
      </c>
      <c r="O3839" s="343">
        <v>0</v>
      </c>
    </row>
    <row r="3840" spans="1:15" x14ac:dyDescent="0.3">
      <c r="A3840" s="340" t="s">
        <v>891</v>
      </c>
      <c r="B3840" s="350">
        <v>46130</v>
      </c>
      <c r="C3840" s="350">
        <v>46131</v>
      </c>
      <c r="D3840" s="351">
        <v>46113</v>
      </c>
      <c r="E3840" s="340" t="s">
        <v>2899</v>
      </c>
      <c r="F3840" s="340" t="s">
        <v>1078</v>
      </c>
      <c r="G3840" s="340" t="s">
        <v>2442</v>
      </c>
      <c r="H3840" s="340" t="s">
        <v>2446</v>
      </c>
      <c r="I3840" s="340" t="s">
        <v>771</v>
      </c>
      <c r="K3840" s="343">
        <v>2.95</v>
      </c>
      <c r="L3840" s="343">
        <v>0</v>
      </c>
      <c r="M3840" s="343">
        <v>-816467.19</v>
      </c>
      <c r="O3840" s="343">
        <v>0</v>
      </c>
    </row>
    <row r="3841" spans="1:15" x14ac:dyDescent="0.3">
      <c r="A3841" s="340" t="s">
        <v>891</v>
      </c>
      <c r="B3841" s="350">
        <v>46130</v>
      </c>
      <c r="C3841" s="350">
        <v>46131</v>
      </c>
      <c r="D3841" s="351">
        <v>46113</v>
      </c>
      <c r="E3841" s="340" t="s">
        <v>2899</v>
      </c>
      <c r="F3841" s="340" t="s">
        <v>1078</v>
      </c>
      <c r="G3841" s="340" t="s">
        <v>2443</v>
      </c>
      <c r="H3841" s="340" t="s">
        <v>2446</v>
      </c>
      <c r="I3841" s="340" t="s">
        <v>771</v>
      </c>
      <c r="K3841" s="343">
        <v>24.51</v>
      </c>
      <c r="L3841" s="343">
        <v>0</v>
      </c>
      <c r="M3841" s="343">
        <v>-816442.68</v>
      </c>
      <c r="O3841" s="343">
        <v>0</v>
      </c>
    </row>
    <row r="3842" spans="1:15" x14ac:dyDescent="0.3">
      <c r="A3842" s="340" t="s">
        <v>891</v>
      </c>
      <c r="B3842" s="350">
        <v>46130</v>
      </c>
      <c r="C3842" s="350">
        <v>46131</v>
      </c>
      <c r="D3842" s="351">
        <v>46113</v>
      </c>
      <c r="E3842" s="340" t="s">
        <v>2899</v>
      </c>
      <c r="F3842" s="340" t="s">
        <v>1078</v>
      </c>
      <c r="G3842" s="340" t="s">
        <v>2439</v>
      </c>
      <c r="H3842" s="340" t="s">
        <v>2447</v>
      </c>
      <c r="I3842" s="340" t="s">
        <v>771</v>
      </c>
      <c r="K3842" s="343">
        <v>0.08</v>
      </c>
      <c r="L3842" s="343">
        <v>0</v>
      </c>
      <c r="M3842" s="343">
        <v>-816442.6</v>
      </c>
      <c r="O3842" s="343">
        <v>0</v>
      </c>
    </row>
    <row r="3843" spans="1:15" x14ac:dyDescent="0.3">
      <c r="A3843" s="340" t="s">
        <v>891</v>
      </c>
      <c r="B3843" s="350">
        <v>46130</v>
      </c>
      <c r="C3843" s="350">
        <v>46131</v>
      </c>
      <c r="D3843" s="351">
        <v>46113</v>
      </c>
      <c r="E3843" s="340" t="s">
        <v>2899</v>
      </c>
      <c r="F3843" s="340" t="s">
        <v>1078</v>
      </c>
      <c r="G3843" s="340" t="s">
        <v>2441</v>
      </c>
      <c r="H3843" s="340" t="s">
        <v>2447</v>
      </c>
      <c r="I3843" s="340" t="s">
        <v>771</v>
      </c>
      <c r="K3843" s="343">
        <v>0.16</v>
      </c>
      <c r="L3843" s="343">
        <v>0</v>
      </c>
      <c r="M3843" s="343">
        <v>-816442.44</v>
      </c>
      <c r="O3843" s="343">
        <v>0</v>
      </c>
    </row>
    <row r="3844" spans="1:15" x14ac:dyDescent="0.3">
      <c r="A3844" s="340" t="s">
        <v>891</v>
      </c>
      <c r="B3844" s="350">
        <v>46130</v>
      </c>
      <c r="C3844" s="350">
        <v>46131</v>
      </c>
      <c r="D3844" s="351">
        <v>46113</v>
      </c>
      <c r="E3844" s="340" t="s">
        <v>2899</v>
      </c>
      <c r="F3844" s="340" t="s">
        <v>1078</v>
      </c>
      <c r="G3844" s="340" t="s">
        <v>2442</v>
      </c>
      <c r="H3844" s="340" t="s">
        <v>2447</v>
      </c>
      <c r="I3844" s="340" t="s">
        <v>771</v>
      </c>
      <c r="K3844" s="343">
        <v>2.95</v>
      </c>
      <c r="L3844" s="343">
        <v>0</v>
      </c>
      <c r="M3844" s="343">
        <v>-816439.49</v>
      </c>
      <c r="O3844" s="343">
        <v>0</v>
      </c>
    </row>
    <row r="3845" spans="1:15" x14ac:dyDescent="0.3">
      <c r="A3845" s="340" t="s">
        <v>891</v>
      </c>
      <c r="B3845" s="350">
        <v>46130</v>
      </c>
      <c r="C3845" s="350">
        <v>46131</v>
      </c>
      <c r="D3845" s="351">
        <v>46113</v>
      </c>
      <c r="E3845" s="340" t="s">
        <v>2899</v>
      </c>
      <c r="F3845" s="340" t="s">
        <v>1078</v>
      </c>
      <c r="G3845" s="340" t="s">
        <v>2443</v>
      </c>
      <c r="H3845" s="340" t="s">
        <v>2447</v>
      </c>
      <c r="I3845" s="340" t="s">
        <v>771</v>
      </c>
      <c r="K3845" s="343">
        <v>4.74</v>
      </c>
      <c r="L3845" s="343">
        <v>0</v>
      </c>
      <c r="M3845" s="343">
        <v>-816434.75</v>
      </c>
      <c r="O3845" s="343">
        <v>0</v>
      </c>
    </row>
    <row r="3846" spans="1:15" x14ac:dyDescent="0.3">
      <c r="A3846" s="340" t="s">
        <v>891</v>
      </c>
      <c r="B3846" s="350">
        <v>46130</v>
      </c>
      <c r="C3846" s="350">
        <v>46131</v>
      </c>
      <c r="D3846" s="351">
        <v>46113</v>
      </c>
      <c r="E3846" s="340" t="s">
        <v>2899</v>
      </c>
      <c r="F3846" s="340" t="s">
        <v>1078</v>
      </c>
      <c r="G3846" s="340" t="s">
        <v>2441</v>
      </c>
      <c r="H3846" s="340" t="s">
        <v>2448</v>
      </c>
      <c r="I3846" s="340" t="s">
        <v>771</v>
      </c>
      <c r="K3846" s="343">
        <v>0.14000000000000001</v>
      </c>
      <c r="L3846" s="343">
        <v>0</v>
      </c>
      <c r="M3846" s="343">
        <v>-816434.61</v>
      </c>
      <c r="O3846" s="343">
        <v>0</v>
      </c>
    </row>
    <row r="3847" spans="1:15" x14ac:dyDescent="0.3">
      <c r="A3847" s="340" t="s">
        <v>891</v>
      </c>
      <c r="B3847" s="350">
        <v>46130</v>
      </c>
      <c r="C3847" s="350">
        <v>46131</v>
      </c>
      <c r="D3847" s="351">
        <v>46113</v>
      </c>
      <c r="E3847" s="340" t="s">
        <v>2899</v>
      </c>
      <c r="F3847" s="340" t="s">
        <v>1078</v>
      </c>
      <c r="G3847" s="340" t="s">
        <v>2439</v>
      </c>
      <c r="H3847" s="340" t="s">
        <v>2448</v>
      </c>
      <c r="I3847" s="340" t="s">
        <v>771</v>
      </c>
      <c r="K3847" s="343">
        <v>0.56999999999999995</v>
      </c>
      <c r="L3847" s="343">
        <v>0</v>
      </c>
      <c r="M3847" s="343">
        <v>-816434.04</v>
      </c>
      <c r="O3847" s="343">
        <v>0</v>
      </c>
    </row>
    <row r="3848" spans="1:15" x14ac:dyDescent="0.3">
      <c r="A3848" s="340" t="s">
        <v>891</v>
      </c>
      <c r="B3848" s="350">
        <v>46130</v>
      </c>
      <c r="C3848" s="350">
        <v>46131</v>
      </c>
      <c r="D3848" s="351">
        <v>46113</v>
      </c>
      <c r="E3848" s="340" t="s">
        <v>2899</v>
      </c>
      <c r="F3848" s="340" t="s">
        <v>1078</v>
      </c>
      <c r="G3848" s="340" t="s">
        <v>2442</v>
      </c>
      <c r="H3848" s="340" t="s">
        <v>2448</v>
      </c>
      <c r="I3848" s="340" t="s">
        <v>771</v>
      </c>
      <c r="K3848" s="343">
        <v>2.95</v>
      </c>
      <c r="L3848" s="343">
        <v>0</v>
      </c>
      <c r="M3848" s="343">
        <v>-816431.09</v>
      </c>
      <c r="O3848" s="343">
        <v>0</v>
      </c>
    </row>
    <row r="3849" spans="1:15" x14ac:dyDescent="0.3">
      <c r="A3849" s="340" t="s">
        <v>891</v>
      </c>
      <c r="B3849" s="350">
        <v>46130</v>
      </c>
      <c r="C3849" s="350">
        <v>46131</v>
      </c>
      <c r="D3849" s="351">
        <v>46113</v>
      </c>
      <c r="E3849" s="340" t="s">
        <v>2899</v>
      </c>
      <c r="F3849" s="340" t="s">
        <v>1078</v>
      </c>
      <c r="G3849" s="340" t="s">
        <v>2443</v>
      </c>
      <c r="H3849" s="340" t="s">
        <v>2448</v>
      </c>
      <c r="I3849" s="340" t="s">
        <v>771</v>
      </c>
      <c r="K3849" s="343">
        <v>3.82</v>
      </c>
      <c r="L3849" s="343">
        <v>0</v>
      </c>
      <c r="M3849" s="343">
        <v>-816427.27</v>
      </c>
      <c r="O3849" s="343">
        <v>0</v>
      </c>
    </row>
    <row r="3850" spans="1:15" x14ac:dyDescent="0.3">
      <c r="A3850" s="340" t="s">
        <v>891</v>
      </c>
      <c r="B3850" s="350">
        <v>46130</v>
      </c>
      <c r="C3850" s="350">
        <v>46131</v>
      </c>
      <c r="D3850" s="351">
        <v>46113</v>
      </c>
      <c r="E3850" s="340" t="s">
        <v>2899</v>
      </c>
      <c r="F3850" s="340" t="s">
        <v>1078</v>
      </c>
      <c r="G3850" s="340" t="s">
        <v>2449</v>
      </c>
      <c r="H3850" s="340" t="s">
        <v>2450</v>
      </c>
      <c r="I3850" s="340" t="s">
        <v>771</v>
      </c>
      <c r="K3850" s="343">
        <v>0.13</v>
      </c>
      <c r="L3850" s="343">
        <v>0</v>
      </c>
      <c r="M3850" s="343">
        <v>-816427.14</v>
      </c>
      <c r="O3850" s="343">
        <v>0</v>
      </c>
    </row>
    <row r="3851" spans="1:15" x14ac:dyDescent="0.3">
      <c r="A3851" s="340" t="s">
        <v>891</v>
      </c>
      <c r="B3851" s="350">
        <v>46130</v>
      </c>
      <c r="C3851" s="350">
        <v>46131</v>
      </c>
      <c r="D3851" s="351">
        <v>46113</v>
      </c>
      <c r="E3851" s="340" t="s">
        <v>2899</v>
      </c>
      <c r="F3851" s="340" t="s">
        <v>1078</v>
      </c>
      <c r="G3851" s="340" t="s">
        <v>2451</v>
      </c>
      <c r="H3851" s="340" t="s">
        <v>2450</v>
      </c>
      <c r="I3851" s="340" t="s">
        <v>771</v>
      </c>
      <c r="K3851" s="343">
        <v>0.26</v>
      </c>
      <c r="L3851" s="343">
        <v>0</v>
      </c>
      <c r="M3851" s="343">
        <v>-816426.88</v>
      </c>
      <c r="O3851" s="343">
        <v>0</v>
      </c>
    </row>
    <row r="3852" spans="1:15" x14ac:dyDescent="0.3">
      <c r="A3852" s="340" t="s">
        <v>891</v>
      </c>
      <c r="B3852" s="350">
        <v>46130</v>
      </c>
      <c r="C3852" s="350">
        <v>46131</v>
      </c>
      <c r="D3852" s="351">
        <v>46113</v>
      </c>
      <c r="E3852" s="340" t="s">
        <v>2899</v>
      </c>
      <c r="F3852" s="340" t="s">
        <v>1078</v>
      </c>
      <c r="G3852" s="340" t="s">
        <v>2452</v>
      </c>
      <c r="H3852" s="340" t="s">
        <v>2450</v>
      </c>
      <c r="I3852" s="340" t="s">
        <v>771</v>
      </c>
      <c r="K3852" s="343">
        <v>2.95</v>
      </c>
      <c r="L3852" s="343">
        <v>0</v>
      </c>
      <c r="M3852" s="343">
        <v>-816423.93</v>
      </c>
      <c r="O3852" s="343">
        <v>0</v>
      </c>
    </row>
    <row r="3853" spans="1:15" x14ac:dyDescent="0.3">
      <c r="A3853" s="340" t="s">
        <v>891</v>
      </c>
      <c r="B3853" s="350">
        <v>46130</v>
      </c>
      <c r="C3853" s="350">
        <v>46131</v>
      </c>
      <c r="D3853" s="351">
        <v>46113</v>
      </c>
      <c r="E3853" s="340" t="s">
        <v>2899</v>
      </c>
      <c r="F3853" s="340" t="s">
        <v>1078</v>
      </c>
      <c r="G3853" s="340" t="s">
        <v>2453</v>
      </c>
      <c r="H3853" s="340" t="s">
        <v>2450</v>
      </c>
      <c r="I3853" s="340" t="s">
        <v>771</v>
      </c>
      <c r="K3853" s="343">
        <v>9.64</v>
      </c>
      <c r="L3853" s="343">
        <v>0</v>
      </c>
      <c r="M3853" s="343">
        <v>-816414.29</v>
      </c>
      <c r="O3853" s="343">
        <v>0</v>
      </c>
    </row>
    <row r="3854" spans="1:15" x14ac:dyDescent="0.3">
      <c r="A3854" s="340" t="s">
        <v>891</v>
      </c>
      <c r="B3854" s="350">
        <v>46130</v>
      </c>
      <c r="C3854" s="350">
        <v>46131</v>
      </c>
      <c r="D3854" s="351">
        <v>46113</v>
      </c>
      <c r="E3854" s="340" t="s">
        <v>2899</v>
      </c>
      <c r="F3854" s="340" t="s">
        <v>1078</v>
      </c>
      <c r="G3854" s="340" t="s">
        <v>2439</v>
      </c>
      <c r="H3854" s="340" t="s">
        <v>2454</v>
      </c>
      <c r="I3854" s="340" t="s">
        <v>771</v>
      </c>
      <c r="K3854" s="343">
        <v>0.06</v>
      </c>
      <c r="L3854" s="343">
        <v>0</v>
      </c>
      <c r="M3854" s="343">
        <v>-816414.23</v>
      </c>
      <c r="O3854" s="343">
        <v>0</v>
      </c>
    </row>
    <row r="3855" spans="1:15" x14ac:dyDescent="0.3">
      <c r="A3855" s="340" t="s">
        <v>891</v>
      </c>
      <c r="B3855" s="350">
        <v>46130</v>
      </c>
      <c r="C3855" s="350">
        <v>46131</v>
      </c>
      <c r="D3855" s="351">
        <v>46113</v>
      </c>
      <c r="E3855" s="340" t="s">
        <v>2899</v>
      </c>
      <c r="F3855" s="340" t="s">
        <v>1078</v>
      </c>
      <c r="G3855" s="340" t="s">
        <v>2441</v>
      </c>
      <c r="H3855" s="340" t="s">
        <v>2454</v>
      </c>
      <c r="I3855" s="340" t="s">
        <v>771</v>
      </c>
      <c r="K3855" s="343">
        <v>0.12</v>
      </c>
      <c r="L3855" s="343">
        <v>0</v>
      </c>
      <c r="M3855" s="343">
        <v>-816414.11</v>
      </c>
      <c r="O3855" s="343">
        <v>0</v>
      </c>
    </row>
    <row r="3856" spans="1:15" x14ac:dyDescent="0.3">
      <c r="A3856" s="340" t="s">
        <v>891</v>
      </c>
      <c r="B3856" s="350">
        <v>46130</v>
      </c>
      <c r="C3856" s="350">
        <v>46131</v>
      </c>
      <c r="D3856" s="351">
        <v>46113</v>
      </c>
      <c r="E3856" s="340" t="s">
        <v>2899</v>
      </c>
      <c r="F3856" s="340" t="s">
        <v>1078</v>
      </c>
      <c r="G3856" s="340" t="s">
        <v>2443</v>
      </c>
      <c r="H3856" s="340" t="s">
        <v>2454</v>
      </c>
      <c r="I3856" s="340" t="s">
        <v>771</v>
      </c>
      <c r="K3856" s="343">
        <v>2.74</v>
      </c>
      <c r="L3856" s="343">
        <v>0</v>
      </c>
      <c r="M3856" s="343">
        <v>-816411.37</v>
      </c>
      <c r="O3856" s="343">
        <v>0</v>
      </c>
    </row>
    <row r="3857" spans="1:15" x14ac:dyDescent="0.3">
      <c r="A3857" s="340" t="s">
        <v>891</v>
      </c>
      <c r="B3857" s="350">
        <v>46130</v>
      </c>
      <c r="C3857" s="350">
        <v>46131</v>
      </c>
      <c r="D3857" s="351">
        <v>46113</v>
      </c>
      <c r="E3857" s="340" t="s">
        <v>2899</v>
      </c>
      <c r="F3857" s="340" t="s">
        <v>1078</v>
      </c>
      <c r="G3857" s="340" t="s">
        <v>2442</v>
      </c>
      <c r="H3857" s="340" t="s">
        <v>2454</v>
      </c>
      <c r="I3857" s="340" t="s">
        <v>771</v>
      </c>
      <c r="K3857" s="343">
        <v>2.95</v>
      </c>
      <c r="L3857" s="343">
        <v>0</v>
      </c>
      <c r="M3857" s="343">
        <v>-816408.42</v>
      </c>
      <c r="O3857" s="343">
        <v>0</v>
      </c>
    </row>
    <row r="3858" spans="1:15" x14ac:dyDescent="0.3">
      <c r="A3858" s="340" t="s">
        <v>891</v>
      </c>
      <c r="B3858" s="350">
        <v>46130</v>
      </c>
      <c r="C3858" s="350">
        <v>46131</v>
      </c>
      <c r="D3858" s="351">
        <v>46113</v>
      </c>
      <c r="E3858" s="340" t="s">
        <v>2899</v>
      </c>
      <c r="F3858" s="340" t="s">
        <v>1078</v>
      </c>
      <c r="G3858" s="340" t="s">
        <v>2442</v>
      </c>
      <c r="H3858" s="340" t="s">
        <v>2455</v>
      </c>
      <c r="I3858" s="340" t="s">
        <v>771</v>
      </c>
      <c r="K3858" s="343">
        <v>2.95</v>
      </c>
      <c r="L3858" s="343">
        <v>0</v>
      </c>
      <c r="M3858" s="343">
        <v>-816405.47</v>
      </c>
      <c r="O3858" s="343">
        <v>0</v>
      </c>
    </row>
    <row r="3859" spans="1:15" x14ac:dyDescent="0.3">
      <c r="A3859" s="340" t="s">
        <v>891</v>
      </c>
      <c r="B3859" s="350">
        <v>46130</v>
      </c>
      <c r="C3859" s="350">
        <v>46131</v>
      </c>
      <c r="D3859" s="351">
        <v>46113</v>
      </c>
      <c r="E3859" s="340" t="s">
        <v>2899</v>
      </c>
      <c r="F3859" s="340" t="s">
        <v>1078</v>
      </c>
      <c r="G3859" s="340" t="s">
        <v>2443</v>
      </c>
      <c r="H3859" s="340" t="s">
        <v>2455</v>
      </c>
      <c r="I3859" s="340" t="s">
        <v>771</v>
      </c>
      <c r="K3859" s="343">
        <v>3.66</v>
      </c>
      <c r="L3859" s="343">
        <v>0</v>
      </c>
      <c r="M3859" s="343">
        <v>-816401.81</v>
      </c>
      <c r="O3859" s="343">
        <v>0</v>
      </c>
    </row>
    <row r="3860" spans="1:15" x14ac:dyDescent="0.3">
      <c r="A3860" s="340" t="s">
        <v>891</v>
      </c>
      <c r="B3860" s="350">
        <v>46130</v>
      </c>
      <c r="C3860" s="350">
        <v>46131</v>
      </c>
      <c r="D3860" s="351">
        <v>46113</v>
      </c>
      <c r="E3860" s="340" t="s">
        <v>2899</v>
      </c>
      <c r="F3860" s="340" t="s">
        <v>1078</v>
      </c>
      <c r="G3860" s="340" t="s">
        <v>2439</v>
      </c>
      <c r="H3860" s="340" t="s">
        <v>2455</v>
      </c>
      <c r="I3860" s="340" t="s">
        <v>771</v>
      </c>
      <c r="K3860" s="343">
        <v>7.0000000000000007E-2</v>
      </c>
      <c r="L3860" s="343">
        <v>0</v>
      </c>
      <c r="M3860" s="343">
        <v>-816401.74</v>
      </c>
      <c r="O3860" s="343">
        <v>0</v>
      </c>
    </row>
    <row r="3861" spans="1:15" x14ac:dyDescent="0.3">
      <c r="A3861" s="340" t="s">
        <v>891</v>
      </c>
      <c r="B3861" s="350">
        <v>46130</v>
      </c>
      <c r="C3861" s="350">
        <v>46131</v>
      </c>
      <c r="D3861" s="351">
        <v>46113</v>
      </c>
      <c r="E3861" s="340" t="s">
        <v>2899</v>
      </c>
      <c r="F3861" s="340" t="s">
        <v>1078</v>
      </c>
      <c r="G3861" s="340" t="s">
        <v>2441</v>
      </c>
      <c r="H3861" s="340" t="s">
        <v>2455</v>
      </c>
      <c r="I3861" s="340" t="s">
        <v>771</v>
      </c>
      <c r="K3861" s="343">
        <v>0.13</v>
      </c>
      <c r="L3861" s="343">
        <v>0</v>
      </c>
      <c r="M3861" s="343">
        <v>-816401.61</v>
      </c>
      <c r="O3861" s="343">
        <v>0</v>
      </c>
    </row>
    <row r="3862" spans="1:15" x14ac:dyDescent="0.3">
      <c r="A3862" s="340" t="s">
        <v>891</v>
      </c>
      <c r="B3862" s="350">
        <v>46130</v>
      </c>
      <c r="C3862" s="350">
        <v>46131</v>
      </c>
      <c r="D3862" s="351">
        <v>46113</v>
      </c>
      <c r="E3862" s="340" t="s">
        <v>2899</v>
      </c>
      <c r="F3862" s="340" t="s">
        <v>1078</v>
      </c>
      <c r="G3862" s="340" t="s">
        <v>2456</v>
      </c>
      <c r="H3862" s="340" t="s">
        <v>2457</v>
      </c>
      <c r="I3862" s="340" t="s">
        <v>771</v>
      </c>
      <c r="K3862" s="343">
        <v>0.2</v>
      </c>
      <c r="L3862" s="343">
        <v>0</v>
      </c>
      <c r="M3862" s="343">
        <v>-816401.41</v>
      </c>
      <c r="O3862" s="343">
        <v>0</v>
      </c>
    </row>
    <row r="3863" spans="1:15" x14ac:dyDescent="0.3">
      <c r="A3863" s="340" t="s">
        <v>891</v>
      </c>
      <c r="B3863" s="350">
        <v>46130</v>
      </c>
      <c r="C3863" s="350">
        <v>46131</v>
      </c>
      <c r="D3863" s="351">
        <v>46113</v>
      </c>
      <c r="E3863" s="340" t="s">
        <v>2899</v>
      </c>
      <c r="F3863" s="340" t="s">
        <v>1078</v>
      </c>
      <c r="G3863" s="340" t="s">
        <v>2458</v>
      </c>
      <c r="H3863" s="340" t="s">
        <v>2457</v>
      </c>
      <c r="I3863" s="340" t="s">
        <v>771</v>
      </c>
      <c r="K3863" s="343">
        <v>0.22</v>
      </c>
      <c r="L3863" s="343">
        <v>0</v>
      </c>
      <c r="M3863" s="343">
        <v>-816401.19</v>
      </c>
      <c r="O3863" s="343">
        <v>0</v>
      </c>
    </row>
    <row r="3864" spans="1:15" x14ac:dyDescent="0.3">
      <c r="A3864" s="340" t="s">
        <v>891</v>
      </c>
      <c r="B3864" s="350">
        <v>46130</v>
      </c>
      <c r="C3864" s="350">
        <v>46131</v>
      </c>
      <c r="D3864" s="351">
        <v>46113</v>
      </c>
      <c r="E3864" s="340" t="s">
        <v>2899</v>
      </c>
      <c r="F3864" s="340" t="s">
        <v>1078</v>
      </c>
      <c r="G3864" s="340" t="s">
        <v>2459</v>
      </c>
      <c r="H3864" s="340" t="s">
        <v>2457</v>
      </c>
      <c r="I3864" s="340" t="s">
        <v>771</v>
      </c>
      <c r="K3864" s="343">
        <v>0.43</v>
      </c>
      <c r="L3864" s="343">
        <v>0</v>
      </c>
      <c r="M3864" s="343">
        <v>-816400.76</v>
      </c>
      <c r="O3864" s="343">
        <v>0</v>
      </c>
    </row>
    <row r="3865" spans="1:15" x14ac:dyDescent="0.3">
      <c r="A3865" s="340" t="s">
        <v>891</v>
      </c>
      <c r="B3865" s="350">
        <v>46130</v>
      </c>
      <c r="C3865" s="350">
        <v>46131</v>
      </c>
      <c r="D3865" s="351">
        <v>46113</v>
      </c>
      <c r="E3865" s="340" t="s">
        <v>2899</v>
      </c>
      <c r="F3865" s="340" t="s">
        <v>1078</v>
      </c>
      <c r="G3865" s="340" t="s">
        <v>2460</v>
      </c>
      <c r="H3865" s="340" t="s">
        <v>2457</v>
      </c>
      <c r="I3865" s="340" t="s">
        <v>771</v>
      </c>
      <c r="K3865" s="343">
        <v>2.95</v>
      </c>
      <c r="L3865" s="343">
        <v>0</v>
      </c>
      <c r="M3865" s="343">
        <v>-816397.81</v>
      </c>
      <c r="O3865" s="343">
        <v>0</v>
      </c>
    </row>
    <row r="3866" spans="1:15" x14ac:dyDescent="0.3">
      <c r="A3866" s="340" t="s">
        <v>891</v>
      </c>
      <c r="B3866" s="350">
        <v>46130</v>
      </c>
      <c r="C3866" s="350">
        <v>46131</v>
      </c>
      <c r="D3866" s="351">
        <v>46113</v>
      </c>
      <c r="E3866" s="340" t="s">
        <v>2899</v>
      </c>
      <c r="F3866" s="340" t="s">
        <v>1078</v>
      </c>
      <c r="G3866" s="340" t="s">
        <v>2461</v>
      </c>
      <c r="H3866" s="340" t="s">
        <v>2457</v>
      </c>
      <c r="I3866" s="340" t="s">
        <v>771</v>
      </c>
      <c r="K3866" s="343">
        <v>18.28</v>
      </c>
      <c r="L3866" s="343">
        <v>0</v>
      </c>
      <c r="M3866" s="343">
        <v>-816379.53</v>
      </c>
      <c r="O3866" s="343">
        <v>0</v>
      </c>
    </row>
    <row r="3867" spans="1:15" x14ac:dyDescent="0.3">
      <c r="A3867" s="340" t="s">
        <v>891</v>
      </c>
      <c r="B3867" s="350">
        <v>46130</v>
      </c>
      <c r="C3867" s="350">
        <v>46131</v>
      </c>
      <c r="D3867" s="351">
        <v>46113</v>
      </c>
      <c r="E3867" s="340" t="s">
        <v>2899</v>
      </c>
      <c r="F3867" s="340" t="s">
        <v>1078</v>
      </c>
      <c r="G3867" s="340" t="s">
        <v>2439</v>
      </c>
      <c r="H3867" s="340" t="s">
        <v>2462</v>
      </c>
      <c r="I3867" s="340" t="s">
        <v>771</v>
      </c>
      <c r="K3867" s="343">
        <v>0.05</v>
      </c>
      <c r="L3867" s="343">
        <v>0</v>
      </c>
      <c r="M3867" s="343">
        <v>-816379.48</v>
      </c>
      <c r="O3867" s="343">
        <v>0</v>
      </c>
    </row>
    <row r="3868" spans="1:15" x14ac:dyDescent="0.3">
      <c r="A3868" s="340" t="s">
        <v>891</v>
      </c>
      <c r="B3868" s="350">
        <v>46130</v>
      </c>
      <c r="C3868" s="350">
        <v>46131</v>
      </c>
      <c r="D3868" s="351">
        <v>46113</v>
      </c>
      <c r="E3868" s="340" t="s">
        <v>2899</v>
      </c>
      <c r="F3868" s="340" t="s">
        <v>1078</v>
      </c>
      <c r="G3868" s="340" t="s">
        <v>2441</v>
      </c>
      <c r="H3868" s="340" t="s">
        <v>2462</v>
      </c>
      <c r="I3868" s="340" t="s">
        <v>771</v>
      </c>
      <c r="K3868" s="343">
        <v>0.09</v>
      </c>
      <c r="L3868" s="343">
        <v>0</v>
      </c>
      <c r="M3868" s="343">
        <v>-816379.39</v>
      </c>
      <c r="O3868" s="343">
        <v>0</v>
      </c>
    </row>
    <row r="3869" spans="1:15" x14ac:dyDescent="0.3">
      <c r="A3869" s="340" t="s">
        <v>891</v>
      </c>
      <c r="B3869" s="350">
        <v>46130</v>
      </c>
      <c r="C3869" s="350">
        <v>46131</v>
      </c>
      <c r="D3869" s="351">
        <v>46113</v>
      </c>
      <c r="E3869" s="340" t="s">
        <v>2899</v>
      </c>
      <c r="F3869" s="340" t="s">
        <v>1078</v>
      </c>
      <c r="G3869" s="340" t="s">
        <v>2443</v>
      </c>
      <c r="H3869" s="340" t="s">
        <v>2462</v>
      </c>
      <c r="I3869" s="340" t="s">
        <v>771</v>
      </c>
      <c r="K3869" s="343">
        <v>1.66</v>
      </c>
      <c r="L3869" s="343">
        <v>0</v>
      </c>
      <c r="M3869" s="343">
        <v>-816377.73</v>
      </c>
      <c r="O3869" s="343">
        <v>0</v>
      </c>
    </row>
    <row r="3870" spans="1:15" x14ac:dyDescent="0.3">
      <c r="A3870" s="340" t="s">
        <v>891</v>
      </c>
      <c r="B3870" s="350">
        <v>46130</v>
      </c>
      <c r="C3870" s="350">
        <v>46131</v>
      </c>
      <c r="D3870" s="351">
        <v>46113</v>
      </c>
      <c r="E3870" s="340" t="s">
        <v>2899</v>
      </c>
      <c r="F3870" s="340" t="s">
        <v>1078</v>
      </c>
      <c r="G3870" s="340" t="s">
        <v>2442</v>
      </c>
      <c r="H3870" s="340" t="s">
        <v>2462</v>
      </c>
      <c r="I3870" s="340" t="s">
        <v>771</v>
      </c>
      <c r="K3870" s="343">
        <v>2.95</v>
      </c>
      <c r="L3870" s="343">
        <v>0</v>
      </c>
      <c r="M3870" s="343">
        <v>-816374.78</v>
      </c>
      <c r="O3870" s="343">
        <v>0</v>
      </c>
    </row>
    <row r="3871" spans="1:15" x14ac:dyDescent="0.3">
      <c r="A3871" s="340" t="s">
        <v>891</v>
      </c>
      <c r="B3871" s="350">
        <v>46130</v>
      </c>
      <c r="C3871" s="350">
        <v>46131</v>
      </c>
      <c r="D3871" s="351">
        <v>46113</v>
      </c>
      <c r="E3871" s="340" t="s">
        <v>2899</v>
      </c>
      <c r="F3871" s="340" t="s">
        <v>1078</v>
      </c>
      <c r="G3871" s="340" t="s">
        <v>2463</v>
      </c>
      <c r="H3871" s="340" t="s">
        <v>2464</v>
      </c>
      <c r="I3871" s="340" t="s">
        <v>771</v>
      </c>
      <c r="K3871" s="343">
        <v>0.15</v>
      </c>
      <c r="L3871" s="343">
        <v>0</v>
      </c>
      <c r="M3871" s="343">
        <v>-816374.63</v>
      </c>
      <c r="O3871" s="343">
        <v>0</v>
      </c>
    </row>
    <row r="3872" spans="1:15" x14ac:dyDescent="0.3">
      <c r="A3872" s="340" t="s">
        <v>891</v>
      </c>
      <c r="B3872" s="350">
        <v>46130</v>
      </c>
      <c r="C3872" s="350">
        <v>46131</v>
      </c>
      <c r="D3872" s="351">
        <v>46113</v>
      </c>
      <c r="E3872" s="340" t="s">
        <v>2899</v>
      </c>
      <c r="F3872" s="340" t="s">
        <v>1078</v>
      </c>
      <c r="G3872" s="340" t="s">
        <v>2465</v>
      </c>
      <c r="H3872" s="340" t="s">
        <v>2464</v>
      </c>
      <c r="I3872" s="340" t="s">
        <v>771</v>
      </c>
      <c r="K3872" s="343">
        <v>0.28999999999999998</v>
      </c>
      <c r="L3872" s="343">
        <v>0</v>
      </c>
      <c r="M3872" s="343">
        <v>-816374.34</v>
      </c>
      <c r="O3872" s="343">
        <v>0</v>
      </c>
    </row>
    <row r="3873" spans="1:15" x14ac:dyDescent="0.3">
      <c r="A3873" s="340" t="s">
        <v>891</v>
      </c>
      <c r="B3873" s="350">
        <v>46130</v>
      </c>
      <c r="C3873" s="350">
        <v>46131</v>
      </c>
      <c r="D3873" s="351">
        <v>46113</v>
      </c>
      <c r="E3873" s="340" t="s">
        <v>2899</v>
      </c>
      <c r="F3873" s="340" t="s">
        <v>1078</v>
      </c>
      <c r="G3873" s="340" t="s">
        <v>2466</v>
      </c>
      <c r="H3873" s="340" t="s">
        <v>2464</v>
      </c>
      <c r="I3873" s="340" t="s">
        <v>771</v>
      </c>
      <c r="K3873" s="343">
        <v>2.95</v>
      </c>
      <c r="L3873" s="343">
        <v>0</v>
      </c>
      <c r="M3873" s="343">
        <v>-816371.39</v>
      </c>
      <c r="O3873" s="343">
        <v>0</v>
      </c>
    </row>
    <row r="3874" spans="1:15" x14ac:dyDescent="0.3">
      <c r="A3874" s="340" t="s">
        <v>891</v>
      </c>
      <c r="B3874" s="350">
        <v>46130</v>
      </c>
      <c r="C3874" s="350">
        <v>46131</v>
      </c>
      <c r="D3874" s="351">
        <v>46113</v>
      </c>
      <c r="E3874" s="340" t="s">
        <v>2899</v>
      </c>
      <c r="F3874" s="340" t="s">
        <v>1078</v>
      </c>
      <c r="G3874" s="340" t="s">
        <v>2467</v>
      </c>
      <c r="H3874" s="340" t="s">
        <v>2464</v>
      </c>
      <c r="I3874" s="340" t="s">
        <v>771</v>
      </c>
      <c r="K3874" s="343">
        <v>11.3</v>
      </c>
      <c r="L3874" s="343">
        <v>0</v>
      </c>
      <c r="M3874" s="343">
        <v>-816360.09</v>
      </c>
      <c r="O3874" s="343">
        <v>0</v>
      </c>
    </row>
    <row r="3875" spans="1:15" x14ac:dyDescent="0.3">
      <c r="A3875" s="340" t="s">
        <v>891</v>
      </c>
      <c r="B3875" s="350">
        <v>46130</v>
      </c>
      <c r="C3875" s="350">
        <v>46131</v>
      </c>
      <c r="D3875" s="351">
        <v>46113</v>
      </c>
      <c r="E3875" s="340" t="s">
        <v>2899</v>
      </c>
      <c r="F3875" s="340" t="s">
        <v>1078</v>
      </c>
      <c r="G3875" s="340" t="s">
        <v>2468</v>
      </c>
      <c r="H3875" s="340" t="s">
        <v>2469</v>
      </c>
      <c r="I3875" s="340" t="s">
        <v>771</v>
      </c>
      <c r="K3875" s="343">
        <v>0.08</v>
      </c>
      <c r="L3875" s="343">
        <v>0</v>
      </c>
      <c r="M3875" s="343">
        <v>-816360.01</v>
      </c>
      <c r="O3875" s="343">
        <v>0</v>
      </c>
    </row>
    <row r="3876" spans="1:15" x14ac:dyDescent="0.3">
      <c r="A3876" s="340" t="s">
        <v>891</v>
      </c>
      <c r="B3876" s="350">
        <v>46130</v>
      </c>
      <c r="C3876" s="350">
        <v>46131</v>
      </c>
      <c r="D3876" s="351">
        <v>46113</v>
      </c>
      <c r="E3876" s="340" t="s">
        <v>2899</v>
      </c>
      <c r="F3876" s="340" t="s">
        <v>1078</v>
      </c>
      <c r="G3876" s="340" t="s">
        <v>2470</v>
      </c>
      <c r="H3876" s="340" t="s">
        <v>2469</v>
      </c>
      <c r="I3876" s="340" t="s">
        <v>771</v>
      </c>
      <c r="K3876" s="343">
        <v>0.16</v>
      </c>
      <c r="L3876" s="343">
        <v>0</v>
      </c>
      <c r="M3876" s="343">
        <v>-816359.85</v>
      </c>
      <c r="O3876" s="343">
        <v>0</v>
      </c>
    </row>
    <row r="3877" spans="1:15" x14ac:dyDescent="0.3">
      <c r="A3877" s="340" t="s">
        <v>891</v>
      </c>
      <c r="B3877" s="350">
        <v>46130</v>
      </c>
      <c r="C3877" s="350">
        <v>46131</v>
      </c>
      <c r="D3877" s="351">
        <v>46113</v>
      </c>
      <c r="E3877" s="340" t="s">
        <v>2899</v>
      </c>
      <c r="F3877" s="340" t="s">
        <v>1078</v>
      </c>
      <c r="G3877" s="340" t="s">
        <v>2471</v>
      </c>
      <c r="H3877" s="340" t="s">
        <v>2469</v>
      </c>
      <c r="I3877" s="340" t="s">
        <v>771</v>
      </c>
      <c r="K3877" s="343">
        <v>0.2</v>
      </c>
      <c r="L3877" s="343">
        <v>0</v>
      </c>
      <c r="M3877" s="343">
        <v>-816359.65</v>
      </c>
      <c r="O3877" s="343">
        <v>0</v>
      </c>
    </row>
    <row r="3878" spans="1:15" x14ac:dyDescent="0.3">
      <c r="A3878" s="340" t="s">
        <v>891</v>
      </c>
      <c r="B3878" s="350">
        <v>46130</v>
      </c>
      <c r="C3878" s="350">
        <v>46131</v>
      </c>
      <c r="D3878" s="351">
        <v>46113</v>
      </c>
      <c r="E3878" s="340" t="s">
        <v>2899</v>
      </c>
      <c r="F3878" s="340" t="s">
        <v>1078</v>
      </c>
      <c r="G3878" s="340" t="s">
        <v>2472</v>
      </c>
      <c r="H3878" s="340" t="s">
        <v>2469</v>
      </c>
      <c r="I3878" s="340" t="s">
        <v>771</v>
      </c>
      <c r="K3878" s="343">
        <v>2.95</v>
      </c>
      <c r="L3878" s="343">
        <v>0</v>
      </c>
      <c r="M3878" s="343">
        <v>-816356.7</v>
      </c>
      <c r="O3878" s="343">
        <v>0</v>
      </c>
    </row>
    <row r="3879" spans="1:15" x14ac:dyDescent="0.3">
      <c r="A3879" s="340" t="s">
        <v>891</v>
      </c>
      <c r="B3879" s="350">
        <v>46130</v>
      </c>
      <c r="C3879" s="350">
        <v>46131</v>
      </c>
      <c r="D3879" s="351">
        <v>46113</v>
      </c>
      <c r="E3879" s="340" t="s">
        <v>2899</v>
      </c>
      <c r="F3879" s="340" t="s">
        <v>1078</v>
      </c>
      <c r="G3879" s="340" t="s">
        <v>2473</v>
      </c>
      <c r="H3879" s="340" t="s">
        <v>2469</v>
      </c>
      <c r="I3879" s="340" t="s">
        <v>771</v>
      </c>
      <c r="K3879" s="343">
        <v>5.07</v>
      </c>
      <c r="L3879" s="343">
        <v>0</v>
      </c>
      <c r="M3879" s="343">
        <v>-816351.63</v>
      </c>
      <c r="O3879" s="343">
        <v>0</v>
      </c>
    </row>
    <row r="3880" spans="1:15" x14ac:dyDescent="0.3">
      <c r="A3880" s="340" t="s">
        <v>891</v>
      </c>
      <c r="B3880" s="350">
        <v>46130</v>
      </c>
      <c r="C3880" s="350">
        <v>46131</v>
      </c>
      <c r="D3880" s="351">
        <v>46113</v>
      </c>
      <c r="E3880" s="340" t="s">
        <v>2899</v>
      </c>
      <c r="F3880" s="340" t="s">
        <v>1078</v>
      </c>
      <c r="G3880" s="340" t="s">
        <v>2474</v>
      </c>
      <c r="H3880" s="340" t="s">
        <v>2475</v>
      </c>
      <c r="I3880" s="340" t="s">
        <v>771</v>
      </c>
      <c r="K3880" s="343">
        <v>0.09</v>
      </c>
      <c r="L3880" s="343">
        <v>0</v>
      </c>
      <c r="M3880" s="343">
        <v>-816351.54</v>
      </c>
      <c r="O3880" s="343">
        <v>0</v>
      </c>
    </row>
    <row r="3881" spans="1:15" x14ac:dyDescent="0.3">
      <c r="A3881" s="340" t="s">
        <v>891</v>
      </c>
      <c r="B3881" s="350">
        <v>46130</v>
      </c>
      <c r="C3881" s="350">
        <v>46131</v>
      </c>
      <c r="D3881" s="351">
        <v>46113</v>
      </c>
      <c r="E3881" s="340" t="s">
        <v>2899</v>
      </c>
      <c r="F3881" s="340" t="s">
        <v>1078</v>
      </c>
      <c r="G3881" s="340" t="s">
        <v>2476</v>
      </c>
      <c r="H3881" s="340" t="s">
        <v>2475</v>
      </c>
      <c r="I3881" s="340" t="s">
        <v>771</v>
      </c>
      <c r="K3881" s="343">
        <v>0.18</v>
      </c>
      <c r="L3881" s="343">
        <v>0</v>
      </c>
      <c r="M3881" s="343">
        <v>-816351.36</v>
      </c>
      <c r="O3881" s="343">
        <v>0</v>
      </c>
    </row>
    <row r="3882" spans="1:15" x14ac:dyDescent="0.3">
      <c r="A3882" s="340" t="s">
        <v>891</v>
      </c>
      <c r="B3882" s="350">
        <v>46130</v>
      </c>
      <c r="C3882" s="350">
        <v>46131</v>
      </c>
      <c r="D3882" s="351">
        <v>46113</v>
      </c>
      <c r="E3882" s="340" t="s">
        <v>2899</v>
      </c>
      <c r="F3882" s="340" t="s">
        <v>1078</v>
      </c>
      <c r="G3882" s="340" t="s">
        <v>2477</v>
      </c>
      <c r="H3882" s="340" t="s">
        <v>2475</v>
      </c>
      <c r="I3882" s="340" t="s">
        <v>771</v>
      </c>
      <c r="K3882" s="343">
        <v>2.95</v>
      </c>
      <c r="L3882" s="343">
        <v>0</v>
      </c>
      <c r="M3882" s="343">
        <v>-816348.41</v>
      </c>
      <c r="O3882" s="343">
        <v>0</v>
      </c>
    </row>
    <row r="3883" spans="1:15" x14ac:dyDescent="0.3">
      <c r="A3883" s="340" t="s">
        <v>891</v>
      </c>
      <c r="B3883" s="350">
        <v>46130</v>
      </c>
      <c r="C3883" s="350">
        <v>46131</v>
      </c>
      <c r="D3883" s="351">
        <v>46113</v>
      </c>
      <c r="E3883" s="340" t="s">
        <v>2899</v>
      </c>
      <c r="F3883" s="340" t="s">
        <v>1078</v>
      </c>
      <c r="G3883" s="340" t="s">
        <v>2478</v>
      </c>
      <c r="H3883" s="340" t="s">
        <v>2475</v>
      </c>
      <c r="I3883" s="340" t="s">
        <v>771</v>
      </c>
      <c r="K3883" s="343">
        <v>5.65</v>
      </c>
      <c r="L3883" s="343">
        <v>0</v>
      </c>
      <c r="M3883" s="343">
        <v>-816342.76</v>
      </c>
      <c r="O3883" s="343">
        <v>0</v>
      </c>
    </row>
    <row r="3884" spans="1:15" x14ac:dyDescent="0.3">
      <c r="A3884" s="340" t="s">
        <v>891</v>
      </c>
      <c r="B3884" s="350">
        <v>46130</v>
      </c>
      <c r="C3884" s="350">
        <v>46131</v>
      </c>
      <c r="D3884" s="351">
        <v>46113</v>
      </c>
      <c r="E3884" s="340" t="s">
        <v>2899</v>
      </c>
      <c r="F3884" s="340" t="s">
        <v>1078</v>
      </c>
      <c r="G3884" s="340" t="s">
        <v>2439</v>
      </c>
      <c r="H3884" s="340" t="s">
        <v>2479</v>
      </c>
      <c r="I3884" s="340" t="s">
        <v>771</v>
      </c>
      <c r="K3884" s="343">
        <v>0.7</v>
      </c>
      <c r="L3884" s="343">
        <v>0</v>
      </c>
      <c r="M3884" s="343">
        <v>-816342.06</v>
      </c>
      <c r="O3884" s="343">
        <v>0</v>
      </c>
    </row>
    <row r="3885" spans="1:15" x14ac:dyDescent="0.3">
      <c r="A3885" s="340" t="s">
        <v>891</v>
      </c>
      <c r="B3885" s="350">
        <v>46130</v>
      </c>
      <c r="C3885" s="350">
        <v>46131</v>
      </c>
      <c r="D3885" s="351">
        <v>46113</v>
      </c>
      <c r="E3885" s="340" t="s">
        <v>2899</v>
      </c>
      <c r="F3885" s="340" t="s">
        <v>1078</v>
      </c>
      <c r="G3885" s="340" t="s">
        <v>2441</v>
      </c>
      <c r="H3885" s="340" t="s">
        <v>2479</v>
      </c>
      <c r="I3885" s="340" t="s">
        <v>771</v>
      </c>
      <c r="K3885" s="343">
        <v>1.4</v>
      </c>
      <c r="L3885" s="343">
        <v>0</v>
      </c>
      <c r="M3885" s="343">
        <v>-816340.66</v>
      </c>
      <c r="O3885" s="343">
        <v>0</v>
      </c>
    </row>
    <row r="3886" spans="1:15" x14ac:dyDescent="0.3">
      <c r="A3886" s="340" t="s">
        <v>891</v>
      </c>
      <c r="B3886" s="350">
        <v>46130</v>
      </c>
      <c r="C3886" s="350">
        <v>46131</v>
      </c>
      <c r="D3886" s="351">
        <v>46113</v>
      </c>
      <c r="E3886" s="340" t="s">
        <v>2899</v>
      </c>
      <c r="F3886" s="340" t="s">
        <v>1078</v>
      </c>
      <c r="G3886" s="340" t="s">
        <v>2442</v>
      </c>
      <c r="H3886" s="340" t="s">
        <v>2479</v>
      </c>
      <c r="I3886" s="340" t="s">
        <v>771</v>
      </c>
      <c r="K3886" s="343">
        <v>2.95</v>
      </c>
      <c r="L3886" s="343">
        <v>0</v>
      </c>
      <c r="M3886" s="343">
        <v>-816337.71</v>
      </c>
      <c r="O3886" s="343">
        <v>0</v>
      </c>
    </row>
    <row r="3887" spans="1:15" x14ac:dyDescent="0.3">
      <c r="A3887" s="340" t="s">
        <v>891</v>
      </c>
      <c r="B3887" s="350">
        <v>46130</v>
      </c>
      <c r="C3887" s="350">
        <v>46131</v>
      </c>
      <c r="D3887" s="351">
        <v>46113</v>
      </c>
      <c r="E3887" s="340" t="s">
        <v>2899</v>
      </c>
      <c r="F3887" s="340" t="s">
        <v>1078</v>
      </c>
      <c r="G3887" s="340" t="s">
        <v>2443</v>
      </c>
      <c r="H3887" s="340" t="s">
        <v>2479</v>
      </c>
      <c r="I3887" s="340" t="s">
        <v>771</v>
      </c>
      <c r="K3887" s="343">
        <v>65.819999999999993</v>
      </c>
      <c r="L3887" s="343">
        <v>0</v>
      </c>
      <c r="M3887" s="343">
        <v>-816271.89</v>
      </c>
      <c r="O3887" s="343">
        <v>0</v>
      </c>
    </row>
    <row r="3888" spans="1:15" x14ac:dyDescent="0.3">
      <c r="A3888" s="340" t="s">
        <v>891</v>
      </c>
      <c r="B3888" s="350">
        <v>46130</v>
      </c>
      <c r="C3888" s="350">
        <v>46131</v>
      </c>
      <c r="D3888" s="351">
        <v>46113</v>
      </c>
      <c r="E3888" s="340" t="s">
        <v>2899</v>
      </c>
      <c r="F3888" s="340" t="s">
        <v>1078</v>
      </c>
      <c r="G3888" s="340" t="s">
        <v>2439</v>
      </c>
      <c r="H3888" s="340" t="s">
        <v>2480</v>
      </c>
      <c r="I3888" s="340" t="s">
        <v>771</v>
      </c>
      <c r="K3888" s="343">
        <v>0.17</v>
      </c>
      <c r="L3888" s="343">
        <v>0</v>
      </c>
      <c r="M3888" s="343">
        <v>-816271.72</v>
      </c>
      <c r="O3888" s="343">
        <v>0</v>
      </c>
    </row>
    <row r="3889" spans="1:15" x14ac:dyDescent="0.3">
      <c r="A3889" s="340" t="s">
        <v>891</v>
      </c>
      <c r="B3889" s="350">
        <v>46130</v>
      </c>
      <c r="C3889" s="350">
        <v>46131</v>
      </c>
      <c r="D3889" s="351">
        <v>46113</v>
      </c>
      <c r="E3889" s="340" t="s">
        <v>2899</v>
      </c>
      <c r="F3889" s="340" t="s">
        <v>1078</v>
      </c>
      <c r="G3889" s="340" t="s">
        <v>2441</v>
      </c>
      <c r="H3889" s="340" t="s">
        <v>2480</v>
      </c>
      <c r="I3889" s="340" t="s">
        <v>771</v>
      </c>
      <c r="K3889" s="343">
        <v>0.33</v>
      </c>
      <c r="L3889" s="343">
        <v>0</v>
      </c>
      <c r="M3889" s="343">
        <v>-816271.39</v>
      </c>
      <c r="O3889" s="343">
        <v>0</v>
      </c>
    </row>
    <row r="3890" spans="1:15" x14ac:dyDescent="0.3">
      <c r="A3890" s="340" t="s">
        <v>891</v>
      </c>
      <c r="B3890" s="350">
        <v>46130</v>
      </c>
      <c r="C3890" s="350">
        <v>46131</v>
      </c>
      <c r="D3890" s="351">
        <v>46113</v>
      </c>
      <c r="E3890" s="340" t="s">
        <v>2899</v>
      </c>
      <c r="F3890" s="340" t="s">
        <v>1078</v>
      </c>
      <c r="G3890" s="340" t="s">
        <v>2442</v>
      </c>
      <c r="H3890" s="340" t="s">
        <v>2480</v>
      </c>
      <c r="I3890" s="340" t="s">
        <v>771</v>
      </c>
      <c r="K3890" s="343">
        <v>2.95</v>
      </c>
      <c r="L3890" s="343">
        <v>0</v>
      </c>
      <c r="M3890" s="343">
        <v>-816268.44</v>
      </c>
      <c r="O3890" s="343">
        <v>0</v>
      </c>
    </row>
    <row r="3891" spans="1:15" x14ac:dyDescent="0.3">
      <c r="A3891" s="340" t="s">
        <v>891</v>
      </c>
      <c r="B3891" s="350">
        <v>46130</v>
      </c>
      <c r="C3891" s="350">
        <v>46131</v>
      </c>
      <c r="D3891" s="351">
        <v>46113</v>
      </c>
      <c r="E3891" s="340" t="s">
        <v>2899</v>
      </c>
      <c r="F3891" s="340" t="s">
        <v>1078</v>
      </c>
      <c r="G3891" s="340" t="s">
        <v>2443</v>
      </c>
      <c r="H3891" s="340" t="s">
        <v>2480</v>
      </c>
      <c r="I3891" s="340" t="s">
        <v>771</v>
      </c>
      <c r="K3891" s="343">
        <v>13.46</v>
      </c>
      <c r="L3891" s="343">
        <v>0</v>
      </c>
      <c r="M3891" s="343">
        <v>-816254.98</v>
      </c>
      <c r="O3891" s="343">
        <v>0</v>
      </c>
    </row>
    <row r="3892" spans="1:15" x14ac:dyDescent="0.3">
      <c r="A3892" s="340" t="s">
        <v>891</v>
      </c>
      <c r="B3892" s="350">
        <v>46130</v>
      </c>
      <c r="C3892" s="350">
        <v>46131</v>
      </c>
      <c r="D3892" s="351">
        <v>46113</v>
      </c>
      <c r="E3892" s="340" t="s">
        <v>2899</v>
      </c>
      <c r="F3892" s="340" t="s">
        <v>1078</v>
      </c>
      <c r="G3892" s="340" t="s">
        <v>2481</v>
      </c>
      <c r="H3892" s="340" t="s">
        <v>2482</v>
      </c>
      <c r="I3892" s="340" t="s">
        <v>771</v>
      </c>
      <c r="K3892" s="343">
        <v>0.22</v>
      </c>
      <c r="L3892" s="343">
        <v>0</v>
      </c>
      <c r="M3892" s="343">
        <v>-816254.76</v>
      </c>
      <c r="O3892" s="343">
        <v>0</v>
      </c>
    </row>
    <row r="3893" spans="1:15" x14ac:dyDescent="0.3">
      <c r="A3893" s="340" t="s">
        <v>891</v>
      </c>
      <c r="B3893" s="350">
        <v>46130</v>
      </c>
      <c r="C3893" s="350">
        <v>46131</v>
      </c>
      <c r="D3893" s="351">
        <v>46113</v>
      </c>
      <c r="E3893" s="340" t="s">
        <v>2899</v>
      </c>
      <c r="F3893" s="340" t="s">
        <v>1078</v>
      </c>
      <c r="G3893" s="340" t="s">
        <v>2483</v>
      </c>
      <c r="H3893" s="340" t="s">
        <v>2482</v>
      </c>
      <c r="I3893" s="340" t="s">
        <v>771</v>
      </c>
      <c r="K3893" s="343">
        <v>0.44</v>
      </c>
      <c r="L3893" s="343">
        <v>0</v>
      </c>
      <c r="M3893" s="343">
        <v>-816254.32</v>
      </c>
      <c r="O3893" s="343">
        <v>0</v>
      </c>
    </row>
    <row r="3894" spans="1:15" x14ac:dyDescent="0.3">
      <c r="A3894" s="340" t="s">
        <v>891</v>
      </c>
      <c r="B3894" s="350">
        <v>46130</v>
      </c>
      <c r="C3894" s="350">
        <v>46131</v>
      </c>
      <c r="D3894" s="351">
        <v>46113</v>
      </c>
      <c r="E3894" s="340" t="s">
        <v>2899</v>
      </c>
      <c r="F3894" s="340" t="s">
        <v>1078</v>
      </c>
      <c r="G3894" s="340" t="s">
        <v>2484</v>
      </c>
      <c r="H3894" s="340" t="s">
        <v>2482</v>
      </c>
      <c r="I3894" s="340" t="s">
        <v>771</v>
      </c>
      <c r="K3894" s="343">
        <v>2.95</v>
      </c>
      <c r="L3894" s="343">
        <v>0</v>
      </c>
      <c r="M3894" s="343">
        <v>-816251.37</v>
      </c>
      <c r="O3894" s="343">
        <v>0</v>
      </c>
    </row>
    <row r="3895" spans="1:15" x14ac:dyDescent="0.3">
      <c r="A3895" s="340" t="s">
        <v>891</v>
      </c>
      <c r="B3895" s="350">
        <v>46130</v>
      </c>
      <c r="C3895" s="350">
        <v>46131</v>
      </c>
      <c r="D3895" s="351">
        <v>46113</v>
      </c>
      <c r="E3895" s="340" t="s">
        <v>2899</v>
      </c>
      <c r="F3895" s="340" t="s">
        <v>1078</v>
      </c>
      <c r="G3895" s="340" t="s">
        <v>2485</v>
      </c>
      <c r="H3895" s="340" t="s">
        <v>2482</v>
      </c>
      <c r="I3895" s="340" t="s">
        <v>771</v>
      </c>
      <c r="K3895" s="343">
        <v>18.86</v>
      </c>
      <c r="L3895" s="343">
        <v>0</v>
      </c>
      <c r="M3895" s="343">
        <v>-816232.51</v>
      </c>
      <c r="O3895" s="343">
        <v>0</v>
      </c>
    </row>
    <row r="3896" spans="1:15" x14ac:dyDescent="0.3">
      <c r="A3896" s="340" t="s">
        <v>891</v>
      </c>
      <c r="B3896" s="350">
        <v>46130</v>
      </c>
      <c r="C3896" s="350">
        <v>46131</v>
      </c>
      <c r="D3896" s="351">
        <v>46113</v>
      </c>
      <c r="E3896" s="340" t="s">
        <v>2899</v>
      </c>
      <c r="F3896" s="340" t="s">
        <v>1078</v>
      </c>
      <c r="G3896" s="340" t="s">
        <v>2439</v>
      </c>
      <c r="H3896" s="340" t="s">
        <v>2486</v>
      </c>
      <c r="I3896" s="340" t="s">
        <v>771</v>
      </c>
      <c r="K3896" s="343">
        <v>0.05</v>
      </c>
      <c r="L3896" s="343">
        <v>0</v>
      </c>
      <c r="M3896" s="343">
        <v>-816232.46</v>
      </c>
      <c r="O3896" s="343">
        <v>0</v>
      </c>
    </row>
    <row r="3897" spans="1:15" x14ac:dyDescent="0.3">
      <c r="A3897" s="340" t="s">
        <v>891</v>
      </c>
      <c r="B3897" s="350">
        <v>46130</v>
      </c>
      <c r="C3897" s="350">
        <v>46131</v>
      </c>
      <c r="D3897" s="351">
        <v>46113</v>
      </c>
      <c r="E3897" s="340" t="s">
        <v>2899</v>
      </c>
      <c r="F3897" s="340" t="s">
        <v>1078</v>
      </c>
      <c r="G3897" s="340" t="s">
        <v>2441</v>
      </c>
      <c r="H3897" s="340" t="s">
        <v>2486</v>
      </c>
      <c r="I3897" s="340" t="s">
        <v>771</v>
      </c>
      <c r="K3897" s="343">
        <v>0.11</v>
      </c>
      <c r="L3897" s="343">
        <v>0</v>
      </c>
      <c r="M3897" s="343">
        <v>-816232.35</v>
      </c>
      <c r="O3897" s="343">
        <v>0</v>
      </c>
    </row>
    <row r="3898" spans="1:15" x14ac:dyDescent="0.3">
      <c r="A3898" s="340" t="s">
        <v>891</v>
      </c>
      <c r="B3898" s="350">
        <v>46130</v>
      </c>
      <c r="C3898" s="350">
        <v>46131</v>
      </c>
      <c r="D3898" s="351">
        <v>46113</v>
      </c>
      <c r="E3898" s="340" t="s">
        <v>2899</v>
      </c>
      <c r="F3898" s="340" t="s">
        <v>1078</v>
      </c>
      <c r="G3898" s="340" t="s">
        <v>2443</v>
      </c>
      <c r="H3898" s="340" t="s">
        <v>2486</v>
      </c>
      <c r="I3898" s="340" t="s">
        <v>771</v>
      </c>
      <c r="K3898" s="343">
        <v>2.2400000000000002</v>
      </c>
      <c r="L3898" s="343">
        <v>0</v>
      </c>
      <c r="M3898" s="343">
        <v>-816230.11</v>
      </c>
      <c r="O3898" s="343">
        <v>0</v>
      </c>
    </row>
    <row r="3899" spans="1:15" x14ac:dyDescent="0.3">
      <c r="A3899" s="340" t="s">
        <v>891</v>
      </c>
      <c r="B3899" s="350">
        <v>46130</v>
      </c>
      <c r="C3899" s="350">
        <v>46131</v>
      </c>
      <c r="D3899" s="351">
        <v>46113</v>
      </c>
      <c r="E3899" s="340" t="s">
        <v>2899</v>
      </c>
      <c r="F3899" s="340" t="s">
        <v>1078</v>
      </c>
      <c r="G3899" s="340" t="s">
        <v>2442</v>
      </c>
      <c r="H3899" s="340" t="s">
        <v>2486</v>
      </c>
      <c r="I3899" s="340" t="s">
        <v>771</v>
      </c>
      <c r="K3899" s="343">
        <v>2.95</v>
      </c>
      <c r="L3899" s="343">
        <v>0</v>
      </c>
      <c r="M3899" s="343">
        <v>-816227.16</v>
      </c>
      <c r="O3899" s="343">
        <v>0</v>
      </c>
    </row>
    <row r="3900" spans="1:15" x14ac:dyDescent="0.3">
      <c r="A3900" s="340" t="s">
        <v>891</v>
      </c>
      <c r="B3900" s="350">
        <v>46130</v>
      </c>
      <c r="C3900" s="350">
        <v>46131</v>
      </c>
      <c r="D3900" s="351">
        <v>46113</v>
      </c>
      <c r="E3900" s="340" t="s">
        <v>2899</v>
      </c>
      <c r="F3900" s="340" t="s">
        <v>1078</v>
      </c>
      <c r="G3900" s="340" t="s">
        <v>2439</v>
      </c>
      <c r="H3900" s="340" t="s">
        <v>2487</v>
      </c>
      <c r="I3900" s="340" t="s">
        <v>771</v>
      </c>
      <c r="K3900" s="343">
        <v>0.17</v>
      </c>
      <c r="L3900" s="343">
        <v>0</v>
      </c>
      <c r="M3900" s="343">
        <v>-816226.99</v>
      </c>
      <c r="O3900" s="343">
        <v>0</v>
      </c>
    </row>
    <row r="3901" spans="1:15" x14ac:dyDescent="0.3">
      <c r="A3901" s="340" t="s">
        <v>891</v>
      </c>
      <c r="B3901" s="350">
        <v>46130</v>
      </c>
      <c r="C3901" s="350">
        <v>46131</v>
      </c>
      <c r="D3901" s="351">
        <v>46113</v>
      </c>
      <c r="E3901" s="340" t="s">
        <v>2899</v>
      </c>
      <c r="F3901" s="340" t="s">
        <v>1078</v>
      </c>
      <c r="G3901" s="340" t="s">
        <v>2441</v>
      </c>
      <c r="H3901" s="340" t="s">
        <v>2487</v>
      </c>
      <c r="I3901" s="340" t="s">
        <v>771</v>
      </c>
      <c r="K3901" s="343">
        <v>0.34</v>
      </c>
      <c r="L3901" s="343">
        <v>0</v>
      </c>
      <c r="M3901" s="343">
        <v>-816226.65</v>
      </c>
      <c r="O3901" s="343">
        <v>0</v>
      </c>
    </row>
    <row r="3902" spans="1:15" x14ac:dyDescent="0.3">
      <c r="A3902" s="340" t="s">
        <v>891</v>
      </c>
      <c r="B3902" s="350">
        <v>46130</v>
      </c>
      <c r="C3902" s="350">
        <v>46131</v>
      </c>
      <c r="D3902" s="351">
        <v>46113</v>
      </c>
      <c r="E3902" s="340" t="s">
        <v>2899</v>
      </c>
      <c r="F3902" s="340" t="s">
        <v>1078</v>
      </c>
      <c r="G3902" s="340" t="s">
        <v>2442</v>
      </c>
      <c r="H3902" s="340" t="s">
        <v>2487</v>
      </c>
      <c r="I3902" s="340" t="s">
        <v>771</v>
      </c>
      <c r="K3902" s="343">
        <v>2.95</v>
      </c>
      <c r="L3902" s="343">
        <v>0</v>
      </c>
      <c r="M3902" s="343">
        <v>-816223.7</v>
      </c>
      <c r="O3902" s="343">
        <v>0</v>
      </c>
    </row>
    <row r="3903" spans="1:15" x14ac:dyDescent="0.3">
      <c r="A3903" s="340" t="s">
        <v>891</v>
      </c>
      <c r="B3903" s="350">
        <v>46130</v>
      </c>
      <c r="C3903" s="350">
        <v>46131</v>
      </c>
      <c r="D3903" s="351">
        <v>46113</v>
      </c>
      <c r="E3903" s="340" t="s">
        <v>2899</v>
      </c>
      <c r="F3903" s="340" t="s">
        <v>1078</v>
      </c>
      <c r="G3903" s="340" t="s">
        <v>2443</v>
      </c>
      <c r="H3903" s="340" t="s">
        <v>2487</v>
      </c>
      <c r="I3903" s="340" t="s">
        <v>771</v>
      </c>
      <c r="K3903" s="343">
        <v>13.63</v>
      </c>
      <c r="L3903" s="343">
        <v>0</v>
      </c>
      <c r="M3903" s="343">
        <v>-816210.07</v>
      </c>
      <c r="O3903" s="343">
        <v>0</v>
      </c>
    </row>
    <row r="3904" spans="1:15" x14ac:dyDescent="0.3">
      <c r="A3904" s="340" t="s">
        <v>891</v>
      </c>
      <c r="B3904" s="350">
        <v>46130</v>
      </c>
      <c r="C3904" s="350">
        <v>46131</v>
      </c>
      <c r="D3904" s="351">
        <v>46113</v>
      </c>
      <c r="E3904" s="340" t="s">
        <v>2899</v>
      </c>
      <c r="F3904" s="340" t="s">
        <v>1078</v>
      </c>
      <c r="G3904" s="340" t="s">
        <v>2488</v>
      </c>
      <c r="H3904" s="340" t="s">
        <v>2489</v>
      </c>
      <c r="I3904" s="340" t="s">
        <v>771</v>
      </c>
      <c r="K3904" s="343">
        <v>0.14000000000000001</v>
      </c>
      <c r="L3904" s="343">
        <v>0</v>
      </c>
      <c r="M3904" s="343">
        <v>-816209.93</v>
      </c>
      <c r="O3904" s="343">
        <v>0</v>
      </c>
    </row>
    <row r="3905" spans="1:15" x14ac:dyDescent="0.3">
      <c r="A3905" s="340" t="s">
        <v>891</v>
      </c>
      <c r="B3905" s="350">
        <v>46130</v>
      </c>
      <c r="C3905" s="350">
        <v>46131</v>
      </c>
      <c r="D3905" s="351">
        <v>46113</v>
      </c>
      <c r="E3905" s="340" t="s">
        <v>2899</v>
      </c>
      <c r="F3905" s="340" t="s">
        <v>1078</v>
      </c>
      <c r="G3905" s="340" t="s">
        <v>2490</v>
      </c>
      <c r="H3905" s="340" t="s">
        <v>2489</v>
      </c>
      <c r="I3905" s="340" t="s">
        <v>771</v>
      </c>
      <c r="K3905" s="343">
        <v>0.25</v>
      </c>
      <c r="L3905" s="343">
        <v>0</v>
      </c>
      <c r="M3905" s="343">
        <v>-816209.68</v>
      </c>
      <c r="O3905" s="343">
        <v>0</v>
      </c>
    </row>
    <row r="3906" spans="1:15" x14ac:dyDescent="0.3">
      <c r="A3906" s="340" t="s">
        <v>891</v>
      </c>
      <c r="B3906" s="350">
        <v>46130</v>
      </c>
      <c r="C3906" s="350">
        <v>46131</v>
      </c>
      <c r="D3906" s="351">
        <v>46113</v>
      </c>
      <c r="E3906" s="340" t="s">
        <v>2899</v>
      </c>
      <c r="F3906" s="340" t="s">
        <v>1078</v>
      </c>
      <c r="G3906" s="340" t="s">
        <v>2491</v>
      </c>
      <c r="H3906" s="340" t="s">
        <v>2489</v>
      </c>
      <c r="I3906" s="340" t="s">
        <v>771</v>
      </c>
      <c r="K3906" s="343">
        <v>1.29</v>
      </c>
      <c r="L3906" s="343">
        <v>0</v>
      </c>
      <c r="M3906" s="343">
        <v>-816208.39</v>
      </c>
      <c r="O3906" s="343">
        <v>0</v>
      </c>
    </row>
    <row r="3907" spans="1:15" x14ac:dyDescent="0.3">
      <c r="A3907" s="340" t="s">
        <v>891</v>
      </c>
      <c r="B3907" s="350">
        <v>46130</v>
      </c>
      <c r="C3907" s="350">
        <v>46131</v>
      </c>
      <c r="D3907" s="351">
        <v>46113</v>
      </c>
      <c r="E3907" s="340" t="s">
        <v>2899</v>
      </c>
      <c r="F3907" s="340" t="s">
        <v>1078</v>
      </c>
      <c r="G3907" s="340" t="s">
        <v>2488</v>
      </c>
      <c r="H3907" s="340" t="s">
        <v>2489</v>
      </c>
      <c r="I3907" s="340" t="s">
        <v>771</v>
      </c>
      <c r="K3907" s="343">
        <v>2.57</v>
      </c>
      <c r="L3907" s="343">
        <v>0</v>
      </c>
      <c r="M3907" s="343">
        <v>-816205.82</v>
      </c>
      <c r="O3907" s="343">
        <v>0</v>
      </c>
    </row>
    <row r="3908" spans="1:15" x14ac:dyDescent="0.3">
      <c r="A3908" s="340" t="s">
        <v>891</v>
      </c>
      <c r="B3908" s="350">
        <v>46130</v>
      </c>
      <c r="C3908" s="350">
        <v>46131</v>
      </c>
      <c r="D3908" s="351">
        <v>46113</v>
      </c>
      <c r="E3908" s="340" t="s">
        <v>2899</v>
      </c>
      <c r="F3908" s="340" t="s">
        <v>1078</v>
      </c>
      <c r="G3908" s="340" t="s">
        <v>2492</v>
      </c>
      <c r="H3908" s="340" t="s">
        <v>2489</v>
      </c>
      <c r="I3908" s="340" t="s">
        <v>771</v>
      </c>
      <c r="K3908" s="343">
        <v>2.95</v>
      </c>
      <c r="L3908" s="343">
        <v>0</v>
      </c>
      <c r="M3908" s="343">
        <v>-816202.87</v>
      </c>
      <c r="O3908" s="343">
        <v>0</v>
      </c>
    </row>
    <row r="3909" spans="1:15" x14ac:dyDescent="0.3">
      <c r="A3909" s="340" t="s">
        <v>891</v>
      </c>
      <c r="B3909" s="350">
        <v>46130</v>
      </c>
      <c r="C3909" s="350">
        <v>46131</v>
      </c>
      <c r="D3909" s="351">
        <v>46113</v>
      </c>
      <c r="E3909" s="340" t="s">
        <v>2899</v>
      </c>
      <c r="F3909" s="340" t="s">
        <v>1078</v>
      </c>
      <c r="G3909" s="340" t="s">
        <v>2492</v>
      </c>
      <c r="H3909" s="340" t="s">
        <v>2489</v>
      </c>
      <c r="I3909" s="340" t="s">
        <v>771</v>
      </c>
      <c r="K3909" s="343">
        <v>2.95</v>
      </c>
      <c r="L3909" s="343">
        <v>0</v>
      </c>
      <c r="M3909" s="343">
        <v>-816199.92</v>
      </c>
      <c r="O3909" s="343">
        <v>0</v>
      </c>
    </row>
    <row r="3910" spans="1:15" x14ac:dyDescent="0.3">
      <c r="A3910" s="340" t="s">
        <v>891</v>
      </c>
      <c r="B3910" s="350">
        <v>46130</v>
      </c>
      <c r="C3910" s="350">
        <v>46131</v>
      </c>
      <c r="D3910" s="351">
        <v>46113</v>
      </c>
      <c r="E3910" s="340" t="s">
        <v>2899</v>
      </c>
      <c r="F3910" s="340" t="s">
        <v>1078</v>
      </c>
      <c r="G3910" s="340" t="s">
        <v>2493</v>
      </c>
      <c r="H3910" s="340" t="s">
        <v>2489</v>
      </c>
      <c r="I3910" s="340" t="s">
        <v>771</v>
      </c>
      <c r="K3910" s="343">
        <v>3.91</v>
      </c>
      <c r="L3910" s="343">
        <v>0</v>
      </c>
      <c r="M3910" s="343">
        <v>-816196.01</v>
      </c>
      <c r="O3910" s="343">
        <v>0</v>
      </c>
    </row>
    <row r="3911" spans="1:15" x14ac:dyDescent="0.3">
      <c r="A3911" s="340" t="s">
        <v>891</v>
      </c>
      <c r="B3911" s="350">
        <v>46130</v>
      </c>
      <c r="C3911" s="350">
        <v>46131</v>
      </c>
      <c r="D3911" s="351">
        <v>46113</v>
      </c>
      <c r="E3911" s="340" t="s">
        <v>2899</v>
      </c>
      <c r="F3911" s="340" t="s">
        <v>1078</v>
      </c>
      <c r="G3911" s="340" t="s">
        <v>2493</v>
      </c>
      <c r="H3911" s="340" t="s">
        <v>2489</v>
      </c>
      <c r="I3911" s="340" t="s">
        <v>771</v>
      </c>
      <c r="K3911" s="343">
        <v>123.07</v>
      </c>
      <c r="L3911" s="343">
        <v>0</v>
      </c>
      <c r="M3911" s="343">
        <v>-816072.94</v>
      </c>
      <c r="O3911" s="343">
        <v>0</v>
      </c>
    </row>
    <row r="3912" spans="1:15" x14ac:dyDescent="0.3">
      <c r="A3912" s="340" t="s">
        <v>891</v>
      </c>
      <c r="B3912" s="350">
        <v>46130</v>
      </c>
      <c r="C3912" s="350">
        <v>46131</v>
      </c>
      <c r="D3912" s="351">
        <v>46113</v>
      </c>
      <c r="E3912" s="340" t="s">
        <v>2899</v>
      </c>
      <c r="F3912" s="340" t="s">
        <v>1078</v>
      </c>
      <c r="G3912" s="340" t="s">
        <v>2491</v>
      </c>
      <c r="H3912" s="340" t="s">
        <v>2489</v>
      </c>
      <c r="I3912" s="340" t="s">
        <v>771</v>
      </c>
      <c r="K3912" s="343">
        <v>7.0000000000000007E-2</v>
      </c>
      <c r="L3912" s="343">
        <v>0</v>
      </c>
      <c r="M3912" s="343">
        <v>-816072.87</v>
      </c>
      <c r="O3912" s="343">
        <v>0</v>
      </c>
    </row>
    <row r="3913" spans="1:15" x14ac:dyDescent="0.3">
      <c r="A3913" s="340" t="s">
        <v>891</v>
      </c>
      <c r="B3913" s="350">
        <v>46130</v>
      </c>
      <c r="C3913" s="350">
        <v>46131</v>
      </c>
      <c r="D3913" s="351">
        <v>46113</v>
      </c>
      <c r="E3913" s="340" t="s">
        <v>2899</v>
      </c>
      <c r="F3913" s="340" t="s">
        <v>1078</v>
      </c>
      <c r="G3913" s="340" t="s">
        <v>2439</v>
      </c>
      <c r="H3913" s="340" t="s">
        <v>2494</v>
      </c>
      <c r="I3913" s="340" t="s">
        <v>771</v>
      </c>
      <c r="K3913" s="343">
        <v>0.06</v>
      </c>
      <c r="L3913" s="343">
        <v>0</v>
      </c>
      <c r="M3913" s="343">
        <v>-816072.81</v>
      </c>
      <c r="O3913" s="343">
        <v>0</v>
      </c>
    </row>
    <row r="3914" spans="1:15" x14ac:dyDescent="0.3">
      <c r="A3914" s="340" t="s">
        <v>891</v>
      </c>
      <c r="B3914" s="350">
        <v>46130</v>
      </c>
      <c r="C3914" s="350">
        <v>46131</v>
      </c>
      <c r="D3914" s="351">
        <v>46113</v>
      </c>
      <c r="E3914" s="340" t="s">
        <v>2899</v>
      </c>
      <c r="F3914" s="340" t="s">
        <v>1078</v>
      </c>
      <c r="G3914" s="340" t="s">
        <v>2441</v>
      </c>
      <c r="H3914" s="340" t="s">
        <v>2494</v>
      </c>
      <c r="I3914" s="340" t="s">
        <v>771</v>
      </c>
      <c r="K3914" s="343">
        <v>0.12</v>
      </c>
      <c r="L3914" s="343">
        <v>0</v>
      </c>
      <c r="M3914" s="343">
        <v>-816072.69</v>
      </c>
      <c r="O3914" s="343">
        <v>0</v>
      </c>
    </row>
    <row r="3915" spans="1:15" x14ac:dyDescent="0.3">
      <c r="A3915" s="340" t="s">
        <v>891</v>
      </c>
      <c r="B3915" s="350">
        <v>46130</v>
      </c>
      <c r="C3915" s="350">
        <v>46131</v>
      </c>
      <c r="D3915" s="351">
        <v>46113</v>
      </c>
      <c r="E3915" s="340" t="s">
        <v>2899</v>
      </c>
      <c r="F3915" s="340" t="s">
        <v>1078</v>
      </c>
      <c r="G3915" s="340" t="s">
        <v>2443</v>
      </c>
      <c r="H3915" s="340" t="s">
        <v>2494</v>
      </c>
      <c r="I3915" s="340" t="s">
        <v>771</v>
      </c>
      <c r="K3915" s="343">
        <v>2.91</v>
      </c>
      <c r="L3915" s="343">
        <v>0</v>
      </c>
      <c r="M3915" s="343">
        <v>-816069.78</v>
      </c>
      <c r="O3915" s="343">
        <v>0</v>
      </c>
    </row>
    <row r="3916" spans="1:15" x14ac:dyDescent="0.3">
      <c r="A3916" s="340" t="s">
        <v>891</v>
      </c>
      <c r="B3916" s="350">
        <v>46130</v>
      </c>
      <c r="C3916" s="350">
        <v>46131</v>
      </c>
      <c r="D3916" s="351">
        <v>46113</v>
      </c>
      <c r="E3916" s="340" t="s">
        <v>2899</v>
      </c>
      <c r="F3916" s="340" t="s">
        <v>1078</v>
      </c>
      <c r="G3916" s="340" t="s">
        <v>2442</v>
      </c>
      <c r="H3916" s="340" t="s">
        <v>2494</v>
      </c>
      <c r="I3916" s="340" t="s">
        <v>771</v>
      </c>
      <c r="K3916" s="343">
        <v>2.95</v>
      </c>
      <c r="L3916" s="343">
        <v>0</v>
      </c>
      <c r="M3916" s="343">
        <v>-816066.83</v>
      </c>
      <c r="O3916" s="343">
        <v>0</v>
      </c>
    </row>
    <row r="3917" spans="1:15" x14ac:dyDescent="0.3">
      <c r="A3917" s="340" t="s">
        <v>891</v>
      </c>
      <c r="B3917" s="350">
        <v>46130</v>
      </c>
      <c r="C3917" s="350">
        <v>46131</v>
      </c>
      <c r="D3917" s="351">
        <v>46113</v>
      </c>
      <c r="E3917" s="340" t="s">
        <v>2899</v>
      </c>
      <c r="F3917" s="340" t="s">
        <v>1078</v>
      </c>
      <c r="G3917" s="340" t="s">
        <v>2495</v>
      </c>
      <c r="H3917" s="340" t="s">
        <v>2496</v>
      </c>
      <c r="I3917" s="340" t="s">
        <v>771</v>
      </c>
      <c r="K3917" s="343">
        <v>0.14000000000000001</v>
      </c>
      <c r="L3917" s="343">
        <v>0</v>
      </c>
      <c r="M3917" s="343">
        <v>-816066.69</v>
      </c>
      <c r="O3917" s="343">
        <v>0</v>
      </c>
    </row>
    <row r="3918" spans="1:15" x14ac:dyDescent="0.3">
      <c r="A3918" s="340" t="s">
        <v>891</v>
      </c>
      <c r="B3918" s="350">
        <v>46130</v>
      </c>
      <c r="C3918" s="350">
        <v>46131</v>
      </c>
      <c r="D3918" s="351">
        <v>46113</v>
      </c>
      <c r="E3918" s="340" t="s">
        <v>2899</v>
      </c>
      <c r="F3918" s="340" t="s">
        <v>1078</v>
      </c>
      <c r="G3918" s="340" t="s">
        <v>2497</v>
      </c>
      <c r="H3918" s="340" t="s">
        <v>2496</v>
      </c>
      <c r="I3918" s="340" t="s">
        <v>771</v>
      </c>
      <c r="K3918" s="343">
        <v>0.57999999999999996</v>
      </c>
      <c r="L3918" s="343">
        <v>0</v>
      </c>
      <c r="M3918" s="343">
        <v>-816066.11</v>
      </c>
      <c r="O3918" s="343">
        <v>0</v>
      </c>
    </row>
    <row r="3919" spans="1:15" x14ac:dyDescent="0.3">
      <c r="A3919" s="340" t="s">
        <v>891</v>
      </c>
      <c r="B3919" s="350">
        <v>46130</v>
      </c>
      <c r="C3919" s="350">
        <v>46131</v>
      </c>
      <c r="D3919" s="351">
        <v>46113</v>
      </c>
      <c r="E3919" s="340" t="s">
        <v>2899</v>
      </c>
      <c r="F3919" s="340" t="s">
        <v>1078</v>
      </c>
      <c r="G3919" s="340" t="s">
        <v>2498</v>
      </c>
      <c r="H3919" s="340" t="s">
        <v>2496</v>
      </c>
      <c r="I3919" s="340" t="s">
        <v>771</v>
      </c>
      <c r="K3919" s="343">
        <v>2.95</v>
      </c>
      <c r="L3919" s="343">
        <v>0</v>
      </c>
      <c r="M3919" s="343">
        <v>-816063.16</v>
      </c>
      <c r="O3919" s="343">
        <v>0</v>
      </c>
    </row>
    <row r="3920" spans="1:15" x14ac:dyDescent="0.3">
      <c r="A3920" s="340" t="s">
        <v>891</v>
      </c>
      <c r="B3920" s="350">
        <v>46130</v>
      </c>
      <c r="C3920" s="350">
        <v>46131</v>
      </c>
      <c r="D3920" s="351">
        <v>46113</v>
      </c>
      <c r="E3920" s="340" t="s">
        <v>2899</v>
      </c>
      <c r="F3920" s="340" t="s">
        <v>1078</v>
      </c>
      <c r="G3920" s="340" t="s">
        <v>2499</v>
      </c>
      <c r="H3920" s="340" t="s">
        <v>2496</v>
      </c>
      <c r="I3920" s="340" t="s">
        <v>771</v>
      </c>
      <c r="K3920" s="343">
        <v>3.91</v>
      </c>
      <c r="L3920" s="343">
        <v>0</v>
      </c>
      <c r="M3920" s="343">
        <v>-816059.25</v>
      </c>
      <c r="O3920" s="343">
        <v>0</v>
      </c>
    </row>
    <row r="3921" spans="1:15" x14ac:dyDescent="0.3">
      <c r="A3921" s="340" t="s">
        <v>891</v>
      </c>
      <c r="B3921" s="350">
        <v>46130</v>
      </c>
      <c r="C3921" s="350">
        <v>46131</v>
      </c>
      <c r="D3921" s="351">
        <v>46113</v>
      </c>
      <c r="E3921" s="340" t="s">
        <v>2899</v>
      </c>
      <c r="F3921" s="340" t="s">
        <v>1078</v>
      </c>
      <c r="G3921" s="340" t="s">
        <v>2439</v>
      </c>
      <c r="H3921" s="340" t="s">
        <v>2500</v>
      </c>
      <c r="I3921" s="340" t="s">
        <v>771</v>
      </c>
      <c r="K3921" s="343">
        <v>0.05</v>
      </c>
      <c r="L3921" s="343">
        <v>0</v>
      </c>
      <c r="M3921" s="343">
        <v>-816059.2</v>
      </c>
      <c r="O3921" s="343">
        <v>0</v>
      </c>
    </row>
    <row r="3922" spans="1:15" x14ac:dyDescent="0.3">
      <c r="A3922" s="340" t="s">
        <v>891</v>
      </c>
      <c r="B3922" s="350">
        <v>46130</v>
      </c>
      <c r="C3922" s="350">
        <v>46131</v>
      </c>
      <c r="D3922" s="351">
        <v>46113</v>
      </c>
      <c r="E3922" s="340" t="s">
        <v>2899</v>
      </c>
      <c r="F3922" s="340" t="s">
        <v>1078</v>
      </c>
      <c r="G3922" s="340" t="s">
        <v>2441</v>
      </c>
      <c r="H3922" s="340" t="s">
        <v>2500</v>
      </c>
      <c r="I3922" s="340" t="s">
        <v>771</v>
      </c>
      <c r="K3922" s="343">
        <v>0.1</v>
      </c>
      <c r="L3922" s="343">
        <v>0</v>
      </c>
      <c r="M3922" s="343">
        <v>-816059.1</v>
      </c>
      <c r="O3922" s="343">
        <v>0</v>
      </c>
    </row>
    <row r="3923" spans="1:15" x14ac:dyDescent="0.3">
      <c r="A3923" s="340" t="s">
        <v>891</v>
      </c>
      <c r="B3923" s="350">
        <v>46130</v>
      </c>
      <c r="C3923" s="350">
        <v>46131</v>
      </c>
      <c r="D3923" s="351">
        <v>46113</v>
      </c>
      <c r="E3923" s="340" t="s">
        <v>2899</v>
      </c>
      <c r="F3923" s="340" t="s">
        <v>1078</v>
      </c>
      <c r="G3923" s="340" t="s">
        <v>2443</v>
      </c>
      <c r="H3923" s="340" t="s">
        <v>2500</v>
      </c>
      <c r="I3923" s="340" t="s">
        <v>771</v>
      </c>
      <c r="K3923" s="343">
        <v>1.99</v>
      </c>
      <c r="L3923" s="343">
        <v>0</v>
      </c>
      <c r="M3923" s="343">
        <v>-816057.11</v>
      </c>
      <c r="O3923" s="343">
        <v>0</v>
      </c>
    </row>
    <row r="3924" spans="1:15" x14ac:dyDescent="0.3">
      <c r="A3924" s="340" t="s">
        <v>891</v>
      </c>
      <c r="B3924" s="350">
        <v>46130</v>
      </c>
      <c r="C3924" s="350">
        <v>46131</v>
      </c>
      <c r="D3924" s="351">
        <v>46113</v>
      </c>
      <c r="E3924" s="340" t="s">
        <v>2899</v>
      </c>
      <c r="F3924" s="340" t="s">
        <v>1078</v>
      </c>
      <c r="G3924" s="340" t="s">
        <v>2442</v>
      </c>
      <c r="H3924" s="340" t="s">
        <v>2500</v>
      </c>
      <c r="I3924" s="340" t="s">
        <v>771</v>
      </c>
      <c r="K3924" s="343">
        <v>2.95</v>
      </c>
      <c r="L3924" s="343">
        <v>0</v>
      </c>
      <c r="M3924" s="343">
        <v>-816054.16</v>
      </c>
      <c r="O3924" s="343">
        <v>0</v>
      </c>
    </row>
    <row r="3925" spans="1:15" x14ac:dyDescent="0.3">
      <c r="A3925" s="340" t="s">
        <v>891</v>
      </c>
      <c r="B3925" s="350">
        <v>46130</v>
      </c>
      <c r="C3925" s="350">
        <v>46131</v>
      </c>
      <c r="D3925" s="351">
        <v>46113</v>
      </c>
      <c r="E3925" s="340" t="s">
        <v>2899</v>
      </c>
      <c r="F3925" s="340" t="s">
        <v>1078</v>
      </c>
      <c r="G3925" s="340" t="s">
        <v>2501</v>
      </c>
      <c r="H3925" s="340" t="s">
        <v>2502</v>
      </c>
      <c r="I3925" s="340" t="s">
        <v>771</v>
      </c>
      <c r="K3925" s="343">
        <v>2.09</v>
      </c>
      <c r="L3925" s="343">
        <v>0</v>
      </c>
      <c r="M3925" s="343">
        <v>-816052.07</v>
      </c>
      <c r="O3925" s="343">
        <v>0</v>
      </c>
    </row>
    <row r="3926" spans="1:15" x14ac:dyDescent="0.3">
      <c r="A3926" s="340" t="s">
        <v>891</v>
      </c>
      <c r="B3926" s="350">
        <v>46130</v>
      </c>
      <c r="C3926" s="350">
        <v>46131</v>
      </c>
      <c r="D3926" s="351">
        <v>46113</v>
      </c>
      <c r="E3926" s="340" t="s">
        <v>2899</v>
      </c>
      <c r="F3926" s="340" t="s">
        <v>1078</v>
      </c>
      <c r="G3926" s="340" t="s">
        <v>2503</v>
      </c>
      <c r="H3926" s="340" t="s">
        <v>2502</v>
      </c>
      <c r="I3926" s="340" t="s">
        <v>771</v>
      </c>
      <c r="K3926" s="343">
        <v>2.95</v>
      </c>
      <c r="L3926" s="343">
        <v>0</v>
      </c>
      <c r="M3926" s="343">
        <v>-816049.12</v>
      </c>
      <c r="O3926" s="343">
        <v>0</v>
      </c>
    </row>
    <row r="3927" spans="1:15" x14ac:dyDescent="0.3">
      <c r="A3927" s="340" t="s">
        <v>891</v>
      </c>
      <c r="B3927" s="350">
        <v>46130</v>
      </c>
      <c r="C3927" s="350">
        <v>46131</v>
      </c>
      <c r="D3927" s="351">
        <v>46113</v>
      </c>
      <c r="E3927" s="340" t="s">
        <v>2899</v>
      </c>
      <c r="F3927" s="340" t="s">
        <v>1078</v>
      </c>
      <c r="G3927" s="340" t="s">
        <v>2504</v>
      </c>
      <c r="H3927" s="340" t="s">
        <v>2502</v>
      </c>
      <c r="I3927" s="340" t="s">
        <v>771</v>
      </c>
      <c r="K3927" s="343">
        <v>8.64</v>
      </c>
      <c r="L3927" s="343">
        <v>0</v>
      </c>
      <c r="M3927" s="343">
        <v>-816040.48</v>
      </c>
      <c r="O3927" s="343">
        <v>0</v>
      </c>
    </row>
    <row r="3928" spans="1:15" x14ac:dyDescent="0.3">
      <c r="A3928" s="340" t="s">
        <v>891</v>
      </c>
      <c r="B3928" s="350">
        <v>46130</v>
      </c>
      <c r="C3928" s="350">
        <v>46131</v>
      </c>
      <c r="D3928" s="351">
        <v>46113</v>
      </c>
      <c r="E3928" s="340" t="s">
        <v>2899</v>
      </c>
      <c r="F3928" s="340" t="s">
        <v>1078</v>
      </c>
      <c r="G3928" s="340" t="s">
        <v>2505</v>
      </c>
      <c r="H3928" s="340" t="s">
        <v>2502</v>
      </c>
      <c r="I3928" s="340" t="s">
        <v>771</v>
      </c>
      <c r="K3928" s="343">
        <v>99.72</v>
      </c>
      <c r="L3928" s="343">
        <v>0</v>
      </c>
      <c r="M3928" s="343">
        <v>-815940.76</v>
      </c>
      <c r="O3928" s="343">
        <v>0</v>
      </c>
    </row>
    <row r="3929" spans="1:15" x14ac:dyDescent="0.3">
      <c r="A3929" s="340" t="s">
        <v>891</v>
      </c>
      <c r="B3929" s="350">
        <v>46130</v>
      </c>
      <c r="C3929" s="350">
        <v>46131</v>
      </c>
      <c r="D3929" s="351">
        <v>46113</v>
      </c>
      <c r="E3929" s="340" t="s">
        <v>2899</v>
      </c>
      <c r="F3929" s="340" t="s">
        <v>1078</v>
      </c>
      <c r="G3929" s="340" t="s">
        <v>2439</v>
      </c>
      <c r="H3929" s="340" t="s">
        <v>2506</v>
      </c>
      <c r="I3929" s="340" t="s">
        <v>771</v>
      </c>
      <c r="K3929" s="343">
        <v>0.54</v>
      </c>
      <c r="L3929" s="343">
        <v>0</v>
      </c>
      <c r="M3929" s="343">
        <v>-815940.22</v>
      </c>
      <c r="O3929" s="343">
        <v>0</v>
      </c>
    </row>
    <row r="3930" spans="1:15" x14ac:dyDescent="0.3">
      <c r="A3930" s="340" t="s">
        <v>891</v>
      </c>
      <c r="B3930" s="350">
        <v>46130</v>
      </c>
      <c r="C3930" s="350">
        <v>46131</v>
      </c>
      <c r="D3930" s="351">
        <v>46113</v>
      </c>
      <c r="E3930" s="340" t="s">
        <v>2899</v>
      </c>
      <c r="F3930" s="340" t="s">
        <v>1078</v>
      </c>
      <c r="G3930" s="340" t="s">
        <v>2441</v>
      </c>
      <c r="H3930" s="340" t="s">
        <v>2506</v>
      </c>
      <c r="I3930" s="340" t="s">
        <v>771</v>
      </c>
      <c r="K3930" s="343">
        <v>1.08</v>
      </c>
      <c r="L3930" s="343">
        <v>0</v>
      </c>
      <c r="M3930" s="343">
        <v>-815939.14</v>
      </c>
      <c r="O3930" s="343">
        <v>0</v>
      </c>
    </row>
    <row r="3931" spans="1:15" x14ac:dyDescent="0.3">
      <c r="A3931" s="340" t="s">
        <v>891</v>
      </c>
      <c r="B3931" s="350">
        <v>46130</v>
      </c>
      <c r="C3931" s="350">
        <v>46131</v>
      </c>
      <c r="D3931" s="351">
        <v>46113</v>
      </c>
      <c r="E3931" s="340" t="s">
        <v>2899</v>
      </c>
      <c r="F3931" s="340" t="s">
        <v>1078</v>
      </c>
      <c r="G3931" s="340" t="s">
        <v>2442</v>
      </c>
      <c r="H3931" s="340" t="s">
        <v>2506</v>
      </c>
      <c r="I3931" s="340" t="s">
        <v>771</v>
      </c>
      <c r="K3931" s="343">
        <v>2.95</v>
      </c>
      <c r="L3931" s="343">
        <v>0</v>
      </c>
      <c r="M3931" s="343">
        <v>-815936.19</v>
      </c>
      <c r="O3931" s="343">
        <v>0</v>
      </c>
    </row>
    <row r="3932" spans="1:15" x14ac:dyDescent="0.3">
      <c r="A3932" s="340" t="s">
        <v>891</v>
      </c>
      <c r="B3932" s="350">
        <v>46130</v>
      </c>
      <c r="C3932" s="350">
        <v>46131</v>
      </c>
      <c r="D3932" s="351">
        <v>46113</v>
      </c>
      <c r="E3932" s="340" t="s">
        <v>2899</v>
      </c>
      <c r="F3932" s="340" t="s">
        <v>1078</v>
      </c>
      <c r="G3932" s="340" t="s">
        <v>2443</v>
      </c>
      <c r="H3932" s="340" t="s">
        <v>2506</v>
      </c>
      <c r="I3932" s="340" t="s">
        <v>771</v>
      </c>
      <c r="K3932" s="343">
        <v>50.19</v>
      </c>
      <c r="L3932" s="343">
        <v>0</v>
      </c>
      <c r="M3932" s="343">
        <v>-815886</v>
      </c>
      <c r="O3932" s="343">
        <v>0</v>
      </c>
    </row>
    <row r="3933" spans="1:15" x14ac:dyDescent="0.3">
      <c r="A3933" s="340" t="s">
        <v>891</v>
      </c>
      <c r="B3933" s="350">
        <v>46130</v>
      </c>
      <c r="C3933" s="350">
        <v>46131</v>
      </c>
      <c r="D3933" s="351">
        <v>46113</v>
      </c>
      <c r="E3933" s="340" t="s">
        <v>2899</v>
      </c>
      <c r="F3933" s="340" t="s">
        <v>1078</v>
      </c>
      <c r="G3933" s="340" t="s">
        <v>2439</v>
      </c>
      <c r="H3933" s="340" t="s">
        <v>2507</v>
      </c>
      <c r="I3933" s="340" t="s">
        <v>771</v>
      </c>
      <c r="K3933" s="343">
        <v>0.24</v>
      </c>
      <c r="L3933" s="343">
        <v>0</v>
      </c>
      <c r="M3933" s="343">
        <v>-815885.76</v>
      </c>
      <c r="O3933" s="343">
        <v>0</v>
      </c>
    </row>
    <row r="3934" spans="1:15" x14ac:dyDescent="0.3">
      <c r="A3934" s="340" t="s">
        <v>891</v>
      </c>
      <c r="B3934" s="350">
        <v>46130</v>
      </c>
      <c r="C3934" s="350">
        <v>46131</v>
      </c>
      <c r="D3934" s="351">
        <v>46113</v>
      </c>
      <c r="E3934" s="340" t="s">
        <v>2899</v>
      </c>
      <c r="F3934" s="340" t="s">
        <v>1078</v>
      </c>
      <c r="G3934" s="340" t="s">
        <v>2441</v>
      </c>
      <c r="H3934" s="340" t="s">
        <v>2507</v>
      </c>
      <c r="I3934" s="340" t="s">
        <v>771</v>
      </c>
      <c r="K3934" s="343">
        <v>0.48</v>
      </c>
      <c r="L3934" s="343">
        <v>0</v>
      </c>
      <c r="M3934" s="343">
        <v>-815885.28</v>
      </c>
      <c r="O3934" s="343">
        <v>0</v>
      </c>
    </row>
    <row r="3935" spans="1:15" x14ac:dyDescent="0.3">
      <c r="A3935" s="340" t="s">
        <v>891</v>
      </c>
      <c r="B3935" s="350">
        <v>46130</v>
      </c>
      <c r="C3935" s="350">
        <v>46131</v>
      </c>
      <c r="D3935" s="351">
        <v>46113</v>
      </c>
      <c r="E3935" s="340" t="s">
        <v>2899</v>
      </c>
      <c r="F3935" s="340" t="s">
        <v>1078</v>
      </c>
      <c r="G3935" s="340" t="s">
        <v>2442</v>
      </c>
      <c r="H3935" s="340" t="s">
        <v>2507</v>
      </c>
      <c r="I3935" s="340" t="s">
        <v>771</v>
      </c>
      <c r="K3935" s="343">
        <v>2.95</v>
      </c>
      <c r="L3935" s="343">
        <v>0</v>
      </c>
      <c r="M3935" s="343">
        <v>-815882.33</v>
      </c>
      <c r="O3935" s="343">
        <v>0</v>
      </c>
    </row>
    <row r="3936" spans="1:15" x14ac:dyDescent="0.3">
      <c r="A3936" s="340" t="s">
        <v>891</v>
      </c>
      <c r="B3936" s="350">
        <v>46130</v>
      </c>
      <c r="C3936" s="350">
        <v>46131</v>
      </c>
      <c r="D3936" s="351">
        <v>46113</v>
      </c>
      <c r="E3936" s="340" t="s">
        <v>2899</v>
      </c>
      <c r="F3936" s="340" t="s">
        <v>1078</v>
      </c>
      <c r="G3936" s="340" t="s">
        <v>2443</v>
      </c>
      <c r="H3936" s="340" t="s">
        <v>2507</v>
      </c>
      <c r="I3936" s="340" t="s">
        <v>771</v>
      </c>
      <c r="K3936" s="343">
        <v>20.61</v>
      </c>
      <c r="L3936" s="343">
        <v>0</v>
      </c>
      <c r="M3936" s="343">
        <v>-815861.72</v>
      </c>
      <c r="O3936" s="343">
        <v>0</v>
      </c>
    </row>
    <row r="3937" spans="1:15" x14ac:dyDescent="0.3">
      <c r="A3937" s="340" t="s">
        <v>891</v>
      </c>
      <c r="B3937" s="350">
        <v>46130</v>
      </c>
      <c r="C3937" s="350">
        <v>46131</v>
      </c>
      <c r="D3937" s="351">
        <v>46113</v>
      </c>
      <c r="E3937" s="340" t="s">
        <v>2899</v>
      </c>
      <c r="F3937" s="340" t="s">
        <v>1078</v>
      </c>
      <c r="G3937" s="340" t="s">
        <v>2439</v>
      </c>
      <c r="H3937" s="340" t="s">
        <v>2508</v>
      </c>
      <c r="I3937" s="340" t="s">
        <v>771</v>
      </c>
      <c r="K3937" s="343">
        <v>7.0000000000000007E-2</v>
      </c>
      <c r="L3937" s="343">
        <v>0</v>
      </c>
      <c r="M3937" s="343">
        <v>-815861.65</v>
      </c>
      <c r="O3937" s="343">
        <v>0</v>
      </c>
    </row>
    <row r="3938" spans="1:15" x14ac:dyDescent="0.3">
      <c r="A3938" s="340" t="s">
        <v>891</v>
      </c>
      <c r="B3938" s="350">
        <v>46130</v>
      </c>
      <c r="C3938" s="350">
        <v>46131</v>
      </c>
      <c r="D3938" s="351">
        <v>46113</v>
      </c>
      <c r="E3938" s="340" t="s">
        <v>2899</v>
      </c>
      <c r="F3938" s="340" t="s">
        <v>1078</v>
      </c>
      <c r="G3938" s="340" t="s">
        <v>2441</v>
      </c>
      <c r="H3938" s="340" t="s">
        <v>2508</v>
      </c>
      <c r="I3938" s="340" t="s">
        <v>771</v>
      </c>
      <c r="K3938" s="343">
        <v>0.14000000000000001</v>
      </c>
      <c r="L3938" s="343">
        <v>0</v>
      </c>
      <c r="M3938" s="343">
        <v>-815861.51</v>
      </c>
      <c r="O3938" s="343">
        <v>0</v>
      </c>
    </row>
    <row r="3939" spans="1:15" x14ac:dyDescent="0.3">
      <c r="A3939" s="340" t="s">
        <v>891</v>
      </c>
      <c r="B3939" s="350">
        <v>46130</v>
      </c>
      <c r="C3939" s="350">
        <v>46131</v>
      </c>
      <c r="D3939" s="351">
        <v>46113</v>
      </c>
      <c r="E3939" s="340" t="s">
        <v>2899</v>
      </c>
      <c r="F3939" s="340" t="s">
        <v>1078</v>
      </c>
      <c r="G3939" s="340" t="s">
        <v>2442</v>
      </c>
      <c r="H3939" s="340" t="s">
        <v>2508</v>
      </c>
      <c r="I3939" s="340" t="s">
        <v>771</v>
      </c>
      <c r="K3939" s="343">
        <v>2.95</v>
      </c>
      <c r="L3939" s="343">
        <v>0</v>
      </c>
      <c r="M3939" s="343">
        <v>-815858.56</v>
      </c>
      <c r="O3939" s="343">
        <v>0</v>
      </c>
    </row>
    <row r="3940" spans="1:15" x14ac:dyDescent="0.3">
      <c r="A3940" s="340" t="s">
        <v>891</v>
      </c>
      <c r="B3940" s="350">
        <v>46130</v>
      </c>
      <c r="C3940" s="350">
        <v>46131</v>
      </c>
      <c r="D3940" s="351">
        <v>46113</v>
      </c>
      <c r="E3940" s="340" t="s">
        <v>2899</v>
      </c>
      <c r="F3940" s="340" t="s">
        <v>1078</v>
      </c>
      <c r="G3940" s="340" t="s">
        <v>2443</v>
      </c>
      <c r="H3940" s="340" t="s">
        <v>2508</v>
      </c>
      <c r="I3940" s="340" t="s">
        <v>771</v>
      </c>
      <c r="K3940" s="343">
        <v>3.78</v>
      </c>
      <c r="L3940" s="343">
        <v>0</v>
      </c>
      <c r="M3940" s="343">
        <v>-815854.78</v>
      </c>
      <c r="O3940" s="343">
        <v>0</v>
      </c>
    </row>
    <row r="3941" spans="1:15" x14ac:dyDescent="0.3">
      <c r="A3941" s="340" t="s">
        <v>891</v>
      </c>
      <c r="B3941" s="350">
        <v>46130</v>
      </c>
      <c r="C3941" s="350">
        <v>46131</v>
      </c>
      <c r="D3941" s="351">
        <v>46113</v>
      </c>
      <c r="E3941" s="340" t="s">
        <v>2899</v>
      </c>
      <c r="F3941" s="340" t="s">
        <v>1078</v>
      </c>
      <c r="G3941" s="340" t="s">
        <v>2439</v>
      </c>
      <c r="H3941" s="340" t="s">
        <v>2509</v>
      </c>
      <c r="I3941" s="340" t="s">
        <v>771</v>
      </c>
      <c r="K3941" s="343">
        <v>0.11</v>
      </c>
      <c r="L3941" s="343">
        <v>0</v>
      </c>
      <c r="M3941" s="343">
        <v>-815854.67</v>
      </c>
      <c r="O3941" s="343">
        <v>0</v>
      </c>
    </row>
    <row r="3942" spans="1:15" x14ac:dyDescent="0.3">
      <c r="A3942" s="340" t="s">
        <v>891</v>
      </c>
      <c r="B3942" s="350">
        <v>46130</v>
      </c>
      <c r="C3942" s="350">
        <v>46131</v>
      </c>
      <c r="D3942" s="351">
        <v>46113</v>
      </c>
      <c r="E3942" s="340" t="s">
        <v>2899</v>
      </c>
      <c r="F3942" s="340" t="s">
        <v>1078</v>
      </c>
      <c r="G3942" s="340" t="s">
        <v>2441</v>
      </c>
      <c r="H3942" s="340" t="s">
        <v>2509</v>
      </c>
      <c r="I3942" s="340" t="s">
        <v>771</v>
      </c>
      <c r="K3942" s="343">
        <v>0.21</v>
      </c>
      <c r="L3942" s="343">
        <v>0</v>
      </c>
      <c r="M3942" s="343">
        <v>-815854.46</v>
      </c>
      <c r="O3942" s="343">
        <v>0</v>
      </c>
    </row>
    <row r="3943" spans="1:15" x14ac:dyDescent="0.3">
      <c r="A3943" s="340" t="s">
        <v>891</v>
      </c>
      <c r="B3943" s="350">
        <v>46130</v>
      </c>
      <c r="C3943" s="350">
        <v>46131</v>
      </c>
      <c r="D3943" s="351">
        <v>46113</v>
      </c>
      <c r="E3943" s="340" t="s">
        <v>2899</v>
      </c>
      <c r="F3943" s="340" t="s">
        <v>1078</v>
      </c>
      <c r="G3943" s="340" t="s">
        <v>2442</v>
      </c>
      <c r="H3943" s="340" t="s">
        <v>2509</v>
      </c>
      <c r="I3943" s="340" t="s">
        <v>771</v>
      </c>
      <c r="K3943" s="343">
        <v>2.95</v>
      </c>
      <c r="L3943" s="343">
        <v>0</v>
      </c>
      <c r="M3943" s="343">
        <v>-815851.51</v>
      </c>
      <c r="O3943" s="343">
        <v>0</v>
      </c>
    </row>
    <row r="3944" spans="1:15" x14ac:dyDescent="0.3">
      <c r="A3944" s="340" t="s">
        <v>891</v>
      </c>
      <c r="B3944" s="350">
        <v>46130</v>
      </c>
      <c r="C3944" s="350">
        <v>46131</v>
      </c>
      <c r="D3944" s="351">
        <v>46113</v>
      </c>
      <c r="E3944" s="340" t="s">
        <v>2899</v>
      </c>
      <c r="F3944" s="340" t="s">
        <v>1078</v>
      </c>
      <c r="G3944" s="340" t="s">
        <v>2443</v>
      </c>
      <c r="H3944" s="340" t="s">
        <v>2509</v>
      </c>
      <c r="I3944" s="340" t="s">
        <v>771</v>
      </c>
      <c r="K3944" s="343">
        <v>7.48</v>
      </c>
      <c r="L3944" s="343">
        <v>0</v>
      </c>
      <c r="M3944" s="343">
        <v>-815844.03</v>
      </c>
      <c r="O3944" s="343">
        <v>0</v>
      </c>
    </row>
    <row r="3945" spans="1:15" x14ac:dyDescent="0.3">
      <c r="A3945" s="340" t="s">
        <v>891</v>
      </c>
      <c r="B3945" s="350">
        <v>46130</v>
      </c>
      <c r="C3945" s="350">
        <v>46131</v>
      </c>
      <c r="D3945" s="351">
        <v>46113</v>
      </c>
      <c r="E3945" s="340" t="s">
        <v>2899</v>
      </c>
      <c r="F3945" s="340" t="s">
        <v>1078</v>
      </c>
      <c r="G3945" s="340" t="s">
        <v>2441</v>
      </c>
      <c r="H3945" s="340" t="s">
        <v>2510</v>
      </c>
      <c r="I3945" s="340" t="s">
        <v>771</v>
      </c>
      <c r="K3945" s="343">
        <v>0.39</v>
      </c>
      <c r="L3945" s="343">
        <v>0</v>
      </c>
      <c r="M3945" s="343">
        <v>-815843.64</v>
      </c>
      <c r="O3945" s="343">
        <v>0</v>
      </c>
    </row>
    <row r="3946" spans="1:15" x14ac:dyDescent="0.3">
      <c r="A3946" s="340" t="s">
        <v>891</v>
      </c>
      <c r="B3946" s="350">
        <v>46130</v>
      </c>
      <c r="C3946" s="350">
        <v>46131</v>
      </c>
      <c r="D3946" s="351">
        <v>46113</v>
      </c>
      <c r="E3946" s="340" t="s">
        <v>2899</v>
      </c>
      <c r="F3946" s="340" t="s">
        <v>1078</v>
      </c>
      <c r="G3946" s="340" t="s">
        <v>2439</v>
      </c>
      <c r="H3946" s="340" t="s">
        <v>2510</v>
      </c>
      <c r="I3946" s="340" t="s">
        <v>771</v>
      </c>
      <c r="K3946" s="343">
        <v>1.61</v>
      </c>
      <c r="L3946" s="343">
        <v>0</v>
      </c>
      <c r="M3946" s="343">
        <v>-815842.03</v>
      </c>
      <c r="O3946" s="343">
        <v>0</v>
      </c>
    </row>
    <row r="3947" spans="1:15" x14ac:dyDescent="0.3">
      <c r="A3947" s="340" t="s">
        <v>891</v>
      </c>
      <c r="B3947" s="350">
        <v>46130</v>
      </c>
      <c r="C3947" s="350">
        <v>46131</v>
      </c>
      <c r="D3947" s="351">
        <v>46113</v>
      </c>
      <c r="E3947" s="340" t="s">
        <v>2899</v>
      </c>
      <c r="F3947" s="340" t="s">
        <v>1078</v>
      </c>
      <c r="G3947" s="340" t="s">
        <v>2442</v>
      </c>
      <c r="H3947" s="340" t="s">
        <v>2510</v>
      </c>
      <c r="I3947" s="340" t="s">
        <v>771</v>
      </c>
      <c r="K3947" s="343">
        <v>2.95</v>
      </c>
      <c r="L3947" s="343">
        <v>0</v>
      </c>
      <c r="M3947" s="343">
        <v>-815839.08</v>
      </c>
      <c r="O3947" s="343">
        <v>0</v>
      </c>
    </row>
    <row r="3948" spans="1:15" x14ac:dyDescent="0.3">
      <c r="A3948" s="340" t="s">
        <v>891</v>
      </c>
      <c r="B3948" s="350">
        <v>46130</v>
      </c>
      <c r="C3948" s="350">
        <v>46131</v>
      </c>
      <c r="D3948" s="351">
        <v>46113</v>
      </c>
      <c r="E3948" s="340" t="s">
        <v>2899</v>
      </c>
      <c r="F3948" s="340" t="s">
        <v>1078</v>
      </c>
      <c r="G3948" s="340" t="s">
        <v>2443</v>
      </c>
      <c r="H3948" s="340" t="s">
        <v>2510</v>
      </c>
      <c r="I3948" s="340" t="s">
        <v>771</v>
      </c>
      <c r="K3948" s="343">
        <v>16.12</v>
      </c>
      <c r="L3948" s="343">
        <v>0</v>
      </c>
      <c r="M3948" s="343">
        <v>-815822.96</v>
      </c>
      <c r="O3948" s="343">
        <v>0</v>
      </c>
    </row>
    <row r="3949" spans="1:15" x14ac:dyDescent="0.3">
      <c r="A3949" s="340" t="s">
        <v>891</v>
      </c>
      <c r="B3949" s="350">
        <v>46130</v>
      </c>
      <c r="C3949" s="350">
        <v>46131</v>
      </c>
      <c r="D3949" s="351">
        <v>46113</v>
      </c>
      <c r="E3949" s="340" t="s">
        <v>2899</v>
      </c>
      <c r="F3949" s="340" t="s">
        <v>1078</v>
      </c>
      <c r="G3949" s="340" t="s">
        <v>2443</v>
      </c>
      <c r="H3949" s="340" t="s">
        <v>2511</v>
      </c>
      <c r="I3949" s="340" t="s">
        <v>771</v>
      </c>
      <c r="K3949" s="343">
        <v>3.99</v>
      </c>
      <c r="L3949" s="343">
        <v>0</v>
      </c>
      <c r="M3949" s="343">
        <v>-815818.97</v>
      </c>
      <c r="O3949" s="343">
        <v>0</v>
      </c>
    </row>
    <row r="3950" spans="1:15" x14ac:dyDescent="0.3">
      <c r="A3950" s="340" t="s">
        <v>891</v>
      </c>
      <c r="B3950" s="350">
        <v>46130</v>
      </c>
      <c r="C3950" s="350">
        <v>46131</v>
      </c>
      <c r="D3950" s="351">
        <v>46113</v>
      </c>
      <c r="E3950" s="340" t="s">
        <v>2899</v>
      </c>
      <c r="F3950" s="340" t="s">
        <v>1078</v>
      </c>
      <c r="G3950" s="340" t="s">
        <v>2439</v>
      </c>
      <c r="H3950" s="340" t="s">
        <v>2511</v>
      </c>
      <c r="I3950" s="340" t="s">
        <v>771</v>
      </c>
      <c r="K3950" s="343">
        <v>7.0000000000000007E-2</v>
      </c>
      <c r="L3950" s="343">
        <v>0</v>
      </c>
      <c r="M3950" s="343">
        <v>-815818.9</v>
      </c>
      <c r="O3950" s="343">
        <v>0</v>
      </c>
    </row>
    <row r="3951" spans="1:15" x14ac:dyDescent="0.3">
      <c r="A3951" s="340" t="s">
        <v>891</v>
      </c>
      <c r="B3951" s="350">
        <v>46130</v>
      </c>
      <c r="C3951" s="350">
        <v>46131</v>
      </c>
      <c r="D3951" s="351">
        <v>46113</v>
      </c>
      <c r="E3951" s="340" t="s">
        <v>2899</v>
      </c>
      <c r="F3951" s="340" t="s">
        <v>1078</v>
      </c>
      <c r="G3951" s="340" t="s">
        <v>2441</v>
      </c>
      <c r="H3951" s="340" t="s">
        <v>2511</v>
      </c>
      <c r="I3951" s="340" t="s">
        <v>771</v>
      </c>
      <c r="K3951" s="343">
        <v>0.14000000000000001</v>
      </c>
      <c r="L3951" s="343">
        <v>0</v>
      </c>
      <c r="M3951" s="343">
        <v>-815818.76</v>
      </c>
      <c r="O3951" s="343">
        <v>0</v>
      </c>
    </row>
    <row r="3952" spans="1:15" x14ac:dyDescent="0.3">
      <c r="A3952" s="340" t="s">
        <v>891</v>
      </c>
      <c r="B3952" s="350">
        <v>46130</v>
      </c>
      <c r="C3952" s="350">
        <v>46131</v>
      </c>
      <c r="D3952" s="351">
        <v>46113</v>
      </c>
      <c r="E3952" s="340" t="s">
        <v>2899</v>
      </c>
      <c r="F3952" s="340" t="s">
        <v>1078</v>
      </c>
      <c r="G3952" s="340" t="s">
        <v>2442</v>
      </c>
      <c r="H3952" s="340" t="s">
        <v>2511</v>
      </c>
      <c r="I3952" s="340" t="s">
        <v>771</v>
      </c>
      <c r="K3952" s="343">
        <v>2.95</v>
      </c>
      <c r="L3952" s="343">
        <v>0</v>
      </c>
      <c r="M3952" s="343">
        <v>-815815.81</v>
      </c>
      <c r="O3952" s="343">
        <v>0</v>
      </c>
    </row>
    <row r="3953" spans="1:15" x14ac:dyDescent="0.3">
      <c r="A3953" s="340" t="s">
        <v>891</v>
      </c>
      <c r="B3953" s="350">
        <v>46130</v>
      </c>
      <c r="C3953" s="350">
        <v>46131</v>
      </c>
      <c r="D3953" s="351">
        <v>46113</v>
      </c>
      <c r="E3953" s="340" t="s">
        <v>2899</v>
      </c>
      <c r="F3953" s="340" t="s">
        <v>1078</v>
      </c>
      <c r="G3953" s="340" t="s">
        <v>2474</v>
      </c>
      <c r="H3953" s="340" t="s">
        <v>2512</v>
      </c>
      <c r="I3953" s="340" t="s">
        <v>771</v>
      </c>
      <c r="K3953" s="343">
        <v>0.05</v>
      </c>
      <c r="L3953" s="343">
        <v>0</v>
      </c>
      <c r="M3953" s="343">
        <v>-815815.76</v>
      </c>
      <c r="O3953" s="343">
        <v>0</v>
      </c>
    </row>
    <row r="3954" spans="1:15" x14ac:dyDescent="0.3">
      <c r="A3954" s="340" t="s">
        <v>891</v>
      </c>
      <c r="B3954" s="350">
        <v>46130</v>
      </c>
      <c r="C3954" s="350">
        <v>46131</v>
      </c>
      <c r="D3954" s="351">
        <v>46113</v>
      </c>
      <c r="E3954" s="340" t="s">
        <v>2899</v>
      </c>
      <c r="F3954" s="340" t="s">
        <v>1078</v>
      </c>
      <c r="G3954" s="340" t="s">
        <v>2476</v>
      </c>
      <c r="H3954" s="340" t="s">
        <v>2512</v>
      </c>
      <c r="I3954" s="340" t="s">
        <v>771</v>
      </c>
      <c r="K3954" s="343">
        <v>0.1</v>
      </c>
      <c r="L3954" s="343">
        <v>0</v>
      </c>
      <c r="M3954" s="343">
        <v>-815815.66</v>
      </c>
      <c r="O3954" s="343">
        <v>0</v>
      </c>
    </row>
    <row r="3955" spans="1:15" x14ac:dyDescent="0.3">
      <c r="A3955" s="340" t="s">
        <v>891</v>
      </c>
      <c r="B3955" s="350">
        <v>46130</v>
      </c>
      <c r="C3955" s="350">
        <v>46131</v>
      </c>
      <c r="D3955" s="351">
        <v>46113</v>
      </c>
      <c r="E3955" s="340" t="s">
        <v>2899</v>
      </c>
      <c r="F3955" s="340" t="s">
        <v>1078</v>
      </c>
      <c r="G3955" s="340" t="s">
        <v>2478</v>
      </c>
      <c r="H3955" s="340" t="s">
        <v>2512</v>
      </c>
      <c r="I3955" s="340" t="s">
        <v>771</v>
      </c>
      <c r="K3955" s="343">
        <v>1.99</v>
      </c>
      <c r="L3955" s="343">
        <v>0</v>
      </c>
      <c r="M3955" s="343">
        <v>-815813.67</v>
      </c>
      <c r="O3955" s="343">
        <v>0</v>
      </c>
    </row>
    <row r="3956" spans="1:15" x14ac:dyDescent="0.3">
      <c r="A3956" s="340" t="s">
        <v>891</v>
      </c>
      <c r="B3956" s="350">
        <v>46130</v>
      </c>
      <c r="C3956" s="350">
        <v>46131</v>
      </c>
      <c r="D3956" s="351">
        <v>46113</v>
      </c>
      <c r="E3956" s="340" t="s">
        <v>2899</v>
      </c>
      <c r="F3956" s="340" t="s">
        <v>1078</v>
      </c>
      <c r="G3956" s="340" t="s">
        <v>2477</v>
      </c>
      <c r="H3956" s="340" t="s">
        <v>2512</v>
      </c>
      <c r="I3956" s="340" t="s">
        <v>771</v>
      </c>
      <c r="K3956" s="343">
        <v>2.95</v>
      </c>
      <c r="L3956" s="343">
        <v>0</v>
      </c>
      <c r="M3956" s="343">
        <v>-815810.72</v>
      </c>
      <c r="O3956" s="343">
        <v>0</v>
      </c>
    </row>
    <row r="3957" spans="1:15" x14ac:dyDescent="0.3">
      <c r="A3957" s="340" t="s">
        <v>891</v>
      </c>
      <c r="B3957" s="350">
        <v>46130</v>
      </c>
      <c r="C3957" s="350">
        <v>46131</v>
      </c>
      <c r="D3957" s="351">
        <v>46113</v>
      </c>
      <c r="E3957" s="340" t="s">
        <v>2899</v>
      </c>
      <c r="F3957" s="340" t="s">
        <v>1078</v>
      </c>
      <c r="G3957" s="340" t="s">
        <v>2481</v>
      </c>
      <c r="H3957" s="340" t="s">
        <v>2513</v>
      </c>
      <c r="I3957" s="340" t="s">
        <v>771</v>
      </c>
      <c r="K3957" s="343">
        <v>0.1</v>
      </c>
      <c r="L3957" s="343">
        <v>0</v>
      </c>
      <c r="M3957" s="343">
        <v>-815810.62</v>
      </c>
      <c r="O3957" s="343">
        <v>0</v>
      </c>
    </row>
    <row r="3958" spans="1:15" x14ac:dyDescent="0.3">
      <c r="A3958" s="340" t="s">
        <v>891</v>
      </c>
      <c r="B3958" s="350">
        <v>46130</v>
      </c>
      <c r="C3958" s="350">
        <v>46131</v>
      </c>
      <c r="D3958" s="351">
        <v>46113</v>
      </c>
      <c r="E3958" s="340" t="s">
        <v>2899</v>
      </c>
      <c r="F3958" s="340" t="s">
        <v>1078</v>
      </c>
      <c r="G3958" s="340" t="s">
        <v>2483</v>
      </c>
      <c r="H3958" s="340" t="s">
        <v>2513</v>
      </c>
      <c r="I3958" s="340" t="s">
        <v>771</v>
      </c>
      <c r="K3958" s="343">
        <v>0.19</v>
      </c>
      <c r="L3958" s="343">
        <v>0</v>
      </c>
      <c r="M3958" s="343">
        <v>-815810.43</v>
      </c>
      <c r="O3958" s="343">
        <v>0</v>
      </c>
    </row>
    <row r="3959" spans="1:15" x14ac:dyDescent="0.3">
      <c r="A3959" s="340" t="s">
        <v>891</v>
      </c>
      <c r="B3959" s="350">
        <v>46130</v>
      </c>
      <c r="C3959" s="350">
        <v>46131</v>
      </c>
      <c r="D3959" s="351">
        <v>46113</v>
      </c>
      <c r="E3959" s="340" t="s">
        <v>2899</v>
      </c>
      <c r="F3959" s="340" t="s">
        <v>1078</v>
      </c>
      <c r="G3959" s="340" t="s">
        <v>2484</v>
      </c>
      <c r="H3959" s="340" t="s">
        <v>2513</v>
      </c>
      <c r="I3959" s="340" t="s">
        <v>771</v>
      </c>
      <c r="K3959" s="343">
        <v>2.95</v>
      </c>
      <c r="L3959" s="343">
        <v>0</v>
      </c>
      <c r="M3959" s="343">
        <v>-815807.48</v>
      </c>
      <c r="O3959" s="343">
        <v>0</v>
      </c>
    </row>
    <row r="3960" spans="1:15" x14ac:dyDescent="0.3">
      <c r="A3960" s="340" t="s">
        <v>891</v>
      </c>
      <c r="B3960" s="350">
        <v>46130</v>
      </c>
      <c r="C3960" s="350">
        <v>46131</v>
      </c>
      <c r="D3960" s="351">
        <v>46113</v>
      </c>
      <c r="E3960" s="340" t="s">
        <v>2899</v>
      </c>
      <c r="F3960" s="340" t="s">
        <v>1078</v>
      </c>
      <c r="G3960" s="340" t="s">
        <v>2485</v>
      </c>
      <c r="H3960" s="340" t="s">
        <v>2513</v>
      </c>
      <c r="I3960" s="340" t="s">
        <v>771</v>
      </c>
      <c r="K3960" s="343">
        <v>6.56</v>
      </c>
      <c r="L3960" s="343">
        <v>0</v>
      </c>
      <c r="M3960" s="343">
        <v>-815800.92</v>
      </c>
      <c r="O3960" s="343">
        <v>0</v>
      </c>
    </row>
    <row r="3961" spans="1:15" x14ac:dyDescent="0.3">
      <c r="A3961" s="340" t="s">
        <v>891</v>
      </c>
      <c r="B3961" s="350">
        <v>46130</v>
      </c>
      <c r="C3961" s="350">
        <v>46131</v>
      </c>
      <c r="D3961" s="351">
        <v>46113</v>
      </c>
      <c r="E3961" s="340" t="s">
        <v>2899</v>
      </c>
      <c r="F3961" s="340" t="s">
        <v>1078</v>
      </c>
      <c r="G3961" s="340" t="s">
        <v>2439</v>
      </c>
      <c r="H3961" s="340" t="s">
        <v>2514</v>
      </c>
      <c r="I3961" s="340" t="s">
        <v>771</v>
      </c>
      <c r="K3961" s="343">
        <v>0.17</v>
      </c>
      <c r="L3961" s="343">
        <v>0</v>
      </c>
      <c r="M3961" s="343">
        <v>-815800.75</v>
      </c>
      <c r="O3961" s="343">
        <v>0</v>
      </c>
    </row>
    <row r="3962" spans="1:15" x14ac:dyDescent="0.3">
      <c r="A3962" s="340" t="s">
        <v>891</v>
      </c>
      <c r="B3962" s="350">
        <v>46130</v>
      </c>
      <c r="C3962" s="350">
        <v>46131</v>
      </c>
      <c r="D3962" s="351">
        <v>46113</v>
      </c>
      <c r="E3962" s="340" t="s">
        <v>2899</v>
      </c>
      <c r="F3962" s="340" t="s">
        <v>1078</v>
      </c>
      <c r="G3962" s="340" t="s">
        <v>2441</v>
      </c>
      <c r="H3962" s="340" t="s">
        <v>2514</v>
      </c>
      <c r="I3962" s="340" t="s">
        <v>771</v>
      </c>
      <c r="K3962" s="343">
        <v>0.33</v>
      </c>
      <c r="L3962" s="343">
        <v>0</v>
      </c>
      <c r="M3962" s="343">
        <v>-815800.42</v>
      </c>
      <c r="O3962" s="343">
        <v>0</v>
      </c>
    </row>
    <row r="3963" spans="1:15" x14ac:dyDescent="0.3">
      <c r="A3963" s="340" t="s">
        <v>891</v>
      </c>
      <c r="B3963" s="350">
        <v>46130</v>
      </c>
      <c r="C3963" s="350">
        <v>46131</v>
      </c>
      <c r="D3963" s="351">
        <v>46113</v>
      </c>
      <c r="E3963" s="340" t="s">
        <v>2899</v>
      </c>
      <c r="F3963" s="340" t="s">
        <v>1078</v>
      </c>
      <c r="G3963" s="340" t="s">
        <v>2442</v>
      </c>
      <c r="H3963" s="340" t="s">
        <v>2514</v>
      </c>
      <c r="I3963" s="340" t="s">
        <v>771</v>
      </c>
      <c r="K3963" s="343">
        <v>2.95</v>
      </c>
      <c r="L3963" s="343">
        <v>0</v>
      </c>
      <c r="M3963" s="343">
        <v>-815797.47</v>
      </c>
      <c r="O3963" s="343">
        <v>0</v>
      </c>
    </row>
    <row r="3964" spans="1:15" x14ac:dyDescent="0.3">
      <c r="A3964" s="340" t="s">
        <v>891</v>
      </c>
      <c r="B3964" s="350">
        <v>46130</v>
      </c>
      <c r="C3964" s="350">
        <v>46131</v>
      </c>
      <c r="D3964" s="351">
        <v>46113</v>
      </c>
      <c r="E3964" s="340" t="s">
        <v>2899</v>
      </c>
      <c r="F3964" s="340" t="s">
        <v>1078</v>
      </c>
      <c r="G3964" s="340" t="s">
        <v>2443</v>
      </c>
      <c r="H3964" s="340" t="s">
        <v>2514</v>
      </c>
      <c r="I3964" s="340" t="s">
        <v>771</v>
      </c>
      <c r="K3964" s="343">
        <v>13.46</v>
      </c>
      <c r="L3964" s="343">
        <v>0</v>
      </c>
      <c r="M3964" s="343">
        <v>-815784.01</v>
      </c>
      <c r="O3964" s="343">
        <v>0</v>
      </c>
    </row>
    <row r="3965" spans="1:15" x14ac:dyDescent="0.3">
      <c r="A3965" s="340" t="s">
        <v>891</v>
      </c>
      <c r="B3965" s="350">
        <v>46130</v>
      </c>
      <c r="C3965" s="350">
        <v>46131</v>
      </c>
      <c r="D3965" s="351">
        <v>46113</v>
      </c>
      <c r="E3965" s="340" t="s">
        <v>2899</v>
      </c>
      <c r="F3965" s="340" t="s">
        <v>1078</v>
      </c>
      <c r="G3965" s="340" t="s">
        <v>2515</v>
      </c>
      <c r="H3965" s="340" t="s">
        <v>2516</v>
      </c>
      <c r="I3965" s="340" t="s">
        <v>771</v>
      </c>
      <c r="K3965" s="343">
        <v>0.18</v>
      </c>
      <c r="L3965" s="343">
        <v>0</v>
      </c>
      <c r="M3965" s="343">
        <v>-815783.83</v>
      </c>
      <c r="O3965" s="343">
        <v>0</v>
      </c>
    </row>
    <row r="3966" spans="1:15" x14ac:dyDescent="0.3">
      <c r="A3966" s="340" t="s">
        <v>891</v>
      </c>
      <c r="B3966" s="350">
        <v>46130</v>
      </c>
      <c r="C3966" s="350">
        <v>46131</v>
      </c>
      <c r="D3966" s="351">
        <v>46113</v>
      </c>
      <c r="E3966" s="340" t="s">
        <v>2899</v>
      </c>
      <c r="F3966" s="340" t="s">
        <v>1078</v>
      </c>
      <c r="G3966" s="340" t="s">
        <v>2517</v>
      </c>
      <c r="H3966" s="340" t="s">
        <v>2516</v>
      </c>
      <c r="I3966" s="340" t="s">
        <v>771</v>
      </c>
      <c r="K3966" s="343">
        <v>0.37</v>
      </c>
      <c r="L3966" s="343">
        <v>0</v>
      </c>
      <c r="M3966" s="343">
        <v>-815783.46</v>
      </c>
      <c r="O3966" s="343">
        <v>0</v>
      </c>
    </row>
    <row r="3967" spans="1:15" x14ac:dyDescent="0.3">
      <c r="A3967" s="340" t="s">
        <v>891</v>
      </c>
      <c r="B3967" s="350">
        <v>46130</v>
      </c>
      <c r="C3967" s="350">
        <v>46131</v>
      </c>
      <c r="D3967" s="351">
        <v>46113</v>
      </c>
      <c r="E3967" s="340" t="s">
        <v>2899</v>
      </c>
      <c r="F3967" s="340" t="s">
        <v>1078</v>
      </c>
      <c r="G3967" s="340" t="s">
        <v>2518</v>
      </c>
      <c r="H3967" s="340" t="s">
        <v>2516</v>
      </c>
      <c r="I3967" s="340" t="s">
        <v>771</v>
      </c>
      <c r="K3967" s="343">
        <v>2.95</v>
      </c>
      <c r="L3967" s="343">
        <v>0</v>
      </c>
      <c r="M3967" s="343">
        <v>-815780.51</v>
      </c>
      <c r="O3967" s="343">
        <v>0</v>
      </c>
    </row>
    <row r="3968" spans="1:15" x14ac:dyDescent="0.3">
      <c r="A3968" s="340" t="s">
        <v>891</v>
      </c>
      <c r="B3968" s="350">
        <v>46130</v>
      </c>
      <c r="C3968" s="350">
        <v>46131</v>
      </c>
      <c r="D3968" s="351">
        <v>46113</v>
      </c>
      <c r="E3968" s="340" t="s">
        <v>2899</v>
      </c>
      <c r="F3968" s="340" t="s">
        <v>1078</v>
      </c>
      <c r="G3968" s="340" t="s">
        <v>2519</v>
      </c>
      <c r="H3968" s="340" t="s">
        <v>2516</v>
      </c>
      <c r="I3968" s="340" t="s">
        <v>771</v>
      </c>
      <c r="K3968" s="343">
        <v>15.04</v>
      </c>
      <c r="L3968" s="343">
        <v>0</v>
      </c>
      <c r="M3968" s="343">
        <v>-815765.47</v>
      </c>
      <c r="O3968" s="343">
        <v>0</v>
      </c>
    </row>
    <row r="3969" spans="1:15" x14ac:dyDescent="0.3">
      <c r="A3969" s="340" t="s">
        <v>891</v>
      </c>
      <c r="B3969" s="350">
        <v>46130</v>
      </c>
      <c r="C3969" s="350">
        <v>46131</v>
      </c>
      <c r="D3969" s="351">
        <v>46113</v>
      </c>
      <c r="E3969" s="340" t="s">
        <v>2899</v>
      </c>
      <c r="F3969" s="340" t="s">
        <v>1078</v>
      </c>
      <c r="G3969" s="340" t="s">
        <v>2443</v>
      </c>
      <c r="H3969" s="340" t="s">
        <v>2520</v>
      </c>
      <c r="I3969" s="340" t="s">
        <v>771</v>
      </c>
      <c r="K3969" s="343">
        <v>2.83</v>
      </c>
      <c r="L3969" s="343">
        <v>0</v>
      </c>
      <c r="M3969" s="343">
        <v>-815762.64</v>
      </c>
      <c r="O3969" s="343">
        <v>0</v>
      </c>
    </row>
    <row r="3970" spans="1:15" x14ac:dyDescent="0.3">
      <c r="A3970" s="340" t="s">
        <v>891</v>
      </c>
      <c r="B3970" s="350">
        <v>46130</v>
      </c>
      <c r="C3970" s="350">
        <v>46131</v>
      </c>
      <c r="D3970" s="351">
        <v>46113</v>
      </c>
      <c r="E3970" s="340" t="s">
        <v>2899</v>
      </c>
      <c r="F3970" s="340" t="s">
        <v>1078</v>
      </c>
      <c r="G3970" s="340" t="s">
        <v>2442</v>
      </c>
      <c r="H3970" s="340" t="s">
        <v>2520</v>
      </c>
      <c r="I3970" s="340" t="s">
        <v>771</v>
      </c>
      <c r="K3970" s="343">
        <v>2.95</v>
      </c>
      <c r="L3970" s="343">
        <v>0</v>
      </c>
      <c r="M3970" s="343">
        <v>-815759.69</v>
      </c>
      <c r="O3970" s="343">
        <v>0</v>
      </c>
    </row>
    <row r="3971" spans="1:15" x14ac:dyDescent="0.3">
      <c r="A3971" s="340" t="s">
        <v>891</v>
      </c>
      <c r="B3971" s="350">
        <v>46130</v>
      </c>
      <c r="C3971" s="350">
        <v>46131</v>
      </c>
      <c r="D3971" s="351">
        <v>46113</v>
      </c>
      <c r="E3971" s="340" t="s">
        <v>2899</v>
      </c>
      <c r="F3971" s="340" t="s">
        <v>1078</v>
      </c>
      <c r="G3971" s="340" t="s">
        <v>2439</v>
      </c>
      <c r="H3971" s="340" t="s">
        <v>2520</v>
      </c>
      <c r="I3971" s="340" t="s">
        <v>771</v>
      </c>
      <c r="K3971" s="343">
        <v>0.06</v>
      </c>
      <c r="L3971" s="343">
        <v>0</v>
      </c>
      <c r="M3971" s="343">
        <v>-815759.63</v>
      </c>
      <c r="O3971" s="343">
        <v>0</v>
      </c>
    </row>
    <row r="3972" spans="1:15" x14ac:dyDescent="0.3">
      <c r="A3972" s="340" t="s">
        <v>891</v>
      </c>
      <c r="B3972" s="350">
        <v>46130</v>
      </c>
      <c r="C3972" s="350">
        <v>46131</v>
      </c>
      <c r="D3972" s="351">
        <v>46113</v>
      </c>
      <c r="E3972" s="340" t="s">
        <v>2899</v>
      </c>
      <c r="F3972" s="340" t="s">
        <v>1078</v>
      </c>
      <c r="G3972" s="340" t="s">
        <v>2441</v>
      </c>
      <c r="H3972" s="340" t="s">
        <v>2520</v>
      </c>
      <c r="I3972" s="340" t="s">
        <v>771</v>
      </c>
      <c r="K3972" s="343">
        <v>0.12</v>
      </c>
      <c r="L3972" s="343">
        <v>0</v>
      </c>
      <c r="M3972" s="343">
        <v>-815759.51</v>
      </c>
      <c r="O3972" s="343">
        <v>0</v>
      </c>
    </row>
    <row r="3973" spans="1:15" x14ac:dyDescent="0.3">
      <c r="A3973" s="340" t="s">
        <v>891</v>
      </c>
      <c r="B3973" s="350">
        <v>46130</v>
      </c>
      <c r="C3973" s="350">
        <v>46131</v>
      </c>
      <c r="D3973" s="351">
        <v>46113</v>
      </c>
      <c r="E3973" s="340" t="s">
        <v>2899</v>
      </c>
      <c r="F3973" s="340" t="s">
        <v>1078</v>
      </c>
      <c r="G3973" s="340" t="s">
        <v>2442</v>
      </c>
      <c r="H3973" s="340" t="s">
        <v>2521</v>
      </c>
      <c r="I3973" s="340" t="s">
        <v>771</v>
      </c>
      <c r="K3973" s="343">
        <v>2.95</v>
      </c>
      <c r="L3973" s="343">
        <v>0</v>
      </c>
      <c r="M3973" s="343">
        <v>-815756.56</v>
      </c>
      <c r="O3973" s="343">
        <v>0</v>
      </c>
    </row>
    <row r="3974" spans="1:15" x14ac:dyDescent="0.3">
      <c r="A3974" s="340" t="s">
        <v>891</v>
      </c>
      <c r="B3974" s="350">
        <v>46130</v>
      </c>
      <c r="C3974" s="350">
        <v>46131</v>
      </c>
      <c r="D3974" s="351">
        <v>46113</v>
      </c>
      <c r="E3974" s="340" t="s">
        <v>2899</v>
      </c>
      <c r="F3974" s="340" t="s">
        <v>1078</v>
      </c>
      <c r="G3974" s="340" t="s">
        <v>2443</v>
      </c>
      <c r="H3974" s="340" t="s">
        <v>2521</v>
      </c>
      <c r="I3974" s="340" t="s">
        <v>771</v>
      </c>
      <c r="K3974" s="343">
        <v>8.89</v>
      </c>
      <c r="L3974" s="343">
        <v>0</v>
      </c>
      <c r="M3974" s="343">
        <v>-815747.67</v>
      </c>
      <c r="O3974" s="343">
        <v>0</v>
      </c>
    </row>
    <row r="3975" spans="1:15" x14ac:dyDescent="0.3">
      <c r="A3975" s="340" t="s">
        <v>891</v>
      </c>
      <c r="B3975" s="350">
        <v>46130</v>
      </c>
      <c r="C3975" s="350">
        <v>46131</v>
      </c>
      <c r="D3975" s="351">
        <v>46113</v>
      </c>
      <c r="E3975" s="340" t="s">
        <v>2899</v>
      </c>
      <c r="F3975" s="340" t="s">
        <v>1078</v>
      </c>
      <c r="G3975" s="340" t="s">
        <v>2439</v>
      </c>
      <c r="H3975" s="340" t="s">
        <v>2521</v>
      </c>
      <c r="I3975" s="340" t="s">
        <v>771</v>
      </c>
      <c r="K3975" s="343">
        <v>0.12</v>
      </c>
      <c r="L3975" s="343">
        <v>0</v>
      </c>
      <c r="M3975" s="343">
        <v>-815747.55</v>
      </c>
      <c r="O3975" s="343">
        <v>0</v>
      </c>
    </row>
    <row r="3976" spans="1:15" x14ac:dyDescent="0.3">
      <c r="A3976" s="340" t="s">
        <v>891</v>
      </c>
      <c r="B3976" s="350">
        <v>46130</v>
      </c>
      <c r="C3976" s="350">
        <v>46131</v>
      </c>
      <c r="D3976" s="351">
        <v>46113</v>
      </c>
      <c r="E3976" s="340" t="s">
        <v>2899</v>
      </c>
      <c r="F3976" s="340" t="s">
        <v>1078</v>
      </c>
      <c r="G3976" s="340" t="s">
        <v>2441</v>
      </c>
      <c r="H3976" s="340" t="s">
        <v>2521</v>
      </c>
      <c r="I3976" s="340" t="s">
        <v>771</v>
      </c>
      <c r="K3976" s="343">
        <v>0.24</v>
      </c>
      <c r="L3976" s="343">
        <v>0</v>
      </c>
      <c r="M3976" s="343">
        <v>-815747.31</v>
      </c>
      <c r="O3976" s="343">
        <v>0</v>
      </c>
    </row>
    <row r="3977" spans="1:15" x14ac:dyDescent="0.3">
      <c r="A3977" s="340" t="s">
        <v>891</v>
      </c>
      <c r="B3977" s="350">
        <v>46130</v>
      </c>
      <c r="C3977" s="350">
        <v>46131</v>
      </c>
      <c r="D3977" s="351">
        <v>46113</v>
      </c>
      <c r="E3977" s="340" t="s">
        <v>2899</v>
      </c>
      <c r="F3977" s="340" t="s">
        <v>1078</v>
      </c>
      <c r="G3977" s="340" t="s">
        <v>2439</v>
      </c>
      <c r="H3977" s="340" t="s">
        <v>2522</v>
      </c>
      <c r="I3977" s="340" t="s">
        <v>771</v>
      </c>
      <c r="K3977" s="343">
        <v>7.0000000000000007E-2</v>
      </c>
      <c r="L3977" s="343">
        <v>0</v>
      </c>
      <c r="M3977" s="343">
        <v>-815747.24</v>
      </c>
      <c r="O3977" s="343">
        <v>0</v>
      </c>
    </row>
    <row r="3978" spans="1:15" x14ac:dyDescent="0.3">
      <c r="A3978" s="340" t="s">
        <v>891</v>
      </c>
      <c r="B3978" s="350">
        <v>46130</v>
      </c>
      <c r="C3978" s="350">
        <v>46131</v>
      </c>
      <c r="D3978" s="351">
        <v>46113</v>
      </c>
      <c r="E3978" s="340" t="s">
        <v>2899</v>
      </c>
      <c r="F3978" s="340" t="s">
        <v>1078</v>
      </c>
      <c r="G3978" s="340" t="s">
        <v>2441</v>
      </c>
      <c r="H3978" s="340" t="s">
        <v>2522</v>
      </c>
      <c r="I3978" s="340" t="s">
        <v>771</v>
      </c>
      <c r="K3978" s="343">
        <v>0.14000000000000001</v>
      </c>
      <c r="L3978" s="343">
        <v>0</v>
      </c>
      <c r="M3978" s="343">
        <v>-815747.1</v>
      </c>
      <c r="O3978" s="343">
        <v>0</v>
      </c>
    </row>
    <row r="3979" spans="1:15" x14ac:dyDescent="0.3">
      <c r="A3979" s="340" t="s">
        <v>891</v>
      </c>
      <c r="B3979" s="350">
        <v>46130</v>
      </c>
      <c r="C3979" s="350">
        <v>46131</v>
      </c>
      <c r="D3979" s="351">
        <v>46113</v>
      </c>
      <c r="E3979" s="340" t="s">
        <v>2899</v>
      </c>
      <c r="F3979" s="340" t="s">
        <v>1078</v>
      </c>
      <c r="G3979" s="340" t="s">
        <v>2442</v>
      </c>
      <c r="H3979" s="340" t="s">
        <v>2522</v>
      </c>
      <c r="I3979" s="340" t="s">
        <v>771</v>
      </c>
      <c r="K3979" s="343">
        <v>2.95</v>
      </c>
      <c r="L3979" s="343">
        <v>0</v>
      </c>
      <c r="M3979" s="343">
        <v>-815744.15</v>
      </c>
      <c r="O3979" s="343">
        <v>0</v>
      </c>
    </row>
    <row r="3980" spans="1:15" x14ac:dyDescent="0.3">
      <c r="A3980" s="340" t="s">
        <v>891</v>
      </c>
      <c r="B3980" s="350">
        <v>46130</v>
      </c>
      <c r="C3980" s="350">
        <v>46131</v>
      </c>
      <c r="D3980" s="351">
        <v>46113</v>
      </c>
      <c r="E3980" s="340" t="s">
        <v>2899</v>
      </c>
      <c r="F3980" s="340" t="s">
        <v>1078</v>
      </c>
      <c r="G3980" s="340" t="s">
        <v>2443</v>
      </c>
      <c r="H3980" s="340" t="s">
        <v>2522</v>
      </c>
      <c r="I3980" s="340" t="s">
        <v>771</v>
      </c>
      <c r="K3980" s="343">
        <v>3.74</v>
      </c>
      <c r="L3980" s="343">
        <v>0</v>
      </c>
      <c r="M3980" s="343">
        <v>-815740.41</v>
      </c>
      <c r="O3980" s="343">
        <v>0</v>
      </c>
    </row>
    <row r="3981" spans="1:15" x14ac:dyDescent="0.3">
      <c r="A3981" s="340" t="s">
        <v>891</v>
      </c>
      <c r="B3981" s="350">
        <v>46130</v>
      </c>
      <c r="C3981" s="350">
        <v>46131</v>
      </c>
      <c r="D3981" s="351">
        <v>46113</v>
      </c>
      <c r="E3981" s="340" t="s">
        <v>2899</v>
      </c>
      <c r="F3981" s="340" t="s">
        <v>1078</v>
      </c>
      <c r="G3981" s="340" t="s">
        <v>2439</v>
      </c>
      <c r="H3981" s="340" t="s">
        <v>2523</v>
      </c>
      <c r="I3981" s="340" t="s">
        <v>771</v>
      </c>
      <c r="K3981" s="343">
        <v>0.16</v>
      </c>
      <c r="L3981" s="343">
        <v>0</v>
      </c>
      <c r="M3981" s="343">
        <v>-815740.25</v>
      </c>
      <c r="O3981" s="343">
        <v>0</v>
      </c>
    </row>
    <row r="3982" spans="1:15" x14ac:dyDescent="0.3">
      <c r="A3982" s="340" t="s">
        <v>891</v>
      </c>
      <c r="B3982" s="350">
        <v>46130</v>
      </c>
      <c r="C3982" s="350">
        <v>46131</v>
      </c>
      <c r="D3982" s="351">
        <v>46113</v>
      </c>
      <c r="E3982" s="340" t="s">
        <v>2899</v>
      </c>
      <c r="F3982" s="340" t="s">
        <v>1078</v>
      </c>
      <c r="G3982" s="340" t="s">
        <v>2441</v>
      </c>
      <c r="H3982" s="340" t="s">
        <v>2523</v>
      </c>
      <c r="I3982" s="340" t="s">
        <v>771</v>
      </c>
      <c r="K3982" s="343">
        <v>0.31</v>
      </c>
      <c r="L3982" s="343">
        <v>0</v>
      </c>
      <c r="M3982" s="343">
        <v>-815739.94</v>
      </c>
      <c r="O3982" s="343">
        <v>0</v>
      </c>
    </row>
    <row r="3983" spans="1:15" x14ac:dyDescent="0.3">
      <c r="A3983" s="340" t="s">
        <v>891</v>
      </c>
      <c r="B3983" s="350">
        <v>46130</v>
      </c>
      <c r="C3983" s="350">
        <v>46131</v>
      </c>
      <c r="D3983" s="351">
        <v>46113</v>
      </c>
      <c r="E3983" s="340" t="s">
        <v>2899</v>
      </c>
      <c r="F3983" s="340" t="s">
        <v>1078</v>
      </c>
      <c r="G3983" s="340" t="s">
        <v>2442</v>
      </c>
      <c r="H3983" s="340" t="s">
        <v>2523</v>
      </c>
      <c r="I3983" s="340" t="s">
        <v>771</v>
      </c>
      <c r="K3983" s="343">
        <v>2.95</v>
      </c>
      <c r="L3983" s="343">
        <v>0</v>
      </c>
      <c r="M3983" s="343">
        <v>-815736.99</v>
      </c>
      <c r="O3983" s="343">
        <v>0</v>
      </c>
    </row>
    <row r="3984" spans="1:15" x14ac:dyDescent="0.3">
      <c r="A3984" s="340" t="s">
        <v>891</v>
      </c>
      <c r="B3984" s="350">
        <v>46130</v>
      </c>
      <c r="C3984" s="350">
        <v>46131</v>
      </c>
      <c r="D3984" s="351">
        <v>46113</v>
      </c>
      <c r="E3984" s="340" t="s">
        <v>2899</v>
      </c>
      <c r="F3984" s="340" t="s">
        <v>1078</v>
      </c>
      <c r="G3984" s="340" t="s">
        <v>2443</v>
      </c>
      <c r="H3984" s="340" t="s">
        <v>2523</v>
      </c>
      <c r="I3984" s="340" t="s">
        <v>771</v>
      </c>
      <c r="K3984" s="343">
        <v>12.47</v>
      </c>
      <c r="L3984" s="343">
        <v>0</v>
      </c>
      <c r="M3984" s="343">
        <v>-815724.52</v>
      </c>
      <c r="O3984" s="343">
        <v>0</v>
      </c>
    </row>
    <row r="3985" spans="1:15" x14ac:dyDescent="0.3">
      <c r="A3985" s="340" t="s">
        <v>891</v>
      </c>
      <c r="B3985" s="350">
        <v>46130</v>
      </c>
      <c r="C3985" s="350">
        <v>46131</v>
      </c>
      <c r="D3985" s="351">
        <v>46113</v>
      </c>
      <c r="E3985" s="340" t="s">
        <v>2899</v>
      </c>
      <c r="F3985" s="340" t="s">
        <v>1078</v>
      </c>
      <c r="G3985" s="340" t="s">
        <v>2439</v>
      </c>
      <c r="H3985" s="340" t="s">
        <v>2524</v>
      </c>
      <c r="I3985" s="340" t="s">
        <v>771</v>
      </c>
      <c r="K3985" s="343">
        <v>0.56999999999999995</v>
      </c>
      <c r="L3985" s="343">
        <v>0</v>
      </c>
      <c r="M3985" s="343">
        <v>-815723.95</v>
      </c>
      <c r="O3985" s="343">
        <v>0</v>
      </c>
    </row>
    <row r="3986" spans="1:15" x14ac:dyDescent="0.3">
      <c r="A3986" s="340" t="s">
        <v>891</v>
      </c>
      <c r="B3986" s="350">
        <v>46130</v>
      </c>
      <c r="C3986" s="350">
        <v>46131</v>
      </c>
      <c r="D3986" s="351">
        <v>46113</v>
      </c>
      <c r="E3986" s="340" t="s">
        <v>2899</v>
      </c>
      <c r="F3986" s="340" t="s">
        <v>1078</v>
      </c>
      <c r="G3986" s="340" t="s">
        <v>2441</v>
      </c>
      <c r="H3986" s="340" t="s">
        <v>2524</v>
      </c>
      <c r="I3986" s="340" t="s">
        <v>771</v>
      </c>
      <c r="K3986" s="343">
        <v>1.1399999999999999</v>
      </c>
      <c r="L3986" s="343">
        <v>0</v>
      </c>
      <c r="M3986" s="343">
        <v>-815722.81</v>
      </c>
      <c r="O3986" s="343">
        <v>0</v>
      </c>
    </row>
    <row r="3987" spans="1:15" x14ac:dyDescent="0.3">
      <c r="A3987" s="340" t="s">
        <v>891</v>
      </c>
      <c r="B3987" s="350">
        <v>46130</v>
      </c>
      <c r="C3987" s="350">
        <v>46131</v>
      </c>
      <c r="D3987" s="351">
        <v>46113</v>
      </c>
      <c r="E3987" s="340" t="s">
        <v>2899</v>
      </c>
      <c r="F3987" s="340" t="s">
        <v>1078</v>
      </c>
      <c r="G3987" s="340" t="s">
        <v>2442</v>
      </c>
      <c r="H3987" s="340" t="s">
        <v>2524</v>
      </c>
      <c r="I3987" s="340" t="s">
        <v>771</v>
      </c>
      <c r="K3987" s="343">
        <v>2.95</v>
      </c>
      <c r="L3987" s="343">
        <v>0</v>
      </c>
      <c r="M3987" s="343">
        <v>-815719.86</v>
      </c>
      <c r="O3987" s="343">
        <v>0</v>
      </c>
    </row>
    <row r="3988" spans="1:15" x14ac:dyDescent="0.3">
      <c r="A3988" s="340" t="s">
        <v>891</v>
      </c>
      <c r="B3988" s="350">
        <v>46130</v>
      </c>
      <c r="C3988" s="350">
        <v>46131</v>
      </c>
      <c r="D3988" s="351">
        <v>46113</v>
      </c>
      <c r="E3988" s="340" t="s">
        <v>2899</v>
      </c>
      <c r="F3988" s="340" t="s">
        <v>1078</v>
      </c>
      <c r="G3988" s="340" t="s">
        <v>2443</v>
      </c>
      <c r="H3988" s="340" t="s">
        <v>2524</v>
      </c>
      <c r="I3988" s="340" t="s">
        <v>771</v>
      </c>
      <c r="K3988" s="343">
        <v>52.77</v>
      </c>
      <c r="L3988" s="343">
        <v>0</v>
      </c>
      <c r="M3988" s="343">
        <v>-815667.09</v>
      </c>
      <c r="O3988" s="343">
        <v>0</v>
      </c>
    </row>
    <row r="3989" spans="1:15" x14ac:dyDescent="0.3">
      <c r="A3989" s="340" t="s">
        <v>891</v>
      </c>
      <c r="B3989" s="350">
        <v>46130</v>
      </c>
      <c r="C3989" s="350">
        <v>46131</v>
      </c>
      <c r="D3989" s="351">
        <v>46113</v>
      </c>
      <c r="E3989" s="340" t="s">
        <v>2899</v>
      </c>
      <c r="F3989" s="340" t="s">
        <v>1078</v>
      </c>
      <c r="G3989" s="340" t="s">
        <v>2439</v>
      </c>
      <c r="H3989" s="340" t="s">
        <v>2525</v>
      </c>
      <c r="I3989" s="340" t="s">
        <v>771</v>
      </c>
      <c r="K3989" s="343">
        <v>0.06</v>
      </c>
      <c r="L3989" s="343">
        <v>0</v>
      </c>
      <c r="M3989" s="343">
        <v>-815667.03</v>
      </c>
      <c r="O3989" s="343">
        <v>0</v>
      </c>
    </row>
    <row r="3990" spans="1:15" x14ac:dyDescent="0.3">
      <c r="A3990" s="340" t="s">
        <v>891</v>
      </c>
      <c r="B3990" s="350">
        <v>46130</v>
      </c>
      <c r="C3990" s="350">
        <v>46131</v>
      </c>
      <c r="D3990" s="351">
        <v>46113</v>
      </c>
      <c r="E3990" s="340" t="s">
        <v>2899</v>
      </c>
      <c r="F3990" s="340" t="s">
        <v>1078</v>
      </c>
      <c r="G3990" s="340" t="s">
        <v>2441</v>
      </c>
      <c r="H3990" s="340" t="s">
        <v>2525</v>
      </c>
      <c r="I3990" s="340" t="s">
        <v>771</v>
      </c>
      <c r="K3990" s="343">
        <v>0.11</v>
      </c>
      <c r="L3990" s="343">
        <v>0</v>
      </c>
      <c r="M3990" s="343">
        <v>-815666.92</v>
      </c>
      <c r="O3990" s="343">
        <v>0</v>
      </c>
    </row>
    <row r="3991" spans="1:15" x14ac:dyDescent="0.3">
      <c r="A3991" s="340" t="s">
        <v>891</v>
      </c>
      <c r="B3991" s="350">
        <v>46130</v>
      </c>
      <c r="C3991" s="350">
        <v>46131</v>
      </c>
      <c r="D3991" s="351">
        <v>46113</v>
      </c>
      <c r="E3991" s="340" t="s">
        <v>2899</v>
      </c>
      <c r="F3991" s="340" t="s">
        <v>1078</v>
      </c>
      <c r="G3991" s="340" t="s">
        <v>2443</v>
      </c>
      <c r="H3991" s="340" t="s">
        <v>2525</v>
      </c>
      <c r="I3991" s="340" t="s">
        <v>771</v>
      </c>
      <c r="K3991" s="343">
        <v>2.58</v>
      </c>
      <c r="L3991" s="343">
        <v>0</v>
      </c>
      <c r="M3991" s="343">
        <v>-815664.34</v>
      </c>
      <c r="O3991" s="343">
        <v>0</v>
      </c>
    </row>
    <row r="3992" spans="1:15" x14ac:dyDescent="0.3">
      <c r="A3992" s="340" t="s">
        <v>891</v>
      </c>
      <c r="B3992" s="350">
        <v>46130</v>
      </c>
      <c r="C3992" s="350">
        <v>46131</v>
      </c>
      <c r="D3992" s="351">
        <v>46113</v>
      </c>
      <c r="E3992" s="340" t="s">
        <v>2899</v>
      </c>
      <c r="F3992" s="340" t="s">
        <v>1078</v>
      </c>
      <c r="G3992" s="340" t="s">
        <v>2442</v>
      </c>
      <c r="H3992" s="340" t="s">
        <v>2525</v>
      </c>
      <c r="I3992" s="340" t="s">
        <v>771</v>
      </c>
      <c r="K3992" s="343">
        <v>2.95</v>
      </c>
      <c r="L3992" s="343">
        <v>0</v>
      </c>
      <c r="M3992" s="343">
        <v>-815661.39</v>
      </c>
      <c r="O3992" s="343">
        <v>0</v>
      </c>
    </row>
    <row r="3993" spans="1:15" x14ac:dyDescent="0.3">
      <c r="A3993" s="340" t="s">
        <v>891</v>
      </c>
      <c r="B3993" s="350">
        <v>46130</v>
      </c>
      <c r="C3993" s="350">
        <v>46131</v>
      </c>
      <c r="D3993" s="351">
        <v>46113</v>
      </c>
      <c r="E3993" s="340" t="s">
        <v>2899</v>
      </c>
      <c r="F3993" s="340" t="s">
        <v>1078</v>
      </c>
      <c r="G3993" s="340" t="s">
        <v>2442</v>
      </c>
      <c r="H3993" s="340" t="s">
        <v>2526</v>
      </c>
      <c r="I3993" s="340" t="s">
        <v>771</v>
      </c>
      <c r="K3993" s="343">
        <v>2.95</v>
      </c>
      <c r="L3993" s="343">
        <v>0</v>
      </c>
      <c r="M3993" s="343">
        <v>-815658.44</v>
      </c>
      <c r="O3993" s="343">
        <v>0</v>
      </c>
    </row>
    <row r="3994" spans="1:15" x14ac:dyDescent="0.3">
      <c r="A3994" s="340" t="s">
        <v>891</v>
      </c>
      <c r="B3994" s="350">
        <v>46130</v>
      </c>
      <c r="C3994" s="350">
        <v>46131</v>
      </c>
      <c r="D3994" s="351">
        <v>46113</v>
      </c>
      <c r="E3994" s="340" t="s">
        <v>2899</v>
      </c>
      <c r="F3994" s="340" t="s">
        <v>1078</v>
      </c>
      <c r="G3994" s="340" t="s">
        <v>2439</v>
      </c>
      <c r="H3994" s="340" t="s">
        <v>2526</v>
      </c>
      <c r="I3994" s="340" t="s">
        <v>771</v>
      </c>
      <c r="K3994" s="343">
        <v>0.06</v>
      </c>
      <c r="L3994" s="343">
        <v>0</v>
      </c>
      <c r="M3994" s="343">
        <v>-815658.38</v>
      </c>
      <c r="O3994" s="343">
        <v>0</v>
      </c>
    </row>
    <row r="3995" spans="1:15" x14ac:dyDescent="0.3">
      <c r="A3995" s="340" t="s">
        <v>891</v>
      </c>
      <c r="B3995" s="350">
        <v>46130</v>
      </c>
      <c r="C3995" s="350">
        <v>46131</v>
      </c>
      <c r="D3995" s="351">
        <v>46113</v>
      </c>
      <c r="E3995" s="340" t="s">
        <v>2899</v>
      </c>
      <c r="F3995" s="340" t="s">
        <v>1078</v>
      </c>
      <c r="G3995" s="340" t="s">
        <v>2441</v>
      </c>
      <c r="H3995" s="340" t="s">
        <v>2526</v>
      </c>
      <c r="I3995" s="340" t="s">
        <v>771</v>
      </c>
      <c r="K3995" s="343">
        <v>0.11</v>
      </c>
      <c r="L3995" s="343">
        <v>0</v>
      </c>
      <c r="M3995" s="343">
        <v>-815658.27</v>
      </c>
      <c r="O3995" s="343">
        <v>0</v>
      </c>
    </row>
    <row r="3996" spans="1:15" x14ac:dyDescent="0.3">
      <c r="A3996" s="340" t="s">
        <v>891</v>
      </c>
      <c r="B3996" s="350">
        <v>46130</v>
      </c>
      <c r="C3996" s="350">
        <v>46131</v>
      </c>
      <c r="D3996" s="351">
        <v>46113</v>
      </c>
      <c r="E3996" s="340" t="s">
        <v>2899</v>
      </c>
      <c r="F3996" s="340" t="s">
        <v>1078</v>
      </c>
      <c r="G3996" s="340" t="s">
        <v>2443</v>
      </c>
      <c r="H3996" s="340" t="s">
        <v>2526</v>
      </c>
      <c r="I3996" s="340" t="s">
        <v>771</v>
      </c>
      <c r="K3996" s="343">
        <v>2.58</v>
      </c>
      <c r="L3996" s="343">
        <v>0</v>
      </c>
      <c r="M3996" s="343">
        <v>-815655.69</v>
      </c>
      <c r="O3996" s="343">
        <v>0</v>
      </c>
    </row>
    <row r="3997" spans="1:15" x14ac:dyDescent="0.3">
      <c r="A3997" s="340" t="s">
        <v>891</v>
      </c>
      <c r="B3997" s="350">
        <v>46130</v>
      </c>
      <c r="C3997" s="350">
        <v>46131</v>
      </c>
      <c r="D3997" s="351">
        <v>46113</v>
      </c>
      <c r="E3997" s="340" t="s">
        <v>2899</v>
      </c>
      <c r="F3997" s="340" t="s">
        <v>1078</v>
      </c>
      <c r="G3997" s="340" t="s">
        <v>2439</v>
      </c>
      <c r="H3997" s="340" t="s">
        <v>2527</v>
      </c>
      <c r="I3997" s="340" t="s">
        <v>771</v>
      </c>
      <c r="K3997" s="343">
        <v>0.06</v>
      </c>
      <c r="L3997" s="343">
        <v>0</v>
      </c>
      <c r="M3997" s="343">
        <v>-815655.63</v>
      </c>
      <c r="O3997" s="343">
        <v>0</v>
      </c>
    </row>
    <row r="3998" spans="1:15" x14ac:dyDescent="0.3">
      <c r="A3998" s="340" t="s">
        <v>891</v>
      </c>
      <c r="B3998" s="350">
        <v>46130</v>
      </c>
      <c r="C3998" s="350">
        <v>46131</v>
      </c>
      <c r="D3998" s="351">
        <v>46113</v>
      </c>
      <c r="E3998" s="340" t="s">
        <v>2899</v>
      </c>
      <c r="F3998" s="340" t="s">
        <v>1078</v>
      </c>
      <c r="G3998" s="340" t="s">
        <v>2441</v>
      </c>
      <c r="H3998" s="340" t="s">
        <v>2527</v>
      </c>
      <c r="I3998" s="340" t="s">
        <v>771</v>
      </c>
      <c r="K3998" s="343">
        <v>0.11</v>
      </c>
      <c r="L3998" s="343">
        <v>0</v>
      </c>
      <c r="M3998" s="343">
        <v>-815655.52</v>
      </c>
      <c r="O3998" s="343">
        <v>0</v>
      </c>
    </row>
    <row r="3999" spans="1:15" x14ac:dyDescent="0.3">
      <c r="A3999" s="340" t="s">
        <v>891</v>
      </c>
      <c r="B3999" s="350">
        <v>46130</v>
      </c>
      <c r="C3999" s="350">
        <v>46131</v>
      </c>
      <c r="D3999" s="351">
        <v>46113</v>
      </c>
      <c r="E3999" s="340" t="s">
        <v>2899</v>
      </c>
      <c r="F3999" s="340" t="s">
        <v>1078</v>
      </c>
      <c r="G3999" s="340" t="s">
        <v>2443</v>
      </c>
      <c r="H3999" s="340" t="s">
        <v>2527</v>
      </c>
      <c r="I3999" s="340" t="s">
        <v>771</v>
      </c>
      <c r="K3999" s="343">
        <v>2.4900000000000002</v>
      </c>
      <c r="L3999" s="343">
        <v>0</v>
      </c>
      <c r="M3999" s="343">
        <v>-815653.03</v>
      </c>
      <c r="O3999" s="343">
        <v>0</v>
      </c>
    </row>
    <row r="4000" spans="1:15" x14ac:dyDescent="0.3">
      <c r="A4000" s="340" t="s">
        <v>891</v>
      </c>
      <c r="B4000" s="350">
        <v>46130</v>
      </c>
      <c r="C4000" s="350">
        <v>46131</v>
      </c>
      <c r="D4000" s="351">
        <v>46113</v>
      </c>
      <c r="E4000" s="340" t="s">
        <v>2899</v>
      </c>
      <c r="F4000" s="340" t="s">
        <v>1078</v>
      </c>
      <c r="G4000" s="340" t="s">
        <v>2442</v>
      </c>
      <c r="H4000" s="340" t="s">
        <v>2527</v>
      </c>
      <c r="I4000" s="340" t="s">
        <v>771</v>
      </c>
      <c r="K4000" s="343">
        <v>2.95</v>
      </c>
      <c r="L4000" s="343">
        <v>0</v>
      </c>
      <c r="M4000" s="343">
        <v>-815650.08</v>
      </c>
      <c r="O4000" s="343">
        <v>0</v>
      </c>
    </row>
    <row r="4001" spans="1:15" x14ac:dyDescent="0.3">
      <c r="A4001" s="340" t="s">
        <v>891</v>
      </c>
      <c r="B4001" s="350">
        <v>46130</v>
      </c>
      <c r="C4001" s="350">
        <v>46131</v>
      </c>
      <c r="D4001" s="351">
        <v>46113</v>
      </c>
      <c r="E4001" s="340" t="s">
        <v>2899</v>
      </c>
      <c r="F4001" s="340" t="s">
        <v>1078</v>
      </c>
      <c r="G4001" s="340" t="s">
        <v>2473</v>
      </c>
      <c r="H4001" s="340" t="s">
        <v>2528</v>
      </c>
      <c r="I4001" s="340" t="s">
        <v>771</v>
      </c>
      <c r="K4001" s="343">
        <v>2.66</v>
      </c>
      <c r="L4001" s="343">
        <v>0</v>
      </c>
      <c r="M4001" s="343">
        <v>-815647.42</v>
      </c>
      <c r="O4001" s="343">
        <v>0</v>
      </c>
    </row>
    <row r="4002" spans="1:15" x14ac:dyDescent="0.3">
      <c r="A4002" s="340" t="s">
        <v>891</v>
      </c>
      <c r="B4002" s="350">
        <v>46130</v>
      </c>
      <c r="C4002" s="350">
        <v>46131</v>
      </c>
      <c r="D4002" s="351">
        <v>46113</v>
      </c>
      <c r="E4002" s="340" t="s">
        <v>2899</v>
      </c>
      <c r="F4002" s="340" t="s">
        <v>1078</v>
      </c>
      <c r="G4002" s="340" t="s">
        <v>2472</v>
      </c>
      <c r="H4002" s="340" t="s">
        <v>2528</v>
      </c>
      <c r="I4002" s="340" t="s">
        <v>771</v>
      </c>
      <c r="K4002" s="343">
        <v>2.95</v>
      </c>
      <c r="L4002" s="343">
        <v>0</v>
      </c>
      <c r="M4002" s="343">
        <v>-815644.47</v>
      </c>
      <c r="O4002" s="343">
        <v>0</v>
      </c>
    </row>
    <row r="4003" spans="1:15" x14ac:dyDescent="0.3">
      <c r="A4003" s="340" t="s">
        <v>891</v>
      </c>
      <c r="B4003" s="350">
        <v>46130</v>
      </c>
      <c r="C4003" s="350">
        <v>46131</v>
      </c>
      <c r="D4003" s="351">
        <v>46113</v>
      </c>
      <c r="E4003" s="340" t="s">
        <v>2899</v>
      </c>
      <c r="F4003" s="340" t="s">
        <v>1078</v>
      </c>
      <c r="G4003" s="340" t="s">
        <v>2468</v>
      </c>
      <c r="H4003" s="340" t="s">
        <v>2528</v>
      </c>
      <c r="I4003" s="340" t="s">
        <v>771</v>
      </c>
      <c r="K4003" s="343">
        <v>0.06</v>
      </c>
      <c r="L4003" s="343">
        <v>0</v>
      </c>
      <c r="M4003" s="343">
        <v>-815644.41</v>
      </c>
      <c r="O4003" s="343">
        <v>0</v>
      </c>
    </row>
    <row r="4004" spans="1:15" x14ac:dyDescent="0.3">
      <c r="A4004" s="340" t="s">
        <v>891</v>
      </c>
      <c r="B4004" s="350">
        <v>46130</v>
      </c>
      <c r="C4004" s="350">
        <v>46131</v>
      </c>
      <c r="D4004" s="351">
        <v>46113</v>
      </c>
      <c r="E4004" s="340" t="s">
        <v>2899</v>
      </c>
      <c r="F4004" s="340" t="s">
        <v>1078</v>
      </c>
      <c r="G4004" s="340" t="s">
        <v>2470</v>
      </c>
      <c r="H4004" s="340" t="s">
        <v>2528</v>
      </c>
      <c r="I4004" s="340" t="s">
        <v>771</v>
      </c>
      <c r="K4004" s="343">
        <v>0.11</v>
      </c>
      <c r="L4004" s="343">
        <v>0</v>
      </c>
      <c r="M4004" s="343">
        <v>-815644.3</v>
      </c>
      <c r="O4004" s="343">
        <v>0</v>
      </c>
    </row>
    <row r="4005" spans="1:15" x14ac:dyDescent="0.3">
      <c r="A4005" s="340" t="s">
        <v>891</v>
      </c>
      <c r="B4005" s="350">
        <v>46130</v>
      </c>
      <c r="C4005" s="350">
        <v>46131</v>
      </c>
      <c r="D4005" s="351">
        <v>46113</v>
      </c>
      <c r="E4005" s="340" t="s">
        <v>2899</v>
      </c>
      <c r="F4005" s="340" t="s">
        <v>1078</v>
      </c>
      <c r="G4005" s="340" t="s">
        <v>2471</v>
      </c>
      <c r="H4005" s="340" t="s">
        <v>2528</v>
      </c>
      <c r="I4005" s="340" t="s">
        <v>771</v>
      </c>
      <c r="K4005" s="343">
        <v>0.2</v>
      </c>
      <c r="L4005" s="343">
        <v>0</v>
      </c>
      <c r="M4005" s="343">
        <v>-815644.1</v>
      </c>
      <c r="O4005" s="343">
        <v>0</v>
      </c>
    </row>
    <row r="4006" spans="1:15" x14ac:dyDescent="0.3">
      <c r="A4006" s="340" t="s">
        <v>891</v>
      </c>
      <c r="B4006" s="350">
        <v>46130</v>
      </c>
      <c r="C4006" s="350">
        <v>46131</v>
      </c>
      <c r="D4006" s="351">
        <v>46113</v>
      </c>
      <c r="E4006" s="340" t="s">
        <v>2899</v>
      </c>
      <c r="F4006" s="340" t="s">
        <v>1078</v>
      </c>
      <c r="G4006" s="340" t="s">
        <v>2439</v>
      </c>
      <c r="H4006" s="340" t="s">
        <v>2529</v>
      </c>
      <c r="I4006" s="340" t="s">
        <v>771</v>
      </c>
      <c r="K4006" s="343">
        <v>0.17</v>
      </c>
      <c r="L4006" s="343">
        <v>0</v>
      </c>
      <c r="M4006" s="343">
        <v>-815643.93</v>
      </c>
      <c r="O4006" s="343">
        <v>0</v>
      </c>
    </row>
    <row r="4007" spans="1:15" x14ac:dyDescent="0.3">
      <c r="A4007" s="340" t="s">
        <v>891</v>
      </c>
      <c r="B4007" s="350">
        <v>46130</v>
      </c>
      <c r="C4007" s="350">
        <v>46131</v>
      </c>
      <c r="D4007" s="351">
        <v>46113</v>
      </c>
      <c r="E4007" s="340" t="s">
        <v>2899</v>
      </c>
      <c r="F4007" s="340" t="s">
        <v>1078</v>
      </c>
      <c r="G4007" s="340" t="s">
        <v>2441</v>
      </c>
      <c r="H4007" s="340" t="s">
        <v>2529</v>
      </c>
      <c r="I4007" s="340" t="s">
        <v>771</v>
      </c>
      <c r="K4007" s="343">
        <v>0.34</v>
      </c>
      <c r="L4007" s="343">
        <v>0</v>
      </c>
      <c r="M4007" s="343">
        <v>-815643.59</v>
      </c>
      <c r="O4007" s="343">
        <v>0</v>
      </c>
    </row>
    <row r="4008" spans="1:15" x14ac:dyDescent="0.3">
      <c r="A4008" s="340" t="s">
        <v>891</v>
      </c>
      <c r="B4008" s="350">
        <v>46130</v>
      </c>
      <c r="C4008" s="350">
        <v>46131</v>
      </c>
      <c r="D4008" s="351">
        <v>46113</v>
      </c>
      <c r="E4008" s="340" t="s">
        <v>2899</v>
      </c>
      <c r="F4008" s="340" t="s">
        <v>1078</v>
      </c>
      <c r="G4008" s="340" t="s">
        <v>2442</v>
      </c>
      <c r="H4008" s="340" t="s">
        <v>2529</v>
      </c>
      <c r="I4008" s="340" t="s">
        <v>771</v>
      </c>
      <c r="K4008" s="343">
        <v>2.95</v>
      </c>
      <c r="L4008" s="343">
        <v>0</v>
      </c>
      <c r="M4008" s="343">
        <v>-815640.64</v>
      </c>
      <c r="O4008" s="343">
        <v>0</v>
      </c>
    </row>
    <row r="4009" spans="1:15" x14ac:dyDescent="0.3">
      <c r="A4009" s="340" t="s">
        <v>891</v>
      </c>
      <c r="B4009" s="350">
        <v>46130</v>
      </c>
      <c r="C4009" s="350">
        <v>46131</v>
      </c>
      <c r="D4009" s="351">
        <v>46113</v>
      </c>
      <c r="E4009" s="340" t="s">
        <v>2899</v>
      </c>
      <c r="F4009" s="340" t="s">
        <v>1078</v>
      </c>
      <c r="G4009" s="340" t="s">
        <v>2443</v>
      </c>
      <c r="H4009" s="340" t="s">
        <v>2529</v>
      </c>
      <c r="I4009" s="340" t="s">
        <v>771</v>
      </c>
      <c r="K4009" s="343">
        <v>13.96</v>
      </c>
      <c r="L4009" s="343">
        <v>0</v>
      </c>
      <c r="M4009" s="343">
        <v>-815626.68</v>
      </c>
      <c r="O4009" s="343">
        <v>0</v>
      </c>
    </row>
    <row r="4010" spans="1:15" x14ac:dyDescent="0.3">
      <c r="A4010" s="340" t="s">
        <v>891</v>
      </c>
      <c r="B4010" s="350">
        <v>46130</v>
      </c>
      <c r="C4010" s="350">
        <v>46131</v>
      </c>
      <c r="D4010" s="351">
        <v>46113</v>
      </c>
      <c r="E4010" s="340" t="s">
        <v>2899</v>
      </c>
      <c r="F4010" s="340" t="s">
        <v>1078</v>
      </c>
      <c r="G4010" s="340" t="s">
        <v>2491</v>
      </c>
      <c r="H4010" s="340" t="s">
        <v>2530</v>
      </c>
      <c r="I4010" s="340" t="s">
        <v>771</v>
      </c>
      <c r="K4010" s="343">
        <v>0.05</v>
      </c>
      <c r="L4010" s="343">
        <v>0</v>
      </c>
      <c r="M4010" s="343">
        <v>-815626.63</v>
      </c>
      <c r="O4010" s="343">
        <v>0</v>
      </c>
    </row>
    <row r="4011" spans="1:15" x14ac:dyDescent="0.3">
      <c r="A4011" s="340" t="s">
        <v>891</v>
      </c>
      <c r="B4011" s="350">
        <v>46130</v>
      </c>
      <c r="C4011" s="350">
        <v>46131</v>
      </c>
      <c r="D4011" s="351">
        <v>46113</v>
      </c>
      <c r="E4011" s="340" t="s">
        <v>2899</v>
      </c>
      <c r="F4011" s="340" t="s">
        <v>1078</v>
      </c>
      <c r="G4011" s="340" t="s">
        <v>2488</v>
      </c>
      <c r="H4011" s="340" t="s">
        <v>2530</v>
      </c>
      <c r="I4011" s="340" t="s">
        <v>771</v>
      </c>
      <c r="K4011" s="343">
        <v>0.1</v>
      </c>
      <c r="L4011" s="343">
        <v>0</v>
      </c>
      <c r="M4011" s="343">
        <v>-815626.53</v>
      </c>
      <c r="O4011" s="343">
        <v>0</v>
      </c>
    </row>
    <row r="4012" spans="1:15" x14ac:dyDescent="0.3">
      <c r="A4012" s="340" t="s">
        <v>891</v>
      </c>
      <c r="B4012" s="350">
        <v>46130</v>
      </c>
      <c r="C4012" s="350">
        <v>46131</v>
      </c>
      <c r="D4012" s="351">
        <v>46113</v>
      </c>
      <c r="E4012" s="340" t="s">
        <v>2899</v>
      </c>
      <c r="F4012" s="340" t="s">
        <v>1078</v>
      </c>
      <c r="G4012" s="340" t="s">
        <v>2490</v>
      </c>
      <c r="H4012" s="340" t="s">
        <v>2530</v>
      </c>
      <c r="I4012" s="340" t="s">
        <v>771</v>
      </c>
      <c r="K4012" s="343">
        <v>0.25</v>
      </c>
      <c r="L4012" s="343">
        <v>0</v>
      </c>
      <c r="M4012" s="343">
        <v>-815626.28</v>
      </c>
      <c r="O4012" s="343">
        <v>0</v>
      </c>
    </row>
    <row r="4013" spans="1:15" x14ac:dyDescent="0.3">
      <c r="A4013" s="340" t="s">
        <v>891</v>
      </c>
      <c r="B4013" s="350">
        <v>46130</v>
      </c>
      <c r="C4013" s="350">
        <v>46131</v>
      </c>
      <c r="D4013" s="351">
        <v>46113</v>
      </c>
      <c r="E4013" s="340" t="s">
        <v>2899</v>
      </c>
      <c r="F4013" s="340" t="s">
        <v>1078</v>
      </c>
      <c r="G4013" s="340" t="s">
        <v>2491</v>
      </c>
      <c r="H4013" s="340" t="s">
        <v>2530</v>
      </c>
      <c r="I4013" s="340" t="s">
        <v>771</v>
      </c>
      <c r="K4013" s="343">
        <v>0.8</v>
      </c>
      <c r="L4013" s="343">
        <v>0</v>
      </c>
      <c r="M4013" s="343">
        <v>-815625.48</v>
      </c>
      <c r="O4013" s="343">
        <v>0</v>
      </c>
    </row>
    <row r="4014" spans="1:15" x14ac:dyDescent="0.3">
      <c r="A4014" s="340" t="s">
        <v>891</v>
      </c>
      <c r="B4014" s="350">
        <v>46130</v>
      </c>
      <c r="C4014" s="350">
        <v>46131</v>
      </c>
      <c r="D4014" s="351">
        <v>46113</v>
      </c>
      <c r="E4014" s="340" t="s">
        <v>2899</v>
      </c>
      <c r="F4014" s="340" t="s">
        <v>1078</v>
      </c>
      <c r="G4014" s="340" t="s">
        <v>2488</v>
      </c>
      <c r="H4014" s="340" t="s">
        <v>2530</v>
      </c>
      <c r="I4014" s="340" t="s">
        <v>771</v>
      </c>
      <c r="K4014" s="343">
        <v>1.6</v>
      </c>
      <c r="L4014" s="343">
        <v>0</v>
      </c>
      <c r="M4014" s="343">
        <v>-815623.88</v>
      </c>
      <c r="O4014" s="343">
        <v>0</v>
      </c>
    </row>
    <row r="4015" spans="1:15" x14ac:dyDescent="0.3">
      <c r="A4015" s="340" t="s">
        <v>891</v>
      </c>
      <c r="B4015" s="350">
        <v>46130</v>
      </c>
      <c r="C4015" s="350">
        <v>46131</v>
      </c>
      <c r="D4015" s="351">
        <v>46113</v>
      </c>
      <c r="E4015" s="340" t="s">
        <v>2899</v>
      </c>
      <c r="F4015" s="340" t="s">
        <v>1078</v>
      </c>
      <c r="G4015" s="340" t="s">
        <v>2493</v>
      </c>
      <c r="H4015" s="340" t="s">
        <v>2530</v>
      </c>
      <c r="I4015" s="340" t="s">
        <v>771</v>
      </c>
      <c r="K4015" s="343">
        <v>2.08</v>
      </c>
      <c r="L4015" s="343">
        <v>0</v>
      </c>
      <c r="M4015" s="343">
        <v>-815621.8</v>
      </c>
      <c r="O4015" s="343">
        <v>0</v>
      </c>
    </row>
    <row r="4016" spans="1:15" x14ac:dyDescent="0.3">
      <c r="A4016" s="340" t="s">
        <v>891</v>
      </c>
      <c r="B4016" s="350">
        <v>46130</v>
      </c>
      <c r="C4016" s="350">
        <v>46131</v>
      </c>
      <c r="D4016" s="351">
        <v>46113</v>
      </c>
      <c r="E4016" s="340" t="s">
        <v>2899</v>
      </c>
      <c r="F4016" s="340" t="s">
        <v>1078</v>
      </c>
      <c r="G4016" s="340" t="s">
        <v>2492</v>
      </c>
      <c r="H4016" s="340" t="s">
        <v>2530</v>
      </c>
      <c r="I4016" s="340" t="s">
        <v>771</v>
      </c>
      <c r="K4016" s="343">
        <v>2.95</v>
      </c>
      <c r="L4016" s="343">
        <v>0</v>
      </c>
      <c r="M4016" s="343">
        <v>-815618.85</v>
      </c>
      <c r="O4016" s="343">
        <v>0</v>
      </c>
    </row>
    <row r="4017" spans="1:15" x14ac:dyDescent="0.3">
      <c r="A4017" s="340" t="s">
        <v>891</v>
      </c>
      <c r="B4017" s="350">
        <v>46130</v>
      </c>
      <c r="C4017" s="350">
        <v>46131</v>
      </c>
      <c r="D4017" s="351">
        <v>46113</v>
      </c>
      <c r="E4017" s="340" t="s">
        <v>2899</v>
      </c>
      <c r="F4017" s="340" t="s">
        <v>1078</v>
      </c>
      <c r="G4017" s="340" t="s">
        <v>2492</v>
      </c>
      <c r="H4017" s="340" t="s">
        <v>2530</v>
      </c>
      <c r="I4017" s="340" t="s">
        <v>771</v>
      </c>
      <c r="K4017" s="343">
        <v>2.95</v>
      </c>
      <c r="L4017" s="343">
        <v>0</v>
      </c>
      <c r="M4017" s="343">
        <v>-815615.9</v>
      </c>
      <c r="O4017" s="343">
        <v>0</v>
      </c>
    </row>
    <row r="4018" spans="1:15" x14ac:dyDescent="0.3">
      <c r="A4018" s="340" t="s">
        <v>891</v>
      </c>
      <c r="B4018" s="350">
        <v>46130</v>
      </c>
      <c r="C4018" s="350">
        <v>46131</v>
      </c>
      <c r="D4018" s="351">
        <v>46113</v>
      </c>
      <c r="E4018" s="340" t="s">
        <v>2899</v>
      </c>
      <c r="F4018" s="340" t="s">
        <v>1078</v>
      </c>
      <c r="G4018" s="340" t="s">
        <v>2493</v>
      </c>
      <c r="H4018" s="340" t="s">
        <v>2530</v>
      </c>
      <c r="I4018" s="340" t="s">
        <v>771</v>
      </c>
      <c r="K4018" s="343">
        <v>75.62</v>
      </c>
      <c r="L4018" s="343">
        <v>0</v>
      </c>
      <c r="M4018" s="343">
        <v>-815540.28</v>
      </c>
      <c r="O4018" s="343">
        <v>0</v>
      </c>
    </row>
    <row r="4019" spans="1:15" x14ac:dyDescent="0.3">
      <c r="A4019" s="340" t="s">
        <v>891</v>
      </c>
      <c r="B4019" s="350">
        <v>46130</v>
      </c>
      <c r="C4019" s="350">
        <v>46131</v>
      </c>
      <c r="D4019" s="351">
        <v>46113</v>
      </c>
      <c r="E4019" s="340" t="s">
        <v>2899</v>
      </c>
      <c r="F4019" s="340" t="s">
        <v>1078</v>
      </c>
      <c r="G4019" s="340" t="s">
        <v>2491</v>
      </c>
      <c r="H4019" s="340" t="s">
        <v>2531</v>
      </c>
      <c r="I4019" s="340" t="s">
        <v>771</v>
      </c>
      <c r="K4019" s="343">
        <v>0.04</v>
      </c>
      <c r="L4019" s="343">
        <v>0</v>
      </c>
      <c r="M4019" s="343">
        <v>-815540.24</v>
      </c>
      <c r="O4019" s="343">
        <v>0</v>
      </c>
    </row>
    <row r="4020" spans="1:15" x14ac:dyDescent="0.3">
      <c r="A4020" s="340" t="s">
        <v>891</v>
      </c>
      <c r="B4020" s="350">
        <v>46130</v>
      </c>
      <c r="C4020" s="350">
        <v>46131</v>
      </c>
      <c r="D4020" s="351">
        <v>46113</v>
      </c>
      <c r="E4020" s="340" t="s">
        <v>2899</v>
      </c>
      <c r="F4020" s="340" t="s">
        <v>1078</v>
      </c>
      <c r="G4020" s="340" t="s">
        <v>2488</v>
      </c>
      <c r="H4020" s="340" t="s">
        <v>2531</v>
      </c>
      <c r="I4020" s="340" t="s">
        <v>771</v>
      </c>
      <c r="K4020" s="343">
        <v>0.09</v>
      </c>
      <c r="L4020" s="343">
        <v>0</v>
      </c>
      <c r="M4020" s="343">
        <v>-815540.15</v>
      </c>
      <c r="O4020" s="343">
        <v>0</v>
      </c>
    </row>
    <row r="4021" spans="1:15" x14ac:dyDescent="0.3">
      <c r="A4021" s="340" t="s">
        <v>891</v>
      </c>
      <c r="B4021" s="350">
        <v>46130</v>
      </c>
      <c r="C4021" s="350">
        <v>46131</v>
      </c>
      <c r="D4021" s="351">
        <v>46113</v>
      </c>
      <c r="E4021" s="340" t="s">
        <v>2899</v>
      </c>
      <c r="F4021" s="340" t="s">
        <v>1078</v>
      </c>
      <c r="G4021" s="340" t="s">
        <v>2490</v>
      </c>
      <c r="H4021" s="340" t="s">
        <v>2531</v>
      </c>
      <c r="I4021" s="340" t="s">
        <v>771</v>
      </c>
      <c r="K4021" s="343">
        <v>0.25</v>
      </c>
      <c r="L4021" s="343">
        <v>0</v>
      </c>
      <c r="M4021" s="343">
        <v>-815539.9</v>
      </c>
      <c r="O4021" s="343">
        <v>0</v>
      </c>
    </row>
    <row r="4022" spans="1:15" x14ac:dyDescent="0.3">
      <c r="A4022" s="340" t="s">
        <v>891</v>
      </c>
      <c r="B4022" s="350">
        <v>46130</v>
      </c>
      <c r="C4022" s="350">
        <v>46131</v>
      </c>
      <c r="D4022" s="351">
        <v>46113</v>
      </c>
      <c r="E4022" s="340" t="s">
        <v>2899</v>
      </c>
      <c r="F4022" s="340" t="s">
        <v>1078</v>
      </c>
      <c r="G4022" s="340" t="s">
        <v>2491</v>
      </c>
      <c r="H4022" s="340" t="s">
        <v>2531</v>
      </c>
      <c r="I4022" s="340" t="s">
        <v>771</v>
      </c>
      <c r="K4022" s="343">
        <v>0.44</v>
      </c>
      <c r="L4022" s="343">
        <v>0</v>
      </c>
      <c r="M4022" s="343">
        <v>-815539.46</v>
      </c>
      <c r="O4022" s="343">
        <v>0</v>
      </c>
    </row>
    <row r="4023" spans="1:15" x14ac:dyDescent="0.3">
      <c r="A4023" s="340" t="s">
        <v>891</v>
      </c>
      <c r="B4023" s="350">
        <v>46130</v>
      </c>
      <c r="C4023" s="350">
        <v>46131</v>
      </c>
      <c r="D4023" s="351">
        <v>46113</v>
      </c>
      <c r="E4023" s="340" t="s">
        <v>2899</v>
      </c>
      <c r="F4023" s="340" t="s">
        <v>1078</v>
      </c>
      <c r="G4023" s="340" t="s">
        <v>2488</v>
      </c>
      <c r="H4023" s="340" t="s">
        <v>2531</v>
      </c>
      <c r="I4023" s="340" t="s">
        <v>771</v>
      </c>
      <c r="K4023" s="343">
        <v>0.88</v>
      </c>
      <c r="L4023" s="343">
        <v>0</v>
      </c>
      <c r="M4023" s="343">
        <v>-815538.58</v>
      </c>
      <c r="O4023" s="343">
        <v>0</v>
      </c>
    </row>
    <row r="4024" spans="1:15" x14ac:dyDescent="0.3">
      <c r="A4024" s="340" t="s">
        <v>891</v>
      </c>
      <c r="B4024" s="350">
        <v>46130</v>
      </c>
      <c r="C4024" s="350">
        <v>46131</v>
      </c>
      <c r="D4024" s="351">
        <v>46113</v>
      </c>
      <c r="E4024" s="340" t="s">
        <v>2899</v>
      </c>
      <c r="F4024" s="340" t="s">
        <v>1078</v>
      </c>
      <c r="G4024" s="340" t="s">
        <v>2493</v>
      </c>
      <c r="H4024" s="340" t="s">
        <v>2531</v>
      </c>
      <c r="I4024" s="340" t="s">
        <v>771</v>
      </c>
      <c r="K4024" s="343">
        <v>1.25</v>
      </c>
      <c r="L4024" s="343">
        <v>0</v>
      </c>
      <c r="M4024" s="343">
        <v>-815537.33</v>
      </c>
      <c r="O4024" s="343">
        <v>0</v>
      </c>
    </row>
    <row r="4025" spans="1:15" x14ac:dyDescent="0.3">
      <c r="A4025" s="340" t="s">
        <v>891</v>
      </c>
      <c r="B4025" s="350">
        <v>46130</v>
      </c>
      <c r="C4025" s="350">
        <v>46131</v>
      </c>
      <c r="D4025" s="351">
        <v>46113</v>
      </c>
      <c r="E4025" s="340" t="s">
        <v>2899</v>
      </c>
      <c r="F4025" s="340" t="s">
        <v>1078</v>
      </c>
      <c r="G4025" s="340" t="s">
        <v>2492</v>
      </c>
      <c r="H4025" s="340" t="s">
        <v>2531</v>
      </c>
      <c r="I4025" s="340" t="s">
        <v>771</v>
      </c>
      <c r="K4025" s="343">
        <v>2.95</v>
      </c>
      <c r="L4025" s="343">
        <v>0</v>
      </c>
      <c r="M4025" s="343">
        <v>-815534.38</v>
      </c>
      <c r="O4025" s="343">
        <v>0</v>
      </c>
    </row>
    <row r="4026" spans="1:15" x14ac:dyDescent="0.3">
      <c r="A4026" s="340" t="s">
        <v>891</v>
      </c>
      <c r="B4026" s="350">
        <v>46130</v>
      </c>
      <c r="C4026" s="350">
        <v>46131</v>
      </c>
      <c r="D4026" s="351">
        <v>46113</v>
      </c>
      <c r="E4026" s="340" t="s">
        <v>2899</v>
      </c>
      <c r="F4026" s="340" t="s">
        <v>1078</v>
      </c>
      <c r="G4026" s="340" t="s">
        <v>2492</v>
      </c>
      <c r="H4026" s="340" t="s">
        <v>2531</v>
      </c>
      <c r="I4026" s="340" t="s">
        <v>771</v>
      </c>
      <c r="K4026" s="343">
        <v>2.95</v>
      </c>
      <c r="L4026" s="343">
        <v>0</v>
      </c>
      <c r="M4026" s="343">
        <v>-815531.43</v>
      </c>
      <c r="O4026" s="343">
        <v>0</v>
      </c>
    </row>
    <row r="4027" spans="1:15" x14ac:dyDescent="0.3">
      <c r="A4027" s="340" t="s">
        <v>891</v>
      </c>
      <c r="B4027" s="350">
        <v>46130</v>
      </c>
      <c r="C4027" s="350">
        <v>46131</v>
      </c>
      <c r="D4027" s="351">
        <v>46113</v>
      </c>
      <c r="E4027" s="340" t="s">
        <v>2899</v>
      </c>
      <c r="F4027" s="340" t="s">
        <v>1078</v>
      </c>
      <c r="G4027" s="340" t="s">
        <v>2493</v>
      </c>
      <c r="H4027" s="340" t="s">
        <v>2531</v>
      </c>
      <c r="I4027" s="340" t="s">
        <v>771</v>
      </c>
      <c r="K4027" s="343">
        <v>40.47</v>
      </c>
      <c r="L4027" s="343">
        <v>0</v>
      </c>
      <c r="M4027" s="343">
        <v>-815490.96</v>
      </c>
      <c r="O4027" s="343">
        <v>0</v>
      </c>
    </row>
    <row r="4028" spans="1:15" x14ac:dyDescent="0.3">
      <c r="A4028" s="340" t="s">
        <v>891</v>
      </c>
      <c r="B4028" s="350">
        <v>46130</v>
      </c>
      <c r="C4028" s="350">
        <v>46131</v>
      </c>
      <c r="D4028" s="351">
        <v>46113</v>
      </c>
      <c r="E4028" s="340" t="s">
        <v>2899</v>
      </c>
      <c r="F4028" s="340" t="s">
        <v>1078</v>
      </c>
      <c r="G4028" s="340" t="s">
        <v>2493</v>
      </c>
      <c r="H4028" s="340" t="s">
        <v>2532</v>
      </c>
      <c r="I4028" s="340" t="s">
        <v>771</v>
      </c>
      <c r="K4028" s="343">
        <v>149.41</v>
      </c>
      <c r="L4028" s="343">
        <v>0</v>
      </c>
      <c r="M4028" s="343">
        <v>-815341.55</v>
      </c>
      <c r="O4028" s="343">
        <v>0</v>
      </c>
    </row>
    <row r="4029" spans="1:15" x14ac:dyDescent="0.3">
      <c r="A4029" s="340" t="s">
        <v>891</v>
      </c>
      <c r="B4029" s="350">
        <v>46130</v>
      </c>
      <c r="C4029" s="350">
        <v>46131</v>
      </c>
      <c r="D4029" s="351">
        <v>46113</v>
      </c>
      <c r="E4029" s="340" t="s">
        <v>2899</v>
      </c>
      <c r="F4029" s="340" t="s">
        <v>1078</v>
      </c>
      <c r="G4029" s="340" t="s">
        <v>2490</v>
      </c>
      <c r="H4029" s="340" t="s">
        <v>2532</v>
      </c>
      <c r="I4029" s="340" t="s">
        <v>771</v>
      </c>
      <c r="K4029" s="343">
        <v>0.25</v>
      </c>
      <c r="L4029" s="343">
        <v>0</v>
      </c>
      <c r="M4029" s="343">
        <v>-815341.3</v>
      </c>
      <c r="O4029" s="343">
        <v>0</v>
      </c>
    </row>
    <row r="4030" spans="1:15" x14ac:dyDescent="0.3">
      <c r="A4030" s="340" t="s">
        <v>891</v>
      </c>
      <c r="B4030" s="350">
        <v>46130</v>
      </c>
      <c r="C4030" s="350">
        <v>46131</v>
      </c>
      <c r="D4030" s="351">
        <v>46113</v>
      </c>
      <c r="E4030" s="340" t="s">
        <v>2899</v>
      </c>
      <c r="F4030" s="340" t="s">
        <v>1078</v>
      </c>
      <c r="G4030" s="340" t="s">
        <v>2491</v>
      </c>
      <c r="H4030" s="340" t="s">
        <v>2532</v>
      </c>
      <c r="I4030" s="340" t="s">
        <v>771</v>
      </c>
      <c r="K4030" s="343">
        <v>1.55</v>
      </c>
      <c r="L4030" s="343">
        <v>0</v>
      </c>
      <c r="M4030" s="343">
        <v>-815339.75</v>
      </c>
      <c r="O4030" s="343">
        <v>0</v>
      </c>
    </row>
    <row r="4031" spans="1:15" x14ac:dyDescent="0.3">
      <c r="A4031" s="340" t="s">
        <v>891</v>
      </c>
      <c r="B4031" s="350">
        <v>46130</v>
      </c>
      <c r="C4031" s="350">
        <v>46131</v>
      </c>
      <c r="D4031" s="351">
        <v>46113</v>
      </c>
      <c r="E4031" s="340" t="s">
        <v>2899</v>
      </c>
      <c r="F4031" s="340" t="s">
        <v>1078</v>
      </c>
      <c r="G4031" s="340" t="s">
        <v>2492</v>
      </c>
      <c r="H4031" s="340" t="s">
        <v>2532</v>
      </c>
      <c r="I4031" s="340" t="s">
        <v>771</v>
      </c>
      <c r="K4031" s="343">
        <v>2.95</v>
      </c>
      <c r="L4031" s="343">
        <v>0</v>
      </c>
      <c r="M4031" s="343">
        <v>-815336.8</v>
      </c>
      <c r="O4031" s="343">
        <v>0</v>
      </c>
    </row>
    <row r="4032" spans="1:15" x14ac:dyDescent="0.3">
      <c r="A4032" s="340" t="s">
        <v>891</v>
      </c>
      <c r="B4032" s="350">
        <v>46130</v>
      </c>
      <c r="C4032" s="350">
        <v>46131</v>
      </c>
      <c r="D4032" s="351">
        <v>46113</v>
      </c>
      <c r="E4032" s="340" t="s">
        <v>2899</v>
      </c>
      <c r="F4032" s="340" t="s">
        <v>1078</v>
      </c>
      <c r="G4032" s="340" t="s">
        <v>2488</v>
      </c>
      <c r="H4032" s="340" t="s">
        <v>2532</v>
      </c>
      <c r="I4032" s="340" t="s">
        <v>771</v>
      </c>
      <c r="K4032" s="343">
        <v>3.1</v>
      </c>
      <c r="L4032" s="343">
        <v>0</v>
      </c>
      <c r="M4032" s="343">
        <v>-815333.7</v>
      </c>
      <c r="O4032" s="343">
        <v>0</v>
      </c>
    </row>
    <row r="4033" spans="1:15" x14ac:dyDescent="0.3">
      <c r="A4033" s="340" t="s">
        <v>891</v>
      </c>
      <c r="B4033" s="350">
        <v>46130</v>
      </c>
      <c r="C4033" s="350">
        <v>46131</v>
      </c>
      <c r="D4033" s="351">
        <v>46113</v>
      </c>
      <c r="E4033" s="340" t="s">
        <v>2899</v>
      </c>
      <c r="F4033" s="340" t="s">
        <v>1078</v>
      </c>
      <c r="G4033" s="340" t="s">
        <v>2439</v>
      </c>
      <c r="H4033" s="340" t="s">
        <v>2533</v>
      </c>
      <c r="I4033" s="340" t="s">
        <v>771</v>
      </c>
      <c r="K4033" s="343">
        <v>0.05</v>
      </c>
      <c r="L4033" s="343">
        <v>0</v>
      </c>
      <c r="M4033" s="343">
        <v>-815333.65</v>
      </c>
      <c r="O4033" s="343">
        <v>0</v>
      </c>
    </row>
    <row r="4034" spans="1:15" x14ac:dyDescent="0.3">
      <c r="A4034" s="340" t="s">
        <v>891</v>
      </c>
      <c r="B4034" s="350">
        <v>46130</v>
      </c>
      <c r="C4034" s="350">
        <v>46131</v>
      </c>
      <c r="D4034" s="351">
        <v>46113</v>
      </c>
      <c r="E4034" s="340" t="s">
        <v>2899</v>
      </c>
      <c r="F4034" s="340" t="s">
        <v>1078</v>
      </c>
      <c r="G4034" s="340" t="s">
        <v>2441</v>
      </c>
      <c r="H4034" s="340" t="s">
        <v>2533</v>
      </c>
      <c r="I4034" s="340" t="s">
        <v>771</v>
      </c>
      <c r="K4034" s="343">
        <v>0.1</v>
      </c>
      <c r="L4034" s="343">
        <v>0</v>
      </c>
      <c r="M4034" s="343">
        <v>-815333.55</v>
      </c>
      <c r="O4034" s="343">
        <v>0</v>
      </c>
    </row>
    <row r="4035" spans="1:15" x14ac:dyDescent="0.3">
      <c r="A4035" s="340" t="s">
        <v>891</v>
      </c>
      <c r="B4035" s="350">
        <v>46130</v>
      </c>
      <c r="C4035" s="350">
        <v>46131</v>
      </c>
      <c r="D4035" s="351">
        <v>46113</v>
      </c>
      <c r="E4035" s="340" t="s">
        <v>2899</v>
      </c>
      <c r="F4035" s="340" t="s">
        <v>1078</v>
      </c>
      <c r="G4035" s="340" t="s">
        <v>2443</v>
      </c>
      <c r="H4035" s="340" t="s">
        <v>2533</v>
      </c>
      <c r="I4035" s="340" t="s">
        <v>771</v>
      </c>
      <c r="K4035" s="343">
        <v>2.08</v>
      </c>
      <c r="L4035" s="343">
        <v>0</v>
      </c>
      <c r="M4035" s="343">
        <v>-815331.47</v>
      </c>
      <c r="O4035" s="343">
        <v>0</v>
      </c>
    </row>
    <row r="4036" spans="1:15" x14ac:dyDescent="0.3">
      <c r="A4036" s="340" t="s">
        <v>891</v>
      </c>
      <c r="B4036" s="350">
        <v>46130</v>
      </c>
      <c r="C4036" s="350">
        <v>46131</v>
      </c>
      <c r="D4036" s="351">
        <v>46113</v>
      </c>
      <c r="E4036" s="340" t="s">
        <v>2899</v>
      </c>
      <c r="F4036" s="340" t="s">
        <v>1078</v>
      </c>
      <c r="G4036" s="340" t="s">
        <v>2442</v>
      </c>
      <c r="H4036" s="340" t="s">
        <v>2533</v>
      </c>
      <c r="I4036" s="340" t="s">
        <v>771</v>
      </c>
      <c r="K4036" s="343">
        <v>2.95</v>
      </c>
      <c r="L4036" s="343">
        <v>0</v>
      </c>
      <c r="M4036" s="343">
        <v>-815328.52</v>
      </c>
      <c r="O4036" s="343">
        <v>0</v>
      </c>
    </row>
    <row r="4037" spans="1:15" x14ac:dyDescent="0.3">
      <c r="A4037" s="340" t="s">
        <v>891</v>
      </c>
      <c r="B4037" s="350">
        <v>46130</v>
      </c>
      <c r="C4037" s="350">
        <v>46131</v>
      </c>
      <c r="D4037" s="351">
        <v>46113</v>
      </c>
      <c r="E4037" s="340" t="s">
        <v>2899</v>
      </c>
      <c r="F4037" s="340" t="s">
        <v>1078</v>
      </c>
      <c r="G4037" s="340" t="s">
        <v>2534</v>
      </c>
      <c r="H4037" s="340"/>
      <c r="I4037" s="340" t="s">
        <v>771</v>
      </c>
      <c r="K4037" s="343">
        <v>226.99</v>
      </c>
      <c r="L4037" s="343">
        <v>0</v>
      </c>
      <c r="M4037" s="343">
        <v>-815101.53</v>
      </c>
      <c r="O4037" s="343">
        <v>0</v>
      </c>
    </row>
    <row r="4038" spans="1:15" x14ac:dyDescent="0.3">
      <c r="A4038" s="340" t="s">
        <v>891</v>
      </c>
      <c r="B4038" s="350">
        <v>46130</v>
      </c>
      <c r="C4038" s="350">
        <v>46131</v>
      </c>
      <c r="D4038" s="351">
        <v>46113</v>
      </c>
      <c r="E4038" s="340" t="s">
        <v>2899</v>
      </c>
      <c r="F4038" s="340" t="s">
        <v>1078</v>
      </c>
      <c r="G4038" s="340" t="s">
        <v>2535</v>
      </c>
      <c r="H4038" s="340"/>
      <c r="I4038" s="340" t="s">
        <v>771</v>
      </c>
      <c r="K4038" s="343">
        <v>1.82</v>
      </c>
      <c r="L4038" s="343">
        <v>0</v>
      </c>
      <c r="M4038" s="343">
        <v>-815099.71</v>
      </c>
      <c r="O4038" s="343">
        <v>0</v>
      </c>
    </row>
    <row r="4039" spans="1:15" x14ac:dyDescent="0.3">
      <c r="A4039" s="340" t="s">
        <v>891</v>
      </c>
      <c r="B4039" s="350">
        <v>46130</v>
      </c>
      <c r="C4039" s="350">
        <v>46131</v>
      </c>
      <c r="D4039" s="351">
        <v>46113</v>
      </c>
      <c r="E4039" s="340" t="s">
        <v>2899</v>
      </c>
      <c r="F4039" s="340" t="s">
        <v>1078</v>
      </c>
      <c r="G4039" s="340" t="s">
        <v>2536</v>
      </c>
      <c r="H4039" s="340"/>
      <c r="I4039" s="340" t="s">
        <v>771</v>
      </c>
      <c r="K4039" s="343">
        <v>3.57</v>
      </c>
      <c r="L4039" s="343">
        <v>0</v>
      </c>
      <c r="M4039" s="343">
        <v>-815096.14</v>
      </c>
      <c r="O4039" s="343">
        <v>0</v>
      </c>
    </row>
    <row r="4040" spans="1:15" x14ac:dyDescent="0.3">
      <c r="A4040" s="340" t="s">
        <v>891</v>
      </c>
      <c r="B4040" s="350">
        <v>46130</v>
      </c>
      <c r="C4040" s="350">
        <v>46131</v>
      </c>
      <c r="D4040" s="351">
        <v>46113</v>
      </c>
      <c r="E4040" s="340" t="s">
        <v>2899</v>
      </c>
      <c r="F4040" s="340" t="s">
        <v>1078</v>
      </c>
      <c r="G4040" s="340" t="s">
        <v>2537</v>
      </c>
      <c r="H4040" s="340"/>
      <c r="I4040" s="340" t="s">
        <v>771</v>
      </c>
      <c r="K4040" s="343">
        <v>175</v>
      </c>
      <c r="L4040" s="343">
        <v>0</v>
      </c>
      <c r="M4040" s="343">
        <v>-814921.14</v>
      </c>
      <c r="O4040" s="343">
        <v>0</v>
      </c>
    </row>
    <row r="4041" spans="1:15" x14ac:dyDescent="0.3">
      <c r="A4041" s="340" t="s">
        <v>891</v>
      </c>
      <c r="B4041" s="350">
        <v>46130</v>
      </c>
      <c r="C4041" s="350">
        <v>46131</v>
      </c>
      <c r="D4041" s="351">
        <v>46113</v>
      </c>
      <c r="E4041" s="340" t="s">
        <v>2900</v>
      </c>
      <c r="F4041" s="340" t="s">
        <v>1078</v>
      </c>
      <c r="G4041" s="340" t="s">
        <v>2774</v>
      </c>
      <c r="H4041" s="340"/>
      <c r="I4041" s="340" t="s">
        <v>742</v>
      </c>
      <c r="K4041" s="343">
        <v>1.02</v>
      </c>
      <c r="L4041" s="343">
        <v>0</v>
      </c>
      <c r="M4041" s="343">
        <v>-814920.12</v>
      </c>
      <c r="O4041" s="343">
        <v>0</v>
      </c>
    </row>
    <row r="4042" spans="1:15" x14ac:dyDescent="0.3">
      <c r="A4042" s="340" t="s">
        <v>891</v>
      </c>
      <c r="B4042" s="350">
        <v>46130</v>
      </c>
      <c r="C4042" s="350">
        <v>46131</v>
      </c>
      <c r="D4042" s="351">
        <v>46113</v>
      </c>
      <c r="E4042" s="340" t="s">
        <v>2900</v>
      </c>
      <c r="F4042" s="340" t="s">
        <v>1078</v>
      </c>
      <c r="G4042" s="340" t="s">
        <v>2780</v>
      </c>
      <c r="H4042" s="340"/>
      <c r="I4042" s="340" t="s">
        <v>742</v>
      </c>
      <c r="K4042" s="343">
        <v>2645.6</v>
      </c>
      <c r="L4042" s="343">
        <v>0</v>
      </c>
      <c r="M4042" s="343">
        <v>-812274.52</v>
      </c>
      <c r="O4042" s="343">
        <v>0</v>
      </c>
    </row>
    <row r="4043" spans="1:15" x14ac:dyDescent="0.3">
      <c r="A4043" s="340" t="s">
        <v>891</v>
      </c>
      <c r="B4043" s="350">
        <v>46130</v>
      </c>
      <c r="C4043" s="350">
        <v>46131</v>
      </c>
      <c r="D4043" s="351">
        <v>46113</v>
      </c>
      <c r="E4043" s="340" t="s">
        <v>2900</v>
      </c>
      <c r="F4043" s="340" t="s">
        <v>1078</v>
      </c>
      <c r="G4043" s="340" t="s">
        <v>2779</v>
      </c>
      <c r="H4043" s="340"/>
      <c r="I4043" s="340" t="s">
        <v>742</v>
      </c>
      <c r="K4043" s="343">
        <v>505.52</v>
      </c>
      <c r="L4043" s="343">
        <v>0</v>
      </c>
      <c r="M4043" s="343">
        <v>-811769</v>
      </c>
      <c r="O4043" s="343">
        <v>0</v>
      </c>
    </row>
    <row r="4044" spans="1:15" x14ac:dyDescent="0.3">
      <c r="A4044" s="340" t="s">
        <v>891</v>
      </c>
      <c r="B4044" s="350">
        <v>46130</v>
      </c>
      <c r="C4044" s="350">
        <v>46131</v>
      </c>
      <c r="D4044" s="351">
        <v>46113</v>
      </c>
      <c r="E4044" s="340" t="s">
        <v>2900</v>
      </c>
      <c r="F4044" s="340" t="s">
        <v>1078</v>
      </c>
      <c r="G4044" s="340" t="s">
        <v>2783</v>
      </c>
      <c r="H4044" s="340"/>
      <c r="I4044" s="340" t="s">
        <v>742</v>
      </c>
      <c r="K4044" s="343">
        <v>197.9</v>
      </c>
      <c r="L4044" s="343">
        <v>0</v>
      </c>
      <c r="M4044" s="343">
        <v>-811571.1</v>
      </c>
      <c r="O4044" s="343">
        <v>0</v>
      </c>
    </row>
    <row r="4045" spans="1:15" x14ac:dyDescent="0.3">
      <c r="A4045" s="340" t="s">
        <v>891</v>
      </c>
      <c r="B4045" s="350">
        <v>46130</v>
      </c>
      <c r="C4045" s="350">
        <v>46131</v>
      </c>
      <c r="D4045" s="351">
        <v>46113</v>
      </c>
      <c r="E4045" s="340" t="s">
        <v>2900</v>
      </c>
      <c r="F4045" s="340" t="s">
        <v>1078</v>
      </c>
      <c r="G4045" s="340" t="s">
        <v>2778</v>
      </c>
      <c r="H4045" s="340"/>
      <c r="I4045" s="340" t="s">
        <v>742</v>
      </c>
      <c r="K4045" s="343">
        <v>158.32</v>
      </c>
      <c r="L4045" s="343">
        <v>0</v>
      </c>
      <c r="M4045" s="343">
        <v>-811412.78</v>
      </c>
      <c r="O4045" s="343">
        <v>0</v>
      </c>
    </row>
    <row r="4046" spans="1:15" x14ac:dyDescent="0.3">
      <c r="A4046" s="340" t="s">
        <v>891</v>
      </c>
      <c r="B4046" s="350">
        <v>46130</v>
      </c>
      <c r="C4046" s="350">
        <v>46131</v>
      </c>
      <c r="D4046" s="351">
        <v>46113</v>
      </c>
      <c r="E4046" s="340" t="s">
        <v>2900</v>
      </c>
      <c r="F4046" s="340" t="s">
        <v>1078</v>
      </c>
      <c r="G4046" s="340" t="s">
        <v>2772</v>
      </c>
      <c r="H4046" s="340"/>
      <c r="I4046" s="340" t="s">
        <v>742</v>
      </c>
      <c r="K4046" s="343">
        <v>88.01</v>
      </c>
      <c r="L4046" s="343">
        <v>0</v>
      </c>
      <c r="M4046" s="343">
        <v>-811324.77</v>
      </c>
      <c r="O4046" s="343">
        <v>0</v>
      </c>
    </row>
    <row r="4047" spans="1:15" x14ac:dyDescent="0.3">
      <c r="A4047" s="340" t="s">
        <v>891</v>
      </c>
      <c r="B4047" s="350">
        <v>46130</v>
      </c>
      <c r="C4047" s="350">
        <v>46131</v>
      </c>
      <c r="D4047" s="351">
        <v>46113</v>
      </c>
      <c r="E4047" s="340" t="s">
        <v>2900</v>
      </c>
      <c r="F4047" s="340" t="s">
        <v>1078</v>
      </c>
      <c r="G4047" s="340" t="s">
        <v>2777</v>
      </c>
      <c r="H4047" s="340"/>
      <c r="I4047" s="340" t="s">
        <v>742</v>
      </c>
      <c r="K4047" s="343">
        <v>69.209999999999994</v>
      </c>
      <c r="L4047" s="343">
        <v>0</v>
      </c>
      <c r="M4047" s="343">
        <v>-811255.56</v>
      </c>
      <c r="O4047" s="343">
        <v>0</v>
      </c>
    </row>
    <row r="4048" spans="1:15" x14ac:dyDescent="0.3">
      <c r="A4048" s="340" t="s">
        <v>891</v>
      </c>
      <c r="B4048" s="350">
        <v>46130</v>
      </c>
      <c r="C4048" s="350">
        <v>46131</v>
      </c>
      <c r="D4048" s="351">
        <v>46113</v>
      </c>
      <c r="E4048" s="340" t="s">
        <v>2900</v>
      </c>
      <c r="F4048" s="340" t="s">
        <v>1078</v>
      </c>
      <c r="G4048" s="340" t="s">
        <v>2776</v>
      </c>
      <c r="H4048" s="340"/>
      <c r="I4048" s="340" t="s">
        <v>742</v>
      </c>
      <c r="K4048" s="343">
        <v>63.21</v>
      </c>
      <c r="L4048" s="343">
        <v>0</v>
      </c>
      <c r="M4048" s="343">
        <v>-811192.35</v>
      </c>
      <c r="O4048" s="343">
        <v>0</v>
      </c>
    </row>
    <row r="4049" spans="1:15" x14ac:dyDescent="0.3">
      <c r="A4049" s="340" t="s">
        <v>891</v>
      </c>
      <c r="B4049" s="350">
        <v>46130</v>
      </c>
      <c r="C4049" s="350">
        <v>46131</v>
      </c>
      <c r="D4049" s="351">
        <v>46113</v>
      </c>
      <c r="E4049" s="340" t="s">
        <v>2900</v>
      </c>
      <c r="F4049" s="340" t="s">
        <v>1078</v>
      </c>
      <c r="G4049" s="340" t="s">
        <v>2775</v>
      </c>
      <c r="H4049" s="340"/>
      <c r="I4049" s="340" t="s">
        <v>742</v>
      </c>
      <c r="K4049" s="343">
        <v>31.66</v>
      </c>
      <c r="L4049" s="343">
        <v>0</v>
      </c>
      <c r="M4049" s="343">
        <v>-811160.69</v>
      </c>
      <c r="O4049" s="343">
        <v>0</v>
      </c>
    </row>
    <row r="4050" spans="1:15" x14ac:dyDescent="0.3">
      <c r="A4050" s="340" t="s">
        <v>891</v>
      </c>
      <c r="B4050" s="350">
        <v>46130</v>
      </c>
      <c r="C4050" s="350">
        <v>46131</v>
      </c>
      <c r="D4050" s="351">
        <v>46113</v>
      </c>
      <c r="E4050" s="340" t="s">
        <v>2900</v>
      </c>
      <c r="F4050" s="340" t="s">
        <v>1078</v>
      </c>
      <c r="G4050" s="340" t="s">
        <v>2782</v>
      </c>
      <c r="H4050" s="340"/>
      <c r="I4050" s="340" t="s">
        <v>742</v>
      </c>
      <c r="K4050" s="343">
        <v>31.66</v>
      </c>
      <c r="L4050" s="343">
        <v>0</v>
      </c>
      <c r="M4050" s="343">
        <v>-811129.03</v>
      </c>
      <c r="O4050" s="343">
        <v>0</v>
      </c>
    </row>
    <row r="4051" spans="1:15" x14ac:dyDescent="0.3">
      <c r="A4051" s="340" t="s">
        <v>891</v>
      </c>
      <c r="B4051" s="350">
        <v>46130</v>
      </c>
      <c r="C4051" s="350">
        <v>46131</v>
      </c>
      <c r="D4051" s="351">
        <v>46113</v>
      </c>
      <c r="E4051" s="340" t="s">
        <v>2900</v>
      </c>
      <c r="F4051" s="340" t="s">
        <v>1078</v>
      </c>
      <c r="G4051" s="340" t="s">
        <v>2773</v>
      </c>
      <c r="H4051" s="340"/>
      <c r="I4051" s="340" t="s">
        <v>742</v>
      </c>
      <c r="K4051" s="343">
        <v>0.02</v>
      </c>
      <c r="L4051" s="343">
        <v>0</v>
      </c>
      <c r="M4051" s="343">
        <v>-811129.01</v>
      </c>
      <c r="O4051" s="343">
        <v>0</v>
      </c>
    </row>
    <row r="4052" spans="1:15" x14ac:dyDescent="0.3">
      <c r="A4052" s="340" t="s">
        <v>891</v>
      </c>
      <c r="B4052" s="350">
        <v>46130</v>
      </c>
      <c r="C4052" s="350">
        <v>46131</v>
      </c>
      <c r="D4052" s="351">
        <v>46113</v>
      </c>
      <c r="E4052" s="340" t="s">
        <v>2900</v>
      </c>
      <c r="F4052" s="340" t="s">
        <v>1078</v>
      </c>
      <c r="G4052" s="340" t="s">
        <v>2780</v>
      </c>
      <c r="H4052" s="340"/>
      <c r="I4052" s="340" t="s">
        <v>742</v>
      </c>
      <c r="K4052" s="343">
        <v>1132.21</v>
      </c>
      <c r="L4052" s="343">
        <v>0</v>
      </c>
      <c r="M4052" s="343">
        <v>-809996.80000000005</v>
      </c>
      <c r="O4052" s="343">
        <v>0</v>
      </c>
    </row>
    <row r="4053" spans="1:15" x14ac:dyDescent="0.3">
      <c r="A4053" s="340" t="s">
        <v>891</v>
      </c>
      <c r="B4053" s="350">
        <v>46130</v>
      </c>
      <c r="C4053" s="350">
        <v>46131</v>
      </c>
      <c r="D4053" s="351">
        <v>46113</v>
      </c>
      <c r="E4053" s="340" t="s">
        <v>2900</v>
      </c>
      <c r="F4053" s="340" t="s">
        <v>1078</v>
      </c>
      <c r="G4053" s="340" t="s">
        <v>2779</v>
      </c>
      <c r="H4053" s="340"/>
      <c r="I4053" s="340" t="s">
        <v>742</v>
      </c>
      <c r="K4053" s="343">
        <v>216.34</v>
      </c>
      <c r="L4053" s="343">
        <v>0</v>
      </c>
      <c r="M4053" s="343">
        <v>-809780.46</v>
      </c>
      <c r="O4053" s="343">
        <v>0</v>
      </c>
    </row>
    <row r="4054" spans="1:15" x14ac:dyDescent="0.3">
      <c r="A4054" s="340" t="s">
        <v>891</v>
      </c>
      <c r="B4054" s="350">
        <v>46130</v>
      </c>
      <c r="C4054" s="350">
        <v>46131</v>
      </c>
      <c r="D4054" s="351">
        <v>46113</v>
      </c>
      <c r="E4054" s="340" t="s">
        <v>2900</v>
      </c>
      <c r="F4054" s="340" t="s">
        <v>1078</v>
      </c>
      <c r="G4054" s="340" t="s">
        <v>2772</v>
      </c>
      <c r="H4054" s="340"/>
      <c r="I4054" s="340" t="s">
        <v>742</v>
      </c>
      <c r="K4054" s="343">
        <v>88.01</v>
      </c>
      <c r="L4054" s="343">
        <v>0</v>
      </c>
      <c r="M4054" s="343">
        <v>-809692.45</v>
      </c>
      <c r="O4054" s="343">
        <v>0</v>
      </c>
    </row>
    <row r="4055" spans="1:15" x14ac:dyDescent="0.3">
      <c r="A4055" s="340" t="s">
        <v>891</v>
      </c>
      <c r="B4055" s="350">
        <v>46130</v>
      </c>
      <c r="C4055" s="350">
        <v>46131</v>
      </c>
      <c r="D4055" s="351">
        <v>46113</v>
      </c>
      <c r="E4055" s="340" t="s">
        <v>2900</v>
      </c>
      <c r="F4055" s="340" t="s">
        <v>1078</v>
      </c>
      <c r="G4055" s="340" t="s">
        <v>2778</v>
      </c>
      <c r="H4055" s="340"/>
      <c r="I4055" s="340" t="s">
        <v>742</v>
      </c>
      <c r="K4055" s="343">
        <v>70.45</v>
      </c>
      <c r="L4055" s="343">
        <v>0</v>
      </c>
      <c r="M4055" s="343">
        <v>-809622</v>
      </c>
      <c r="O4055" s="343">
        <v>0</v>
      </c>
    </row>
    <row r="4056" spans="1:15" x14ac:dyDescent="0.3">
      <c r="A4056" s="340" t="s">
        <v>891</v>
      </c>
      <c r="B4056" s="350">
        <v>46130</v>
      </c>
      <c r="C4056" s="350">
        <v>46131</v>
      </c>
      <c r="D4056" s="351">
        <v>46113</v>
      </c>
      <c r="E4056" s="340" t="s">
        <v>2900</v>
      </c>
      <c r="F4056" s="340" t="s">
        <v>1078</v>
      </c>
      <c r="G4056" s="340" t="s">
        <v>2777</v>
      </c>
      <c r="H4056" s="340"/>
      <c r="I4056" s="340" t="s">
        <v>742</v>
      </c>
      <c r="K4056" s="343">
        <v>29.62</v>
      </c>
      <c r="L4056" s="343">
        <v>0</v>
      </c>
      <c r="M4056" s="343">
        <v>-809592.38</v>
      </c>
      <c r="O4056" s="343">
        <v>0</v>
      </c>
    </row>
    <row r="4057" spans="1:15" x14ac:dyDescent="0.3">
      <c r="A4057" s="340" t="s">
        <v>891</v>
      </c>
      <c r="B4057" s="350">
        <v>46130</v>
      </c>
      <c r="C4057" s="350">
        <v>46131</v>
      </c>
      <c r="D4057" s="351">
        <v>46113</v>
      </c>
      <c r="E4057" s="340" t="s">
        <v>2900</v>
      </c>
      <c r="F4057" s="340" t="s">
        <v>1078</v>
      </c>
      <c r="G4057" s="340" t="s">
        <v>2776</v>
      </c>
      <c r="H4057" s="340"/>
      <c r="I4057" s="340" t="s">
        <v>742</v>
      </c>
      <c r="K4057" s="343">
        <v>28.13</v>
      </c>
      <c r="L4057" s="343">
        <v>0</v>
      </c>
      <c r="M4057" s="343">
        <v>-809564.25</v>
      </c>
      <c r="O4057" s="343">
        <v>0</v>
      </c>
    </row>
    <row r="4058" spans="1:15" x14ac:dyDescent="0.3">
      <c r="A4058" s="340" t="s">
        <v>891</v>
      </c>
      <c r="B4058" s="350">
        <v>46130</v>
      </c>
      <c r="C4058" s="350">
        <v>46131</v>
      </c>
      <c r="D4058" s="351">
        <v>46113</v>
      </c>
      <c r="E4058" s="340" t="s">
        <v>2900</v>
      </c>
      <c r="F4058" s="340" t="s">
        <v>1078</v>
      </c>
      <c r="G4058" s="340" t="s">
        <v>2775</v>
      </c>
      <c r="H4058" s="340"/>
      <c r="I4058" s="340" t="s">
        <v>742</v>
      </c>
      <c r="K4058" s="343">
        <v>14.09</v>
      </c>
      <c r="L4058" s="343">
        <v>0</v>
      </c>
      <c r="M4058" s="343">
        <v>-809550.16</v>
      </c>
      <c r="O4058" s="343">
        <v>0</v>
      </c>
    </row>
    <row r="4059" spans="1:15" x14ac:dyDescent="0.3">
      <c r="A4059" s="340" t="s">
        <v>891</v>
      </c>
      <c r="B4059" s="350">
        <v>46130</v>
      </c>
      <c r="C4059" s="350">
        <v>46131</v>
      </c>
      <c r="D4059" s="351">
        <v>46113</v>
      </c>
      <c r="E4059" s="340" t="s">
        <v>2900</v>
      </c>
      <c r="F4059" s="340" t="s">
        <v>1078</v>
      </c>
      <c r="G4059" s="340" t="s">
        <v>2774</v>
      </c>
      <c r="H4059" s="340"/>
      <c r="I4059" s="340" t="s">
        <v>742</v>
      </c>
      <c r="K4059" s="343">
        <v>0.26</v>
      </c>
      <c r="L4059" s="343">
        <v>0</v>
      </c>
      <c r="M4059" s="343">
        <v>-809549.9</v>
      </c>
      <c r="O4059" s="343">
        <v>0</v>
      </c>
    </row>
    <row r="4060" spans="1:15" x14ac:dyDescent="0.3">
      <c r="A4060" s="340" t="s">
        <v>891</v>
      </c>
      <c r="B4060" s="350">
        <v>46130</v>
      </c>
      <c r="C4060" s="350">
        <v>46131</v>
      </c>
      <c r="D4060" s="351">
        <v>46113</v>
      </c>
      <c r="E4060" s="340" t="s">
        <v>2901</v>
      </c>
      <c r="F4060" s="340" t="s">
        <v>1078</v>
      </c>
      <c r="G4060" s="340" t="s">
        <v>2774</v>
      </c>
      <c r="H4060" s="340"/>
      <c r="I4060" s="340" t="s">
        <v>742</v>
      </c>
      <c r="K4060" s="343">
        <v>0.39</v>
      </c>
      <c r="L4060" s="343">
        <v>0</v>
      </c>
      <c r="M4060" s="343">
        <v>-809549.51</v>
      </c>
      <c r="O4060" s="343">
        <v>0</v>
      </c>
    </row>
    <row r="4061" spans="1:15" x14ac:dyDescent="0.3">
      <c r="A4061" s="340" t="s">
        <v>891</v>
      </c>
      <c r="B4061" s="350">
        <v>46130</v>
      </c>
      <c r="C4061" s="350">
        <v>46131</v>
      </c>
      <c r="D4061" s="351">
        <v>46113</v>
      </c>
      <c r="E4061" s="340" t="s">
        <v>2902</v>
      </c>
      <c r="F4061" s="340" t="s">
        <v>1078</v>
      </c>
      <c r="G4061" s="340" t="s">
        <v>2774</v>
      </c>
      <c r="H4061" s="340"/>
      <c r="I4061" s="340" t="s">
        <v>742</v>
      </c>
      <c r="K4061" s="343">
        <v>0.37</v>
      </c>
      <c r="L4061" s="343">
        <v>0</v>
      </c>
      <c r="M4061" s="343">
        <v>-809549.14</v>
      </c>
      <c r="O4061" s="343">
        <v>0</v>
      </c>
    </row>
    <row r="4062" spans="1:15" x14ac:dyDescent="0.3">
      <c r="A4062" s="340" t="s">
        <v>891</v>
      </c>
      <c r="B4062" s="350">
        <v>46130</v>
      </c>
      <c r="C4062" s="350">
        <v>46131</v>
      </c>
      <c r="D4062" s="351">
        <v>46113</v>
      </c>
      <c r="E4062" s="340" t="s">
        <v>2902</v>
      </c>
      <c r="F4062" s="340" t="s">
        <v>1078</v>
      </c>
      <c r="G4062" s="340" t="s">
        <v>2773</v>
      </c>
      <c r="H4062" s="340"/>
      <c r="I4062" s="340" t="s">
        <v>742</v>
      </c>
      <c r="K4062" s="343">
        <v>0.02</v>
      </c>
      <c r="L4062" s="343">
        <v>0</v>
      </c>
      <c r="M4062" s="343">
        <v>-809549.12</v>
      </c>
      <c r="O4062" s="343">
        <v>0</v>
      </c>
    </row>
    <row r="4063" spans="1:15" x14ac:dyDescent="0.3">
      <c r="A4063" s="340" t="s">
        <v>891</v>
      </c>
      <c r="B4063" s="350">
        <v>46130</v>
      </c>
      <c r="C4063" s="350">
        <v>46131</v>
      </c>
      <c r="D4063" s="351">
        <v>46113</v>
      </c>
      <c r="E4063" s="340" t="s">
        <v>2901</v>
      </c>
      <c r="F4063" s="340" t="s">
        <v>1078</v>
      </c>
      <c r="G4063" s="340" t="s">
        <v>2774</v>
      </c>
      <c r="H4063" s="340"/>
      <c r="I4063" s="340" t="s">
        <v>742</v>
      </c>
      <c r="K4063" s="343">
        <v>0</v>
      </c>
      <c r="L4063" s="343">
        <v>-0.39</v>
      </c>
      <c r="M4063" s="343">
        <v>-809549.51</v>
      </c>
      <c r="O4063" s="343">
        <v>0</v>
      </c>
    </row>
    <row r="4064" spans="1:15" x14ac:dyDescent="0.3">
      <c r="A4064" s="340" t="s">
        <v>891</v>
      </c>
      <c r="B4064" s="350">
        <v>46130</v>
      </c>
      <c r="C4064" s="350">
        <v>46131</v>
      </c>
      <c r="D4064" s="351">
        <v>46113</v>
      </c>
      <c r="E4064" s="340" t="s">
        <v>2902</v>
      </c>
      <c r="F4064" s="340" t="s">
        <v>1078</v>
      </c>
      <c r="G4064" s="340" t="s">
        <v>2774</v>
      </c>
      <c r="H4064" s="340"/>
      <c r="I4064" s="340" t="s">
        <v>742</v>
      </c>
      <c r="K4064" s="343">
        <v>0</v>
      </c>
      <c r="L4064" s="343">
        <v>-0.37</v>
      </c>
      <c r="M4064" s="343">
        <v>-809549.88</v>
      </c>
      <c r="O4064" s="343">
        <v>0</v>
      </c>
    </row>
    <row r="4065" spans="1:15" x14ac:dyDescent="0.3">
      <c r="A4065" s="340" t="s">
        <v>891</v>
      </c>
      <c r="B4065" s="350">
        <v>46130</v>
      </c>
      <c r="C4065" s="350">
        <v>46131</v>
      </c>
      <c r="D4065" s="351">
        <v>46113</v>
      </c>
      <c r="E4065" s="340" t="s">
        <v>2902</v>
      </c>
      <c r="F4065" s="340" t="s">
        <v>1078</v>
      </c>
      <c r="G4065" s="340" t="s">
        <v>2773</v>
      </c>
      <c r="H4065" s="340"/>
      <c r="I4065" s="340" t="s">
        <v>742</v>
      </c>
      <c r="K4065" s="343">
        <v>0</v>
      </c>
      <c r="L4065" s="343">
        <v>-0.02</v>
      </c>
      <c r="M4065" s="343">
        <v>-809549.9</v>
      </c>
      <c r="O4065" s="343">
        <v>0</v>
      </c>
    </row>
    <row r="4066" spans="1:15" x14ac:dyDescent="0.3">
      <c r="A4066" s="340" t="s">
        <v>891</v>
      </c>
      <c r="B4066" s="350">
        <v>46130</v>
      </c>
      <c r="C4066" s="350">
        <v>46139</v>
      </c>
      <c r="D4066" s="351">
        <v>46113</v>
      </c>
      <c r="E4066" s="340" t="s">
        <v>2903</v>
      </c>
      <c r="F4066" s="340" t="s">
        <v>894</v>
      </c>
      <c r="G4066" s="340" t="s">
        <v>2904</v>
      </c>
      <c r="H4066" s="340"/>
      <c r="I4066" s="340" t="s">
        <v>765</v>
      </c>
      <c r="K4066" s="343">
        <v>0</v>
      </c>
      <c r="L4066" s="343">
        <v>-693.91</v>
      </c>
      <c r="M4066" s="343">
        <v>-810243.81</v>
      </c>
      <c r="O4066" s="343">
        <v>0</v>
      </c>
    </row>
    <row r="4067" spans="1:15" x14ac:dyDescent="0.3">
      <c r="A4067" s="340" t="s">
        <v>891</v>
      </c>
      <c r="B4067" s="350">
        <v>46131</v>
      </c>
      <c r="C4067" s="350">
        <v>46132</v>
      </c>
      <c r="D4067" s="351">
        <v>46113</v>
      </c>
      <c r="E4067" s="340" t="s">
        <v>2905</v>
      </c>
      <c r="F4067" s="340" t="s">
        <v>894</v>
      </c>
      <c r="G4067" s="340" t="s">
        <v>2906</v>
      </c>
      <c r="H4067" s="340"/>
      <c r="I4067" s="340" t="s">
        <v>740</v>
      </c>
      <c r="K4067" s="343">
        <v>0</v>
      </c>
      <c r="L4067" s="343">
        <v>-146.13999999999999</v>
      </c>
      <c r="M4067" s="343">
        <v>-810389.95</v>
      </c>
      <c r="O4067" s="343">
        <v>0</v>
      </c>
    </row>
    <row r="4068" spans="1:15" x14ac:dyDescent="0.3">
      <c r="A4068" s="340" t="s">
        <v>891</v>
      </c>
      <c r="B4068" s="350">
        <v>46131</v>
      </c>
      <c r="C4068" s="350">
        <v>46132</v>
      </c>
      <c r="D4068" s="351">
        <v>46113</v>
      </c>
      <c r="E4068" s="340" t="s">
        <v>2907</v>
      </c>
      <c r="F4068" s="340" t="s">
        <v>894</v>
      </c>
      <c r="G4068" s="340" t="s">
        <v>2908</v>
      </c>
      <c r="H4068" s="340"/>
      <c r="I4068" s="340" t="s">
        <v>740</v>
      </c>
      <c r="K4068" s="343">
        <v>0</v>
      </c>
      <c r="L4068" s="343">
        <v>-920</v>
      </c>
      <c r="M4068" s="343">
        <v>-811309.95</v>
      </c>
      <c r="O4068" s="343">
        <v>0</v>
      </c>
    </row>
    <row r="4069" spans="1:15" x14ac:dyDescent="0.3">
      <c r="A4069" s="340" t="s">
        <v>891</v>
      </c>
      <c r="B4069" s="350">
        <v>46131</v>
      </c>
      <c r="C4069" s="350">
        <v>46132</v>
      </c>
      <c r="D4069" s="351">
        <v>46113</v>
      </c>
      <c r="E4069" s="340" t="s">
        <v>2907</v>
      </c>
      <c r="F4069" s="340" t="s">
        <v>894</v>
      </c>
      <c r="G4069" s="340" t="s">
        <v>2909</v>
      </c>
      <c r="H4069" s="340"/>
      <c r="I4069" s="340" t="s">
        <v>740</v>
      </c>
      <c r="K4069" s="343">
        <v>0</v>
      </c>
      <c r="L4069" s="343">
        <v>-135</v>
      </c>
      <c r="M4069" s="343">
        <v>-811444.95</v>
      </c>
      <c r="O4069" s="343">
        <v>0</v>
      </c>
    </row>
    <row r="4070" spans="1:15" x14ac:dyDescent="0.3">
      <c r="A4070" s="340" t="s">
        <v>891</v>
      </c>
      <c r="B4070" s="350">
        <v>46131</v>
      </c>
      <c r="C4070" s="350">
        <v>46136</v>
      </c>
      <c r="D4070" s="351">
        <v>46113</v>
      </c>
      <c r="E4070" s="340" t="s">
        <v>2910</v>
      </c>
      <c r="F4070" s="340" t="s">
        <v>894</v>
      </c>
      <c r="G4070" s="340" t="s">
        <v>2911</v>
      </c>
      <c r="H4070" s="340"/>
      <c r="I4070" s="340" t="s">
        <v>740</v>
      </c>
      <c r="K4070" s="343">
        <v>0</v>
      </c>
      <c r="L4070" s="343">
        <v>-129.9</v>
      </c>
      <c r="M4070" s="343">
        <v>-811574.85</v>
      </c>
      <c r="O4070" s="343">
        <v>0</v>
      </c>
    </row>
    <row r="4071" spans="1:15" x14ac:dyDescent="0.3">
      <c r="A4071" s="340" t="s">
        <v>891</v>
      </c>
      <c r="B4071" s="350">
        <v>46131</v>
      </c>
      <c r="C4071" s="350">
        <v>46136</v>
      </c>
      <c r="D4071" s="351">
        <v>46113</v>
      </c>
      <c r="E4071" s="340" t="s">
        <v>2910</v>
      </c>
      <c r="F4071" s="340" t="s">
        <v>894</v>
      </c>
      <c r="G4071" s="340" t="s">
        <v>1499</v>
      </c>
      <c r="H4071" s="340"/>
      <c r="I4071" s="340" t="s">
        <v>740</v>
      </c>
      <c r="K4071" s="343">
        <v>0</v>
      </c>
      <c r="L4071" s="343">
        <v>-15</v>
      </c>
      <c r="M4071" s="343">
        <v>-811589.85</v>
      </c>
      <c r="O4071" s="343">
        <v>0</v>
      </c>
    </row>
    <row r="4072" spans="1:15" x14ac:dyDescent="0.3">
      <c r="A4072" s="340" t="s">
        <v>891</v>
      </c>
      <c r="B4072" s="350">
        <v>46131</v>
      </c>
      <c r="C4072" s="350">
        <v>46136</v>
      </c>
      <c r="D4072" s="351">
        <v>46113</v>
      </c>
      <c r="E4072" s="340" t="s">
        <v>2912</v>
      </c>
      <c r="F4072" s="340" t="s">
        <v>894</v>
      </c>
      <c r="G4072" s="340" t="s">
        <v>2913</v>
      </c>
      <c r="H4072" s="340"/>
      <c r="I4072" s="340" t="s">
        <v>740</v>
      </c>
      <c r="K4072" s="343">
        <v>0</v>
      </c>
      <c r="L4072" s="343">
        <v>-129.9</v>
      </c>
      <c r="M4072" s="343">
        <v>-811719.75</v>
      </c>
      <c r="O4072" s="343">
        <v>0</v>
      </c>
    </row>
    <row r="4073" spans="1:15" x14ac:dyDescent="0.3">
      <c r="A4073" s="340" t="s">
        <v>891</v>
      </c>
      <c r="B4073" s="350">
        <v>46131</v>
      </c>
      <c r="C4073" s="350">
        <v>46136</v>
      </c>
      <c r="D4073" s="351">
        <v>46113</v>
      </c>
      <c r="E4073" s="340" t="s">
        <v>2912</v>
      </c>
      <c r="F4073" s="340" t="s">
        <v>894</v>
      </c>
      <c r="G4073" s="340" t="s">
        <v>1984</v>
      </c>
      <c r="H4073" s="340"/>
      <c r="I4073" s="340" t="s">
        <v>740</v>
      </c>
      <c r="K4073" s="343">
        <v>0</v>
      </c>
      <c r="L4073" s="343">
        <v>-35</v>
      </c>
      <c r="M4073" s="343">
        <v>-811754.75</v>
      </c>
      <c r="O4073" s="343">
        <v>0</v>
      </c>
    </row>
    <row r="4074" spans="1:15" x14ac:dyDescent="0.3">
      <c r="A4074" s="340" t="s">
        <v>891</v>
      </c>
      <c r="B4074" s="350">
        <v>46131</v>
      </c>
      <c r="C4074" s="350">
        <v>46139</v>
      </c>
      <c r="D4074" s="351">
        <v>46113</v>
      </c>
      <c r="E4074" s="340" t="s">
        <v>2914</v>
      </c>
      <c r="F4074" s="340" t="s">
        <v>894</v>
      </c>
      <c r="G4074" s="340" t="s">
        <v>1881</v>
      </c>
      <c r="H4074" s="340"/>
      <c r="I4074" s="340" t="s">
        <v>756</v>
      </c>
      <c r="K4074" s="343">
        <v>0</v>
      </c>
      <c r="L4074" s="343">
        <v>-941.99</v>
      </c>
      <c r="M4074" s="343">
        <v>-812696.74</v>
      </c>
      <c r="O4074" s="343">
        <v>0</v>
      </c>
    </row>
    <row r="4075" spans="1:15" x14ac:dyDescent="0.3">
      <c r="A4075" s="340" t="s">
        <v>891</v>
      </c>
      <c r="B4075" s="350">
        <v>46131</v>
      </c>
      <c r="C4075" s="350">
        <v>46140</v>
      </c>
      <c r="D4075" s="351">
        <v>46113</v>
      </c>
      <c r="E4075" s="340" t="s">
        <v>2915</v>
      </c>
      <c r="F4075" s="340" t="s">
        <v>894</v>
      </c>
      <c r="G4075" s="340" t="s">
        <v>2916</v>
      </c>
      <c r="H4075" s="340"/>
      <c r="I4075" s="340" t="s">
        <v>740</v>
      </c>
      <c r="K4075" s="343">
        <v>0</v>
      </c>
      <c r="L4075" s="343">
        <v>-180</v>
      </c>
      <c r="M4075" s="343">
        <v>-812876.74</v>
      </c>
      <c r="O4075" s="343">
        <v>0</v>
      </c>
    </row>
    <row r="4076" spans="1:15" x14ac:dyDescent="0.3">
      <c r="A4076" s="340" t="s">
        <v>891</v>
      </c>
      <c r="B4076" s="350">
        <v>46131</v>
      </c>
      <c r="C4076" s="350">
        <v>46140</v>
      </c>
      <c r="D4076" s="351">
        <v>46113</v>
      </c>
      <c r="E4076" s="340" t="s">
        <v>2915</v>
      </c>
      <c r="F4076" s="340" t="s">
        <v>894</v>
      </c>
      <c r="G4076" s="340" t="s">
        <v>2917</v>
      </c>
      <c r="H4076" s="340"/>
      <c r="I4076" s="340" t="s">
        <v>740</v>
      </c>
      <c r="K4076" s="343">
        <v>0</v>
      </c>
      <c r="L4076" s="343">
        <v>-180</v>
      </c>
      <c r="M4076" s="343">
        <v>-813056.74</v>
      </c>
      <c r="O4076" s="343">
        <v>0</v>
      </c>
    </row>
    <row r="4077" spans="1:15" x14ac:dyDescent="0.3">
      <c r="A4077" s="340" t="s">
        <v>891</v>
      </c>
      <c r="B4077" s="350">
        <v>46131</v>
      </c>
      <c r="C4077" s="350">
        <v>46140</v>
      </c>
      <c r="D4077" s="351">
        <v>46113</v>
      </c>
      <c r="E4077" s="340" t="s">
        <v>2915</v>
      </c>
      <c r="F4077" s="340" t="s">
        <v>894</v>
      </c>
      <c r="G4077" s="340" t="s">
        <v>2918</v>
      </c>
      <c r="H4077" s="340"/>
      <c r="I4077" s="340" t="s">
        <v>740</v>
      </c>
      <c r="K4077" s="343">
        <v>0</v>
      </c>
      <c r="L4077" s="343">
        <v>-230</v>
      </c>
      <c r="M4077" s="343">
        <v>-813286.74</v>
      </c>
      <c r="O4077" s="343">
        <v>0</v>
      </c>
    </row>
    <row r="4078" spans="1:15" x14ac:dyDescent="0.3">
      <c r="A4078" s="340" t="s">
        <v>891</v>
      </c>
      <c r="B4078" s="350">
        <v>46131</v>
      </c>
      <c r="C4078" s="350">
        <v>46140</v>
      </c>
      <c r="D4078" s="351">
        <v>46113</v>
      </c>
      <c r="E4078" s="340" t="s">
        <v>2915</v>
      </c>
      <c r="F4078" s="340" t="s">
        <v>894</v>
      </c>
      <c r="G4078" s="340" t="s">
        <v>2919</v>
      </c>
      <c r="H4078" s="340"/>
      <c r="I4078" s="340" t="s">
        <v>740</v>
      </c>
      <c r="K4078" s="343">
        <v>0</v>
      </c>
      <c r="L4078" s="343">
        <v>-180</v>
      </c>
      <c r="M4078" s="343">
        <v>-813466.74</v>
      </c>
      <c r="O4078" s="343">
        <v>0</v>
      </c>
    </row>
    <row r="4079" spans="1:15" x14ac:dyDescent="0.3">
      <c r="A4079" s="340" t="s">
        <v>891</v>
      </c>
      <c r="B4079" s="350">
        <v>46131</v>
      </c>
      <c r="C4079" s="350">
        <v>46140</v>
      </c>
      <c r="D4079" s="351">
        <v>46113</v>
      </c>
      <c r="E4079" s="340" t="s">
        <v>2915</v>
      </c>
      <c r="F4079" s="340" t="s">
        <v>894</v>
      </c>
      <c r="G4079" s="340" t="s">
        <v>2920</v>
      </c>
      <c r="H4079" s="340"/>
      <c r="I4079" s="340" t="s">
        <v>740</v>
      </c>
      <c r="K4079" s="343">
        <v>0</v>
      </c>
      <c r="L4079" s="343">
        <v>-180</v>
      </c>
      <c r="M4079" s="343">
        <v>-813646.74</v>
      </c>
      <c r="O4079" s="343">
        <v>0</v>
      </c>
    </row>
    <row r="4080" spans="1:15" x14ac:dyDescent="0.3">
      <c r="A4080" s="340" t="s">
        <v>891</v>
      </c>
      <c r="B4080" s="350">
        <v>46131</v>
      </c>
      <c r="C4080" s="350">
        <v>46140</v>
      </c>
      <c r="D4080" s="351">
        <v>46113</v>
      </c>
      <c r="E4080" s="340" t="s">
        <v>2915</v>
      </c>
      <c r="F4080" s="340" t="s">
        <v>894</v>
      </c>
      <c r="G4080" s="340" t="s">
        <v>2921</v>
      </c>
      <c r="H4080" s="340"/>
      <c r="I4080" s="340" t="s">
        <v>740</v>
      </c>
      <c r="K4080" s="343">
        <v>0</v>
      </c>
      <c r="L4080" s="343">
        <v>-180</v>
      </c>
      <c r="M4080" s="343">
        <v>-813826.74</v>
      </c>
      <c r="O4080" s="343">
        <v>0</v>
      </c>
    </row>
    <row r="4081" spans="1:15" x14ac:dyDescent="0.3">
      <c r="A4081" s="340" t="s">
        <v>891</v>
      </c>
      <c r="B4081" s="350">
        <v>46132</v>
      </c>
      <c r="C4081" s="350">
        <v>46132</v>
      </c>
      <c r="D4081" s="351">
        <v>46113</v>
      </c>
      <c r="E4081" s="340" t="s">
        <v>2922</v>
      </c>
      <c r="F4081" s="340" t="s">
        <v>1078</v>
      </c>
      <c r="G4081" s="340" t="s">
        <v>2632</v>
      </c>
      <c r="H4081" s="340"/>
      <c r="I4081" s="340" t="s">
        <v>762</v>
      </c>
      <c r="K4081" s="343">
        <v>270</v>
      </c>
      <c r="L4081" s="343">
        <v>0</v>
      </c>
      <c r="M4081" s="343">
        <v>-813556.74</v>
      </c>
      <c r="O4081" s="343">
        <v>0</v>
      </c>
    </row>
    <row r="4082" spans="1:15" x14ac:dyDescent="0.3">
      <c r="A4082" s="340" t="s">
        <v>891</v>
      </c>
      <c r="B4082" s="350">
        <v>46132</v>
      </c>
      <c r="C4082" s="350">
        <v>46132</v>
      </c>
      <c r="D4082" s="351">
        <v>46113</v>
      </c>
      <c r="E4082" s="340" t="s">
        <v>2922</v>
      </c>
      <c r="F4082" s="340" t="s">
        <v>1078</v>
      </c>
      <c r="G4082" s="340" t="s">
        <v>2013</v>
      </c>
      <c r="H4082" s="340"/>
      <c r="I4082" s="340" t="s">
        <v>762</v>
      </c>
      <c r="K4082" s="343">
        <v>3135.92</v>
      </c>
      <c r="L4082" s="343">
        <v>0</v>
      </c>
      <c r="M4082" s="343">
        <v>-810420.82</v>
      </c>
      <c r="O4082" s="343">
        <v>0</v>
      </c>
    </row>
    <row r="4083" spans="1:15" x14ac:dyDescent="0.3">
      <c r="A4083" s="340" t="s">
        <v>891</v>
      </c>
      <c r="B4083" s="350">
        <v>46132</v>
      </c>
      <c r="C4083" s="350">
        <v>46132</v>
      </c>
      <c r="D4083" s="351">
        <v>46113</v>
      </c>
      <c r="E4083" s="340" t="s">
        <v>2922</v>
      </c>
      <c r="F4083" s="340" t="s">
        <v>1078</v>
      </c>
      <c r="G4083" s="340" t="s">
        <v>2012</v>
      </c>
      <c r="H4083" s="340"/>
      <c r="I4083" s="340" t="s">
        <v>762</v>
      </c>
      <c r="K4083" s="343">
        <v>252</v>
      </c>
      <c r="L4083" s="343">
        <v>0</v>
      </c>
      <c r="M4083" s="343">
        <v>-810168.82</v>
      </c>
      <c r="O4083" s="343">
        <v>0</v>
      </c>
    </row>
    <row r="4084" spans="1:15" x14ac:dyDescent="0.3">
      <c r="A4084" s="340" t="s">
        <v>891</v>
      </c>
      <c r="B4084" s="350">
        <v>46132</v>
      </c>
      <c r="C4084" s="350">
        <v>46132</v>
      </c>
      <c r="D4084" s="351">
        <v>46113</v>
      </c>
      <c r="E4084" s="340" t="s">
        <v>2923</v>
      </c>
      <c r="F4084" s="340" t="s">
        <v>1078</v>
      </c>
      <c r="G4084" s="340" t="s">
        <v>2871</v>
      </c>
      <c r="H4084" s="340"/>
      <c r="I4084" s="340" t="s">
        <v>2395</v>
      </c>
      <c r="K4084" s="343">
        <v>1075</v>
      </c>
      <c r="L4084" s="343">
        <v>0</v>
      </c>
      <c r="M4084" s="343">
        <v>-809093.82</v>
      </c>
      <c r="O4084" s="343">
        <v>0</v>
      </c>
    </row>
    <row r="4085" spans="1:15" x14ac:dyDescent="0.3">
      <c r="A4085" s="340" t="s">
        <v>891</v>
      </c>
      <c r="B4085" s="350">
        <v>46132</v>
      </c>
      <c r="C4085" s="350">
        <v>46132</v>
      </c>
      <c r="D4085" s="351">
        <v>46113</v>
      </c>
      <c r="E4085" s="340" t="s">
        <v>2923</v>
      </c>
      <c r="F4085" s="340" t="s">
        <v>1078</v>
      </c>
      <c r="G4085" s="340" t="s">
        <v>2869</v>
      </c>
      <c r="H4085" s="340"/>
      <c r="I4085" s="340" t="s">
        <v>2395</v>
      </c>
      <c r="K4085" s="343">
        <v>1075</v>
      </c>
      <c r="L4085" s="343">
        <v>0</v>
      </c>
      <c r="M4085" s="343">
        <v>-808018.82</v>
      </c>
      <c r="O4085" s="343">
        <v>0</v>
      </c>
    </row>
    <row r="4086" spans="1:15" x14ac:dyDescent="0.3">
      <c r="A4086" s="340" t="s">
        <v>891</v>
      </c>
      <c r="B4086" s="350">
        <v>46132</v>
      </c>
      <c r="C4086" s="350">
        <v>46132</v>
      </c>
      <c r="D4086" s="351">
        <v>46113</v>
      </c>
      <c r="E4086" s="340" t="s">
        <v>2924</v>
      </c>
      <c r="F4086" s="340" t="s">
        <v>894</v>
      </c>
      <c r="G4086" s="340" t="s">
        <v>2925</v>
      </c>
      <c r="H4086" s="340"/>
      <c r="I4086" s="340" t="s">
        <v>740</v>
      </c>
      <c r="K4086" s="343">
        <v>0</v>
      </c>
      <c r="L4086" s="343">
        <v>-129.9</v>
      </c>
      <c r="M4086" s="343">
        <v>-808148.72</v>
      </c>
      <c r="O4086" s="343">
        <v>0</v>
      </c>
    </row>
    <row r="4087" spans="1:15" x14ac:dyDescent="0.3">
      <c r="A4087" s="340" t="s">
        <v>891</v>
      </c>
      <c r="B4087" s="350">
        <v>46132</v>
      </c>
      <c r="C4087" s="350">
        <v>46134</v>
      </c>
      <c r="D4087" s="351">
        <v>46113</v>
      </c>
      <c r="E4087" s="340" t="s">
        <v>2926</v>
      </c>
      <c r="F4087" s="340" t="s">
        <v>894</v>
      </c>
      <c r="G4087" s="340" t="s">
        <v>2393</v>
      </c>
      <c r="H4087" s="340"/>
      <c r="I4087" s="340" t="s">
        <v>756</v>
      </c>
      <c r="K4087" s="343">
        <v>0</v>
      </c>
      <c r="L4087" s="343">
        <v>-253.78</v>
      </c>
      <c r="M4087" s="343">
        <v>-808402.5</v>
      </c>
      <c r="O4087" s="343">
        <v>0</v>
      </c>
    </row>
    <row r="4088" spans="1:15" x14ac:dyDescent="0.3">
      <c r="A4088" s="340" t="s">
        <v>891</v>
      </c>
      <c r="B4088" s="350">
        <v>46132</v>
      </c>
      <c r="C4088" s="350">
        <v>46134</v>
      </c>
      <c r="D4088" s="351">
        <v>46113</v>
      </c>
      <c r="E4088" s="340" t="s">
        <v>2926</v>
      </c>
      <c r="F4088" s="340" t="s">
        <v>894</v>
      </c>
      <c r="G4088" s="340" t="s">
        <v>2392</v>
      </c>
      <c r="H4088" s="340"/>
      <c r="I4088" s="340" t="s">
        <v>756</v>
      </c>
      <c r="K4088" s="343">
        <v>0</v>
      </c>
      <c r="L4088" s="343">
        <v>-452.61</v>
      </c>
      <c r="M4088" s="343">
        <v>-808855.11</v>
      </c>
      <c r="O4088" s="343">
        <v>0</v>
      </c>
    </row>
    <row r="4089" spans="1:15" x14ac:dyDescent="0.3">
      <c r="A4089" s="340" t="s">
        <v>891</v>
      </c>
      <c r="B4089" s="350">
        <v>46132</v>
      </c>
      <c r="C4089" s="350">
        <v>46136</v>
      </c>
      <c r="D4089" s="351">
        <v>46113</v>
      </c>
      <c r="E4089" s="340" t="s">
        <v>2927</v>
      </c>
      <c r="F4089" s="340" t="s">
        <v>894</v>
      </c>
      <c r="G4089" s="340" t="s">
        <v>2392</v>
      </c>
      <c r="H4089" s="340"/>
      <c r="I4089" s="340" t="s">
        <v>756</v>
      </c>
      <c r="K4089" s="343">
        <v>0</v>
      </c>
      <c r="L4089" s="343">
        <v>-1357.78</v>
      </c>
      <c r="M4089" s="343">
        <v>-810212.89</v>
      </c>
      <c r="O4089" s="343">
        <v>0</v>
      </c>
    </row>
    <row r="4090" spans="1:15" x14ac:dyDescent="0.3">
      <c r="A4090" s="340" t="s">
        <v>891</v>
      </c>
      <c r="B4090" s="350">
        <v>46132</v>
      </c>
      <c r="C4090" s="350">
        <v>46136</v>
      </c>
      <c r="D4090" s="351">
        <v>46113</v>
      </c>
      <c r="E4090" s="340" t="s">
        <v>2928</v>
      </c>
      <c r="F4090" s="340" t="s">
        <v>894</v>
      </c>
      <c r="G4090" s="340" t="s">
        <v>2140</v>
      </c>
      <c r="H4090" s="340"/>
      <c r="I4090" s="340" t="s">
        <v>756</v>
      </c>
      <c r="K4090" s="343">
        <v>0</v>
      </c>
      <c r="L4090" s="343">
        <v>-3196.35</v>
      </c>
      <c r="M4090" s="343">
        <v>-813409.24</v>
      </c>
      <c r="O4090" s="343">
        <v>0</v>
      </c>
    </row>
    <row r="4091" spans="1:15" x14ac:dyDescent="0.3">
      <c r="A4091" s="340" t="s">
        <v>891</v>
      </c>
      <c r="B4091" s="350">
        <v>46132</v>
      </c>
      <c r="C4091" s="350">
        <v>46136</v>
      </c>
      <c r="D4091" s="351">
        <v>46113</v>
      </c>
      <c r="E4091" s="340" t="s">
        <v>2928</v>
      </c>
      <c r="F4091" s="340" t="s">
        <v>894</v>
      </c>
      <c r="G4091" s="340" t="s">
        <v>2929</v>
      </c>
      <c r="H4091" s="340"/>
      <c r="I4091" s="340" t="s">
        <v>756</v>
      </c>
      <c r="K4091" s="343">
        <v>0</v>
      </c>
      <c r="L4091" s="343">
        <v>-237.98</v>
      </c>
      <c r="M4091" s="343">
        <v>-813647.22</v>
      </c>
      <c r="O4091" s="343">
        <v>0</v>
      </c>
    </row>
    <row r="4092" spans="1:15" x14ac:dyDescent="0.3">
      <c r="A4092" s="340" t="s">
        <v>891</v>
      </c>
      <c r="B4092" s="350">
        <v>46132</v>
      </c>
      <c r="C4092" s="350">
        <v>46136</v>
      </c>
      <c r="D4092" s="351">
        <v>46113</v>
      </c>
      <c r="E4092" s="340" t="s">
        <v>2930</v>
      </c>
      <c r="F4092" s="340" t="s">
        <v>894</v>
      </c>
      <c r="G4092" s="340" t="s">
        <v>2931</v>
      </c>
      <c r="H4092" s="340"/>
      <c r="I4092" s="340" t="s">
        <v>739</v>
      </c>
      <c r="K4092" s="343">
        <v>0</v>
      </c>
      <c r="L4092" s="343">
        <v>-336.93</v>
      </c>
      <c r="M4092" s="343">
        <v>-813984.15</v>
      </c>
      <c r="O4092" s="343">
        <v>0</v>
      </c>
    </row>
    <row r="4093" spans="1:15" x14ac:dyDescent="0.3">
      <c r="A4093" s="340" t="s">
        <v>891</v>
      </c>
      <c r="B4093" s="350">
        <v>46132</v>
      </c>
      <c r="C4093" s="350">
        <v>46136</v>
      </c>
      <c r="D4093" s="351">
        <v>46113</v>
      </c>
      <c r="E4093" s="340" t="s">
        <v>2930</v>
      </c>
      <c r="F4093" s="340" t="s">
        <v>894</v>
      </c>
      <c r="G4093" s="340" t="s">
        <v>2932</v>
      </c>
      <c r="H4093" s="340"/>
      <c r="I4093" s="340" t="s">
        <v>739</v>
      </c>
      <c r="K4093" s="343">
        <v>0</v>
      </c>
      <c r="L4093" s="343">
        <v>-336.94</v>
      </c>
      <c r="M4093" s="343">
        <v>-814321.09</v>
      </c>
      <c r="O4093" s="343">
        <v>0</v>
      </c>
    </row>
    <row r="4094" spans="1:15" x14ac:dyDescent="0.3">
      <c r="A4094" s="340" t="s">
        <v>891</v>
      </c>
      <c r="B4094" s="350">
        <v>46132</v>
      </c>
      <c r="C4094" s="350">
        <v>46136</v>
      </c>
      <c r="D4094" s="351">
        <v>46113</v>
      </c>
      <c r="E4094" s="340" t="s">
        <v>2933</v>
      </c>
      <c r="F4094" s="340" t="s">
        <v>894</v>
      </c>
      <c r="G4094" s="340" t="s">
        <v>1578</v>
      </c>
      <c r="H4094" s="340"/>
      <c r="I4094" s="340" t="s">
        <v>747</v>
      </c>
      <c r="K4094" s="343">
        <v>0</v>
      </c>
      <c r="L4094" s="343">
        <v>-200</v>
      </c>
      <c r="M4094" s="343">
        <v>-814521.09</v>
      </c>
      <c r="O4094" s="343">
        <v>0</v>
      </c>
    </row>
    <row r="4095" spans="1:15" x14ac:dyDescent="0.3">
      <c r="A4095" s="340" t="s">
        <v>891</v>
      </c>
      <c r="B4095" s="350">
        <v>46132</v>
      </c>
      <c r="C4095" s="350">
        <v>46161</v>
      </c>
      <c r="D4095" s="351">
        <v>46143</v>
      </c>
      <c r="E4095" s="340" t="s">
        <v>2934</v>
      </c>
      <c r="F4095" s="340" t="s">
        <v>894</v>
      </c>
      <c r="G4095" s="340" t="s">
        <v>2935</v>
      </c>
      <c r="H4095" s="340"/>
      <c r="I4095" s="340" t="s">
        <v>766</v>
      </c>
      <c r="K4095" s="343">
        <v>0</v>
      </c>
      <c r="L4095" s="343">
        <v>-3975</v>
      </c>
      <c r="M4095" s="343">
        <v>-818496.09</v>
      </c>
      <c r="O4095" s="343">
        <v>0</v>
      </c>
    </row>
    <row r="4096" spans="1:15" x14ac:dyDescent="0.3">
      <c r="A4096" s="340" t="s">
        <v>891</v>
      </c>
      <c r="B4096" s="350">
        <v>46133</v>
      </c>
      <c r="C4096" s="350">
        <v>46133</v>
      </c>
      <c r="D4096" s="351">
        <v>46113</v>
      </c>
      <c r="E4096" s="340" t="s">
        <v>2936</v>
      </c>
      <c r="F4096" s="340" t="s">
        <v>894</v>
      </c>
      <c r="G4096" s="340" t="s">
        <v>2937</v>
      </c>
      <c r="H4096" s="340"/>
      <c r="I4096" s="340" t="s">
        <v>740</v>
      </c>
      <c r="K4096" s="343">
        <v>0</v>
      </c>
      <c r="L4096" s="343">
        <v>-156.96</v>
      </c>
      <c r="M4096" s="343">
        <v>-818653.05</v>
      </c>
      <c r="O4096" s="343">
        <v>0</v>
      </c>
    </row>
    <row r="4097" spans="1:15" x14ac:dyDescent="0.3">
      <c r="A4097" s="340" t="s">
        <v>891</v>
      </c>
      <c r="B4097" s="350">
        <v>46133</v>
      </c>
      <c r="C4097" s="350">
        <v>46133</v>
      </c>
      <c r="D4097" s="351">
        <v>46113</v>
      </c>
      <c r="E4097" s="340" t="s">
        <v>2938</v>
      </c>
      <c r="F4097" s="340" t="s">
        <v>894</v>
      </c>
      <c r="G4097" s="340" t="s">
        <v>2939</v>
      </c>
      <c r="H4097" s="340"/>
      <c r="I4097" s="340" t="s">
        <v>740</v>
      </c>
      <c r="K4097" s="343">
        <v>0</v>
      </c>
      <c r="L4097" s="343">
        <v>-108.25</v>
      </c>
      <c r="M4097" s="343">
        <v>-818761.3</v>
      </c>
      <c r="O4097" s="343">
        <v>0</v>
      </c>
    </row>
    <row r="4098" spans="1:15" x14ac:dyDescent="0.3">
      <c r="A4098" s="340" t="s">
        <v>891</v>
      </c>
      <c r="B4098" s="350">
        <v>46133</v>
      </c>
      <c r="C4098" s="350">
        <v>46133</v>
      </c>
      <c r="D4098" s="351">
        <v>46113</v>
      </c>
      <c r="E4098" s="340" t="s">
        <v>2940</v>
      </c>
      <c r="F4098" s="340" t="s">
        <v>894</v>
      </c>
      <c r="G4098" s="340" t="s">
        <v>2941</v>
      </c>
      <c r="H4098" s="340"/>
      <c r="I4098" s="340" t="s">
        <v>740</v>
      </c>
      <c r="K4098" s="343">
        <v>0</v>
      </c>
      <c r="L4098" s="343">
        <v>-165</v>
      </c>
      <c r="M4098" s="343">
        <v>-818926.3</v>
      </c>
      <c r="O4098" s="343">
        <v>0</v>
      </c>
    </row>
    <row r="4099" spans="1:15" x14ac:dyDescent="0.3">
      <c r="A4099" s="340" t="s">
        <v>891</v>
      </c>
      <c r="B4099" s="350">
        <v>46133</v>
      </c>
      <c r="C4099" s="350">
        <v>46133</v>
      </c>
      <c r="D4099" s="351">
        <v>46113</v>
      </c>
      <c r="E4099" s="340" t="s">
        <v>2942</v>
      </c>
      <c r="F4099" s="340" t="s">
        <v>894</v>
      </c>
      <c r="G4099" s="340" t="s">
        <v>2943</v>
      </c>
      <c r="H4099" s="340"/>
      <c r="I4099" s="340" t="s">
        <v>740</v>
      </c>
      <c r="K4099" s="343">
        <v>0</v>
      </c>
      <c r="L4099" s="343">
        <v>-295</v>
      </c>
      <c r="M4099" s="343">
        <v>-819221.3</v>
      </c>
      <c r="O4099" s="343">
        <v>0</v>
      </c>
    </row>
    <row r="4100" spans="1:15" x14ac:dyDescent="0.3">
      <c r="A4100" s="340" t="s">
        <v>891</v>
      </c>
      <c r="B4100" s="350">
        <v>46133</v>
      </c>
      <c r="C4100" s="350">
        <v>46133</v>
      </c>
      <c r="D4100" s="351">
        <v>46113</v>
      </c>
      <c r="E4100" s="340" t="s">
        <v>2944</v>
      </c>
      <c r="F4100" s="340" t="s">
        <v>894</v>
      </c>
      <c r="G4100" s="340" t="s">
        <v>2945</v>
      </c>
      <c r="H4100" s="340"/>
      <c r="I4100" s="340" t="s">
        <v>740</v>
      </c>
      <c r="K4100" s="343">
        <v>0</v>
      </c>
      <c r="L4100" s="343">
        <v>-129.9</v>
      </c>
      <c r="M4100" s="343">
        <v>-819351.2</v>
      </c>
      <c r="O4100" s="343">
        <v>0</v>
      </c>
    </row>
    <row r="4101" spans="1:15" x14ac:dyDescent="0.3">
      <c r="A4101" s="340" t="s">
        <v>891</v>
      </c>
      <c r="B4101" s="350">
        <v>46133</v>
      </c>
      <c r="C4101" s="350">
        <v>46133</v>
      </c>
      <c r="D4101" s="351">
        <v>46113</v>
      </c>
      <c r="E4101" s="340" t="s">
        <v>2946</v>
      </c>
      <c r="F4101" s="340" t="s">
        <v>894</v>
      </c>
      <c r="G4101" s="340" t="s">
        <v>2947</v>
      </c>
      <c r="H4101" s="340"/>
      <c r="I4101" s="340" t="s">
        <v>740</v>
      </c>
      <c r="K4101" s="343">
        <v>0</v>
      </c>
      <c r="L4101" s="343">
        <v>-150</v>
      </c>
      <c r="M4101" s="343">
        <v>-819501.2</v>
      </c>
      <c r="O4101" s="343">
        <v>0</v>
      </c>
    </row>
    <row r="4102" spans="1:15" x14ac:dyDescent="0.3">
      <c r="A4102" s="340" t="s">
        <v>891</v>
      </c>
      <c r="B4102" s="350">
        <v>46133</v>
      </c>
      <c r="C4102" s="350">
        <v>46133</v>
      </c>
      <c r="D4102" s="351">
        <v>46113</v>
      </c>
      <c r="E4102" s="340" t="s">
        <v>2948</v>
      </c>
      <c r="F4102" s="340" t="s">
        <v>1078</v>
      </c>
      <c r="G4102" s="340" t="s">
        <v>1587</v>
      </c>
      <c r="H4102" s="340"/>
      <c r="I4102" s="340" t="s">
        <v>755</v>
      </c>
      <c r="K4102" s="343">
        <v>11172.92</v>
      </c>
      <c r="L4102" s="343">
        <v>0</v>
      </c>
      <c r="M4102" s="343">
        <v>-808328.28</v>
      </c>
      <c r="O4102" s="343">
        <v>0</v>
      </c>
    </row>
    <row r="4103" spans="1:15" x14ac:dyDescent="0.3">
      <c r="A4103" s="340" t="s">
        <v>891</v>
      </c>
      <c r="B4103" s="350">
        <v>46133</v>
      </c>
      <c r="C4103" s="350">
        <v>46133</v>
      </c>
      <c r="D4103" s="351">
        <v>46113</v>
      </c>
      <c r="E4103" s="340" t="s">
        <v>2949</v>
      </c>
      <c r="F4103" s="340" t="s">
        <v>1078</v>
      </c>
      <c r="G4103" s="340" t="s">
        <v>2625</v>
      </c>
      <c r="H4103" s="340"/>
      <c r="I4103" s="340" t="s">
        <v>746</v>
      </c>
      <c r="K4103" s="343">
        <v>3919.01</v>
      </c>
      <c r="L4103" s="343">
        <v>0</v>
      </c>
      <c r="M4103" s="343">
        <v>-804409.27</v>
      </c>
      <c r="O4103" s="343">
        <v>0</v>
      </c>
    </row>
    <row r="4104" spans="1:15" x14ac:dyDescent="0.3">
      <c r="A4104" s="340" t="s">
        <v>891</v>
      </c>
      <c r="B4104" s="350">
        <v>46133</v>
      </c>
      <c r="C4104" s="350">
        <v>46133</v>
      </c>
      <c r="D4104" s="351">
        <v>46113</v>
      </c>
      <c r="E4104" s="340" t="s">
        <v>2949</v>
      </c>
      <c r="F4104" s="340" t="s">
        <v>1078</v>
      </c>
      <c r="G4104" s="340" t="s">
        <v>2622</v>
      </c>
      <c r="H4104" s="340"/>
      <c r="I4104" s="340" t="s">
        <v>746</v>
      </c>
      <c r="K4104" s="343">
        <v>3660.23</v>
      </c>
      <c r="L4104" s="343">
        <v>0</v>
      </c>
      <c r="M4104" s="343">
        <v>-800749.04</v>
      </c>
      <c r="O4104" s="343">
        <v>0</v>
      </c>
    </row>
    <row r="4105" spans="1:15" x14ac:dyDescent="0.3">
      <c r="A4105" s="340" t="s">
        <v>891</v>
      </c>
      <c r="B4105" s="350">
        <v>46133</v>
      </c>
      <c r="C4105" s="350">
        <v>46133</v>
      </c>
      <c r="D4105" s="351">
        <v>46113</v>
      </c>
      <c r="E4105" s="340" t="s">
        <v>2949</v>
      </c>
      <c r="F4105" s="340" t="s">
        <v>1078</v>
      </c>
      <c r="G4105" s="340" t="s">
        <v>2624</v>
      </c>
      <c r="H4105" s="340"/>
      <c r="I4105" s="340" t="s">
        <v>746</v>
      </c>
      <c r="K4105" s="343">
        <v>369.11</v>
      </c>
      <c r="L4105" s="343">
        <v>0</v>
      </c>
      <c r="M4105" s="343">
        <v>-800379.93</v>
      </c>
      <c r="O4105" s="343">
        <v>0</v>
      </c>
    </row>
    <row r="4106" spans="1:15" x14ac:dyDescent="0.3">
      <c r="A4106" s="340" t="s">
        <v>891</v>
      </c>
      <c r="B4106" s="350">
        <v>46133</v>
      </c>
      <c r="C4106" s="350">
        <v>46133</v>
      </c>
      <c r="D4106" s="351">
        <v>46113</v>
      </c>
      <c r="E4106" s="340" t="s">
        <v>2949</v>
      </c>
      <c r="F4106" s="340" t="s">
        <v>1078</v>
      </c>
      <c r="G4106" s="340" t="s">
        <v>2623</v>
      </c>
      <c r="H4106" s="340"/>
      <c r="I4106" s="340" t="s">
        <v>746</v>
      </c>
      <c r="K4106" s="343">
        <v>225.54</v>
      </c>
      <c r="L4106" s="343">
        <v>0</v>
      </c>
      <c r="M4106" s="343">
        <v>-800154.39</v>
      </c>
      <c r="O4106" s="343">
        <v>0</v>
      </c>
    </row>
    <row r="4107" spans="1:15" x14ac:dyDescent="0.3">
      <c r="A4107" s="340" t="s">
        <v>891</v>
      </c>
      <c r="B4107" s="350">
        <v>46133</v>
      </c>
      <c r="C4107" s="350">
        <v>46133</v>
      </c>
      <c r="D4107" s="351">
        <v>46113</v>
      </c>
      <c r="E4107" s="340" t="s">
        <v>2949</v>
      </c>
      <c r="F4107" s="340" t="s">
        <v>1078</v>
      </c>
      <c r="G4107" s="340" t="s">
        <v>2620</v>
      </c>
      <c r="H4107" s="340"/>
      <c r="I4107" s="340" t="s">
        <v>746</v>
      </c>
      <c r="K4107" s="343">
        <v>3</v>
      </c>
      <c r="L4107" s="343">
        <v>0</v>
      </c>
      <c r="M4107" s="343">
        <v>-800151.39</v>
      </c>
      <c r="O4107" s="343">
        <v>0</v>
      </c>
    </row>
    <row r="4108" spans="1:15" x14ac:dyDescent="0.3">
      <c r="A4108" s="340" t="s">
        <v>891</v>
      </c>
      <c r="B4108" s="350">
        <v>46133</v>
      </c>
      <c r="C4108" s="350">
        <v>46133</v>
      </c>
      <c r="D4108" s="351">
        <v>46113</v>
      </c>
      <c r="E4108" s="340" t="s">
        <v>2949</v>
      </c>
      <c r="F4108" s="340" t="s">
        <v>1078</v>
      </c>
      <c r="G4108" s="340" t="s">
        <v>2621</v>
      </c>
      <c r="H4108" s="340"/>
      <c r="I4108" s="340" t="s">
        <v>746</v>
      </c>
      <c r="K4108" s="343">
        <v>742.4</v>
      </c>
      <c r="L4108" s="343">
        <v>0</v>
      </c>
      <c r="M4108" s="343">
        <v>-799408.99</v>
      </c>
      <c r="O4108" s="343">
        <v>0</v>
      </c>
    </row>
    <row r="4109" spans="1:15" x14ac:dyDescent="0.3">
      <c r="A4109" s="340" t="s">
        <v>891</v>
      </c>
      <c r="B4109" s="350">
        <v>46133</v>
      </c>
      <c r="C4109" s="350">
        <v>46133</v>
      </c>
      <c r="D4109" s="351">
        <v>46113</v>
      </c>
      <c r="E4109" s="340" t="s">
        <v>2949</v>
      </c>
      <c r="F4109" s="340" t="s">
        <v>1078</v>
      </c>
      <c r="G4109" s="340" t="s">
        <v>2641</v>
      </c>
      <c r="H4109" s="340"/>
      <c r="I4109" s="340" t="s">
        <v>746</v>
      </c>
      <c r="K4109" s="343">
        <v>4671.04</v>
      </c>
      <c r="L4109" s="343">
        <v>0</v>
      </c>
      <c r="M4109" s="343">
        <v>-794737.95</v>
      </c>
      <c r="O4109" s="343">
        <v>0</v>
      </c>
    </row>
    <row r="4110" spans="1:15" x14ac:dyDescent="0.3">
      <c r="A4110" s="340" t="s">
        <v>891</v>
      </c>
      <c r="B4110" s="350">
        <v>46133</v>
      </c>
      <c r="C4110" s="350">
        <v>46133</v>
      </c>
      <c r="D4110" s="351">
        <v>46113</v>
      </c>
      <c r="E4110" s="340" t="s">
        <v>2949</v>
      </c>
      <c r="F4110" s="340" t="s">
        <v>1078</v>
      </c>
      <c r="G4110" s="340" t="s">
        <v>2642</v>
      </c>
      <c r="H4110" s="340"/>
      <c r="I4110" s="340" t="s">
        <v>746</v>
      </c>
      <c r="K4110" s="343">
        <v>4412.04</v>
      </c>
      <c r="L4110" s="343">
        <v>0</v>
      </c>
      <c r="M4110" s="343">
        <v>-790325.91</v>
      </c>
      <c r="O4110" s="343">
        <v>0</v>
      </c>
    </row>
    <row r="4111" spans="1:15" x14ac:dyDescent="0.3">
      <c r="A4111" s="340" t="s">
        <v>891</v>
      </c>
      <c r="B4111" s="350">
        <v>46133</v>
      </c>
      <c r="C4111" s="350">
        <v>46133</v>
      </c>
      <c r="D4111" s="351">
        <v>46113</v>
      </c>
      <c r="E4111" s="340" t="s">
        <v>2949</v>
      </c>
      <c r="F4111" s="340" t="s">
        <v>1078</v>
      </c>
      <c r="G4111" s="340" t="s">
        <v>2641</v>
      </c>
      <c r="H4111" s="340"/>
      <c r="I4111" s="340" t="s">
        <v>746</v>
      </c>
      <c r="K4111" s="343">
        <v>1739.86</v>
      </c>
      <c r="L4111" s="343">
        <v>0</v>
      </c>
      <c r="M4111" s="343">
        <v>-788586.05</v>
      </c>
      <c r="O4111" s="343">
        <v>0</v>
      </c>
    </row>
    <row r="4112" spans="1:15" x14ac:dyDescent="0.3">
      <c r="A4112" s="340" t="s">
        <v>891</v>
      </c>
      <c r="B4112" s="350">
        <v>46133</v>
      </c>
      <c r="C4112" s="350">
        <v>46133</v>
      </c>
      <c r="D4112" s="351">
        <v>46113</v>
      </c>
      <c r="E4112" s="340" t="s">
        <v>2949</v>
      </c>
      <c r="F4112" s="340" t="s">
        <v>1078</v>
      </c>
      <c r="G4112" s="340" t="s">
        <v>2642</v>
      </c>
      <c r="H4112" s="340"/>
      <c r="I4112" s="340" t="s">
        <v>746</v>
      </c>
      <c r="K4112" s="343">
        <v>1645.37</v>
      </c>
      <c r="L4112" s="343">
        <v>0</v>
      </c>
      <c r="M4112" s="343">
        <v>-786940.68</v>
      </c>
      <c r="O4112" s="343">
        <v>0</v>
      </c>
    </row>
    <row r="4113" spans="1:15" x14ac:dyDescent="0.3">
      <c r="A4113" s="340" t="s">
        <v>891</v>
      </c>
      <c r="B4113" s="350">
        <v>46133</v>
      </c>
      <c r="C4113" s="350">
        <v>46133</v>
      </c>
      <c r="D4113" s="351">
        <v>46113</v>
      </c>
      <c r="E4113" s="340" t="s">
        <v>2949</v>
      </c>
      <c r="F4113" s="340" t="s">
        <v>1078</v>
      </c>
      <c r="G4113" s="340" t="s">
        <v>2641</v>
      </c>
      <c r="H4113" s="340"/>
      <c r="I4113" s="340" t="s">
        <v>746</v>
      </c>
      <c r="K4113" s="343">
        <v>845.52</v>
      </c>
      <c r="L4113" s="343">
        <v>0</v>
      </c>
      <c r="M4113" s="343">
        <v>-786095.16</v>
      </c>
      <c r="O4113" s="343">
        <v>0</v>
      </c>
    </row>
    <row r="4114" spans="1:15" x14ac:dyDescent="0.3">
      <c r="A4114" s="340" t="s">
        <v>891</v>
      </c>
      <c r="B4114" s="350">
        <v>46133</v>
      </c>
      <c r="C4114" s="350">
        <v>46133</v>
      </c>
      <c r="D4114" s="351">
        <v>46113</v>
      </c>
      <c r="E4114" s="340" t="s">
        <v>2949</v>
      </c>
      <c r="F4114" s="340" t="s">
        <v>1078</v>
      </c>
      <c r="G4114" s="340" t="s">
        <v>2642</v>
      </c>
      <c r="H4114" s="340"/>
      <c r="I4114" s="340" t="s">
        <v>746</v>
      </c>
      <c r="K4114" s="343">
        <v>801.21</v>
      </c>
      <c r="L4114" s="343">
        <v>0</v>
      </c>
      <c r="M4114" s="343">
        <v>-785293.95</v>
      </c>
      <c r="O4114" s="343">
        <v>0</v>
      </c>
    </row>
    <row r="4115" spans="1:15" x14ac:dyDescent="0.3">
      <c r="A4115" s="340" t="s">
        <v>891</v>
      </c>
      <c r="B4115" s="350">
        <v>46133</v>
      </c>
      <c r="C4115" s="350">
        <v>46133</v>
      </c>
      <c r="D4115" s="351">
        <v>46113</v>
      </c>
      <c r="E4115" s="340" t="s">
        <v>2949</v>
      </c>
      <c r="F4115" s="340" t="s">
        <v>1078</v>
      </c>
      <c r="G4115" s="340" t="s">
        <v>2638</v>
      </c>
      <c r="H4115" s="340"/>
      <c r="I4115" s="340" t="s">
        <v>746</v>
      </c>
      <c r="K4115" s="343">
        <v>626.4</v>
      </c>
      <c r="L4115" s="343">
        <v>0</v>
      </c>
      <c r="M4115" s="343">
        <v>-784667.55</v>
      </c>
      <c r="O4115" s="343">
        <v>0</v>
      </c>
    </row>
    <row r="4116" spans="1:15" x14ac:dyDescent="0.3">
      <c r="A4116" s="340" t="s">
        <v>891</v>
      </c>
      <c r="B4116" s="350">
        <v>46133</v>
      </c>
      <c r="C4116" s="350">
        <v>46133</v>
      </c>
      <c r="D4116" s="351">
        <v>46113</v>
      </c>
      <c r="E4116" s="340" t="s">
        <v>2949</v>
      </c>
      <c r="F4116" s="340" t="s">
        <v>1078</v>
      </c>
      <c r="G4116" s="340" t="s">
        <v>2641</v>
      </c>
      <c r="H4116" s="340"/>
      <c r="I4116" s="340" t="s">
        <v>746</v>
      </c>
      <c r="K4116" s="343">
        <v>38.5</v>
      </c>
      <c r="L4116" s="343">
        <v>0</v>
      </c>
      <c r="M4116" s="343">
        <v>-784629.05</v>
      </c>
      <c r="O4116" s="343">
        <v>0</v>
      </c>
    </row>
    <row r="4117" spans="1:15" x14ac:dyDescent="0.3">
      <c r="A4117" s="340" t="s">
        <v>891</v>
      </c>
      <c r="B4117" s="350">
        <v>46133</v>
      </c>
      <c r="C4117" s="350">
        <v>46133</v>
      </c>
      <c r="D4117" s="351">
        <v>46113</v>
      </c>
      <c r="E4117" s="340" t="s">
        <v>2949</v>
      </c>
      <c r="F4117" s="340" t="s">
        <v>1078</v>
      </c>
      <c r="G4117" s="340" t="s">
        <v>2641</v>
      </c>
      <c r="H4117" s="340"/>
      <c r="I4117" s="340" t="s">
        <v>746</v>
      </c>
      <c r="K4117" s="343">
        <v>38.5</v>
      </c>
      <c r="L4117" s="343">
        <v>0</v>
      </c>
      <c r="M4117" s="343">
        <v>-784590.55</v>
      </c>
      <c r="O4117" s="343">
        <v>0</v>
      </c>
    </row>
    <row r="4118" spans="1:15" x14ac:dyDescent="0.3">
      <c r="A4118" s="340" t="s">
        <v>891</v>
      </c>
      <c r="B4118" s="350">
        <v>46133</v>
      </c>
      <c r="C4118" s="350">
        <v>46133</v>
      </c>
      <c r="D4118" s="351">
        <v>46113</v>
      </c>
      <c r="E4118" s="340" t="s">
        <v>2949</v>
      </c>
      <c r="F4118" s="340" t="s">
        <v>1078</v>
      </c>
      <c r="G4118" s="340" t="s">
        <v>2641</v>
      </c>
      <c r="H4118" s="340"/>
      <c r="I4118" s="340" t="s">
        <v>746</v>
      </c>
      <c r="K4118" s="343">
        <v>38.5</v>
      </c>
      <c r="L4118" s="343">
        <v>0</v>
      </c>
      <c r="M4118" s="343">
        <v>-784552.05</v>
      </c>
      <c r="O4118" s="343">
        <v>0</v>
      </c>
    </row>
    <row r="4119" spans="1:15" x14ac:dyDescent="0.3">
      <c r="A4119" s="340" t="s">
        <v>891</v>
      </c>
      <c r="B4119" s="350">
        <v>46133</v>
      </c>
      <c r="C4119" s="350">
        <v>46133</v>
      </c>
      <c r="D4119" s="351">
        <v>46113</v>
      </c>
      <c r="E4119" s="340" t="s">
        <v>2949</v>
      </c>
      <c r="F4119" s="340" t="s">
        <v>1078</v>
      </c>
      <c r="G4119" s="340" t="s">
        <v>2642</v>
      </c>
      <c r="H4119" s="340"/>
      <c r="I4119" s="340" t="s">
        <v>746</v>
      </c>
      <c r="K4119" s="343">
        <v>34.200000000000003</v>
      </c>
      <c r="L4119" s="343">
        <v>0</v>
      </c>
      <c r="M4119" s="343">
        <v>-784517.85</v>
      </c>
      <c r="O4119" s="343">
        <v>0</v>
      </c>
    </row>
    <row r="4120" spans="1:15" x14ac:dyDescent="0.3">
      <c r="A4120" s="340" t="s">
        <v>891</v>
      </c>
      <c r="B4120" s="350">
        <v>46133</v>
      </c>
      <c r="C4120" s="350">
        <v>46133</v>
      </c>
      <c r="D4120" s="351">
        <v>46113</v>
      </c>
      <c r="E4120" s="340" t="s">
        <v>2949</v>
      </c>
      <c r="F4120" s="340" t="s">
        <v>1078</v>
      </c>
      <c r="G4120" s="340" t="s">
        <v>2642</v>
      </c>
      <c r="H4120" s="340"/>
      <c r="I4120" s="340" t="s">
        <v>746</v>
      </c>
      <c r="K4120" s="343">
        <v>34.200000000000003</v>
      </c>
      <c r="L4120" s="343">
        <v>0</v>
      </c>
      <c r="M4120" s="343">
        <v>-784483.65</v>
      </c>
      <c r="O4120" s="343">
        <v>0</v>
      </c>
    </row>
    <row r="4121" spans="1:15" x14ac:dyDescent="0.3">
      <c r="A4121" s="340" t="s">
        <v>891</v>
      </c>
      <c r="B4121" s="350">
        <v>46133</v>
      </c>
      <c r="C4121" s="350">
        <v>46133</v>
      </c>
      <c r="D4121" s="351">
        <v>46113</v>
      </c>
      <c r="E4121" s="340" t="s">
        <v>2949</v>
      </c>
      <c r="F4121" s="340" t="s">
        <v>1078</v>
      </c>
      <c r="G4121" s="340" t="s">
        <v>2642</v>
      </c>
      <c r="H4121" s="340"/>
      <c r="I4121" s="340" t="s">
        <v>746</v>
      </c>
      <c r="K4121" s="343">
        <v>34.200000000000003</v>
      </c>
      <c r="L4121" s="343">
        <v>0</v>
      </c>
      <c r="M4121" s="343">
        <v>-784449.45</v>
      </c>
      <c r="O4121" s="343">
        <v>0</v>
      </c>
    </row>
    <row r="4122" spans="1:15" x14ac:dyDescent="0.3">
      <c r="A4122" s="340" t="s">
        <v>891</v>
      </c>
      <c r="B4122" s="350">
        <v>46133</v>
      </c>
      <c r="C4122" s="350">
        <v>46133</v>
      </c>
      <c r="D4122" s="351">
        <v>46113</v>
      </c>
      <c r="E4122" s="340" t="s">
        <v>2949</v>
      </c>
      <c r="F4122" s="340" t="s">
        <v>1078</v>
      </c>
      <c r="G4122" s="340" t="s">
        <v>2642</v>
      </c>
      <c r="H4122" s="340"/>
      <c r="I4122" s="340" t="s">
        <v>746</v>
      </c>
      <c r="K4122" s="343">
        <v>34.200000000000003</v>
      </c>
      <c r="L4122" s="343">
        <v>0</v>
      </c>
      <c r="M4122" s="343">
        <v>-784415.25</v>
      </c>
      <c r="O4122" s="343">
        <v>0</v>
      </c>
    </row>
    <row r="4123" spans="1:15" x14ac:dyDescent="0.3">
      <c r="A4123" s="340" t="s">
        <v>891</v>
      </c>
      <c r="B4123" s="350">
        <v>46133</v>
      </c>
      <c r="C4123" s="350">
        <v>46133</v>
      </c>
      <c r="D4123" s="351">
        <v>46113</v>
      </c>
      <c r="E4123" s="340" t="s">
        <v>2949</v>
      </c>
      <c r="F4123" s="340" t="s">
        <v>1078</v>
      </c>
      <c r="G4123" s="340" t="s">
        <v>2634</v>
      </c>
      <c r="H4123" s="340"/>
      <c r="I4123" s="340" t="s">
        <v>746</v>
      </c>
      <c r="K4123" s="343">
        <v>3</v>
      </c>
      <c r="L4123" s="343">
        <v>0</v>
      </c>
      <c r="M4123" s="343">
        <v>-784412.25</v>
      </c>
      <c r="O4123" s="343">
        <v>0</v>
      </c>
    </row>
    <row r="4124" spans="1:15" x14ac:dyDescent="0.3">
      <c r="A4124" s="340" t="s">
        <v>891</v>
      </c>
      <c r="B4124" s="350">
        <v>46133</v>
      </c>
      <c r="C4124" s="350">
        <v>46133</v>
      </c>
      <c r="D4124" s="351">
        <v>46113</v>
      </c>
      <c r="E4124" s="340" t="s">
        <v>2949</v>
      </c>
      <c r="F4124" s="340" t="s">
        <v>1078</v>
      </c>
      <c r="G4124" s="340" t="s">
        <v>2641</v>
      </c>
      <c r="H4124" s="340"/>
      <c r="I4124" s="340" t="s">
        <v>746</v>
      </c>
      <c r="K4124" s="343">
        <v>38.5</v>
      </c>
      <c r="L4124" s="343">
        <v>0</v>
      </c>
      <c r="M4124" s="343">
        <v>-784373.75</v>
      </c>
      <c r="O4124" s="343">
        <v>0</v>
      </c>
    </row>
    <row r="4125" spans="1:15" x14ac:dyDescent="0.3">
      <c r="A4125" s="340" t="s">
        <v>891</v>
      </c>
      <c r="B4125" s="350">
        <v>46133</v>
      </c>
      <c r="C4125" s="350">
        <v>46133</v>
      </c>
      <c r="D4125" s="351">
        <v>46113</v>
      </c>
      <c r="E4125" s="340" t="s">
        <v>2949</v>
      </c>
      <c r="F4125" s="340" t="s">
        <v>1078</v>
      </c>
      <c r="G4125" s="340" t="s">
        <v>2639</v>
      </c>
      <c r="H4125" s="340"/>
      <c r="I4125" s="340" t="s">
        <v>746</v>
      </c>
      <c r="K4125" s="343">
        <v>4861.26</v>
      </c>
      <c r="L4125" s="343">
        <v>0</v>
      </c>
      <c r="M4125" s="343">
        <v>-779512.49</v>
      </c>
      <c r="O4125" s="343">
        <v>0</v>
      </c>
    </row>
    <row r="4126" spans="1:15" x14ac:dyDescent="0.3">
      <c r="A4126" s="340" t="s">
        <v>891</v>
      </c>
      <c r="B4126" s="350">
        <v>46133</v>
      </c>
      <c r="C4126" s="350">
        <v>46133</v>
      </c>
      <c r="D4126" s="351">
        <v>46113</v>
      </c>
      <c r="E4126" s="340" t="s">
        <v>2949</v>
      </c>
      <c r="F4126" s="340" t="s">
        <v>1078</v>
      </c>
      <c r="G4126" s="340" t="s">
        <v>2638</v>
      </c>
      <c r="H4126" s="340"/>
      <c r="I4126" s="340" t="s">
        <v>746</v>
      </c>
      <c r="K4126" s="343">
        <v>582.9</v>
      </c>
      <c r="L4126" s="343">
        <v>0</v>
      </c>
      <c r="M4126" s="343">
        <v>-778929.59</v>
      </c>
      <c r="O4126" s="343">
        <v>0</v>
      </c>
    </row>
    <row r="4127" spans="1:15" x14ac:dyDescent="0.3">
      <c r="A4127" s="340" t="s">
        <v>891</v>
      </c>
      <c r="B4127" s="350">
        <v>46133</v>
      </c>
      <c r="C4127" s="350">
        <v>46133</v>
      </c>
      <c r="D4127" s="351">
        <v>46113</v>
      </c>
      <c r="E4127" s="340" t="s">
        <v>2949</v>
      </c>
      <c r="F4127" s="340" t="s">
        <v>1078</v>
      </c>
      <c r="G4127" s="340" t="s">
        <v>2637</v>
      </c>
      <c r="H4127" s="340"/>
      <c r="I4127" s="340" t="s">
        <v>746</v>
      </c>
      <c r="K4127" s="343">
        <v>265.89</v>
      </c>
      <c r="L4127" s="343">
        <v>0</v>
      </c>
      <c r="M4127" s="343">
        <v>-778663.7</v>
      </c>
      <c r="O4127" s="343">
        <v>0</v>
      </c>
    </row>
    <row r="4128" spans="1:15" x14ac:dyDescent="0.3">
      <c r="A4128" s="340" t="s">
        <v>891</v>
      </c>
      <c r="B4128" s="350">
        <v>46133</v>
      </c>
      <c r="C4128" s="350">
        <v>46133</v>
      </c>
      <c r="D4128" s="351">
        <v>46113</v>
      </c>
      <c r="E4128" s="340" t="s">
        <v>2949</v>
      </c>
      <c r="F4128" s="340" t="s">
        <v>1078</v>
      </c>
      <c r="G4128" s="340" t="s">
        <v>2636</v>
      </c>
      <c r="H4128" s="340"/>
      <c r="I4128" s="340" t="s">
        <v>746</v>
      </c>
      <c r="K4128" s="343">
        <v>5122.3</v>
      </c>
      <c r="L4128" s="343">
        <v>0</v>
      </c>
      <c r="M4128" s="343">
        <v>-773541.4</v>
      </c>
      <c r="O4128" s="343">
        <v>0</v>
      </c>
    </row>
    <row r="4129" spans="1:15" x14ac:dyDescent="0.3">
      <c r="A4129" s="340" t="s">
        <v>891</v>
      </c>
      <c r="B4129" s="350">
        <v>46133</v>
      </c>
      <c r="C4129" s="350">
        <v>46133</v>
      </c>
      <c r="D4129" s="351">
        <v>46113</v>
      </c>
      <c r="E4129" s="340" t="s">
        <v>2949</v>
      </c>
      <c r="F4129" s="340" t="s">
        <v>1078</v>
      </c>
      <c r="G4129" s="340" t="s">
        <v>2635</v>
      </c>
      <c r="H4129" s="340"/>
      <c r="I4129" s="340" t="s">
        <v>746</v>
      </c>
      <c r="K4129" s="343">
        <v>157.13999999999999</v>
      </c>
      <c r="L4129" s="343">
        <v>0</v>
      </c>
      <c r="M4129" s="343">
        <v>-773384.26</v>
      </c>
      <c r="O4129" s="343">
        <v>0</v>
      </c>
    </row>
    <row r="4130" spans="1:15" x14ac:dyDescent="0.3">
      <c r="A4130" s="340" t="s">
        <v>891</v>
      </c>
      <c r="B4130" s="350">
        <v>46133</v>
      </c>
      <c r="C4130" s="350">
        <v>46133</v>
      </c>
      <c r="D4130" s="351">
        <v>46113</v>
      </c>
      <c r="E4130" s="340" t="s">
        <v>2949</v>
      </c>
      <c r="F4130" s="340" t="s">
        <v>1078</v>
      </c>
      <c r="G4130" s="340" t="s">
        <v>2634</v>
      </c>
      <c r="H4130" s="340"/>
      <c r="I4130" s="340" t="s">
        <v>746</v>
      </c>
      <c r="K4130" s="343">
        <v>3</v>
      </c>
      <c r="L4130" s="343">
        <v>0</v>
      </c>
      <c r="M4130" s="343">
        <v>-773381.26</v>
      </c>
      <c r="O4130" s="343">
        <v>0</v>
      </c>
    </row>
    <row r="4131" spans="1:15" x14ac:dyDescent="0.3">
      <c r="A4131" s="340" t="s">
        <v>891</v>
      </c>
      <c r="B4131" s="350">
        <v>46133</v>
      </c>
      <c r="C4131" s="350">
        <v>46133</v>
      </c>
      <c r="D4131" s="351">
        <v>46113</v>
      </c>
      <c r="E4131" s="340" t="s">
        <v>2949</v>
      </c>
      <c r="F4131" s="340" t="s">
        <v>1078</v>
      </c>
      <c r="G4131" s="340" t="s">
        <v>2625</v>
      </c>
      <c r="H4131" s="340"/>
      <c r="I4131" s="340" t="s">
        <v>746</v>
      </c>
      <c r="K4131" s="343">
        <v>3158.63</v>
      </c>
      <c r="L4131" s="343">
        <v>0</v>
      </c>
      <c r="M4131" s="343">
        <v>-770222.63</v>
      </c>
      <c r="O4131" s="343">
        <v>0</v>
      </c>
    </row>
    <row r="4132" spans="1:15" x14ac:dyDescent="0.3">
      <c r="A4132" s="340" t="s">
        <v>891</v>
      </c>
      <c r="B4132" s="350">
        <v>46133</v>
      </c>
      <c r="C4132" s="350">
        <v>46133</v>
      </c>
      <c r="D4132" s="351">
        <v>46113</v>
      </c>
      <c r="E4132" s="340" t="s">
        <v>2949</v>
      </c>
      <c r="F4132" s="340" t="s">
        <v>1078</v>
      </c>
      <c r="G4132" s="340" t="s">
        <v>2624</v>
      </c>
      <c r="H4132" s="340"/>
      <c r="I4132" s="340" t="s">
        <v>746</v>
      </c>
      <c r="K4132" s="343">
        <v>205.94</v>
      </c>
      <c r="L4132" s="343">
        <v>0</v>
      </c>
      <c r="M4132" s="343">
        <v>-770016.69</v>
      </c>
      <c r="O4132" s="343">
        <v>0</v>
      </c>
    </row>
    <row r="4133" spans="1:15" x14ac:dyDescent="0.3">
      <c r="A4133" s="340" t="s">
        <v>891</v>
      </c>
      <c r="B4133" s="350">
        <v>46133</v>
      </c>
      <c r="C4133" s="350">
        <v>46133</v>
      </c>
      <c r="D4133" s="351">
        <v>46113</v>
      </c>
      <c r="E4133" s="340" t="s">
        <v>2949</v>
      </c>
      <c r="F4133" s="340" t="s">
        <v>1078</v>
      </c>
      <c r="G4133" s="340" t="s">
        <v>2623</v>
      </c>
      <c r="H4133" s="340"/>
      <c r="I4133" s="340" t="s">
        <v>746</v>
      </c>
      <c r="K4133" s="343">
        <v>183.96</v>
      </c>
      <c r="L4133" s="343">
        <v>0</v>
      </c>
      <c r="M4133" s="343">
        <v>-769832.73</v>
      </c>
      <c r="O4133" s="343">
        <v>0</v>
      </c>
    </row>
    <row r="4134" spans="1:15" x14ac:dyDescent="0.3">
      <c r="A4134" s="340" t="s">
        <v>891</v>
      </c>
      <c r="B4134" s="350">
        <v>46133</v>
      </c>
      <c r="C4134" s="350">
        <v>46133</v>
      </c>
      <c r="D4134" s="351">
        <v>46113</v>
      </c>
      <c r="E4134" s="340" t="s">
        <v>2949</v>
      </c>
      <c r="F4134" s="340" t="s">
        <v>1078</v>
      </c>
      <c r="G4134" s="340" t="s">
        <v>2622</v>
      </c>
      <c r="H4134" s="340"/>
      <c r="I4134" s="340" t="s">
        <v>746</v>
      </c>
      <c r="K4134" s="343">
        <v>2872.14</v>
      </c>
      <c r="L4134" s="343">
        <v>0</v>
      </c>
      <c r="M4134" s="343">
        <v>-766960.59</v>
      </c>
      <c r="O4134" s="343">
        <v>0</v>
      </c>
    </row>
    <row r="4135" spans="1:15" x14ac:dyDescent="0.3">
      <c r="A4135" s="340" t="s">
        <v>891</v>
      </c>
      <c r="B4135" s="350">
        <v>46133</v>
      </c>
      <c r="C4135" s="350">
        <v>46133</v>
      </c>
      <c r="D4135" s="351">
        <v>46113</v>
      </c>
      <c r="E4135" s="340" t="s">
        <v>2949</v>
      </c>
      <c r="F4135" s="340" t="s">
        <v>1078</v>
      </c>
      <c r="G4135" s="340" t="s">
        <v>2621</v>
      </c>
      <c r="H4135" s="340"/>
      <c r="I4135" s="340" t="s">
        <v>746</v>
      </c>
      <c r="K4135" s="343">
        <v>493</v>
      </c>
      <c r="L4135" s="343">
        <v>0</v>
      </c>
      <c r="M4135" s="343">
        <v>-766467.59</v>
      </c>
      <c r="O4135" s="343">
        <v>0</v>
      </c>
    </row>
    <row r="4136" spans="1:15" x14ac:dyDescent="0.3">
      <c r="A4136" s="340" t="s">
        <v>891</v>
      </c>
      <c r="B4136" s="350">
        <v>46133</v>
      </c>
      <c r="C4136" s="350">
        <v>46133</v>
      </c>
      <c r="D4136" s="351">
        <v>46113</v>
      </c>
      <c r="E4136" s="340" t="s">
        <v>2949</v>
      </c>
      <c r="F4136" s="340" t="s">
        <v>1078</v>
      </c>
      <c r="G4136" s="340" t="s">
        <v>2620</v>
      </c>
      <c r="H4136" s="340"/>
      <c r="I4136" s="340" t="s">
        <v>746</v>
      </c>
      <c r="K4136" s="343">
        <v>3</v>
      </c>
      <c r="L4136" s="343">
        <v>0</v>
      </c>
      <c r="M4136" s="343">
        <v>-766464.59</v>
      </c>
      <c r="O4136" s="343">
        <v>0</v>
      </c>
    </row>
    <row r="4137" spans="1:15" x14ac:dyDescent="0.3">
      <c r="A4137" s="340" t="s">
        <v>891</v>
      </c>
      <c r="B4137" s="350">
        <v>46133</v>
      </c>
      <c r="C4137" s="350">
        <v>46134</v>
      </c>
      <c r="D4137" s="351">
        <v>46113</v>
      </c>
      <c r="E4137" s="340" t="s">
        <v>2950</v>
      </c>
      <c r="F4137" s="340" t="s">
        <v>894</v>
      </c>
      <c r="G4137" s="340" t="s">
        <v>2951</v>
      </c>
      <c r="H4137" s="340"/>
      <c r="I4137" s="340" t="s">
        <v>740</v>
      </c>
      <c r="K4137" s="343">
        <v>0</v>
      </c>
      <c r="L4137" s="343">
        <v>-800</v>
      </c>
      <c r="M4137" s="343">
        <v>-767264.59</v>
      </c>
      <c r="O4137" s="343">
        <v>0</v>
      </c>
    </row>
    <row r="4138" spans="1:15" x14ac:dyDescent="0.3">
      <c r="A4138" s="340" t="s">
        <v>891</v>
      </c>
      <c r="B4138" s="350">
        <v>46133</v>
      </c>
      <c r="C4138" s="350">
        <v>46135</v>
      </c>
      <c r="D4138" s="351">
        <v>46113</v>
      </c>
      <c r="E4138" s="340" t="s">
        <v>2952</v>
      </c>
      <c r="F4138" s="340" t="s">
        <v>894</v>
      </c>
      <c r="G4138" s="340" t="s">
        <v>2953</v>
      </c>
      <c r="H4138" s="340"/>
      <c r="I4138" s="340" t="s">
        <v>740</v>
      </c>
      <c r="K4138" s="343">
        <v>0</v>
      </c>
      <c r="L4138" s="343">
        <v>-315</v>
      </c>
      <c r="M4138" s="343">
        <v>-767579.59</v>
      </c>
      <c r="O4138" s="343">
        <v>0</v>
      </c>
    </row>
    <row r="4139" spans="1:15" x14ac:dyDescent="0.3">
      <c r="A4139" s="340" t="s">
        <v>891</v>
      </c>
      <c r="B4139" s="350">
        <v>46133</v>
      </c>
      <c r="C4139" s="350">
        <v>46135</v>
      </c>
      <c r="D4139" s="351">
        <v>46113</v>
      </c>
      <c r="E4139" s="340" t="s">
        <v>2952</v>
      </c>
      <c r="F4139" s="340" t="s">
        <v>894</v>
      </c>
      <c r="G4139" s="340" t="s">
        <v>2954</v>
      </c>
      <c r="H4139" s="340"/>
      <c r="I4139" s="340" t="s">
        <v>740</v>
      </c>
      <c r="K4139" s="343">
        <v>0</v>
      </c>
      <c r="L4139" s="343">
        <v>-120</v>
      </c>
      <c r="M4139" s="343">
        <v>-767699.59</v>
      </c>
      <c r="O4139" s="343">
        <v>0</v>
      </c>
    </row>
    <row r="4140" spans="1:15" x14ac:dyDescent="0.3">
      <c r="A4140" s="340" t="s">
        <v>891</v>
      </c>
      <c r="B4140" s="350">
        <v>46133</v>
      </c>
      <c r="C4140" s="350">
        <v>46135</v>
      </c>
      <c r="D4140" s="351">
        <v>46113</v>
      </c>
      <c r="E4140" s="340" t="s">
        <v>2955</v>
      </c>
      <c r="F4140" s="340" t="s">
        <v>894</v>
      </c>
      <c r="G4140" s="340" t="s">
        <v>2956</v>
      </c>
      <c r="H4140" s="340"/>
      <c r="I4140" s="340" t="s">
        <v>740</v>
      </c>
      <c r="K4140" s="343">
        <v>0</v>
      </c>
      <c r="L4140" s="343">
        <v>-129.9</v>
      </c>
      <c r="M4140" s="343">
        <v>-767829.49</v>
      </c>
      <c r="O4140" s="343">
        <v>0</v>
      </c>
    </row>
    <row r="4141" spans="1:15" x14ac:dyDescent="0.3">
      <c r="A4141" s="340" t="s">
        <v>891</v>
      </c>
      <c r="B4141" s="350">
        <v>46133</v>
      </c>
      <c r="C4141" s="350">
        <v>46135</v>
      </c>
      <c r="D4141" s="351">
        <v>46113</v>
      </c>
      <c r="E4141" s="340" t="s">
        <v>2957</v>
      </c>
      <c r="F4141" s="340" t="s">
        <v>894</v>
      </c>
      <c r="G4141" s="340" t="s">
        <v>2958</v>
      </c>
      <c r="H4141" s="340"/>
      <c r="I4141" s="340" t="s">
        <v>740</v>
      </c>
      <c r="K4141" s="343">
        <v>0</v>
      </c>
      <c r="L4141" s="343">
        <v>-480</v>
      </c>
      <c r="M4141" s="343">
        <v>-768309.49</v>
      </c>
      <c r="O4141" s="343">
        <v>0</v>
      </c>
    </row>
    <row r="4142" spans="1:15" x14ac:dyDescent="0.3">
      <c r="A4142" s="340" t="s">
        <v>891</v>
      </c>
      <c r="B4142" s="350">
        <v>46133</v>
      </c>
      <c r="C4142" s="350">
        <v>46135</v>
      </c>
      <c r="D4142" s="351">
        <v>46113</v>
      </c>
      <c r="E4142" s="340" t="s">
        <v>2959</v>
      </c>
      <c r="F4142" s="340" t="s">
        <v>894</v>
      </c>
      <c r="G4142" s="340" t="s">
        <v>2960</v>
      </c>
      <c r="H4142" s="340"/>
      <c r="I4142" s="340" t="s">
        <v>740</v>
      </c>
      <c r="K4142" s="343">
        <v>0</v>
      </c>
      <c r="L4142" s="343">
        <v>-480</v>
      </c>
      <c r="M4142" s="343">
        <v>-768789.49</v>
      </c>
      <c r="O4142" s="343">
        <v>0</v>
      </c>
    </row>
    <row r="4143" spans="1:15" x14ac:dyDescent="0.3">
      <c r="A4143" s="340" t="s">
        <v>891</v>
      </c>
      <c r="B4143" s="350">
        <v>46133</v>
      </c>
      <c r="C4143" s="350">
        <v>46135</v>
      </c>
      <c r="D4143" s="351">
        <v>46113</v>
      </c>
      <c r="E4143" s="340" t="s">
        <v>2959</v>
      </c>
      <c r="F4143" s="340" t="s">
        <v>894</v>
      </c>
      <c r="G4143" s="340" t="s">
        <v>2961</v>
      </c>
      <c r="H4143" s="340"/>
      <c r="I4143" s="340" t="s">
        <v>740</v>
      </c>
      <c r="K4143" s="343">
        <v>0</v>
      </c>
      <c r="L4143" s="343">
        <v>-45</v>
      </c>
      <c r="M4143" s="343">
        <v>-768834.49</v>
      </c>
      <c r="O4143" s="343">
        <v>0</v>
      </c>
    </row>
    <row r="4144" spans="1:15" x14ac:dyDescent="0.3">
      <c r="A4144" s="340" t="s">
        <v>891</v>
      </c>
      <c r="B4144" s="350">
        <v>46133</v>
      </c>
      <c r="C4144" s="350">
        <v>46135</v>
      </c>
      <c r="D4144" s="351">
        <v>46113</v>
      </c>
      <c r="E4144" s="340" t="s">
        <v>2962</v>
      </c>
      <c r="F4144" s="340" t="s">
        <v>894</v>
      </c>
      <c r="G4144" s="340" t="s">
        <v>2963</v>
      </c>
      <c r="H4144" s="340"/>
      <c r="I4144" s="340" t="s">
        <v>740</v>
      </c>
      <c r="K4144" s="343">
        <v>0</v>
      </c>
      <c r="L4144" s="343">
        <v>-520</v>
      </c>
      <c r="M4144" s="343">
        <v>-769354.49</v>
      </c>
      <c r="O4144" s="343">
        <v>0</v>
      </c>
    </row>
    <row r="4145" spans="1:15" x14ac:dyDescent="0.3">
      <c r="A4145" s="340" t="s">
        <v>891</v>
      </c>
      <c r="B4145" s="350">
        <v>46133</v>
      </c>
      <c r="C4145" s="350">
        <v>46135</v>
      </c>
      <c r="D4145" s="351">
        <v>46113</v>
      </c>
      <c r="E4145" s="340" t="s">
        <v>2964</v>
      </c>
      <c r="F4145" s="340" t="s">
        <v>894</v>
      </c>
      <c r="G4145" s="340" t="s">
        <v>2965</v>
      </c>
      <c r="H4145" s="340"/>
      <c r="I4145" s="340" t="s">
        <v>740</v>
      </c>
      <c r="K4145" s="343">
        <v>0</v>
      </c>
      <c r="L4145" s="343">
        <v>-350</v>
      </c>
      <c r="M4145" s="343">
        <v>-769704.49</v>
      </c>
      <c r="O4145" s="343">
        <v>0</v>
      </c>
    </row>
    <row r="4146" spans="1:15" x14ac:dyDescent="0.3">
      <c r="A4146" s="340" t="s">
        <v>891</v>
      </c>
      <c r="B4146" s="350">
        <v>46133</v>
      </c>
      <c r="C4146" s="350">
        <v>46136</v>
      </c>
      <c r="D4146" s="351">
        <v>46113</v>
      </c>
      <c r="E4146" s="340" t="s">
        <v>1232</v>
      </c>
      <c r="F4146" s="340" t="s">
        <v>894</v>
      </c>
      <c r="G4146" s="340" t="s">
        <v>1487</v>
      </c>
      <c r="H4146" s="340"/>
      <c r="I4146" s="340" t="s">
        <v>2966</v>
      </c>
      <c r="K4146" s="343">
        <v>0</v>
      </c>
      <c r="L4146" s="343">
        <v>-40.94</v>
      </c>
      <c r="M4146" s="343">
        <v>-769745.43</v>
      </c>
      <c r="O4146" s="343">
        <v>0</v>
      </c>
    </row>
    <row r="4147" spans="1:15" x14ac:dyDescent="0.3">
      <c r="A4147" s="340" t="s">
        <v>891</v>
      </c>
      <c r="B4147" s="350">
        <v>46133</v>
      </c>
      <c r="C4147" s="350">
        <v>46137</v>
      </c>
      <c r="D4147" s="351">
        <v>46113</v>
      </c>
      <c r="E4147" s="340" t="s">
        <v>2967</v>
      </c>
      <c r="F4147" s="340" t="s">
        <v>894</v>
      </c>
      <c r="G4147" s="340" t="s">
        <v>2968</v>
      </c>
      <c r="H4147" s="340"/>
      <c r="I4147" s="340" t="s">
        <v>740</v>
      </c>
      <c r="K4147" s="343">
        <v>0</v>
      </c>
      <c r="L4147" s="343">
        <v>-445</v>
      </c>
      <c r="M4147" s="343">
        <v>-770190.43</v>
      </c>
      <c r="O4147" s="343">
        <v>0</v>
      </c>
    </row>
    <row r="4148" spans="1:15" x14ac:dyDescent="0.3">
      <c r="A4148" s="340" t="s">
        <v>891</v>
      </c>
      <c r="B4148" s="350">
        <v>46133</v>
      </c>
      <c r="C4148" s="350">
        <v>46139</v>
      </c>
      <c r="D4148" s="351">
        <v>46113</v>
      </c>
      <c r="E4148" s="340" t="s">
        <v>2969</v>
      </c>
      <c r="F4148" s="340" t="s">
        <v>894</v>
      </c>
      <c r="G4148" s="340" t="s">
        <v>1120</v>
      </c>
      <c r="H4148" s="340"/>
      <c r="I4148" s="340" t="s">
        <v>756</v>
      </c>
      <c r="K4148" s="343">
        <v>1044.83</v>
      </c>
      <c r="L4148" s="343">
        <v>0</v>
      </c>
      <c r="M4148" s="343">
        <v>-769145.6</v>
      </c>
      <c r="O4148" s="343">
        <v>0</v>
      </c>
    </row>
    <row r="4149" spans="1:15" x14ac:dyDescent="0.3">
      <c r="A4149" s="340" t="s">
        <v>891</v>
      </c>
      <c r="B4149" s="350">
        <v>46133</v>
      </c>
      <c r="C4149" s="350">
        <v>46152</v>
      </c>
      <c r="D4149" s="351">
        <v>46143</v>
      </c>
      <c r="E4149" s="340" t="s">
        <v>2970</v>
      </c>
      <c r="F4149" s="340" t="s">
        <v>894</v>
      </c>
      <c r="G4149" s="340" t="s">
        <v>1227</v>
      </c>
      <c r="H4149" s="340"/>
      <c r="I4149" s="340" t="s">
        <v>750</v>
      </c>
      <c r="K4149" s="343">
        <v>0</v>
      </c>
      <c r="L4149" s="343">
        <v>-10175.5</v>
      </c>
      <c r="M4149" s="343">
        <v>-779321.1</v>
      </c>
      <c r="O4149" s="343">
        <v>0</v>
      </c>
    </row>
    <row r="4150" spans="1:15" x14ac:dyDescent="0.3">
      <c r="A4150" s="340" t="s">
        <v>891</v>
      </c>
      <c r="B4150" s="350">
        <v>46134</v>
      </c>
      <c r="C4150" s="350">
        <v>46134</v>
      </c>
      <c r="D4150" s="351">
        <v>46113</v>
      </c>
      <c r="E4150" s="340" t="s">
        <v>2971</v>
      </c>
      <c r="F4150" s="340" t="s">
        <v>894</v>
      </c>
      <c r="G4150" s="340" t="s">
        <v>2972</v>
      </c>
      <c r="H4150" s="340"/>
      <c r="I4150" s="340" t="s">
        <v>745</v>
      </c>
      <c r="K4150" s="343">
        <v>0</v>
      </c>
      <c r="L4150" s="343">
        <v>-355.06</v>
      </c>
      <c r="M4150" s="343">
        <v>-779676.16000000003</v>
      </c>
      <c r="O4150" s="343">
        <v>0</v>
      </c>
    </row>
    <row r="4151" spans="1:15" x14ac:dyDescent="0.3">
      <c r="A4151" s="340" t="s">
        <v>891</v>
      </c>
      <c r="B4151" s="350">
        <v>46134</v>
      </c>
      <c r="C4151" s="350">
        <v>46134</v>
      </c>
      <c r="D4151" s="351">
        <v>46113</v>
      </c>
      <c r="E4151" s="340" t="s">
        <v>2973</v>
      </c>
      <c r="F4151" s="340" t="s">
        <v>894</v>
      </c>
      <c r="G4151" s="340" t="s">
        <v>2974</v>
      </c>
      <c r="H4151" s="340"/>
      <c r="I4151" s="340" t="s">
        <v>740</v>
      </c>
      <c r="K4151" s="343">
        <v>0</v>
      </c>
      <c r="L4151" s="343">
        <v>-129.9</v>
      </c>
      <c r="M4151" s="343">
        <v>-779806.06</v>
      </c>
      <c r="O4151" s="343">
        <v>0</v>
      </c>
    </row>
    <row r="4152" spans="1:15" x14ac:dyDescent="0.3">
      <c r="A4152" s="340" t="s">
        <v>891</v>
      </c>
      <c r="B4152" s="350">
        <v>46134</v>
      </c>
      <c r="C4152" s="350">
        <v>46140</v>
      </c>
      <c r="D4152" s="351">
        <v>46113</v>
      </c>
      <c r="E4152" s="340" t="s">
        <v>2975</v>
      </c>
      <c r="F4152" s="340" t="s">
        <v>894</v>
      </c>
      <c r="G4152" s="340" t="s">
        <v>2976</v>
      </c>
      <c r="H4152" s="340"/>
      <c r="I4152" s="340" t="s">
        <v>740</v>
      </c>
      <c r="K4152" s="343">
        <v>0</v>
      </c>
      <c r="L4152" s="343">
        <v>-75.78</v>
      </c>
      <c r="M4152" s="343">
        <v>-779881.84</v>
      </c>
      <c r="O4152" s="343">
        <v>0</v>
      </c>
    </row>
    <row r="4153" spans="1:15" x14ac:dyDescent="0.3">
      <c r="A4153" s="340" t="s">
        <v>891</v>
      </c>
      <c r="B4153" s="350">
        <v>46134</v>
      </c>
      <c r="C4153" s="350">
        <v>46140</v>
      </c>
      <c r="D4153" s="351">
        <v>46113</v>
      </c>
      <c r="E4153" s="340" t="s">
        <v>2975</v>
      </c>
      <c r="F4153" s="340" t="s">
        <v>894</v>
      </c>
      <c r="G4153" s="340" t="s">
        <v>2977</v>
      </c>
      <c r="H4153" s="340"/>
      <c r="I4153" s="340" t="s">
        <v>740</v>
      </c>
      <c r="K4153" s="343">
        <v>0</v>
      </c>
      <c r="L4153" s="343">
        <v>-119.08</v>
      </c>
      <c r="M4153" s="343">
        <v>-780000.92</v>
      </c>
      <c r="O4153" s="343">
        <v>0</v>
      </c>
    </row>
    <row r="4154" spans="1:15" x14ac:dyDescent="0.3">
      <c r="A4154" s="340" t="s">
        <v>891</v>
      </c>
      <c r="B4154" s="350">
        <v>46134</v>
      </c>
      <c r="C4154" s="350">
        <v>46140</v>
      </c>
      <c r="D4154" s="351">
        <v>46113</v>
      </c>
      <c r="E4154" s="340" t="s">
        <v>2975</v>
      </c>
      <c r="F4154" s="340" t="s">
        <v>894</v>
      </c>
      <c r="G4154" s="340" t="s">
        <v>2978</v>
      </c>
      <c r="H4154" s="340"/>
      <c r="I4154" s="340" t="s">
        <v>740</v>
      </c>
      <c r="K4154" s="343">
        <v>0</v>
      </c>
      <c r="L4154" s="343">
        <v>-119.08</v>
      </c>
      <c r="M4154" s="343">
        <v>-780120</v>
      </c>
      <c r="O4154" s="343">
        <v>0</v>
      </c>
    </row>
    <row r="4155" spans="1:15" x14ac:dyDescent="0.3">
      <c r="A4155" s="340" t="s">
        <v>891</v>
      </c>
      <c r="B4155" s="350">
        <v>46134</v>
      </c>
      <c r="C4155" s="350">
        <v>46140</v>
      </c>
      <c r="D4155" s="351">
        <v>46113</v>
      </c>
      <c r="E4155" s="340" t="s">
        <v>2975</v>
      </c>
      <c r="F4155" s="340" t="s">
        <v>894</v>
      </c>
      <c r="G4155" s="340" t="s">
        <v>2979</v>
      </c>
      <c r="H4155" s="340"/>
      <c r="I4155" s="340" t="s">
        <v>740</v>
      </c>
      <c r="K4155" s="343">
        <v>0</v>
      </c>
      <c r="L4155" s="343">
        <v>-119.08</v>
      </c>
      <c r="M4155" s="343">
        <v>-780239.08</v>
      </c>
      <c r="O4155" s="343">
        <v>0</v>
      </c>
    </row>
    <row r="4156" spans="1:15" x14ac:dyDescent="0.3">
      <c r="A4156" s="340" t="s">
        <v>891</v>
      </c>
      <c r="B4156" s="350">
        <v>46134</v>
      </c>
      <c r="C4156" s="350">
        <v>46140</v>
      </c>
      <c r="D4156" s="351">
        <v>46113</v>
      </c>
      <c r="E4156" s="340" t="s">
        <v>2975</v>
      </c>
      <c r="F4156" s="340" t="s">
        <v>894</v>
      </c>
      <c r="G4156" s="340" t="s">
        <v>2980</v>
      </c>
      <c r="H4156" s="340"/>
      <c r="I4156" s="340" t="s">
        <v>740</v>
      </c>
      <c r="K4156" s="343">
        <v>0</v>
      </c>
      <c r="L4156" s="343">
        <v>-119.06</v>
      </c>
      <c r="M4156" s="343">
        <v>-780358.14</v>
      </c>
      <c r="O4156" s="343">
        <v>0</v>
      </c>
    </row>
    <row r="4157" spans="1:15" x14ac:dyDescent="0.3">
      <c r="A4157" s="340" t="s">
        <v>891</v>
      </c>
      <c r="B4157" s="350">
        <v>46134</v>
      </c>
      <c r="C4157" s="350">
        <v>46140</v>
      </c>
      <c r="D4157" s="351">
        <v>46113</v>
      </c>
      <c r="E4157" s="340" t="s">
        <v>2981</v>
      </c>
      <c r="F4157" s="340" t="s">
        <v>894</v>
      </c>
      <c r="G4157" s="340" t="s">
        <v>2982</v>
      </c>
      <c r="H4157" s="340"/>
      <c r="I4157" s="340" t="s">
        <v>740</v>
      </c>
      <c r="K4157" s="343">
        <v>0</v>
      </c>
      <c r="L4157" s="343">
        <v>-230</v>
      </c>
      <c r="M4157" s="343">
        <v>-780588.14</v>
      </c>
      <c r="O4157" s="343">
        <v>0</v>
      </c>
    </row>
    <row r="4158" spans="1:15" x14ac:dyDescent="0.3">
      <c r="A4158" s="340" t="s">
        <v>891</v>
      </c>
      <c r="B4158" s="350">
        <v>46134</v>
      </c>
      <c r="C4158" s="350">
        <v>46140</v>
      </c>
      <c r="D4158" s="351">
        <v>46113</v>
      </c>
      <c r="E4158" s="340" t="s">
        <v>2981</v>
      </c>
      <c r="F4158" s="340" t="s">
        <v>894</v>
      </c>
      <c r="G4158" s="340" t="s">
        <v>2983</v>
      </c>
      <c r="H4158" s="340"/>
      <c r="I4158" s="340" t="s">
        <v>740</v>
      </c>
      <c r="K4158" s="343">
        <v>0</v>
      </c>
      <c r="L4158" s="343">
        <v>-230</v>
      </c>
      <c r="M4158" s="343">
        <v>-780818.14</v>
      </c>
      <c r="O4158" s="343">
        <v>0</v>
      </c>
    </row>
    <row r="4159" spans="1:15" x14ac:dyDescent="0.3">
      <c r="A4159" s="340" t="s">
        <v>891</v>
      </c>
      <c r="B4159" s="350">
        <v>46134</v>
      </c>
      <c r="C4159" s="350">
        <v>46140</v>
      </c>
      <c r="D4159" s="351">
        <v>46113</v>
      </c>
      <c r="E4159" s="340" t="s">
        <v>2981</v>
      </c>
      <c r="F4159" s="340" t="s">
        <v>894</v>
      </c>
      <c r="G4159" s="340" t="s">
        <v>2984</v>
      </c>
      <c r="H4159" s="340"/>
      <c r="I4159" s="340" t="s">
        <v>740</v>
      </c>
      <c r="K4159" s="343">
        <v>0</v>
      </c>
      <c r="L4159" s="343">
        <v>-180</v>
      </c>
      <c r="M4159" s="343">
        <v>-780998.14</v>
      </c>
      <c r="O4159" s="343">
        <v>0</v>
      </c>
    </row>
    <row r="4160" spans="1:15" x14ac:dyDescent="0.3">
      <c r="A4160" s="340" t="s">
        <v>891</v>
      </c>
      <c r="B4160" s="350">
        <v>46134</v>
      </c>
      <c r="C4160" s="350">
        <v>46140</v>
      </c>
      <c r="D4160" s="351">
        <v>46113</v>
      </c>
      <c r="E4160" s="340" t="s">
        <v>2981</v>
      </c>
      <c r="F4160" s="340" t="s">
        <v>894</v>
      </c>
      <c r="G4160" s="340" t="s">
        <v>2985</v>
      </c>
      <c r="H4160" s="340"/>
      <c r="I4160" s="340" t="s">
        <v>740</v>
      </c>
      <c r="K4160" s="343">
        <v>0</v>
      </c>
      <c r="L4160" s="343">
        <v>-180</v>
      </c>
      <c r="M4160" s="343">
        <v>-781178.14</v>
      </c>
      <c r="O4160" s="343">
        <v>0</v>
      </c>
    </row>
    <row r="4161" spans="1:15" x14ac:dyDescent="0.3">
      <c r="A4161" s="340" t="s">
        <v>891</v>
      </c>
      <c r="B4161" s="350">
        <v>46134</v>
      </c>
      <c r="C4161" s="350">
        <v>46140</v>
      </c>
      <c r="D4161" s="351">
        <v>46113</v>
      </c>
      <c r="E4161" s="340" t="s">
        <v>2981</v>
      </c>
      <c r="F4161" s="340" t="s">
        <v>894</v>
      </c>
      <c r="G4161" s="340" t="s">
        <v>2986</v>
      </c>
      <c r="H4161" s="340"/>
      <c r="I4161" s="340" t="s">
        <v>740</v>
      </c>
      <c r="K4161" s="343">
        <v>0</v>
      </c>
      <c r="L4161" s="343">
        <v>-180</v>
      </c>
      <c r="M4161" s="343">
        <v>-781358.14</v>
      </c>
      <c r="O4161" s="343">
        <v>0</v>
      </c>
    </row>
    <row r="4162" spans="1:15" x14ac:dyDescent="0.3">
      <c r="A4162" s="340" t="s">
        <v>891</v>
      </c>
      <c r="B4162" s="350">
        <v>46135</v>
      </c>
      <c r="C4162" s="350">
        <v>46135</v>
      </c>
      <c r="D4162" s="351">
        <v>46113</v>
      </c>
      <c r="E4162" s="340" t="s">
        <v>2987</v>
      </c>
      <c r="F4162" s="340" t="s">
        <v>894</v>
      </c>
      <c r="G4162" s="340" t="s">
        <v>2988</v>
      </c>
      <c r="H4162" s="340"/>
      <c r="I4162" s="340" t="s">
        <v>1658</v>
      </c>
      <c r="K4162" s="343">
        <v>0</v>
      </c>
      <c r="L4162" s="343">
        <v>-740</v>
      </c>
      <c r="M4162" s="343">
        <v>-782098.14</v>
      </c>
      <c r="O4162" s="343">
        <v>0</v>
      </c>
    </row>
    <row r="4163" spans="1:15" x14ac:dyDescent="0.3">
      <c r="A4163" s="340" t="s">
        <v>891</v>
      </c>
      <c r="B4163" s="350">
        <v>46135</v>
      </c>
      <c r="C4163" s="350">
        <v>46135</v>
      </c>
      <c r="D4163" s="351">
        <v>46113</v>
      </c>
      <c r="E4163" s="340" t="s">
        <v>2989</v>
      </c>
      <c r="F4163" s="340" t="s">
        <v>1078</v>
      </c>
      <c r="G4163" s="340" t="s">
        <v>2988</v>
      </c>
      <c r="H4163" s="340"/>
      <c r="I4163" s="340" t="s">
        <v>1658</v>
      </c>
      <c r="K4163" s="343">
        <v>740</v>
      </c>
      <c r="L4163" s="343">
        <v>0</v>
      </c>
      <c r="M4163" s="343">
        <v>-781358.14</v>
      </c>
      <c r="O4163" s="343">
        <v>0</v>
      </c>
    </row>
    <row r="4164" spans="1:15" x14ac:dyDescent="0.3">
      <c r="A4164" s="340" t="s">
        <v>891</v>
      </c>
      <c r="B4164" s="350">
        <v>46135</v>
      </c>
      <c r="C4164" s="350">
        <v>46137</v>
      </c>
      <c r="D4164" s="351">
        <v>46113</v>
      </c>
      <c r="E4164" s="340" t="s">
        <v>2990</v>
      </c>
      <c r="F4164" s="340" t="s">
        <v>894</v>
      </c>
      <c r="G4164" s="340" t="s">
        <v>2991</v>
      </c>
      <c r="H4164" s="340"/>
      <c r="I4164" s="340" t="s">
        <v>740</v>
      </c>
      <c r="K4164" s="343">
        <v>0</v>
      </c>
      <c r="L4164" s="343">
        <v>-260</v>
      </c>
      <c r="M4164" s="343">
        <v>-781618.14</v>
      </c>
      <c r="O4164" s="343">
        <v>0</v>
      </c>
    </row>
    <row r="4165" spans="1:15" x14ac:dyDescent="0.3">
      <c r="A4165" s="340" t="s">
        <v>891</v>
      </c>
      <c r="B4165" s="350">
        <v>46135</v>
      </c>
      <c r="C4165" s="350">
        <v>46148</v>
      </c>
      <c r="D4165" s="351">
        <v>46143</v>
      </c>
      <c r="E4165" s="340" t="s">
        <v>2992</v>
      </c>
      <c r="F4165" s="340" t="s">
        <v>894</v>
      </c>
      <c r="G4165" s="340" t="s">
        <v>2993</v>
      </c>
      <c r="H4165" s="340"/>
      <c r="I4165" s="340" t="s">
        <v>748</v>
      </c>
      <c r="K4165" s="343">
        <v>0</v>
      </c>
      <c r="L4165" s="343">
        <v>-1407</v>
      </c>
      <c r="M4165" s="343">
        <v>-783025.14</v>
      </c>
      <c r="O4165" s="343">
        <v>0</v>
      </c>
    </row>
    <row r="4166" spans="1:15" x14ac:dyDescent="0.3">
      <c r="A4166" s="340" t="s">
        <v>891</v>
      </c>
      <c r="B4166" s="350">
        <v>46135</v>
      </c>
      <c r="C4166" s="350">
        <v>46148</v>
      </c>
      <c r="D4166" s="351">
        <v>46143</v>
      </c>
      <c r="E4166" s="340" t="s">
        <v>2992</v>
      </c>
      <c r="F4166" s="340" t="s">
        <v>894</v>
      </c>
      <c r="G4166" s="340" t="s">
        <v>2994</v>
      </c>
      <c r="H4166" s="340"/>
      <c r="I4166" s="340" t="s">
        <v>748</v>
      </c>
      <c r="K4166" s="343">
        <v>0</v>
      </c>
      <c r="L4166" s="343">
        <v>-836.34</v>
      </c>
      <c r="M4166" s="343">
        <v>-783861.48</v>
      </c>
      <c r="O4166" s="343">
        <v>0</v>
      </c>
    </row>
    <row r="4167" spans="1:15" x14ac:dyDescent="0.3">
      <c r="A4167" s="340" t="s">
        <v>891</v>
      </c>
      <c r="B4167" s="350">
        <v>46136</v>
      </c>
      <c r="C4167" s="350">
        <v>46136</v>
      </c>
      <c r="D4167" s="351">
        <v>46113</v>
      </c>
      <c r="E4167" s="340" t="s">
        <v>2995</v>
      </c>
      <c r="F4167" s="340" t="s">
        <v>894</v>
      </c>
      <c r="G4167" s="340" t="s">
        <v>2996</v>
      </c>
      <c r="H4167" s="340"/>
      <c r="I4167" s="340" t="s">
        <v>753</v>
      </c>
      <c r="K4167" s="343">
        <v>0</v>
      </c>
      <c r="L4167" s="343">
        <v>-265.20999999999998</v>
      </c>
      <c r="M4167" s="343">
        <v>-784126.69</v>
      </c>
      <c r="O4167" s="343">
        <v>0</v>
      </c>
    </row>
    <row r="4168" spans="1:15" x14ac:dyDescent="0.3">
      <c r="A4168" s="340" t="s">
        <v>891</v>
      </c>
      <c r="B4168" s="350">
        <v>46136</v>
      </c>
      <c r="C4168" s="350">
        <v>46136</v>
      </c>
      <c r="D4168" s="351">
        <v>46113</v>
      </c>
      <c r="E4168" s="340" t="s">
        <v>1232</v>
      </c>
      <c r="F4168" s="340" t="s">
        <v>894</v>
      </c>
      <c r="G4168" s="340" t="s">
        <v>1487</v>
      </c>
      <c r="H4168" s="340"/>
      <c r="I4168" s="340" t="s">
        <v>2997</v>
      </c>
      <c r="K4168" s="343">
        <v>0</v>
      </c>
      <c r="L4168" s="343">
        <v>-0.01</v>
      </c>
      <c r="M4168" s="343">
        <v>-784126.7</v>
      </c>
      <c r="O4168" s="343">
        <v>0</v>
      </c>
    </row>
    <row r="4169" spans="1:15" x14ac:dyDescent="0.3">
      <c r="A4169" s="340" t="s">
        <v>891</v>
      </c>
      <c r="B4169" s="350">
        <v>46136</v>
      </c>
      <c r="C4169" s="350">
        <v>46136</v>
      </c>
      <c r="D4169" s="351">
        <v>46113</v>
      </c>
      <c r="E4169" s="340" t="s">
        <v>2998</v>
      </c>
      <c r="F4169" s="340" t="s">
        <v>894</v>
      </c>
      <c r="G4169" s="340" t="s">
        <v>2999</v>
      </c>
      <c r="H4169" s="340"/>
      <c r="I4169" s="340" t="s">
        <v>753</v>
      </c>
      <c r="K4169" s="343">
        <v>0</v>
      </c>
      <c r="L4169" s="343">
        <v>-270.63</v>
      </c>
      <c r="M4169" s="343">
        <v>-784397.33</v>
      </c>
      <c r="O4169" s="343">
        <v>0</v>
      </c>
    </row>
    <row r="4170" spans="1:15" x14ac:dyDescent="0.3">
      <c r="A4170" s="340" t="s">
        <v>891</v>
      </c>
      <c r="B4170" s="350">
        <v>46136</v>
      </c>
      <c r="C4170" s="350">
        <v>46139</v>
      </c>
      <c r="D4170" s="351">
        <v>46113</v>
      </c>
      <c r="E4170" s="340" t="s">
        <v>3000</v>
      </c>
      <c r="F4170" s="340" t="s">
        <v>894</v>
      </c>
      <c r="G4170" s="340" t="s">
        <v>1238</v>
      </c>
      <c r="H4170" s="340"/>
      <c r="I4170" s="340" t="s">
        <v>756</v>
      </c>
      <c r="K4170" s="343">
        <v>0</v>
      </c>
      <c r="L4170" s="343">
        <v>-801.02</v>
      </c>
      <c r="M4170" s="343">
        <v>-785198.35</v>
      </c>
      <c r="O4170" s="343">
        <v>0</v>
      </c>
    </row>
    <row r="4171" spans="1:15" x14ac:dyDescent="0.3">
      <c r="A4171" s="340" t="s">
        <v>891</v>
      </c>
      <c r="B4171" s="350">
        <v>46136</v>
      </c>
      <c r="C4171" s="350">
        <v>46139</v>
      </c>
      <c r="D4171" s="351">
        <v>46113</v>
      </c>
      <c r="E4171" s="340" t="s">
        <v>3000</v>
      </c>
      <c r="F4171" s="340" t="s">
        <v>894</v>
      </c>
      <c r="G4171" s="340" t="s">
        <v>3001</v>
      </c>
      <c r="H4171" s="340"/>
      <c r="I4171" s="340" t="s">
        <v>756</v>
      </c>
      <c r="K4171" s="343">
        <v>0</v>
      </c>
      <c r="L4171" s="343">
        <v>-903.87</v>
      </c>
      <c r="M4171" s="343">
        <v>-786102.22</v>
      </c>
      <c r="O4171" s="343">
        <v>0</v>
      </c>
    </row>
    <row r="4172" spans="1:15" x14ac:dyDescent="0.3">
      <c r="A4172" s="340" t="s">
        <v>891</v>
      </c>
      <c r="B4172" s="350">
        <v>46136</v>
      </c>
      <c r="C4172" s="350">
        <v>46139</v>
      </c>
      <c r="D4172" s="351">
        <v>46113</v>
      </c>
      <c r="E4172" s="340" t="s">
        <v>3000</v>
      </c>
      <c r="F4172" s="340" t="s">
        <v>894</v>
      </c>
      <c r="G4172" s="340" t="s">
        <v>2888</v>
      </c>
      <c r="H4172" s="340"/>
      <c r="I4172" s="340" t="s">
        <v>756</v>
      </c>
      <c r="K4172" s="343">
        <v>0</v>
      </c>
      <c r="L4172" s="343">
        <v>-41.13</v>
      </c>
      <c r="M4172" s="343">
        <v>-786143.35</v>
      </c>
      <c r="O4172" s="343">
        <v>0</v>
      </c>
    </row>
    <row r="4173" spans="1:15" x14ac:dyDescent="0.3">
      <c r="A4173" s="340" t="s">
        <v>891</v>
      </c>
      <c r="B4173" s="350">
        <v>46136</v>
      </c>
      <c r="C4173" s="350">
        <v>46146</v>
      </c>
      <c r="D4173" s="351">
        <v>46143</v>
      </c>
      <c r="E4173" s="340" t="s">
        <v>3002</v>
      </c>
      <c r="F4173" s="340" t="s">
        <v>894</v>
      </c>
      <c r="G4173" s="340" t="s">
        <v>3003</v>
      </c>
      <c r="H4173" s="340"/>
      <c r="I4173" s="340" t="s">
        <v>771</v>
      </c>
      <c r="K4173" s="343">
        <v>0</v>
      </c>
      <c r="L4173" s="343">
        <v>-1.52</v>
      </c>
      <c r="M4173" s="343">
        <v>-786144.87</v>
      </c>
      <c r="O4173" s="343">
        <v>0</v>
      </c>
    </row>
    <row r="4174" spans="1:15" x14ac:dyDescent="0.3">
      <c r="A4174" s="340" t="s">
        <v>891</v>
      </c>
      <c r="B4174" s="350">
        <v>46136</v>
      </c>
      <c r="C4174" s="350">
        <v>46146</v>
      </c>
      <c r="D4174" s="351">
        <v>46143</v>
      </c>
      <c r="E4174" s="340" t="s">
        <v>3002</v>
      </c>
      <c r="F4174" s="340" t="s">
        <v>894</v>
      </c>
      <c r="G4174" s="340" t="s">
        <v>3004</v>
      </c>
      <c r="H4174" s="340"/>
      <c r="I4174" s="340" t="s">
        <v>771</v>
      </c>
      <c r="K4174" s="343">
        <v>0</v>
      </c>
      <c r="L4174" s="343">
        <v>-9.2799999999999994</v>
      </c>
      <c r="M4174" s="343">
        <v>-786154.15</v>
      </c>
      <c r="O4174" s="343">
        <v>0</v>
      </c>
    </row>
    <row r="4175" spans="1:15" x14ac:dyDescent="0.3">
      <c r="A4175" s="340" t="s">
        <v>891</v>
      </c>
      <c r="B4175" s="350">
        <v>46136</v>
      </c>
      <c r="C4175" s="350">
        <v>46146</v>
      </c>
      <c r="D4175" s="351">
        <v>46143</v>
      </c>
      <c r="E4175" s="340" t="s">
        <v>3002</v>
      </c>
      <c r="F4175" s="340" t="s">
        <v>894</v>
      </c>
      <c r="G4175" s="340" t="s">
        <v>3005</v>
      </c>
      <c r="H4175" s="340"/>
      <c r="I4175" s="340" t="s">
        <v>771</v>
      </c>
      <c r="K4175" s="343">
        <v>0</v>
      </c>
      <c r="L4175" s="343">
        <v>-1599.4</v>
      </c>
      <c r="M4175" s="343">
        <v>-787753.55</v>
      </c>
      <c r="O4175" s="343">
        <v>0</v>
      </c>
    </row>
    <row r="4176" spans="1:15" x14ac:dyDescent="0.3">
      <c r="A4176" s="340" t="s">
        <v>891</v>
      </c>
      <c r="B4176" s="350">
        <v>46136</v>
      </c>
      <c r="C4176" s="350">
        <v>46146</v>
      </c>
      <c r="D4176" s="351">
        <v>46143</v>
      </c>
      <c r="E4176" s="340" t="s">
        <v>3002</v>
      </c>
      <c r="F4176" s="340" t="s">
        <v>894</v>
      </c>
      <c r="G4176" s="340" t="s">
        <v>3006</v>
      </c>
      <c r="H4176" s="340"/>
      <c r="I4176" s="340" t="s">
        <v>771</v>
      </c>
      <c r="K4176" s="343">
        <v>0</v>
      </c>
      <c r="L4176" s="343">
        <v>-370.1</v>
      </c>
      <c r="M4176" s="343">
        <v>-788123.65</v>
      </c>
      <c r="O4176" s="343">
        <v>0</v>
      </c>
    </row>
    <row r="4177" spans="1:15" x14ac:dyDescent="0.3">
      <c r="A4177" s="340" t="s">
        <v>891</v>
      </c>
      <c r="B4177" s="350">
        <v>46136</v>
      </c>
      <c r="C4177" s="350">
        <v>46146</v>
      </c>
      <c r="D4177" s="351">
        <v>46143</v>
      </c>
      <c r="E4177" s="340" t="s">
        <v>3002</v>
      </c>
      <c r="F4177" s="340" t="s">
        <v>894</v>
      </c>
      <c r="G4177" s="340" t="s">
        <v>3007</v>
      </c>
      <c r="H4177" s="340"/>
      <c r="I4177" s="340" t="s">
        <v>771</v>
      </c>
      <c r="K4177" s="343">
        <v>0</v>
      </c>
      <c r="L4177" s="343">
        <v>-1599.4</v>
      </c>
      <c r="M4177" s="343">
        <v>-789723.05</v>
      </c>
      <c r="O4177" s="343">
        <v>0</v>
      </c>
    </row>
    <row r="4178" spans="1:15" x14ac:dyDescent="0.3">
      <c r="A4178" s="340" t="s">
        <v>891</v>
      </c>
      <c r="B4178" s="350">
        <v>46136</v>
      </c>
      <c r="C4178" s="350">
        <v>46146</v>
      </c>
      <c r="D4178" s="351">
        <v>46143</v>
      </c>
      <c r="E4178" s="340" t="s">
        <v>3002</v>
      </c>
      <c r="F4178" s="340" t="s">
        <v>894</v>
      </c>
      <c r="G4178" s="340" t="s">
        <v>3004</v>
      </c>
      <c r="H4178" s="340"/>
      <c r="I4178" s="340" t="s">
        <v>771</v>
      </c>
      <c r="K4178" s="343">
        <v>0</v>
      </c>
      <c r="L4178" s="343">
        <v>-11.14</v>
      </c>
      <c r="M4178" s="343">
        <v>-789734.19</v>
      </c>
      <c r="O4178" s="343">
        <v>0</v>
      </c>
    </row>
    <row r="4179" spans="1:15" x14ac:dyDescent="0.3">
      <c r="A4179" s="340" t="s">
        <v>891</v>
      </c>
      <c r="B4179" s="350">
        <v>46136</v>
      </c>
      <c r="C4179" s="350">
        <v>46146</v>
      </c>
      <c r="D4179" s="351">
        <v>46143</v>
      </c>
      <c r="E4179" s="340" t="s">
        <v>3002</v>
      </c>
      <c r="F4179" s="340" t="s">
        <v>894</v>
      </c>
      <c r="G4179" s="340" t="s">
        <v>3008</v>
      </c>
      <c r="H4179" s="340"/>
      <c r="I4179" s="340" t="s">
        <v>771</v>
      </c>
      <c r="K4179" s="343">
        <v>0</v>
      </c>
      <c r="L4179" s="343">
        <v>-16.84</v>
      </c>
      <c r="M4179" s="343">
        <v>-789751.03</v>
      </c>
      <c r="O4179" s="343">
        <v>0</v>
      </c>
    </row>
    <row r="4180" spans="1:15" x14ac:dyDescent="0.3">
      <c r="A4180" s="340" t="s">
        <v>891</v>
      </c>
      <c r="B4180" s="350">
        <v>46136</v>
      </c>
      <c r="C4180" s="350">
        <v>46146</v>
      </c>
      <c r="D4180" s="351">
        <v>46143</v>
      </c>
      <c r="E4180" s="340" t="s">
        <v>3002</v>
      </c>
      <c r="F4180" s="340" t="s">
        <v>894</v>
      </c>
      <c r="G4180" s="340" t="s">
        <v>3009</v>
      </c>
      <c r="H4180" s="340"/>
      <c r="I4180" s="340" t="s">
        <v>771</v>
      </c>
      <c r="K4180" s="343">
        <v>0</v>
      </c>
      <c r="L4180" s="343">
        <v>-21.3</v>
      </c>
      <c r="M4180" s="343">
        <v>-789772.33</v>
      </c>
      <c r="O4180" s="343">
        <v>0</v>
      </c>
    </row>
    <row r="4181" spans="1:15" x14ac:dyDescent="0.3">
      <c r="A4181" s="340" t="s">
        <v>891</v>
      </c>
      <c r="B4181" s="350">
        <v>46136</v>
      </c>
      <c r="C4181" s="350">
        <v>46146</v>
      </c>
      <c r="D4181" s="351">
        <v>46143</v>
      </c>
      <c r="E4181" s="340" t="s">
        <v>3002</v>
      </c>
      <c r="F4181" s="340" t="s">
        <v>894</v>
      </c>
      <c r="G4181" s="340" t="s">
        <v>3010</v>
      </c>
      <c r="H4181" s="340"/>
      <c r="I4181" s="340" t="s">
        <v>771</v>
      </c>
      <c r="K4181" s="343">
        <v>0</v>
      </c>
      <c r="L4181" s="343">
        <v>-22.22</v>
      </c>
      <c r="M4181" s="343">
        <v>-789794.55</v>
      </c>
      <c r="O4181" s="343">
        <v>0</v>
      </c>
    </row>
    <row r="4182" spans="1:15" x14ac:dyDescent="0.3">
      <c r="A4182" s="340" t="s">
        <v>891</v>
      </c>
      <c r="B4182" s="350">
        <v>46136</v>
      </c>
      <c r="C4182" s="350">
        <v>46146</v>
      </c>
      <c r="D4182" s="351">
        <v>46143</v>
      </c>
      <c r="E4182" s="340" t="s">
        <v>3002</v>
      </c>
      <c r="F4182" s="340" t="s">
        <v>894</v>
      </c>
      <c r="G4182" s="340" t="s">
        <v>3011</v>
      </c>
      <c r="H4182" s="340"/>
      <c r="I4182" s="340" t="s">
        <v>771</v>
      </c>
      <c r="K4182" s="343">
        <v>0</v>
      </c>
      <c r="L4182" s="343">
        <v>-220.85</v>
      </c>
      <c r="M4182" s="343">
        <v>-790015.4</v>
      </c>
      <c r="O4182" s="343">
        <v>0</v>
      </c>
    </row>
    <row r="4183" spans="1:15" x14ac:dyDescent="0.3">
      <c r="A4183" s="340" t="s">
        <v>891</v>
      </c>
      <c r="B4183" s="350">
        <v>46136</v>
      </c>
      <c r="C4183" s="350">
        <v>46146</v>
      </c>
      <c r="D4183" s="351">
        <v>46143</v>
      </c>
      <c r="E4183" s="340" t="s">
        <v>3002</v>
      </c>
      <c r="F4183" s="340" t="s">
        <v>894</v>
      </c>
      <c r="G4183" s="340" t="s">
        <v>3012</v>
      </c>
      <c r="H4183" s="340"/>
      <c r="I4183" s="340" t="s">
        <v>771</v>
      </c>
      <c r="K4183" s="343">
        <v>0</v>
      </c>
      <c r="L4183" s="343">
        <v>-378.51</v>
      </c>
      <c r="M4183" s="343">
        <v>-790393.91</v>
      </c>
      <c r="O4183" s="343">
        <v>0</v>
      </c>
    </row>
    <row r="4184" spans="1:15" x14ac:dyDescent="0.3">
      <c r="A4184" s="340" t="s">
        <v>891</v>
      </c>
      <c r="B4184" s="350">
        <v>46136</v>
      </c>
      <c r="C4184" s="350">
        <v>46146</v>
      </c>
      <c r="D4184" s="351">
        <v>46143</v>
      </c>
      <c r="E4184" s="340" t="s">
        <v>3002</v>
      </c>
      <c r="F4184" s="340" t="s">
        <v>894</v>
      </c>
      <c r="G4184" s="340" t="s">
        <v>3006</v>
      </c>
      <c r="H4184" s="340"/>
      <c r="I4184" s="340" t="s">
        <v>771</v>
      </c>
      <c r="K4184" s="343">
        <v>0</v>
      </c>
      <c r="L4184" s="343">
        <v>-441.73</v>
      </c>
      <c r="M4184" s="343">
        <v>-790835.64</v>
      </c>
      <c r="O4184" s="343">
        <v>0</v>
      </c>
    </row>
    <row r="4185" spans="1:15" x14ac:dyDescent="0.3">
      <c r="A4185" s="340" t="s">
        <v>891</v>
      </c>
      <c r="B4185" s="350">
        <v>46136</v>
      </c>
      <c r="C4185" s="350">
        <v>46146</v>
      </c>
      <c r="D4185" s="351">
        <v>46143</v>
      </c>
      <c r="E4185" s="340" t="s">
        <v>3002</v>
      </c>
      <c r="F4185" s="340" t="s">
        <v>894</v>
      </c>
      <c r="G4185" s="340" t="s">
        <v>3007</v>
      </c>
      <c r="H4185" s="340"/>
      <c r="I4185" s="340" t="s">
        <v>771</v>
      </c>
      <c r="K4185" s="343">
        <v>0</v>
      </c>
      <c r="L4185" s="343">
        <v>-2242.29</v>
      </c>
      <c r="M4185" s="343">
        <v>-793077.93</v>
      </c>
      <c r="O4185" s="343">
        <v>0</v>
      </c>
    </row>
    <row r="4186" spans="1:15" x14ac:dyDescent="0.3">
      <c r="A4186" s="340" t="s">
        <v>891</v>
      </c>
      <c r="B4186" s="350">
        <v>46136</v>
      </c>
      <c r="C4186" s="350">
        <v>46146</v>
      </c>
      <c r="D4186" s="351">
        <v>46143</v>
      </c>
      <c r="E4186" s="340" t="s">
        <v>3002</v>
      </c>
      <c r="F4186" s="340" t="s">
        <v>894</v>
      </c>
      <c r="G4186" s="340" t="s">
        <v>3003</v>
      </c>
      <c r="H4186" s="340"/>
      <c r="I4186" s="340" t="s">
        <v>771</v>
      </c>
      <c r="K4186" s="343">
        <v>0</v>
      </c>
      <c r="L4186" s="343">
        <v>-3.95</v>
      </c>
      <c r="M4186" s="343">
        <v>-793081.88</v>
      </c>
      <c r="O4186" s="343">
        <v>0</v>
      </c>
    </row>
    <row r="4187" spans="1:15" x14ac:dyDescent="0.3">
      <c r="A4187" s="340" t="s">
        <v>891</v>
      </c>
      <c r="B4187" s="350">
        <v>46136</v>
      </c>
      <c r="C4187" s="350">
        <v>46146</v>
      </c>
      <c r="D4187" s="351">
        <v>46143</v>
      </c>
      <c r="E4187" s="340" t="s">
        <v>3002</v>
      </c>
      <c r="F4187" s="340" t="s">
        <v>894</v>
      </c>
      <c r="G4187" s="340" t="s">
        <v>3008</v>
      </c>
      <c r="H4187" s="340"/>
      <c r="I4187" s="340" t="s">
        <v>771</v>
      </c>
      <c r="K4187" s="343">
        <v>0</v>
      </c>
      <c r="L4187" s="343">
        <v>-11.58</v>
      </c>
      <c r="M4187" s="343">
        <v>-793093.46</v>
      </c>
      <c r="O4187" s="343">
        <v>0</v>
      </c>
    </row>
    <row r="4188" spans="1:15" x14ac:dyDescent="0.3">
      <c r="A4188" s="340" t="s">
        <v>891</v>
      </c>
      <c r="B4188" s="350">
        <v>46136</v>
      </c>
      <c r="C4188" s="350">
        <v>46146</v>
      </c>
      <c r="D4188" s="351">
        <v>46143</v>
      </c>
      <c r="E4188" s="340" t="s">
        <v>3002</v>
      </c>
      <c r="F4188" s="340" t="s">
        <v>894</v>
      </c>
      <c r="G4188" s="340" t="s">
        <v>3010</v>
      </c>
      <c r="H4188" s="340"/>
      <c r="I4188" s="340" t="s">
        <v>771</v>
      </c>
      <c r="K4188" s="343">
        <v>0</v>
      </c>
      <c r="L4188" s="343">
        <v>-18.510000000000002</v>
      </c>
      <c r="M4188" s="343">
        <v>-793111.97</v>
      </c>
      <c r="O4188" s="343">
        <v>0</v>
      </c>
    </row>
    <row r="4189" spans="1:15" x14ac:dyDescent="0.3">
      <c r="A4189" s="340" t="s">
        <v>891</v>
      </c>
      <c r="B4189" s="350">
        <v>46136</v>
      </c>
      <c r="C4189" s="350">
        <v>46146</v>
      </c>
      <c r="D4189" s="351">
        <v>46143</v>
      </c>
      <c r="E4189" s="340" t="s">
        <v>3002</v>
      </c>
      <c r="F4189" s="340" t="s">
        <v>894</v>
      </c>
      <c r="G4189" s="340" t="s">
        <v>3009</v>
      </c>
      <c r="H4189" s="340"/>
      <c r="I4189" s="340" t="s">
        <v>771</v>
      </c>
      <c r="K4189" s="343">
        <v>0</v>
      </c>
      <c r="L4189" s="343">
        <v>-21.3</v>
      </c>
      <c r="M4189" s="343">
        <v>-793133.27</v>
      </c>
      <c r="O4189" s="343">
        <v>0</v>
      </c>
    </row>
    <row r="4190" spans="1:15" x14ac:dyDescent="0.3">
      <c r="A4190" s="340" t="s">
        <v>891</v>
      </c>
      <c r="B4190" s="350">
        <v>46136</v>
      </c>
      <c r="C4190" s="350">
        <v>46146</v>
      </c>
      <c r="D4190" s="351">
        <v>46143</v>
      </c>
      <c r="E4190" s="340" t="s">
        <v>3002</v>
      </c>
      <c r="F4190" s="340" t="s">
        <v>894</v>
      </c>
      <c r="G4190" s="340" t="s">
        <v>3013</v>
      </c>
      <c r="H4190" s="340"/>
      <c r="I4190" s="340" t="s">
        <v>771</v>
      </c>
      <c r="K4190" s="343">
        <v>0</v>
      </c>
      <c r="L4190" s="343">
        <v>-72.06</v>
      </c>
      <c r="M4190" s="343">
        <v>-793205.33</v>
      </c>
      <c r="O4190" s="343">
        <v>0</v>
      </c>
    </row>
    <row r="4191" spans="1:15" x14ac:dyDescent="0.3">
      <c r="A4191" s="340" t="s">
        <v>891</v>
      </c>
      <c r="B4191" s="350">
        <v>46136</v>
      </c>
      <c r="C4191" s="350">
        <v>46146</v>
      </c>
      <c r="D4191" s="351">
        <v>46143</v>
      </c>
      <c r="E4191" s="340" t="s">
        <v>3002</v>
      </c>
      <c r="F4191" s="340" t="s">
        <v>894</v>
      </c>
      <c r="G4191" s="340" t="s">
        <v>3011</v>
      </c>
      <c r="H4191" s="340"/>
      <c r="I4191" s="340" t="s">
        <v>771</v>
      </c>
      <c r="K4191" s="343">
        <v>0</v>
      </c>
      <c r="L4191" s="343">
        <v>-210.48</v>
      </c>
      <c r="M4191" s="343">
        <v>-793415.81</v>
      </c>
      <c r="O4191" s="343">
        <v>0</v>
      </c>
    </row>
    <row r="4192" spans="1:15" x14ac:dyDescent="0.3">
      <c r="A4192" s="340" t="s">
        <v>891</v>
      </c>
      <c r="B4192" s="350">
        <v>46136</v>
      </c>
      <c r="C4192" s="350">
        <v>46146</v>
      </c>
      <c r="D4192" s="351">
        <v>46143</v>
      </c>
      <c r="E4192" s="340" t="s">
        <v>3002</v>
      </c>
      <c r="F4192" s="340" t="s">
        <v>894</v>
      </c>
      <c r="G4192" s="340" t="s">
        <v>3012</v>
      </c>
      <c r="H4192" s="340"/>
      <c r="I4192" s="340" t="s">
        <v>771</v>
      </c>
      <c r="K4192" s="343">
        <v>0</v>
      </c>
      <c r="L4192" s="343">
        <v>-301.77999999999997</v>
      </c>
      <c r="M4192" s="343">
        <v>-793717.59</v>
      </c>
      <c r="O4192" s="343">
        <v>0</v>
      </c>
    </row>
    <row r="4193" spans="1:15" x14ac:dyDescent="0.3">
      <c r="A4193" s="340" t="s">
        <v>891</v>
      </c>
      <c r="B4193" s="350">
        <v>46136</v>
      </c>
      <c r="C4193" s="350">
        <v>46146</v>
      </c>
      <c r="D4193" s="351">
        <v>46143</v>
      </c>
      <c r="E4193" s="340" t="s">
        <v>3002</v>
      </c>
      <c r="F4193" s="340" t="s">
        <v>894</v>
      </c>
      <c r="G4193" s="340" t="s">
        <v>3006</v>
      </c>
      <c r="H4193" s="340"/>
      <c r="I4193" s="340" t="s">
        <v>771</v>
      </c>
      <c r="K4193" s="343">
        <v>0</v>
      </c>
      <c r="L4193" s="343">
        <v>-352.19</v>
      </c>
      <c r="M4193" s="343">
        <v>-794069.78</v>
      </c>
      <c r="O4193" s="343">
        <v>0</v>
      </c>
    </row>
    <row r="4194" spans="1:15" x14ac:dyDescent="0.3">
      <c r="A4194" s="340" t="s">
        <v>891</v>
      </c>
      <c r="B4194" s="350">
        <v>46136</v>
      </c>
      <c r="C4194" s="350">
        <v>46146</v>
      </c>
      <c r="D4194" s="351">
        <v>46143</v>
      </c>
      <c r="E4194" s="340" t="s">
        <v>3002</v>
      </c>
      <c r="F4194" s="340" t="s">
        <v>894</v>
      </c>
      <c r="G4194" s="340" t="s">
        <v>3007</v>
      </c>
      <c r="H4194" s="340"/>
      <c r="I4194" s="340" t="s">
        <v>771</v>
      </c>
      <c r="K4194" s="343">
        <v>0</v>
      </c>
      <c r="L4194" s="343">
        <v>-1541.24</v>
      </c>
      <c r="M4194" s="343">
        <v>-795611.02</v>
      </c>
      <c r="O4194" s="343">
        <v>0</v>
      </c>
    </row>
    <row r="4195" spans="1:15" x14ac:dyDescent="0.3">
      <c r="A4195" s="340" t="s">
        <v>891</v>
      </c>
      <c r="B4195" s="350">
        <v>46136</v>
      </c>
      <c r="C4195" s="350">
        <v>46146</v>
      </c>
      <c r="D4195" s="351">
        <v>46143</v>
      </c>
      <c r="E4195" s="340" t="s">
        <v>3002</v>
      </c>
      <c r="F4195" s="340" t="s">
        <v>894</v>
      </c>
      <c r="G4195" s="340" t="s">
        <v>3014</v>
      </c>
      <c r="H4195" s="340"/>
      <c r="I4195" s="340" t="s">
        <v>771</v>
      </c>
      <c r="K4195" s="343">
        <v>0</v>
      </c>
      <c r="L4195" s="343">
        <v>-11.41</v>
      </c>
      <c r="M4195" s="343">
        <v>-795622.43</v>
      </c>
      <c r="O4195" s="343">
        <v>0</v>
      </c>
    </row>
    <row r="4196" spans="1:15" x14ac:dyDescent="0.3">
      <c r="A4196" s="340" t="s">
        <v>891</v>
      </c>
      <c r="B4196" s="350">
        <v>46136</v>
      </c>
      <c r="C4196" s="350">
        <v>46146</v>
      </c>
      <c r="D4196" s="351">
        <v>46143</v>
      </c>
      <c r="E4196" s="340" t="s">
        <v>3002</v>
      </c>
      <c r="F4196" s="340" t="s">
        <v>894</v>
      </c>
      <c r="G4196" s="340" t="s">
        <v>3003</v>
      </c>
      <c r="H4196" s="340"/>
      <c r="I4196" s="340" t="s">
        <v>771</v>
      </c>
      <c r="K4196" s="343">
        <v>0</v>
      </c>
      <c r="L4196" s="343">
        <v>-2.72</v>
      </c>
      <c r="M4196" s="343">
        <v>-795625.15</v>
      </c>
      <c r="O4196" s="343">
        <v>0</v>
      </c>
    </row>
    <row r="4197" spans="1:15" x14ac:dyDescent="0.3">
      <c r="A4197" s="340" t="s">
        <v>891</v>
      </c>
      <c r="B4197" s="350">
        <v>46136</v>
      </c>
      <c r="C4197" s="350">
        <v>46146</v>
      </c>
      <c r="D4197" s="351">
        <v>46143</v>
      </c>
      <c r="E4197" s="340" t="s">
        <v>3002</v>
      </c>
      <c r="F4197" s="340" t="s">
        <v>894</v>
      </c>
      <c r="G4197" s="340" t="s">
        <v>3010</v>
      </c>
      <c r="H4197" s="340"/>
      <c r="I4197" s="340" t="s">
        <v>771</v>
      </c>
      <c r="K4197" s="343">
        <v>0</v>
      </c>
      <c r="L4197" s="343">
        <v>-33.11</v>
      </c>
      <c r="M4197" s="343">
        <v>-795658.26</v>
      </c>
      <c r="O4197" s="343">
        <v>0</v>
      </c>
    </row>
    <row r="4198" spans="1:15" x14ac:dyDescent="0.3">
      <c r="A4198" s="340" t="s">
        <v>891</v>
      </c>
      <c r="B4198" s="350">
        <v>46136</v>
      </c>
      <c r="C4198" s="350">
        <v>46146</v>
      </c>
      <c r="D4198" s="351">
        <v>46143</v>
      </c>
      <c r="E4198" s="340" t="s">
        <v>3002</v>
      </c>
      <c r="F4198" s="340" t="s">
        <v>894</v>
      </c>
      <c r="G4198" s="340" t="s">
        <v>3004</v>
      </c>
      <c r="H4198" s="340"/>
      <c r="I4198" s="340" t="s">
        <v>771</v>
      </c>
      <c r="K4198" s="343">
        <v>0</v>
      </c>
      <c r="L4198" s="343">
        <v>-16.61</v>
      </c>
      <c r="M4198" s="343">
        <v>-795674.87</v>
      </c>
      <c r="O4198" s="343">
        <v>0</v>
      </c>
    </row>
    <row r="4199" spans="1:15" x14ac:dyDescent="0.3">
      <c r="A4199" s="340" t="s">
        <v>891</v>
      </c>
      <c r="B4199" s="350">
        <v>46136</v>
      </c>
      <c r="C4199" s="350">
        <v>46146</v>
      </c>
      <c r="D4199" s="351">
        <v>46143</v>
      </c>
      <c r="E4199" s="340" t="s">
        <v>3002</v>
      </c>
      <c r="F4199" s="340" t="s">
        <v>894</v>
      </c>
      <c r="G4199" s="340" t="s">
        <v>3015</v>
      </c>
      <c r="H4199" s="340"/>
      <c r="I4199" s="340" t="s">
        <v>771</v>
      </c>
      <c r="K4199" s="343">
        <v>0</v>
      </c>
      <c r="L4199" s="343">
        <v>-11.13</v>
      </c>
      <c r="M4199" s="343">
        <v>-795686</v>
      </c>
      <c r="O4199" s="343">
        <v>0</v>
      </c>
    </row>
    <row r="4200" spans="1:15" x14ac:dyDescent="0.3">
      <c r="A4200" s="340" t="s">
        <v>891</v>
      </c>
      <c r="B4200" s="350">
        <v>46136</v>
      </c>
      <c r="C4200" s="350">
        <v>46146</v>
      </c>
      <c r="D4200" s="351">
        <v>46143</v>
      </c>
      <c r="E4200" s="340" t="s">
        <v>3002</v>
      </c>
      <c r="F4200" s="340" t="s">
        <v>894</v>
      </c>
      <c r="G4200" s="340" t="s">
        <v>3003</v>
      </c>
      <c r="H4200" s="340"/>
      <c r="I4200" s="340" t="s">
        <v>771</v>
      </c>
      <c r="K4200" s="343">
        <v>0</v>
      </c>
      <c r="L4200" s="343">
        <v>-1.1200000000000001</v>
      </c>
      <c r="M4200" s="343">
        <v>-795687.12</v>
      </c>
      <c r="O4200" s="343">
        <v>0</v>
      </c>
    </row>
    <row r="4201" spans="1:15" x14ac:dyDescent="0.3">
      <c r="A4201" s="340" t="s">
        <v>891</v>
      </c>
      <c r="B4201" s="350">
        <v>46136</v>
      </c>
      <c r="C4201" s="350">
        <v>46146</v>
      </c>
      <c r="D4201" s="351">
        <v>46143</v>
      </c>
      <c r="E4201" s="340" t="s">
        <v>3002</v>
      </c>
      <c r="F4201" s="340" t="s">
        <v>894</v>
      </c>
      <c r="G4201" s="340" t="s">
        <v>3003</v>
      </c>
      <c r="H4201" s="340"/>
      <c r="I4201" s="340" t="s">
        <v>771</v>
      </c>
      <c r="K4201" s="343">
        <v>0</v>
      </c>
      <c r="L4201" s="343">
        <v>-2.27</v>
      </c>
      <c r="M4201" s="343">
        <v>-795689.39</v>
      </c>
      <c r="O4201" s="343">
        <v>0</v>
      </c>
    </row>
    <row r="4202" spans="1:15" x14ac:dyDescent="0.3">
      <c r="A4202" s="340" t="s">
        <v>891</v>
      </c>
      <c r="B4202" s="350">
        <v>46136</v>
      </c>
      <c r="C4202" s="350">
        <v>46146</v>
      </c>
      <c r="D4202" s="351">
        <v>46143</v>
      </c>
      <c r="E4202" s="340" t="s">
        <v>3002</v>
      </c>
      <c r="F4202" s="340" t="s">
        <v>894</v>
      </c>
      <c r="G4202" s="340" t="s">
        <v>3004</v>
      </c>
      <c r="H4202" s="340"/>
      <c r="I4202" s="340" t="s">
        <v>771</v>
      </c>
      <c r="K4202" s="343">
        <v>0</v>
      </c>
      <c r="L4202" s="343">
        <v>-6.82</v>
      </c>
      <c r="M4202" s="343">
        <v>-795696.21</v>
      </c>
      <c r="O4202" s="343">
        <v>0</v>
      </c>
    </row>
    <row r="4203" spans="1:15" x14ac:dyDescent="0.3">
      <c r="A4203" s="340" t="s">
        <v>891</v>
      </c>
      <c r="B4203" s="350">
        <v>46136</v>
      </c>
      <c r="C4203" s="350">
        <v>46146</v>
      </c>
      <c r="D4203" s="351">
        <v>46143</v>
      </c>
      <c r="E4203" s="340" t="s">
        <v>3002</v>
      </c>
      <c r="F4203" s="340" t="s">
        <v>894</v>
      </c>
      <c r="G4203" s="340" t="s">
        <v>3014</v>
      </c>
      <c r="H4203" s="340"/>
      <c r="I4203" s="340" t="s">
        <v>771</v>
      </c>
      <c r="K4203" s="343">
        <v>0</v>
      </c>
      <c r="L4203" s="343">
        <v>-9.52</v>
      </c>
      <c r="M4203" s="343">
        <v>-795705.73</v>
      </c>
      <c r="O4203" s="343">
        <v>0</v>
      </c>
    </row>
    <row r="4204" spans="1:15" x14ac:dyDescent="0.3">
      <c r="A4204" s="340" t="s">
        <v>891</v>
      </c>
      <c r="B4204" s="350">
        <v>46136</v>
      </c>
      <c r="C4204" s="350">
        <v>46146</v>
      </c>
      <c r="D4204" s="351">
        <v>46143</v>
      </c>
      <c r="E4204" s="340" t="s">
        <v>3002</v>
      </c>
      <c r="F4204" s="340" t="s">
        <v>894</v>
      </c>
      <c r="G4204" s="340" t="s">
        <v>3008</v>
      </c>
      <c r="H4204" s="340"/>
      <c r="I4204" s="340" t="s">
        <v>771</v>
      </c>
      <c r="K4204" s="343">
        <v>0</v>
      </c>
      <c r="L4204" s="343">
        <v>-9.66</v>
      </c>
      <c r="M4204" s="343">
        <v>-795715.39</v>
      </c>
      <c r="O4204" s="343">
        <v>0</v>
      </c>
    </row>
    <row r="4205" spans="1:15" x14ac:dyDescent="0.3">
      <c r="A4205" s="340" t="s">
        <v>891</v>
      </c>
      <c r="B4205" s="350">
        <v>46136</v>
      </c>
      <c r="C4205" s="350">
        <v>46146</v>
      </c>
      <c r="D4205" s="351">
        <v>46143</v>
      </c>
      <c r="E4205" s="340" t="s">
        <v>3002</v>
      </c>
      <c r="F4205" s="340" t="s">
        <v>894</v>
      </c>
      <c r="G4205" s="340" t="s">
        <v>3015</v>
      </c>
      <c r="H4205" s="340"/>
      <c r="I4205" s="340" t="s">
        <v>771</v>
      </c>
      <c r="K4205" s="343">
        <v>0</v>
      </c>
      <c r="L4205" s="343">
        <v>-11.13</v>
      </c>
      <c r="M4205" s="343">
        <v>-795726.52</v>
      </c>
      <c r="O4205" s="343">
        <v>0</v>
      </c>
    </row>
    <row r="4206" spans="1:15" x14ac:dyDescent="0.3">
      <c r="A4206" s="340" t="s">
        <v>891</v>
      </c>
      <c r="B4206" s="350">
        <v>46136</v>
      </c>
      <c r="C4206" s="350">
        <v>46146</v>
      </c>
      <c r="D4206" s="351">
        <v>46143</v>
      </c>
      <c r="E4206" s="340" t="s">
        <v>3002</v>
      </c>
      <c r="F4206" s="340" t="s">
        <v>894</v>
      </c>
      <c r="G4206" s="340" t="s">
        <v>3010</v>
      </c>
      <c r="H4206" s="340"/>
      <c r="I4206" s="340" t="s">
        <v>771</v>
      </c>
      <c r="K4206" s="343">
        <v>0</v>
      </c>
      <c r="L4206" s="343">
        <v>-13.6</v>
      </c>
      <c r="M4206" s="343">
        <v>-795740.12</v>
      </c>
      <c r="O4206" s="343">
        <v>0</v>
      </c>
    </row>
    <row r="4207" spans="1:15" x14ac:dyDescent="0.3">
      <c r="A4207" s="340" t="s">
        <v>891</v>
      </c>
      <c r="B4207" s="350">
        <v>46136</v>
      </c>
      <c r="C4207" s="350">
        <v>46146</v>
      </c>
      <c r="D4207" s="351">
        <v>46143</v>
      </c>
      <c r="E4207" s="340" t="s">
        <v>3002</v>
      </c>
      <c r="F4207" s="340" t="s">
        <v>894</v>
      </c>
      <c r="G4207" s="340" t="s">
        <v>3004</v>
      </c>
      <c r="H4207" s="340"/>
      <c r="I4207" s="340" t="s">
        <v>771</v>
      </c>
      <c r="K4207" s="343">
        <v>0</v>
      </c>
      <c r="L4207" s="343">
        <v>-13.86</v>
      </c>
      <c r="M4207" s="343">
        <v>-795753.98</v>
      </c>
      <c r="O4207" s="343">
        <v>0</v>
      </c>
    </row>
    <row r="4208" spans="1:15" x14ac:dyDescent="0.3">
      <c r="A4208" s="340" t="s">
        <v>891</v>
      </c>
      <c r="B4208" s="350">
        <v>46136</v>
      </c>
      <c r="C4208" s="350">
        <v>46146</v>
      </c>
      <c r="D4208" s="351">
        <v>46143</v>
      </c>
      <c r="E4208" s="340" t="s">
        <v>3002</v>
      </c>
      <c r="F4208" s="340" t="s">
        <v>894</v>
      </c>
      <c r="G4208" s="340" t="s">
        <v>3009</v>
      </c>
      <c r="H4208" s="340"/>
      <c r="I4208" s="340" t="s">
        <v>771</v>
      </c>
      <c r="K4208" s="343">
        <v>0</v>
      </c>
      <c r="L4208" s="343">
        <v>-21.3</v>
      </c>
      <c r="M4208" s="343">
        <v>-795775.28</v>
      </c>
      <c r="O4208" s="343">
        <v>0</v>
      </c>
    </row>
    <row r="4209" spans="1:15" x14ac:dyDescent="0.3">
      <c r="A4209" s="340" t="s">
        <v>891</v>
      </c>
      <c r="B4209" s="350">
        <v>46136</v>
      </c>
      <c r="C4209" s="350">
        <v>46146</v>
      </c>
      <c r="D4209" s="351">
        <v>46143</v>
      </c>
      <c r="E4209" s="340" t="s">
        <v>3002</v>
      </c>
      <c r="F4209" s="340" t="s">
        <v>894</v>
      </c>
      <c r="G4209" s="340" t="s">
        <v>3010</v>
      </c>
      <c r="H4209" s="340"/>
      <c r="I4209" s="340" t="s">
        <v>771</v>
      </c>
      <c r="K4209" s="343">
        <v>0</v>
      </c>
      <c r="L4209" s="343">
        <v>-27.64</v>
      </c>
      <c r="M4209" s="343">
        <v>-795802.92</v>
      </c>
      <c r="O4209" s="343">
        <v>0</v>
      </c>
    </row>
    <row r="4210" spans="1:15" x14ac:dyDescent="0.3">
      <c r="A4210" s="340" t="s">
        <v>891</v>
      </c>
      <c r="B4210" s="350">
        <v>46136</v>
      </c>
      <c r="C4210" s="350">
        <v>46146</v>
      </c>
      <c r="D4210" s="351">
        <v>46143</v>
      </c>
      <c r="E4210" s="340" t="s">
        <v>3002</v>
      </c>
      <c r="F4210" s="340" t="s">
        <v>894</v>
      </c>
      <c r="G4210" s="340" t="s">
        <v>3013</v>
      </c>
      <c r="H4210" s="340"/>
      <c r="I4210" s="340" t="s">
        <v>771</v>
      </c>
      <c r="K4210" s="343">
        <v>0</v>
      </c>
      <c r="L4210" s="343">
        <v>-60.17</v>
      </c>
      <c r="M4210" s="343">
        <v>-795863.09</v>
      </c>
      <c r="O4210" s="343">
        <v>0</v>
      </c>
    </row>
    <row r="4211" spans="1:15" x14ac:dyDescent="0.3">
      <c r="A4211" s="340" t="s">
        <v>891</v>
      </c>
      <c r="B4211" s="350">
        <v>46136</v>
      </c>
      <c r="C4211" s="350">
        <v>46146</v>
      </c>
      <c r="D4211" s="351">
        <v>46143</v>
      </c>
      <c r="E4211" s="340" t="s">
        <v>3002</v>
      </c>
      <c r="F4211" s="340" t="s">
        <v>894</v>
      </c>
      <c r="G4211" s="340" t="s">
        <v>3011</v>
      </c>
      <c r="H4211" s="340"/>
      <c r="I4211" s="340" t="s">
        <v>771</v>
      </c>
      <c r="K4211" s="343">
        <v>0</v>
      </c>
      <c r="L4211" s="343">
        <v>-126.5</v>
      </c>
      <c r="M4211" s="343">
        <v>-795989.59</v>
      </c>
      <c r="O4211" s="343">
        <v>0</v>
      </c>
    </row>
    <row r="4212" spans="1:15" x14ac:dyDescent="0.3">
      <c r="A4212" s="340" t="s">
        <v>891</v>
      </c>
      <c r="B4212" s="350">
        <v>46136</v>
      </c>
      <c r="C4212" s="350">
        <v>46146</v>
      </c>
      <c r="D4212" s="351">
        <v>46143</v>
      </c>
      <c r="E4212" s="340" t="s">
        <v>3002</v>
      </c>
      <c r="F4212" s="340" t="s">
        <v>894</v>
      </c>
      <c r="G4212" s="340" t="s">
        <v>3012</v>
      </c>
      <c r="H4212" s="340"/>
      <c r="I4212" s="340" t="s">
        <v>771</v>
      </c>
      <c r="K4212" s="343">
        <v>0</v>
      </c>
      <c r="L4212" s="343">
        <v>-230.17</v>
      </c>
      <c r="M4212" s="343">
        <v>-796219.76</v>
      </c>
      <c r="O4212" s="343">
        <v>0</v>
      </c>
    </row>
    <row r="4213" spans="1:15" x14ac:dyDescent="0.3">
      <c r="A4213" s="340" t="s">
        <v>891</v>
      </c>
      <c r="B4213" s="350">
        <v>46136</v>
      </c>
      <c r="C4213" s="350">
        <v>46146</v>
      </c>
      <c r="D4213" s="351">
        <v>46143</v>
      </c>
      <c r="E4213" s="340" t="s">
        <v>3002</v>
      </c>
      <c r="F4213" s="340" t="s">
        <v>894</v>
      </c>
      <c r="G4213" s="340" t="s">
        <v>3006</v>
      </c>
      <c r="H4213" s="340"/>
      <c r="I4213" s="340" t="s">
        <v>771</v>
      </c>
      <c r="K4213" s="343">
        <v>0</v>
      </c>
      <c r="L4213" s="343">
        <v>-268.62</v>
      </c>
      <c r="M4213" s="343">
        <v>-796488.38</v>
      </c>
      <c r="O4213" s="343">
        <v>0</v>
      </c>
    </row>
    <row r="4214" spans="1:15" x14ac:dyDescent="0.3">
      <c r="A4214" s="340" t="s">
        <v>891</v>
      </c>
      <c r="B4214" s="350">
        <v>46136</v>
      </c>
      <c r="C4214" s="350">
        <v>46146</v>
      </c>
      <c r="D4214" s="351">
        <v>46143</v>
      </c>
      <c r="E4214" s="340" t="s">
        <v>3002</v>
      </c>
      <c r="F4214" s="340" t="s">
        <v>894</v>
      </c>
      <c r="G4214" s="340" t="s">
        <v>3007</v>
      </c>
      <c r="H4214" s="340"/>
      <c r="I4214" s="340" t="s">
        <v>771</v>
      </c>
      <c r="K4214" s="343">
        <v>0</v>
      </c>
      <c r="L4214" s="343">
        <v>-1286.79</v>
      </c>
      <c r="M4214" s="343">
        <v>-797775.17</v>
      </c>
      <c r="O4214" s="343">
        <v>0</v>
      </c>
    </row>
    <row r="4215" spans="1:15" x14ac:dyDescent="0.3">
      <c r="A4215" s="340" t="s">
        <v>891</v>
      </c>
      <c r="B4215" s="350">
        <v>46136</v>
      </c>
      <c r="C4215" s="350">
        <v>46146</v>
      </c>
      <c r="D4215" s="351">
        <v>46143</v>
      </c>
      <c r="E4215" s="340" t="s">
        <v>3002</v>
      </c>
      <c r="F4215" s="340" t="s">
        <v>894</v>
      </c>
      <c r="G4215" s="340" t="s">
        <v>3016</v>
      </c>
      <c r="H4215" s="340"/>
      <c r="I4215" s="340" t="s">
        <v>771</v>
      </c>
      <c r="K4215" s="343">
        <v>0</v>
      </c>
      <c r="L4215" s="343">
        <v>-2.54</v>
      </c>
      <c r="M4215" s="343">
        <v>-797777.71</v>
      </c>
      <c r="O4215" s="343">
        <v>0</v>
      </c>
    </row>
    <row r="4216" spans="1:15" x14ac:dyDescent="0.3">
      <c r="A4216" s="340" t="s">
        <v>891</v>
      </c>
      <c r="B4216" s="350">
        <v>46136</v>
      </c>
      <c r="C4216" s="350">
        <v>46146</v>
      </c>
      <c r="D4216" s="351">
        <v>46143</v>
      </c>
      <c r="E4216" s="340" t="s">
        <v>3002</v>
      </c>
      <c r="F4216" s="340" t="s">
        <v>894</v>
      </c>
      <c r="G4216" s="340" t="s">
        <v>3016</v>
      </c>
      <c r="H4216" s="340"/>
      <c r="I4216" s="340" t="s">
        <v>771</v>
      </c>
      <c r="K4216" s="343">
        <v>0</v>
      </c>
      <c r="L4216" s="343">
        <v>-3.51</v>
      </c>
      <c r="M4216" s="343">
        <v>-797781.22</v>
      </c>
      <c r="O4216" s="343">
        <v>0</v>
      </c>
    </row>
    <row r="4217" spans="1:15" x14ac:dyDescent="0.3">
      <c r="A4217" s="340" t="s">
        <v>891</v>
      </c>
      <c r="B4217" s="350">
        <v>46136</v>
      </c>
      <c r="C4217" s="350">
        <v>46146</v>
      </c>
      <c r="D4217" s="351">
        <v>46143</v>
      </c>
      <c r="E4217" s="340" t="s">
        <v>3002</v>
      </c>
      <c r="F4217" s="340" t="s">
        <v>894</v>
      </c>
      <c r="G4217" s="340" t="s">
        <v>3017</v>
      </c>
      <c r="H4217" s="340"/>
      <c r="I4217" s="340" t="s">
        <v>771</v>
      </c>
      <c r="K4217" s="343">
        <v>0</v>
      </c>
      <c r="L4217" s="343">
        <v>-11.13</v>
      </c>
      <c r="M4217" s="343">
        <v>-797792.35</v>
      </c>
      <c r="O4217" s="343">
        <v>0</v>
      </c>
    </row>
    <row r="4218" spans="1:15" x14ac:dyDescent="0.3">
      <c r="A4218" s="340" t="s">
        <v>891</v>
      </c>
      <c r="B4218" s="350">
        <v>46136</v>
      </c>
      <c r="C4218" s="350">
        <v>46146</v>
      </c>
      <c r="D4218" s="351">
        <v>46143</v>
      </c>
      <c r="E4218" s="340" t="s">
        <v>3002</v>
      </c>
      <c r="F4218" s="340" t="s">
        <v>894</v>
      </c>
      <c r="G4218" s="340" t="s">
        <v>3018</v>
      </c>
      <c r="H4218" s="340"/>
      <c r="I4218" s="340" t="s">
        <v>771</v>
      </c>
      <c r="K4218" s="343">
        <v>0</v>
      </c>
      <c r="L4218" s="343">
        <v>-14.73</v>
      </c>
      <c r="M4218" s="343">
        <v>-797807.08</v>
      </c>
      <c r="O4218" s="343">
        <v>0</v>
      </c>
    </row>
    <row r="4219" spans="1:15" x14ac:dyDescent="0.3">
      <c r="A4219" s="340" t="s">
        <v>891</v>
      </c>
      <c r="B4219" s="350">
        <v>46136</v>
      </c>
      <c r="C4219" s="350">
        <v>46146</v>
      </c>
      <c r="D4219" s="351">
        <v>46143</v>
      </c>
      <c r="E4219" s="340" t="s">
        <v>3002</v>
      </c>
      <c r="F4219" s="340" t="s">
        <v>894</v>
      </c>
      <c r="G4219" s="340" t="s">
        <v>3019</v>
      </c>
      <c r="H4219" s="340"/>
      <c r="I4219" s="340" t="s">
        <v>771</v>
      </c>
      <c r="K4219" s="343">
        <v>0</v>
      </c>
      <c r="L4219" s="343">
        <v>-14.95</v>
      </c>
      <c r="M4219" s="343">
        <v>-797822.03</v>
      </c>
      <c r="O4219" s="343">
        <v>0</v>
      </c>
    </row>
    <row r="4220" spans="1:15" x14ac:dyDescent="0.3">
      <c r="A4220" s="340" t="s">
        <v>891</v>
      </c>
      <c r="B4220" s="350">
        <v>46136</v>
      </c>
      <c r="C4220" s="350">
        <v>46146</v>
      </c>
      <c r="D4220" s="351">
        <v>46143</v>
      </c>
      <c r="E4220" s="340" t="s">
        <v>3002</v>
      </c>
      <c r="F4220" s="340" t="s">
        <v>894</v>
      </c>
      <c r="G4220" s="340" t="s">
        <v>3020</v>
      </c>
      <c r="H4220" s="340"/>
      <c r="I4220" s="340" t="s">
        <v>771</v>
      </c>
      <c r="K4220" s="343">
        <v>0</v>
      </c>
      <c r="L4220" s="343">
        <v>-15.53</v>
      </c>
      <c r="M4220" s="343">
        <v>-797837.56</v>
      </c>
      <c r="O4220" s="343">
        <v>0</v>
      </c>
    </row>
    <row r="4221" spans="1:15" x14ac:dyDescent="0.3">
      <c r="A4221" s="340" t="s">
        <v>891</v>
      </c>
      <c r="B4221" s="350">
        <v>46136</v>
      </c>
      <c r="C4221" s="350">
        <v>46146</v>
      </c>
      <c r="D4221" s="351">
        <v>46143</v>
      </c>
      <c r="E4221" s="340" t="s">
        <v>3002</v>
      </c>
      <c r="F4221" s="340" t="s">
        <v>894</v>
      </c>
      <c r="G4221" s="340" t="s">
        <v>3021</v>
      </c>
      <c r="H4221" s="340"/>
      <c r="I4221" s="340" t="s">
        <v>771</v>
      </c>
      <c r="K4221" s="343">
        <v>0</v>
      </c>
      <c r="L4221" s="343">
        <v>-21.3</v>
      </c>
      <c r="M4221" s="343">
        <v>-797858.86</v>
      </c>
      <c r="O4221" s="343">
        <v>0</v>
      </c>
    </row>
    <row r="4222" spans="1:15" x14ac:dyDescent="0.3">
      <c r="A4222" s="340" t="s">
        <v>891</v>
      </c>
      <c r="B4222" s="350">
        <v>46136</v>
      </c>
      <c r="C4222" s="350">
        <v>46146</v>
      </c>
      <c r="D4222" s="351">
        <v>46143</v>
      </c>
      <c r="E4222" s="340" t="s">
        <v>3002</v>
      </c>
      <c r="F4222" s="340" t="s">
        <v>894</v>
      </c>
      <c r="G4222" s="340" t="s">
        <v>3020</v>
      </c>
      <c r="H4222" s="340"/>
      <c r="I4222" s="340" t="s">
        <v>771</v>
      </c>
      <c r="K4222" s="343">
        <v>0</v>
      </c>
      <c r="L4222" s="343">
        <v>-21.45</v>
      </c>
      <c r="M4222" s="343">
        <v>-797880.31</v>
      </c>
      <c r="O4222" s="343">
        <v>0</v>
      </c>
    </row>
    <row r="4223" spans="1:15" x14ac:dyDescent="0.3">
      <c r="A4223" s="340" t="s">
        <v>891</v>
      </c>
      <c r="B4223" s="350">
        <v>46136</v>
      </c>
      <c r="C4223" s="350">
        <v>46146</v>
      </c>
      <c r="D4223" s="351">
        <v>46143</v>
      </c>
      <c r="E4223" s="340" t="s">
        <v>3002</v>
      </c>
      <c r="F4223" s="340" t="s">
        <v>894</v>
      </c>
      <c r="G4223" s="340" t="s">
        <v>3022</v>
      </c>
      <c r="H4223" s="340"/>
      <c r="I4223" s="340" t="s">
        <v>771</v>
      </c>
      <c r="K4223" s="343">
        <v>0</v>
      </c>
      <c r="L4223" s="343">
        <v>-30.97</v>
      </c>
      <c r="M4223" s="343">
        <v>-797911.28</v>
      </c>
      <c r="O4223" s="343">
        <v>0</v>
      </c>
    </row>
    <row r="4224" spans="1:15" x14ac:dyDescent="0.3">
      <c r="A4224" s="340" t="s">
        <v>891</v>
      </c>
      <c r="B4224" s="350">
        <v>46136</v>
      </c>
      <c r="C4224" s="350">
        <v>46146</v>
      </c>
      <c r="D4224" s="351">
        <v>46143</v>
      </c>
      <c r="E4224" s="340" t="s">
        <v>3002</v>
      </c>
      <c r="F4224" s="340" t="s">
        <v>894</v>
      </c>
      <c r="G4224" s="340" t="s">
        <v>3022</v>
      </c>
      <c r="H4224" s="340"/>
      <c r="I4224" s="340" t="s">
        <v>771</v>
      </c>
      <c r="K4224" s="343">
        <v>0</v>
      </c>
      <c r="L4224" s="343">
        <v>-42.77</v>
      </c>
      <c r="M4224" s="343">
        <v>-797954.05</v>
      </c>
      <c r="O4224" s="343">
        <v>0</v>
      </c>
    </row>
    <row r="4225" spans="1:15" x14ac:dyDescent="0.3">
      <c r="A4225" s="340" t="s">
        <v>891</v>
      </c>
      <c r="B4225" s="350">
        <v>46136</v>
      </c>
      <c r="C4225" s="350">
        <v>46146</v>
      </c>
      <c r="D4225" s="351">
        <v>46143</v>
      </c>
      <c r="E4225" s="340" t="s">
        <v>3002</v>
      </c>
      <c r="F4225" s="340" t="s">
        <v>894</v>
      </c>
      <c r="G4225" s="340" t="s">
        <v>3023</v>
      </c>
      <c r="H4225" s="340"/>
      <c r="I4225" s="340" t="s">
        <v>771</v>
      </c>
      <c r="K4225" s="343">
        <v>0</v>
      </c>
      <c r="L4225" s="343">
        <v>-93.93</v>
      </c>
      <c r="M4225" s="343">
        <v>-798047.98</v>
      </c>
      <c r="O4225" s="343">
        <v>0</v>
      </c>
    </row>
    <row r="4226" spans="1:15" x14ac:dyDescent="0.3">
      <c r="A4226" s="340" t="s">
        <v>891</v>
      </c>
      <c r="B4226" s="350">
        <v>46136</v>
      </c>
      <c r="C4226" s="350">
        <v>46146</v>
      </c>
      <c r="D4226" s="351">
        <v>46143</v>
      </c>
      <c r="E4226" s="340" t="s">
        <v>3002</v>
      </c>
      <c r="F4226" s="340" t="s">
        <v>894</v>
      </c>
      <c r="G4226" s="340" t="s">
        <v>3024</v>
      </c>
      <c r="H4226" s="340"/>
      <c r="I4226" s="340" t="s">
        <v>771</v>
      </c>
      <c r="K4226" s="343">
        <v>0</v>
      </c>
      <c r="L4226" s="343">
        <v>-182.49</v>
      </c>
      <c r="M4226" s="343">
        <v>-798230.47</v>
      </c>
      <c r="O4226" s="343">
        <v>0</v>
      </c>
    </row>
    <row r="4227" spans="1:15" x14ac:dyDescent="0.3">
      <c r="A4227" s="340" t="s">
        <v>891</v>
      </c>
      <c r="B4227" s="350">
        <v>46136</v>
      </c>
      <c r="C4227" s="350">
        <v>46146</v>
      </c>
      <c r="D4227" s="351">
        <v>46143</v>
      </c>
      <c r="E4227" s="340" t="s">
        <v>3002</v>
      </c>
      <c r="F4227" s="340" t="s">
        <v>894</v>
      </c>
      <c r="G4227" s="340" t="s">
        <v>3025</v>
      </c>
      <c r="H4227" s="340"/>
      <c r="I4227" s="340" t="s">
        <v>771</v>
      </c>
      <c r="K4227" s="343">
        <v>0</v>
      </c>
      <c r="L4227" s="343">
        <v>-388.74</v>
      </c>
      <c r="M4227" s="343">
        <v>-798619.21</v>
      </c>
      <c r="O4227" s="343">
        <v>0</v>
      </c>
    </row>
    <row r="4228" spans="1:15" x14ac:dyDescent="0.3">
      <c r="A4228" s="340" t="s">
        <v>891</v>
      </c>
      <c r="B4228" s="350">
        <v>46136</v>
      </c>
      <c r="C4228" s="350">
        <v>46146</v>
      </c>
      <c r="D4228" s="351">
        <v>46143</v>
      </c>
      <c r="E4228" s="340" t="s">
        <v>3002</v>
      </c>
      <c r="F4228" s="340" t="s">
        <v>894</v>
      </c>
      <c r="G4228" s="340" t="s">
        <v>3026</v>
      </c>
      <c r="H4228" s="340"/>
      <c r="I4228" s="340" t="s">
        <v>771</v>
      </c>
      <c r="K4228" s="343">
        <v>0</v>
      </c>
      <c r="L4228" s="343">
        <v>-901.3</v>
      </c>
      <c r="M4228" s="343">
        <v>-799520.51</v>
      </c>
      <c r="O4228" s="343">
        <v>0</v>
      </c>
    </row>
    <row r="4229" spans="1:15" x14ac:dyDescent="0.3">
      <c r="A4229" s="340" t="s">
        <v>891</v>
      </c>
      <c r="B4229" s="350">
        <v>46136</v>
      </c>
      <c r="C4229" s="350">
        <v>46146</v>
      </c>
      <c r="D4229" s="351">
        <v>46143</v>
      </c>
      <c r="E4229" s="340" t="s">
        <v>3002</v>
      </c>
      <c r="F4229" s="340" t="s">
        <v>894</v>
      </c>
      <c r="G4229" s="340" t="s">
        <v>3005</v>
      </c>
      <c r="H4229" s="340"/>
      <c r="I4229" s="340" t="s">
        <v>771</v>
      </c>
      <c r="K4229" s="343">
        <v>0</v>
      </c>
      <c r="L4229" s="343">
        <v>-1990.16</v>
      </c>
      <c r="M4229" s="343">
        <v>-801510.67</v>
      </c>
      <c r="O4229" s="343">
        <v>0</v>
      </c>
    </row>
    <row r="4230" spans="1:15" x14ac:dyDescent="0.3">
      <c r="A4230" s="340" t="s">
        <v>891</v>
      </c>
      <c r="B4230" s="350">
        <v>46136</v>
      </c>
      <c r="C4230" s="350">
        <v>46146</v>
      </c>
      <c r="D4230" s="351">
        <v>46143</v>
      </c>
      <c r="E4230" s="340" t="s">
        <v>3002</v>
      </c>
      <c r="F4230" s="340" t="s">
        <v>894</v>
      </c>
      <c r="G4230" s="340" t="s">
        <v>3019</v>
      </c>
      <c r="H4230" s="340"/>
      <c r="I4230" s="340" t="s">
        <v>771</v>
      </c>
      <c r="K4230" s="343">
        <v>0</v>
      </c>
      <c r="L4230" s="343">
        <v>-12.01</v>
      </c>
      <c r="M4230" s="343">
        <v>-801522.68</v>
      </c>
      <c r="O4230" s="343">
        <v>0</v>
      </c>
    </row>
    <row r="4231" spans="1:15" x14ac:dyDescent="0.3">
      <c r="A4231" s="340" t="s">
        <v>891</v>
      </c>
      <c r="B4231" s="350">
        <v>46136</v>
      </c>
      <c r="C4231" s="350">
        <v>46146</v>
      </c>
      <c r="D4231" s="351">
        <v>46143</v>
      </c>
      <c r="E4231" s="340" t="s">
        <v>3002</v>
      </c>
      <c r="F4231" s="340" t="s">
        <v>894</v>
      </c>
      <c r="G4231" s="340" t="s">
        <v>3020</v>
      </c>
      <c r="H4231" s="340"/>
      <c r="I4231" s="340" t="s">
        <v>771</v>
      </c>
      <c r="K4231" s="343">
        <v>0</v>
      </c>
      <c r="L4231" s="343">
        <v>-13.5</v>
      </c>
      <c r="M4231" s="343">
        <v>-801536.18</v>
      </c>
      <c r="O4231" s="343">
        <v>0</v>
      </c>
    </row>
    <row r="4232" spans="1:15" x14ac:dyDescent="0.3">
      <c r="A4232" s="340" t="s">
        <v>891</v>
      </c>
      <c r="B4232" s="350">
        <v>46136</v>
      </c>
      <c r="C4232" s="350">
        <v>46146</v>
      </c>
      <c r="D4232" s="351">
        <v>46143</v>
      </c>
      <c r="E4232" s="340" t="s">
        <v>3002</v>
      </c>
      <c r="F4232" s="340" t="s">
        <v>894</v>
      </c>
      <c r="G4232" s="340" t="s">
        <v>3020</v>
      </c>
      <c r="H4232" s="340"/>
      <c r="I4232" s="340" t="s">
        <v>771</v>
      </c>
      <c r="K4232" s="343">
        <v>0</v>
      </c>
      <c r="L4232" s="343">
        <v>-17.239999999999998</v>
      </c>
      <c r="M4232" s="343">
        <v>-801553.42</v>
      </c>
      <c r="O4232" s="343">
        <v>0</v>
      </c>
    </row>
    <row r="4233" spans="1:15" x14ac:dyDescent="0.3">
      <c r="A4233" s="340" t="s">
        <v>891</v>
      </c>
      <c r="B4233" s="350">
        <v>46136</v>
      </c>
      <c r="C4233" s="350">
        <v>46146</v>
      </c>
      <c r="D4233" s="351">
        <v>46143</v>
      </c>
      <c r="E4233" s="340" t="s">
        <v>3002</v>
      </c>
      <c r="F4233" s="340" t="s">
        <v>894</v>
      </c>
      <c r="G4233" s="340" t="s">
        <v>3021</v>
      </c>
      <c r="H4233" s="340"/>
      <c r="I4233" s="340" t="s">
        <v>771</v>
      </c>
      <c r="K4233" s="343">
        <v>0</v>
      </c>
      <c r="L4233" s="343">
        <v>-21.3</v>
      </c>
      <c r="M4233" s="343">
        <v>-801574.72</v>
      </c>
      <c r="O4233" s="343">
        <v>0</v>
      </c>
    </row>
    <row r="4234" spans="1:15" x14ac:dyDescent="0.3">
      <c r="A4234" s="340" t="s">
        <v>891</v>
      </c>
      <c r="B4234" s="350">
        <v>46136</v>
      </c>
      <c r="C4234" s="350">
        <v>46146</v>
      </c>
      <c r="D4234" s="351">
        <v>46143</v>
      </c>
      <c r="E4234" s="340" t="s">
        <v>3002</v>
      </c>
      <c r="F4234" s="340" t="s">
        <v>894</v>
      </c>
      <c r="G4234" s="340" t="s">
        <v>3022</v>
      </c>
      <c r="H4234" s="340"/>
      <c r="I4234" s="340" t="s">
        <v>771</v>
      </c>
      <c r="K4234" s="343">
        <v>0</v>
      </c>
      <c r="L4234" s="343">
        <v>-26.92</v>
      </c>
      <c r="M4234" s="343">
        <v>-801601.64</v>
      </c>
      <c r="O4234" s="343">
        <v>0</v>
      </c>
    </row>
    <row r="4235" spans="1:15" x14ac:dyDescent="0.3">
      <c r="A4235" s="340" t="s">
        <v>891</v>
      </c>
      <c r="B4235" s="350">
        <v>46136</v>
      </c>
      <c r="C4235" s="350">
        <v>46146</v>
      </c>
      <c r="D4235" s="351">
        <v>46143</v>
      </c>
      <c r="E4235" s="340" t="s">
        <v>3002</v>
      </c>
      <c r="F4235" s="340" t="s">
        <v>894</v>
      </c>
      <c r="G4235" s="340" t="s">
        <v>3022</v>
      </c>
      <c r="H4235" s="340"/>
      <c r="I4235" s="340" t="s">
        <v>771</v>
      </c>
      <c r="K4235" s="343">
        <v>0</v>
      </c>
      <c r="L4235" s="343">
        <v>-34.369999999999997</v>
      </c>
      <c r="M4235" s="343">
        <v>-801636.01</v>
      </c>
      <c r="O4235" s="343">
        <v>0</v>
      </c>
    </row>
    <row r="4236" spans="1:15" x14ac:dyDescent="0.3">
      <c r="A4236" s="340" t="s">
        <v>891</v>
      </c>
      <c r="B4236" s="350">
        <v>46136</v>
      </c>
      <c r="C4236" s="350">
        <v>46146</v>
      </c>
      <c r="D4236" s="351">
        <v>46143</v>
      </c>
      <c r="E4236" s="340" t="s">
        <v>3002</v>
      </c>
      <c r="F4236" s="340" t="s">
        <v>894</v>
      </c>
      <c r="G4236" s="340" t="s">
        <v>3023</v>
      </c>
      <c r="H4236" s="340"/>
      <c r="I4236" s="340" t="s">
        <v>771</v>
      </c>
      <c r="K4236" s="343">
        <v>0</v>
      </c>
      <c r="L4236" s="343">
        <v>-75.48</v>
      </c>
      <c r="M4236" s="343">
        <v>-801711.49</v>
      </c>
      <c r="O4236" s="343">
        <v>0</v>
      </c>
    </row>
    <row r="4237" spans="1:15" x14ac:dyDescent="0.3">
      <c r="A4237" s="340" t="s">
        <v>891</v>
      </c>
      <c r="B4237" s="350">
        <v>46136</v>
      </c>
      <c r="C4237" s="350">
        <v>46146</v>
      </c>
      <c r="D4237" s="351">
        <v>46143</v>
      </c>
      <c r="E4237" s="340" t="s">
        <v>3002</v>
      </c>
      <c r="F4237" s="340" t="s">
        <v>894</v>
      </c>
      <c r="G4237" s="340" t="s">
        <v>3024</v>
      </c>
      <c r="H4237" s="340"/>
      <c r="I4237" s="340" t="s">
        <v>771</v>
      </c>
      <c r="K4237" s="343">
        <v>0</v>
      </c>
      <c r="L4237" s="343">
        <v>-160.71</v>
      </c>
      <c r="M4237" s="343">
        <v>-801872.2</v>
      </c>
      <c r="O4237" s="343">
        <v>0</v>
      </c>
    </row>
    <row r="4238" spans="1:15" x14ac:dyDescent="0.3">
      <c r="A4238" s="340" t="s">
        <v>891</v>
      </c>
      <c r="B4238" s="350">
        <v>46136</v>
      </c>
      <c r="C4238" s="350">
        <v>46146</v>
      </c>
      <c r="D4238" s="351">
        <v>46143</v>
      </c>
      <c r="E4238" s="340" t="s">
        <v>3002</v>
      </c>
      <c r="F4238" s="340" t="s">
        <v>894</v>
      </c>
      <c r="G4238" s="340" t="s">
        <v>3025</v>
      </c>
      <c r="H4238" s="340"/>
      <c r="I4238" s="340" t="s">
        <v>771</v>
      </c>
      <c r="K4238" s="343">
        <v>0</v>
      </c>
      <c r="L4238" s="343">
        <v>-322.24</v>
      </c>
      <c r="M4238" s="343">
        <v>-802194.44</v>
      </c>
      <c r="O4238" s="343">
        <v>0</v>
      </c>
    </row>
    <row r="4239" spans="1:15" x14ac:dyDescent="0.3">
      <c r="A4239" s="340" t="s">
        <v>891</v>
      </c>
      <c r="B4239" s="350">
        <v>46136</v>
      </c>
      <c r="C4239" s="350">
        <v>46146</v>
      </c>
      <c r="D4239" s="351">
        <v>46143</v>
      </c>
      <c r="E4239" s="340" t="s">
        <v>3002</v>
      </c>
      <c r="F4239" s="340" t="s">
        <v>894</v>
      </c>
      <c r="G4239" s="340" t="s">
        <v>3026</v>
      </c>
      <c r="H4239" s="340"/>
      <c r="I4239" s="340" t="s">
        <v>771</v>
      </c>
      <c r="K4239" s="343">
        <v>0</v>
      </c>
      <c r="L4239" s="343">
        <v>-793.76</v>
      </c>
      <c r="M4239" s="343">
        <v>-802988.2</v>
      </c>
      <c r="O4239" s="343">
        <v>0</v>
      </c>
    </row>
    <row r="4240" spans="1:15" x14ac:dyDescent="0.3">
      <c r="A4240" s="340" t="s">
        <v>891</v>
      </c>
      <c r="B4240" s="350">
        <v>46136</v>
      </c>
      <c r="C4240" s="350">
        <v>46146</v>
      </c>
      <c r="D4240" s="351">
        <v>46143</v>
      </c>
      <c r="E4240" s="340" t="s">
        <v>3002</v>
      </c>
      <c r="F4240" s="340" t="s">
        <v>894</v>
      </c>
      <c r="G4240" s="340" t="s">
        <v>3018</v>
      </c>
      <c r="H4240" s="340"/>
      <c r="I4240" s="340" t="s">
        <v>771</v>
      </c>
      <c r="K4240" s="343">
        <v>0</v>
      </c>
      <c r="L4240" s="343">
        <v>-11.84</v>
      </c>
      <c r="M4240" s="343">
        <v>-803000.04</v>
      </c>
      <c r="O4240" s="343">
        <v>0</v>
      </c>
    </row>
    <row r="4241" spans="1:15" x14ac:dyDescent="0.3">
      <c r="A4241" s="340" t="s">
        <v>891</v>
      </c>
      <c r="B4241" s="350">
        <v>46136</v>
      </c>
      <c r="C4241" s="350">
        <v>46146</v>
      </c>
      <c r="D4241" s="351">
        <v>46143</v>
      </c>
      <c r="E4241" s="340" t="s">
        <v>3002</v>
      </c>
      <c r="F4241" s="340" t="s">
        <v>894</v>
      </c>
      <c r="G4241" s="340" t="s">
        <v>3016</v>
      </c>
      <c r="H4241" s="340"/>
      <c r="I4241" s="340" t="s">
        <v>771</v>
      </c>
      <c r="K4241" s="343">
        <v>0</v>
      </c>
      <c r="L4241" s="343">
        <v>-2.82</v>
      </c>
      <c r="M4241" s="343">
        <v>-803002.86</v>
      </c>
      <c r="O4241" s="343">
        <v>0</v>
      </c>
    </row>
    <row r="4242" spans="1:15" x14ac:dyDescent="0.3">
      <c r="A4242" s="340" t="s">
        <v>891</v>
      </c>
      <c r="B4242" s="350">
        <v>46136</v>
      </c>
      <c r="C4242" s="350">
        <v>46146</v>
      </c>
      <c r="D4242" s="351">
        <v>46143</v>
      </c>
      <c r="E4242" s="340" t="s">
        <v>3002</v>
      </c>
      <c r="F4242" s="340" t="s">
        <v>894</v>
      </c>
      <c r="G4242" s="340" t="s">
        <v>3017</v>
      </c>
      <c r="H4242" s="340"/>
      <c r="I4242" s="340" t="s">
        <v>771</v>
      </c>
      <c r="K4242" s="343">
        <v>0</v>
      </c>
      <c r="L4242" s="343">
        <v>-11.13</v>
      </c>
      <c r="M4242" s="343">
        <v>-803013.99</v>
      </c>
      <c r="O4242" s="343">
        <v>0</v>
      </c>
    </row>
    <row r="4243" spans="1:15" x14ac:dyDescent="0.3">
      <c r="A4243" s="340" t="s">
        <v>891</v>
      </c>
      <c r="B4243" s="350">
        <v>46136</v>
      </c>
      <c r="C4243" s="350">
        <v>46146</v>
      </c>
      <c r="D4243" s="351">
        <v>46143</v>
      </c>
      <c r="E4243" s="340" t="s">
        <v>3002</v>
      </c>
      <c r="F4243" s="340" t="s">
        <v>894</v>
      </c>
      <c r="G4243" s="340" t="s">
        <v>3016</v>
      </c>
      <c r="H4243" s="340"/>
      <c r="I4243" s="340" t="s">
        <v>771</v>
      </c>
      <c r="K4243" s="343">
        <v>0</v>
      </c>
      <c r="L4243" s="343">
        <v>-2.21</v>
      </c>
      <c r="M4243" s="343">
        <v>-803016.2</v>
      </c>
      <c r="O4243" s="343">
        <v>0</v>
      </c>
    </row>
    <row r="4244" spans="1:15" x14ac:dyDescent="0.3">
      <c r="A4244" s="340" t="s">
        <v>891</v>
      </c>
      <c r="B4244" s="350">
        <v>46136</v>
      </c>
      <c r="C4244" s="350">
        <v>46146</v>
      </c>
      <c r="D4244" s="351">
        <v>46143</v>
      </c>
      <c r="E4244" s="340" t="s">
        <v>3002</v>
      </c>
      <c r="F4244" s="340" t="s">
        <v>894</v>
      </c>
      <c r="G4244" s="340" t="s">
        <v>3016</v>
      </c>
      <c r="H4244" s="340"/>
      <c r="I4244" s="340" t="s">
        <v>771</v>
      </c>
      <c r="K4244" s="343">
        <v>0</v>
      </c>
      <c r="L4244" s="343">
        <v>-1.85</v>
      </c>
      <c r="M4244" s="343">
        <v>-803018.05</v>
      </c>
      <c r="O4244" s="343">
        <v>0</v>
      </c>
    </row>
    <row r="4245" spans="1:15" x14ac:dyDescent="0.3">
      <c r="A4245" s="340" t="s">
        <v>891</v>
      </c>
      <c r="B4245" s="350">
        <v>46136</v>
      </c>
      <c r="C4245" s="350">
        <v>46146</v>
      </c>
      <c r="D4245" s="351">
        <v>46143</v>
      </c>
      <c r="E4245" s="340" t="s">
        <v>3002</v>
      </c>
      <c r="F4245" s="340" t="s">
        <v>894</v>
      </c>
      <c r="G4245" s="340" t="s">
        <v>3016</v>
      </c>
      <c r="H4245" s="340"/>
      <c r="I4245" s="340" t="s">
        <v>771</v>
      </c>
      <c r="K4245" s="343">
        <v>0</v>
      </c>
      <c r="L4245" s="343">
        <v>-2.82</v>
      </c>
      <c r="M4245" s="343">
        <v>-803020.87</v>
      </c>
      <c r="O4245" s="343">
        <v>0</v>
      </c>
    </row>
    <row r="4246" spans="1:15" x14ac:dyDescent="0.3">
      <c r="A4246" s="340" t="s">
        <v>891</v>
      </c>
      <c r="B4246" s="350">
        <v>46136</v>
      </c>
      <c r="C4246" s="350">
        <v>46146</v>
      </c>
      <c r="D4246" s="351">
        <v>46143</v>
      </c>
      <c r="E4246" s="340" t="s">
        <v>3002</v>
      </c>
      <c r="F4246" s="340" t="s">
        <v>894</v>
      </c>
      <c r="G4246" s="340" t="s">
        <v>3017</v>
      </c>
      <c r="H4246" s="340"/>
      <c r="I4246" s="340" t="s">
        <v>771</v>
      </c>
      <c r="K4246" s="343">
        <v>0</v>
      </c>
      <c r="L4246" s="343">
        <v>-11.13</v>
      </c>
      <c r="M4246" s="343">
        <v>-803032</v>
      </c>
      <c r="O4246" s="343">
        <v>0</v>
      </c>
    </row>
    <row r="4247" spans="1:15" x14ac:dyDescent="0.3">
      <c r="A4247" s="340" t="s">
        <v>891</v>
      </c>
      <c r="B4247" s="350">
        <v>46136</v>
      </c>
      <c r="C4247" s="350">
        <v>46146</v>
      </c>
      <c r="D4247" s="351">
        <v>46143</v>
      </c>
      <c r="E4247" s="340" t="s">
        <v>3002</v>
      </c>
      <c r="F4247" s="340" t="s">
        <v>894</v>
      </c>
      <c r="G4247" s="340" t="s">
        <v>3020</v>
      </c>
      <c r="H4247" s="340"/>
      <c r="I4247" s="340" t="s">
        <v>771</v>
      </c>
      <c r="K4247" s="343">
        <v>0</v>
      </c>
      <c r="L4247" s="343">
        <v>-11.32</v>
      </c>
      <c r="M4247" s="343">
        <v>-803043.32</v>
      </c>
      <c r="O4247" s="343">
        <v>0</v>
      </c>
    </row>
    <row r="4248" spans="1:15" x14ac:dyDescent="0.3">
      <c r="A4248" s="340" t="s">
        <v>891</v>
      </c>
      <c r="B4248" s="350">
        <v>46136</v>
      </c>
      <c r="C4248" s="350">
        <v>46146</v>
      </c>
      <c r="D4248" s="351">
        <v>46143</v>
      </c>
      <c r="E4248" s="340" t="s">
        <v>3002</v>
      </c>
      <c r="F4248" s="340" t="s">
        <v>894</v>
      </c>
      <c r="G4248" s="340" t="s">
        <v>3018</v>
      </c>
      <c r="H4248" s="340"/>
      <c r="I4248" s="340" t="s">
        <v>771</v>
      </c>
      <c r="K4248" s="343">
        <v>0</v>
      </c>
      <c r="L4248" s="343">
        <v>-11.84</v>
      </c>
      <c r="M4248" s="343">
        <v>-803055.16</v>
      </c>
      <c r="O4248" s="343">
        <v>0</v>
      </c>
    </row>
    <row r="4249" spans="1:15" x14ac:dyDescent="0.3">
      <c r="A4249" s="340" t="s">
        <v>891</v>
      </c>
      <c r="B4249" s="350">
        <v>46136</v>
      </c>
      <c r="C4249" s="350">
        <v>46146</v>
      </c>
      <c r="D4249" s="351">
        <v>46143</v>
      </c>
      <c r="E4249" s="340" t="s">
        <v>3002</v>
      </c>
      <c r="F4249" s="340" t="s">
        <v>894</v>
      </c>
      <c r="G4249" s="340" t="s">
        <v>3019</v>
      </c>
      <c r="H4249" s="340"/>
      <c r="I4249" s="340" t="s">
        <v>771</v>
      </c>
      <c r="K4249" s="343">
        <v>0</v>
      </c>
      <c r="L4249" s="343">
        <v>-12.01</v>
      </c>
      <c r="M4249" s="343">
        <v>-803067.17</v>
      </c>
      <c r="O4249" s="343">
        <v>0</v>
      </c>
    </row>
    <row r="4250" spans="1:15" x14ac:dyDescent="0.3">
      <c r="A4250" s="340" t="s">
        <v>891</v>
      </c>
      <c r="B4250" s="350">
        <v>46136</v>
      </c>
      <c r="C4250" s="350">
        <v>46146</v>
      </c>
      <c r="D4250" s="351">
        <v>46143</v>
      </c>
      <c r="E4250" s="340" t="s">
        <v>3002</v>
      </c>
      <c r="F4250" s="340" t="s">
        <v>894</v>
      </c>
      <c r="G4250" s="340" t="s">
        <v>3020</v>
      </c>
      <c r="H4250" s="340"/>
      <c r="I4250" s="340" t="s">
        <v>771</v>
      </c>
      <c r="K4250" s="343">
        <v>0</v>
      </c>
      <c r="L4250" s="343">
        <v>-17.239999999999998</v>
      </c>
      <c r="M4250" s="343">
        <v>-803084.41</v>
      </c>
      <c r="O4250" s="343">
        <v>0</v>
      </c>
    </row>
    <row r="4251" spans="1:15" x14ac:dyDescent="0.3">
      <c r="A4251" s="340" t="s">
        <v>891</v>
      </c>
      <c r="B4251" s="350">
        <v>46136</v>
      </c>
      <c r="C4251" s="350">
        <v>46146</v>
      </c>
      <c r="D4251" s="351">
        <v>46143</v>
      </c>
      <c r="E4251" s="340" t="s">
        <v>3002</v>
      </c>
      <c r="F4251" s="340" t="s">
        <v>894</v>
      </c>
      <c r="G4251" s="340" t="s">
        <v>3021</v>
      </c>
      <c r="H4251" s="340"/>
      <c r="I4251" s="340" t="s">
        <v>771</v>
      </c>
      <c r="K4251" s="343">
        <v>0</v>
      </c>
      <c r="L4251" s="343">
        <v>-21.3</v>
      </c>
      <c r="M4251" s="343">
        <v>-803105.71</v>
      </c>
      <c r="O4251" s="343">
        <v>0</v>
      </c>
    </row>
    <row r="4252" spans="1:15" x14ac:dyDescent="0.3">
      <c r="A4252" s="340" t="s">
        <v>891</v>
      </c>
      <c r="B4252" s="350">
        <v>46136</v>
      </c>
      <c r="C4252" s="350">
        <v>46146</v>
      </c>
      <c r="D4252" s="351">
        <v>46143</v>
      </c>
      <c r="E4252" s="340" t="s">
        <v>3002</v>
      </c>
      <c r="F4252" s="340" t="s">
        <v>894</v>
      </c>
      <c r="G4252" s="340" t="s">
        <v>3022</v>
      </c>
      <c r="H4252" s="340"/>
      <c r="I4252" s="340" t="s">
        <v>771</v>
      </c>
      <c r="K4252" s="343">
        <v>0</v>
      </c>
      <c r="L4252" s="343">
        <v>-22.57</v>
      </c>
      <c r="M4252" s="343">
        <v>-803128.28</v>
      </c>
      <c r="O4252" s="343">
        <v>0</v>
      </c>
    </row>
    <row r="4253" spans="1:15" x14ac:dyDescent="0.3">
      <c r="A4253" s="340" t="s">
        <v>891</v>
      </c>
      <c r="B4253" s="350">
        <v>46136</v>
      </c>
      <c r="C4253" s="350">
        <v>46146</v>
      </c>
      <c r="D4253" s="351">
        <v>46143</v>
      </c>
      <c r="E4253" s="340" t="s">
        <v>3002</v>
      </c>
      <c r="F4253" s="340" t="s">
        <v>894</v>
      </c>
      <c r="G4253" s="340" t="s">
        <v>3022</v>
      </c>
      <c r="H4253" s="340"/>
      <c r="I4253" s="340" t="s">
        <v>771</v>
      </c>
      <c r="K4253" s="343">
        <v>0</v>
      </c>
      <c r="L4253" s="343">
        <v>-34.369999999999997</v>
      </c>
      <c r="M4253" s="343">
        <v>-803162.65</v>
      </c>
      <c r="O4253" s="343">
        <v>0</v>
      </c>
    </row>
    <row r="4254" spans="1:15" x14ac:dyDescent="0.3">
      <c r="A4254" s="340" t="s">
        <v>891</v>
      </c>
      <c r="B4254" s="350">
        <v>46136</v>
      </c>
      <c r="C4254" s="350">
        <v>46146</v>
      </c>
      <c r="D4254" s="351">
        <v>46143</v>
      </c>
      <c r="E4254" s="340" t="s">
        <v>3002</v>
      </c>
      <c r="F4254" s="340" t="s">
        <v>894</v>
      </c>
      <c r="G4254" s="340" t="s">
        <v>3023</v>
      </c>
      <c r="H4254" s="340"/>
      <c r="I4254" s="340" t="s">
        <v>771</v>
      </c>
      <c r="K4254" s="343">
        <v>0</v>
      </c>
      <c r="L4254" s="343">
        <v>-75.48</v>
      </c>
      <c r="M4254" s="343">
        <v>-803238.13</v>
      </c>
      <c r="O4254" s="343">
        <v>0</v>
      </c>
    </row>
    <row r="4255" spans="1:15" x14ac:dyDescent="0.3">
      <c r="A4255" s="340" t="s">
        <v>891</v>
      </c>
      <c r="B4255" s="350">
        <v>46136</v>
      </c>
      <c r="C4255" s="350">
        <v>46146</v>
      </c>
      <c r="D4255" s="351">
        <v>46143</v>
      </c>
      <c r="E4255" s="340" t="s">
        <v>3002</v>
      </c>
      <c r="F4255" s="340" t="s">
        <v>894</v>
      </c>
      <c r="G4255" s="340" t="s">
        <v>3024</v>
      </c>
      <c r="H4255" s="340"/>
      <c r="I4255" s="340" t="s">
        <v>771</v>
      </c>
      <c r="K4255" s="343">
        <v>0</v>
      </c>
      <c r="L4255" s="343">
        <v>-126.5</v>
      </c>
      <c r="M4255" s="343">
        <v>-803364.63</v>
      </c>
      <c r="O4255" s="343">
        <v>0</v>
      </c>
    </row>
    <row r="4256" spans="1:15" x14ac:dyDescent="0.3">
      <c r="A4256" s="340" t="s">
        <v>891</v>
      </c>
      <c r="B4256" s="350">
        <v>46136</v>
      </c>
      <c r="C4256" s="350">
        <v>46146</v>
      </c>
      <c r="D4256" s="351">
        <v>46143</v>
      </c>
      <c r="E4256" s="340" t="s">
        <v>3002</v>
      </c>
      <c r="F4256" s="340" t="s">
        <v>894</v>
      </c>
      <c r="G4256" s="340" t="s">
        <v>3025</v>
      </c>
      <c r="H4256" s="340"/>
      <c r="I4256" s="340" t="s">
        <v>771</v>
      </c>
      <c r="K4256" s="343">
        <v>0</v>
      </c>
      <c r="L4256" s="343">
        <v>-312.01</v>
      </c>
      <c r="M4256" s="343">
        <v>-803676.64</v>
      </c>
      <c r="O4256" s="343">
        <v>0</v>
      </c>
    </row>
    <row r="4257" spans="1:15" x14ac:dyDescent="0.3">
      <c r="A4257" s="340" t="s">
        <v>891</v>
      </c>
      <c r="B4257" s="350">
        <v>46136</v>
      </c>
      <c r="C4257" s="350">
        <v>46146</v>
      </c>
      <c r="D4257" s="351">
        <v>46143</v>
      </c>
      <c r="E4257" s="340" t="s">
        <v>3002</v>
      </c>
      <c r="F4257" s="340" t="s">
        <v>894</v>
      </c>
      <c r="G4257" s="340" t="s">
        <v>3026</v>
      </c>
      <c r="H4257" s="340"/>
      <c r="I4257" s="340" t="s">
        <v>771</v>
      </c>
      <c r="K4257" s="343">
        <v>0</v>
      </c>
      <c r="L4257" s="343">
        <v>-624.77</v>
      </c>
      <c r="M4257" s="343">
        <v>-804301.41</v>
      </c>
      <c r="O4257" s="343">
        <v>0</v>
      </c>
    </row>
    <row r="4258" spans="1:15" x14ac:dyDescent="0.3">
      <c r="A4258" s="340" t="s">
        <v>891</v>
      </c>
      <c r="B4258" s="350">
        <v>46136</v>
      </c>
      <c r="C4258" s="350">
        <v>46146</v>
      </c>
      <c r="D4258" s="351">
        <v>46143</v>
      </c>
      <c r="E4258" s="340" t="s">
        <v>3002</v>
      </c>
      <c r="F4258" s="340" t="s">
        <v>894</v>
      </c>
      <c r="G4258" s="340" t="s">
        <v>3005</v>
      </c>
      <c r="H4258" s="340"/>
      <c r="I4258" s="340" t="s">
        <v>771</v>
      </c>
      <c r="K4258" s="343">
        <v>0</v>
      </c>
      <c r="L4258" s="343">
        <v>-1599.4</v>
      </c>
      <c r="M4258" s="343">
        <v>-805900.81</v>
      </c>
      <c r="O4258" s="343">
        <v>0</v>
      </c>
    </row>
    <row r="4259" spans="1:15" x14ac:dyDescent="0.3">
      <c r="A4259" s="340" t="s">
        <v>891</v>
      </c>
      <c r="B4259" s="350">
        <v>46136</v>
      </c>
      <c r="C4259" s="350">
        <v>46146</v>
      </c>
      <c r="D4259" s="351">
        <v>46143</v>
      </c>
      <c r="E4259" s="340" t="s">
        <v>3002</v>
      </c>
      <c r="F4259" s="340" t="s">
        <v>894</v>
      </c>
      <c r="G4259" s="340" t="s">
        <v>3016</v>
      </c>
      <c r="H4259" s="340"/>
      <c r="I4259" s="340" t="s">
        <v>771</v>
      </c>
      <c r="K4259" s="343">
        <v>0</v>
      </c>
      <c r="L4259" s="343">
        <v>-2.82</v>
      </c>
      <c r="M4259" s="343">
        <v>-805903.63</v>
      </c>
      <c r="O4259" s="343">
        <v>0</v>
      </c>
    </row>
    <row r="4260" spans="1:15" x14ac:dyDescent="0.3">
      <c r="A4260" s="340" t="s">
        <v>891</v>
      </c>
      <c r="B4260" s="350">
        <v>46136</v>
      </c>
      <c r="C4260" s="350">
        <v>46146</v>
      </c>
      <c r="D4260" s="351">
        <v>46143</v>
      </c>
      <c r="E4260" s="340" t="s">
        <v>3002</v>
      </c>
      <c r="F4260" s="340" t="s">
        <v>894</v>
      </c>
      <c r="G4260" s="340" t="s">
        <v>3016</v>
      </c>
      <c r="H4260" s="340"/>
      <c r="I4260" s="340" t="s">
        <v>771</v>
      </c>
      <c r="K4260" s="343">
        <v>0</v>
      </c>
      <c r="L4260" s="343">
        <v>-4.5199999999999996</v>
      </c>
      <c r="M4260" s="343">
        <v>-805908.15</v>
      </c>
      <c r="O4260" s="343">
        <v>0</v>
      </c>
    </row>
    <row r="4261" spans="1:15" x14ac:dyDescent="0.3">
      <c r="A4261" s="340" t="s">
        <v>891</v>
      </c>
      <c r="B4261" s="350">
        <v>46136</v>
      </c>
      <c r="C4261" s="350">
        <v>46146</v>
      </c>
      <c r="D4261" s="351">
        <v>46143</v>
      </c>
      <c r="E4261" s="340" t="s">
        <v>3002</v>
      </c>
      <c r="F4261" s="340" t="s">
        <v>894</v>
      </c>
      <c r="G4261" s="340" t="s">
        <v>3017</v>
      </c>
      <c r="H4261" s="340"/>
      <c r="I4261" s="340" t="s">
        <v>771</v>
      </c>
      <c r="K4261" s="343">
        <v>0</v>
      </c>
      <c r="L4261" s="343">
        <v>-11.13</v>
      </c>
      <c r="M4261" s="343">
        <v>-805919.28</v>
      </c>
      <c r="O4261" s="343">
        <v>0</v>
      </c>
    </row>
    <row r="4262" spans="1:15" x14ac:dyDescent="0.3">
      <c r="A4262" s="340" t="s">
        <v>891</v>
      </c>
      <c r="B4262" s="350">
        <v>46136</v>
      </c>
      <c r="C4262" s="350">
        <v>46146</v>
      </c>
      <c r="D4262" s="351">
        <v>46143</v>
      </c>
      <c r="E4262" s="340" t="s">
        <v>3002</v>
      </c>
      <c r="F4262" s="340" t="s">
        <v>894</v>
      </c>
      <c r="G4262" s="340" t="s">
        <v>3020</v>
      </c>
      <c r="H4262" s="340"/>
      <c r="I4262" s="340" t="s">
        <v>771</v>
      </c>
      <c r="K4262" s="343">
        <v>0</v>
      </c>
      <c r="L4262" s="343">
        <v>-17.22</v>
      </c>
      <c r="M4262" s="343">
        <v>-805936.5</v>
      </c>
      <c r="O4262" s="343">
        <v>0</v>
      </c>
    </row>
    <row r="4263" spans="1:15" x14ac:dyDescent="0.3">
      <c r="A4263" s="340" t="s">
        <v>891</v>
      </c>
      <c r="B4263" s="350">
        <v>46136</v>
      </c>
      <c r="C4263" s="350">
        <v>46146</v>
      </c>
      <c r="D4263" s="351">
        <v>46143</v>
      </c>
      <c r="E4263" s="340" t="s">
        <v>3002</v>
      </c>
      <c r="F4263" s="340" t="s">
        <v>894</v>
      </c>
      <c r="G4263" s="340" t="s">
        <v>3018</v>
      </c>
      <c r="H4263" s="340"/>
      <c r="I4263" s="340" t="s">
        <v>771</v>
      </c>
      <c r="K4263" s="343">
        <v>0</v>
      </c>
      <c r="L4263" s="343">
        <v>-18.96</v>
      </c>
      <c r="M4263" s="343">
        <v>-805955.46</v>
      </c>
      <c r="O4263" s="343">
        <v>0</v>
      </c>
    </row>
    <row r="4264" spans="1:15" x14ac:dyDescent="0.3">
      <c r="A4264" s="340" t="s">
        <v>891</v>
      </c>
      <c r="B4264" s="350">
        <v>46136</v>
      </c>
      <c r="C4264" s="350">
        <v>46146</v>
      </c>
      <c r="D4264" s="351">
        <v>46143</v>
      </c>
      <c r="E4264" s="340" t="s">
        <v>3002</v>
      </c>
      <c r="F4264" s="340" t="s">
        <v>894</v>
      </c>
      <c r="G4264" s="340" t="s">
        <v>3019</v>
      </c>
      <c r="H4264" s="340"/>
      <c r="I4264" s="340" t="s">
        <v>771</v>
      </c>
      <c r="K4264" s="343">
        <v>0</v>
      </c>
      <c r="L4264" s="343">
        <v>-19.239999999999998</v>
      </c>
      <c r="M4264" s="343">
        <v>-805974.7</v>
      </c>
      <c r="O4264" s="343">
        <v>0</v>
      </c>
    </row>
    <row r="4265" spans="1:15" x14ac:dyDescent="0.3">
      <c r="A4265" s="340" t="s">
        <v>891</v>
      </c>
      <c r="B4265" s="350">
        <v>46136</v>
      </c>
      <c r="C4265" s="350">
        <v>46146</v>
      </c>
      <c r="D4265" s="351">
        <v>46143</v>
      </c>
      <c r="E4265" s="340" t="s">
        <v>3002</v>
      </c>
      <c r="F4265" s="340" t="s">
        <v>894</v>
      </c>
      <c r="G4265" s="340" t="s">
        <v>3021</v>
      </c>
      <c r="H4265" s="340"/>
      <c r="I4265" s="340" t="s">
        <v>771</v>
      </c>
      <c r="K4265" s="343">
        <v>0</v>
      </c>
      <c r="L4265" s="343">
        <v>-21.3</v>
      </c>
      <c r="M4265" s="343">
        <v>-805996</v>
      </c>
      <c r="O4265" s="343">
        <v>0</v>
      </c>
    </row>
    <row r="4266" spans="1:15" x14ac:dyDescent="0.3">
      <c r="A4266" s="340" t="s">
        <v>891</v>
      </c>
      <c r="B4266" s="350">
        <v>46136</v>
      </c>
      <c r="C4266" s="350">
        <v>46146</v>
      </c>
      <c r="D4266" s="351">
        <v>46143</v>
      </c>
      <c r="E4266" s="340" t="s">
        <v>3002</v>
      </c>
      <c r="F4266" s="340" t="s">
        <v>894</v>
      </c>
      <c r="G4266" s="340" t="s">
        <v>3020</v>
      </c>
      <c r="H4266" s="340"/>
      <c r="I4266" s="340" t="s">
        <v>771</v>
      </c>
      <c r="K4266" s="343">
        <v>0</v>
      </c>
      <c r="L4266" s="343">
        <v>-27.61</v>
      </c>
      <c r="M4266" s="343">
        <v>-806023.61</v>
      </c>
      <c r="O4266" s="343">
        <v>0</v>
      </c>
    </row>
    <row r="4267" spans="1:15" x14ac:dyDescent="0.3">
      <c r="A4267" s="340" t="s">
        <v>891</v>
      </c>
      <c r="B4267" s="350">
        <v>46136</v>
      </c>
      <c r="C4267" s="350">
        <v>46146</v>
      </c>
      <c r="D4267" s="351">
        <v>46143</v>
      </c>
      <c r="E4267" s="340" t="s">
        <v>3002</v>
      </c>
      <c r="F4267" s="340" t="s">
        <v>894</v>
      </c>
      <c r="G4267" s="340" t="s">
        <v>3022</v>
      </c>
      <c r="H4267" s="340"/>
      <c r="I4267" s="340" t="s">
        <v>771</v>
      </c>
      <c r="K4267" s="343">
        <v>0</v>
      </c>
      <c r="L4267" s="343">
        <v>-34.340000000000003</v>
      </c>
      <c r="M4267" s="343">
        <v>-806057.95</v>
      </c>
      <c r="O4267" s="343">
        <v>0</v>
      </c>
    </row>
    <row r="4268" spans="1:15" x14ac:dyDescent="0.3">
      <c r="A4268" s="340" t="s">
        <v>891</v>
      </c>
      <c r="B4268" s="350">
        <v>46136</v>
      </c>
      <c r="C4268" s="350">
        <v>46146</v>
      </c>
      <c r="D4268" s="351">
        <v>46143</v>
      </c>
      <c r="E4268" s="340" t="s">
        <v>3002</v>
      </c>
      <c r="F4268" s="340" t="s">
        <v>894</v>
      </c>
      <c r="G4268" s="340" t="s">
        <v>3022</v>
      </c>
      <c r="H4268" s="340"/>
      <c r="I4268" s="340" t="s">
        <v>771</v>
      </c>
      <c r="K4268" s="343">
        <v>0</v>
      </c>
      <c r="L4268" s="343">
        <v>-55.05</v>
      </c>
      <c r="M4268" s="343">
        <v>-806113</v>
      </c>
      <c r="O4268" s="343">
        <v>0</v>
      </c>
    </row>
    <row r="4269" spans="1:15" x14ac:dyDescent="0.3">
      <c r="A4269" s="340" t="s">
        <v>891</v>
      </c>
      <c r="B4269" s="350">
        <v>46136</v>
      </c>
      <c r="C4269" s="350">
        <v>46146</v>
      </c>
      <c r="D4269" s="351">
        <v>46143</v>
      </c>
      <c r="E4269" s="340" t="s">
        <v>3002</v>
      </c>
      <c r="F4269" s="340" t="s">
        <v>894</v>
      </c>
      <c r="G4269" s="340" t="s">
        <v>3023</v>
      </c>
      <c r="H4269" s="340"/>
      <c r="I4269" s="340" t="s">
        <v>771</v>
      </c>
      <c r="K4269" s="343">
        <v>0</v>
      </c>
      <c r="L4269" s="343">
        <v>-120.91</v>
      </c>
      <c r="M4269" s="343">
        <v>-806233.91</v>
      </c>
      <c r="O4269" s="343">
        <v>0</v>
      </c>
    </row>
    <row r="4270" spans="1:15" x14ac:dyDescent="0.3">
      <c r="A4270" s="340" t="s">
        <v>891</v>
      </c>
      <c r="B4270" s="350">
        <v>46136</v>
      </c>
      <c r="C4270" s="350">
        <v>46146</v>
      </c>
      <c r="D4270" s="351">
        <v>46143</v>
      </c>
      <c r="E4270" s="340" t="s">
        <v>3002</v>
      </c>
      <c r="F4270" s="340" t="s">
        <v>894</v>
      </c>
      <c r="G4270" s="340" t="s">
        <v>3024</v>
      </c>
      <c r="H4270" s="340"/>
      <c r="I4270" s="340" t="s">
        <v>771</v>
      </c>
      <c r="K4270" s="343">
        <v>0</v>
      </c>
      <c r="L4270" s="343">
        <v>-200.11</v>
      </c>
      <c r="M4270" s="343">
        <v>-806434.02</v>
      </c>
      <c r="O4270" s="343">
        <v>0</v>
      </c>
    </row>
    <row r="4271" spans="1:15" x14ac:dyDescent="0.3">
      <c r="A4271" s="340" t="s">
        <v>891</v>
      </c>
      <c r="B4271" s="350">
        <v>46136</v>
      </c>
      <c r="C4271" s="350">
        <v>46146</v>
      </c>
      <c r="D4271" s="351">
        <v>46143</v>
      </c>
      <c r="E4271" s="340" t="s">
        <v>3002</v>
      </c>
      <c r="F4271" s="340" t="s">
        <v>894</v>
      </c>
      <c r="G4271" s="340" t="s">
        <v>3025</v>
      </c>
      <c r="H4271" s="340"/>
      <c r="I4271" s="340" t="s">
        <v>771</v>
      </c>
      <c r="K4271" s="343">
        <v>0</v>
      </c>
      <c r="L4271" s="343">
        <v>-445</v>
      </c>
      <c r="M4271" s="343">
        <v>-806879.02</v>
      </c>
      <c r="O4271" s="343">
        <v>0</v>
      </c>
    </row>
    <row r="4272" spans="1:15" x14ac:dyDescent="0.3">
      <c r="A4272" s="340" t="s">
        <v>891</v>
      </c>
      <c r="B4272" s="350">
        <v>46136</v>
      </c>
      <c r="C4272" s="350">
        <v>46146</v>
      </c>
      <c r="D4272" s="351">
        <v>46143</v>
      </c>
      <c r="E4272" s="340" t="s">
        <v>3002</v>
      </c>
      <c r="F4272" s="340" t="s">
        <v>894</v>
      </c>
      <c r="G4272" s="340" t="s">
        <v>3026</v>
      </c>
      <c r="H4272" s="340"/>
      <c r="I4272" s="340" t="s">
        <v>771</v>
      </c>
      <c r="K4272" s="343">
        <v>0</v>
      </c>
      <c r="L4272" s="343">
        <v>-988.36</v>
      </c>
      <c r="M4272" s="343">
        <v>-807867.38</v>
      </c>
      <c r="O4272" s="343">
        <v>0</v>
      </c>
    </row>
    <row r="4273" spans="1:15" x14ac:dyDescent="0.3">
      <c r="A4273" s="340" t="s">
        <v>891</v>
      </c>
      <c r="B4273" s="350">
        <v>46136</v>
      </c>
      <c r="C4273" s="350">
        <v>46146</v>
      </c>
      <c r="D4273" s="351">
        <v>46143</v>
      </c>
      <c r="E4273" s="340" t="s">
        <v>3002</v>
      </c>
      <c r="F4273" s="340" t="s">
        <v>894</v>
      </c>
      <c r="G4273" s="340" t="s">
        <v>3005</v>
      </c>
      <c r="H4273" s="340"/>
      <c r="I4273" s="340" t="s">
        <v>771</v>
      </c>
      <c r="K4273" s="343">
        <v>0</v>
      </c>
      <c r="L4273" s="343">
        <v>-2561.9499999999998</v>
      </c>
      <c r="M4273" s="343">
        <v>-810429.33</v>
      </c>
      <c r="O4273" s="343">
        <v>0</v>
      </c>
    </row>
    <row r="4274" spans="1:15" x14ac:dyDescent="0.3">
      <c r="A4274" s="340" t="s">
        <v>891</v>
      </c>
      <c r="B4274" s="350">
        <v>46136</v>
      </c>
      <c r="C4274" s="350">
        <v>46146</v>
      </c>
      <c r="D4274" s="351">
        <v>46143</v>
      </c>
      <c r="E4274" s="340" t="s">
        <v>3002</v>
      </c>
      <c r="F4274" s="340" t="s">
        <v>894</v>
      </c>
      <c r="G4274" s="340" t="s">
        <v>3003</v>
      </c>
      <c r="H4274" s="340"/>
      <c r="I4274" s="340" t="s">
        <v>771</v>
      </c>
      <c r="K4274" s="343">
        <v>0</v>
      </c>
      <c r="L4274" s="343">
        <v>-1.57</v>
      </c>
      <c r="M4274" s="343">
        <v>-810430.9</v>
      </c>
      <c r="O4274" s="343">
        <v>0</v>
      </c>
    </row>
    <row r="4275" spans="1:15" x14ac:dyDescent="0.3">
      <c r="A4275" s="340" t="s">
        <v>891</v>
      </c>
      <c r="B4275" s="350">
        <v>46136</v>
      </c>
      <c r="C4275" s="350">
        <v>46146</v>
      </c>
      <c r="D4275" s="351">
        <v>46143</v>
      </c>
      <c r="E4275" s="340" t="s">
        <v>3002</v>
      </c>
      <c r="F4275" s="340" t="s">
        <v>894</v>
      </c>
      <c r="G4275" s="340" t="s">
        <v>3003</v>
      </c>
      <c r="H4275" s="340"/>
      <c r="I4275" s="340" t="s">
        <v>771</v>
      </c>
      <c r="K4275" s="343">
        <v>0</v>
      </c>
      <c r="L4275" s="343">
        <v>-2.82</v>
      </c>
      <c r="M4275" s="343">
        <v>-810433.72</v>
      </c>
      <c r="O4275" s="343">
        <v>0</v>
      </c>
    </row>
    <row r="4276" spans="1:15" x14ac:dyDescent="0.3">
      <c r="A4276" s="340" t="s">
        <v>891</v>
      </c>
      <c r="B4276" s="350">
        <v>46136</v>
      </c>
      <c r="C4276" s="350">
        <v>46146</v>
      </c>
      <c r="D4276" s="351">
        <v>46143</v>
      </c>
      <c r="E4276" s="340" t="s">
        <v>3002</v>
      </c>
      <c r="F4276" s="340" t="s">
        <v>894</v>
      </c>
      <c r="G4276" s="340" t="s">
        <v>3004</v>
      </c>
      <c r="H4276" s="340"/>
      <c r="I4276" s="340" t="s">
        <v>771</v>
      </c>
      <c r="K4276" s="343">
        <v>0</v>
      </c>
      <c r="L4276" s="343">
        <v>-9.6</v>
      </c>
      <c r="M4276" s="343">
        <v>-810443.32</v>
      </c>
      <c r="O4276" s="343">
        <v>0</v>
      </c>
    </row>
    <row r="4277" spans="1:15" x14ac:dyDescent="0.3">
      <c r="A4277" s="340" t="s">
        <v>891</v>
      </c>
      <c r="B4277" s="350">
        <v>46136</v>
      </c>
      <c r="C4277" s="350">
        <v>46146</v>
      </c>
      <c r="D4277" s="351">
        <v>46143</v>
      </c>
      <c r="E4277" s="340" t="s">
        <v>3002</v>
      </c>
      <c r="F4277" s="340" t="s">
        <v>894</v>
      </c>
      <c r="G4277" s="340" t="s">
        <v>3015</v>
      </c>
      <c r="H4277" s="340"/>
      <c r="I4277" s="340" t="s">
        <v>771</v>
      </c>
      <c r="K4277" s="343">
        <v>0</v>
      </c>
      <c r="L4277" s="343">
        <v>-11.13</v>
      </c>
      <c r="M4277" s="343">
        <v>-810454.45</v>
      </c>
      <c r="O4277" s="343">
        <v>0</v>
      </c>
    </row>
    <row r="4278" spans="1:15" x14ac:dyDescent="0.3">
      <c r="A4278" s="340" t="s">
        <v>891</v>
      </c>
      <c r="B4278" s="350">
        <v>46136</v>
      </c>
      <c r="C4278" s="350">
        <v>46146</v>
      </c>
      <c r="D4278" s="351">
        <v>46143</v>
      </c>
      <c r="E4278" s="340" t="s">
        <v>3002</v>
      </c>
      <c r="F4278" s="340" t="s">
        <v>894</v>
      </c>
      <c r="G4278" s="340" t="s">
        <v>3014</v>
      </c>
      <c r="H4278" s="340"/>
      <c r="I4278" s="340" t="s">
        <v>771</v>
      </c>
      <c r="K4278" s="343">
        <v>0</v>
      </c>
      <c r="L4278" s="343">
        <v>-11.84</v>
      </c>
      <c r="M4278" s="343">
        <v>-810466.29</v>
      </c>
      <c r="O4278" s="343">
        <v>0</v>
      </c>
    </row>
    <row r="4279" spans="1:15" x14ac:dyDescent="0.3">
      <c r="A4279" s="340" t="s">
        <v>891</v>
      </c>
      <c r="B4279" s="350">
        <v>46136</v>
      </c>
      <c r="C4279" s="350">
        <v>46146</v>
      </c>
      <c r="D4279" s="351">
        <v>46143</v>
      </c>
      <c r="E4279" s="340" t="s">
        <v>3002</v>
      </c>
      <c r="F4279" s="340" t="s">
        <v>894</v>
      </c>
      <c r="G4279" s="340" t="s">
        <v>3008</v>
      </c>
      <c r="H4279" s="340"/>
      <c r="I4279" s="340" t="s">
        <v>771</v>
      </c>
      <c r="K4279" s="343">
        <v>0</v>
      </c>
      <c r="L4279" s="343">
        <v>-12.01</v>
      </c>
      <c r="M4279" s="343">
        <v>-810478.3</v>
      </c>
      <c r="O4279" s="343">
        <v>0</v>
      </c>
    </row>
    <row r="4280" spans="1:15" x14ac:dyDescent="0.3">
      <c r="A4280" s="340" t="s">
        <v>891</v>
      </c>
      <c r="B4280" s="350">
        <v>46136</v>
      </c>
      <c r="C4280" s="350">
        <v>46146</v>
      </c>
      <c r="D4280" s="351">
        <v>46143</v>
      </c>
      <c r="E4280" s="340" t="s">
        <v>3002</v>
      </c>
      <c r="F4280" s="340" t="s">
        <v>894</v>
      </c>
      <c r="G4280" s="340" t="s">
        <v>3004</v>
      </c>
      <c r="H4280" s="340"/>
      <c r="I4280" s="340" t="s">
        <v>771</v>
      </c>
      <c r="K4280" s="343">
        <v>0</v>
      </c>
      <c r="L4280" s="343">
        <v>-17.23</v>
      </c>
      <c r="M4280" s="343">
        <v>-810495.53</v>
      </c>
      <c r="O4280" s="343">
        <v>0</v>
      </c>
    </row>
    <row r="4281" spans="1:15" x14ac:dyDescent="0.3">
      <c r="A4281" s="340" t="s">
        <v>891</v>
      </c>
      <c r="B4281" s="350">
        <v>46136</v>
      </c>
      <c r="C4281" s="350">
        <v>46146</v>
      </c>
      <c r="D4281" s="351">
        <v>46143</v>
      </c>
      <c r="E4281" s="340" t="s">
        <v>3002</v>
      </c>
      <c r="F4281" s="340" t="s">
        <v>894</v>
      </c>
      <c r="G4281" s="340" t="s">
        <v>3010</v>
      </c>
      <c r="H4281" s="340"/>
      <c r="I4281" s="340" t="s">
        <v>771</v>
      </c>
      <c r="K4281" s="343">
        <v>0</v>
      </c>
      <c r="L4281" s="343">
        <v>-19.13</v>
      </c>
      <c r="M4281" s="343">
        <v>-810514.66</v>
      </c>
      <c r="O4281" s="343">
        <v>0</v>
      </c>
    </row>
    <row r="4282" spans="1:15" x14ac:dyDescent="0.3">
      <c r="A4282" s="340" t="s">
        <v>891</v>
      </c>
      <c r="B4282" s="350">
        <v>46136</v>
      </c>
      <c r="C4282" s="350">
        <v>46146</v>
      </c>
      <c r="D4282" s="351">
        <v>46143</v>
      </c>
      <c r="E4282" s="340" t="s">
        <v>3002</v>
      </c>
      <c r="F4282" s="340" t="s">
        <v>894</v>
      </c>
      <c r="G4282" s="340" t="s">
        <v>3009</v>
      </c>
      <c r="H4282" s="340"/>
      <c r="I4282" s="340" t="s">
        <v>771</v>
      </c>
      <c r="K4282" s="343">
        <v>0</v>
      </c>
      <c r="L4282" s="343">
        <v>-21.3</v>
      </c>
      <c r="M4282" s="343">
        <v>-810535.96</v>
      </c>
      <c r="O4282" s="343">
        <v>0</v>
      </c>
    </row>
    <row r="4283" spans="1:15" x14ac:dyDescent="0.3">
      <c r="A4283" s="340" t="s">
        <v>891</v>
      </c>
      <c r="B4283" s="350">
        <v>46136</v>
      </c>
      <c r="C4283" s="350">
        <v>46146</v>
      </c>
      <c r="D4283" s="351">
        <v>46143</v>
      </c>
      <c r="E4283" s="340" t="s">
        <v>3002</v>
      </c>
      <c r="F4283" s="340" t="s">
        <v>894</v>
      </c>
      <c r="G4283" s="340" t="s">
        <v>3010</v>
      </c>
      <c r="H4283" s="340"/>
      <c r="I4283" s="340" t="s">
        <v>771</v>
      </c>
      <c r="K4283" s="343">
        <v>0</v>
      </c>
      <c r="L4283" s="343">
        <v>-34.36</v>
      </c>
      <c r="M4283" s="343">
        <v>-810570.32</v>
      </c>
      <c r="O4283" s="343">
        <v>0</v>
      </c>
    </row>
    <row r="4284" spans="1:15" x14ac:dyDescent="0.3">
      <c r="A4284" s="340" t="s">
        <v>891</v>
      </c>
      <c r="B4284" s="350">
        <v>46136</v>
      </c>
      <c r="C4284" s="350">
        <v>46146</v>
      </c>
      <c r="D4284" s="351">
        <v>46143</v>
      </c>
      <c r="E4284" s="340" t="s">
        <v>3002</v>
      </c>
      <c r="F4284" s="340" t="s">
        <v>894</v>
      </c>
      <c r="G4284" s="340" t="s">
        <v>3013</v>
      </c>
      <c r="H4284" s="340"/>
      <c r="I4284" s="340" t="s">
        <v>771</v>
      </c>
      <c r="K4284" s="343">
        <v>0</v>
      </c>
      <c r="L4284" s="343">
        <v>-74.78</v>
      </c>
      <c r="M4284" s="343">
        <v>-810645.1</v>
      </c>
      <c r="O4284" s="343">
        <v>0</v>
      </c>
    </row>
    <row r="4285" spans="1:15" x14ac:dyDescent="0.3">
      <c r="A4285" s="340" t="s">
        <v>891</v>
      </c>
      <c r="B4285" s="350">
        <v>46136</v>
      </c>
      <c r="C4285" s="350">
        <v>46146</v>
      </c>
      <c r="D4285" s="351">
        <v>46143</v>
      </c>
      <c r="E4285" s="340" t="s">
        <v>3002</v>
      </c>
      <c r="F4285" s="340" t="s">
        <v>894</v>
      </c>
      <c r="G4285" s="340" t="s">
        <v>3011</v>
      </c>
      <c r="H4285" s="340"/>
      <c r="I4285" s="340" t="s">
        <v>771</v>
      </c>
      <c r="K4285" s="343">
        <v>0</v>
      </c>
      <c r="L4285" s="343">
        <v>-207.37</v>
      </c>
      <c r="M4285" s="343">
        <v>-810852.47</v>
      </c>
      <c r="O4285" s="343">
        <v>0</v>
      </c>
    </row>
    <row r="4286" spans="1:15" x14ac:dyDescent="0.3">
      <c r="A4286" s="340" t="s">
        <v>891</v>
      </c>
      <c r="B4286" s="350">
        <v>46136</v>
      </c>
      <c r="C4286" s="350">
        <v>46146</v>
      </c>
      <c r="D4286" s="351">
        <v>46143</v>
      </c>
      <c r="E4286" s="340" t="s">
        <v>3002</v>
      </c>
      <c r="F4286" s="340" t="s">
        <v>894</v>
      </c>
      <c r="G4286" s="340" t="s">
        <v>3012</v>
      </c>
      <c r="H4286" s="340"/>
      <c r="I4286" s="340" t="s">
        <v>771</v>
      </c>
      <c r="K4286" s="343">
        <v>0</v>
      </c>
      <c r="L4286" s="343">
        <v>-317.13</v>
      </c>
      <c r="M4286" s="343">
        <v>-811169.6</v>
      </c>
      <c r="O4286" s="343">
        <v>0</v>
      </c>
    </row>
    <row r="4287" spans="1:15" x14ac:dyDescent="0.3">
      <c r="A4287" s="340" t="s">
        <v>891</v>
      </c>
      <c r="B4287" s="350">
        <v>46136</v>
      </c>
      <c r="C4287" s="350">
        <v>46146</v>
      </c>
      <c r="D4287" s="351">
        <v>46143</v>
      </c>
      <c r="E4287" s="340" t="s">
        <v>3002</v>
      </c>
      <c r="F4287" s="340" t="s">
        <v>894</v>
      </c>
      <c r="G4287" s="340" t="s">
        <v>3013</v>
      </c>
      <c r="H4287" s="340"/>
      <c r="I4287" s="340" t="s">
        <v>771</v>
      </c>
      <c r="K4287" s="343">
        <v>0</v>
      </c>
      <c r="L4287" s="343">
        <v>-104.84</v>
      </c>
      <c r="M4287" s="343">
        <v>-811274.44</v>
      </c>
      <c r="O4287" s="343">
        <v>0</v>
      </c>
    </row>
    <row r="4288" spans="1:15" x14ac:dyDescent="0.3">
      <c r="A4288" s="340" t="s">
        <v>891</v>
      </c>
      <c r="B4288" s="350">
        <v>46136</v>
      </c>
      <c r="C4288" s="350">
        <v>46146</v>
      </c>
      <c r="D4288" s="351">
        <v>46143</v>
      </c>
      <c r="E4288" s="340" t="s">
        <v>3002</v>
      </c>
      <c r="F4288" s="340" t="s">
        <v>894</v>
      </c>
      <c r="G4288" s="340" t="s">
        <v>3014</v>
      </c>
      <c r="H4288" s="340"/>
      <c r="I4288" s="340" t="s">
        <v>771</v>
      </c>
      <c r="K4288" s="343">
        <v>0</v>
      </c>
      <c r="L4288" s="343">
        <v>-16.600000000000001</v>
      </c>
      <c r="M4288" s="343">
        <v>-811291.04</v>
      </c>
      <c r="O4288" s="343">
        <v>0</v>
      </c>
    </row>
    <row r="4289" spans="1:15" x14ac:dyDescent="0.3">
      <c r="A4289" s="340" t="s">
        <v>891</v>
      </c>
      <c r="B4289" s="350">
        <v>46136</v>
      </c>
      <c r="C4289" s="350">
        <v>46146</v>
      </c>
      <c r="D4289" s="351">
        <v>46143</v>
      </c>
      <c r="E4289" s="340" t="s">
        <v>3002</v>
      </c>
      <c r="F4289" s="340" t="s">
        <v>894</v>
      </c>
      <c r="G4289" s="340" t="s">
        <v>3010</v>
      </c>
      <c r="H4289" s="340"/>
      <c r="I4289" s="340" t="s">
        <v>771</v>
      </c>
      <c r="K4289" s="343">
        <v>0</v>
      </c>
      <c r="L4289" s="343">
        <v>-48.17</v>
      </c>
      <c r="M4289" s="343">
        <v>-811339.21</v>
      </c>
      <c r="O4289" s="343">
        <v>0</v>
      </c>
    </row>
    <row r="4290" spans="1:15" x14ac:dyDescent="0.3">
      <c r="A4290" s="340" t="s">
        <v>891</v>
      </c>
      <c r="B4290" s="350">
        <v>46136</v>
      </c>
      <c r="C4290" s="350">
        <v>46146</v>
      </c>
      <c r="D4290" s="351">
        <v>46143</v>
      </c>
      <c r="E4290" s="340" t="s">
        <v>3002</v>
      </c>
      <c r="F4290" s="340" t="s">
        <v>894</v>
      </c>
      <c r="G4290" s="340" t="s">
        <v>3004</v>
      </c>
      <c r="H4290" s="340"/>
      <c r="I4290" s="340" t="s">
        <v>771</v>
      </c>
      <c r="K4290" s="343">
        <v>0</v>
      </c>
      <c r="L4290" s="343">
        <v>-24.16</v>
      </c>
      <c r="M4290" s="343">
        <v>-811363.37</v>
      </c>
      <c r="O4290" s="343">
        <v>0</v>
      </c>
    </row>
    <row r="4291" spans="1:15" x14ac:dyDescent="0.3">
      <c r="A4291" s="340" t="s">
        <v>891</v>
      </c>
      <c r="B4291" s="350">
        <v>46136</v>
      </c>
      <c r="C4291" s="350">
        <v>46146</v>
      </c>
      <c r="D4291" s="351">
        <v>46143</v>
      </c>
      <c r="E4291" s="340" t="s">
        <v>3002</v>
      </c>
      <c r="F4291" s="340" t="s">
        <v>894</v>
      </c>
      <c r="G4291" s="340" t="s">
        <v>3015</v>
      </c>
      <c r="H4291" s="340"/>
      <c r="I4291" s="340" t="s">
        <v>771</v>
      </c>
      <c r="K4291" s="343">
        <v>0</v>
      </c>
      <c r="L4291" s="343">
        <v>-11.13</v>
      </c>
      <c r="M4291" s="343">
        <v>-811374.5</v>
      </c>
      <c r="O4291" s="343">
        <v>0</v>
      </c>
    </row>
    <row r="4292" spans="1:15" x14ac:dyDescent="0.3">
      <c r="A4292" s="340" t="s">
        <v>891</v>
      </c>
      <c r="B4292" s="350">
        <v>46136</v>
      </c>
      <c r="C4292" s="350">
        <v>46146</v>
      </c>
      <c r="D4292" s="351">
        <v>46143</v>
      </c>
      <c r="E4292" s="340" t="s">
        <v>3002</v>
      </c>
      <c r="F4292" s="340" t="s">
        <v>894</v>
      </c>
      <c r="G4292" s="340" t="s">
        <v>3003</v>
      </c>
      <c r="H4292" s="340"/>
      <c r="I4292" s="340" t="s">
        <v>771</v>
      </c>
      <c r="K4292" s="343">
        <v>0</v>
      </c>
      <c r="L4292" s="343">
        <v>-1.82</v>
      </c>
      <c r="M4292" s="343">
        <v>-811376.32</v>
      </c>
      <c r="O4292" s="343">
        <v>0</v>
      </c>
    </row>
    <row r="4293" spans="1:15" x14ac:dyDescent="0.3">
      <c r="A4293" s="340" t="s">
        <v>891</v>
      </c>
      <c r="B4293" s="350">
        <v>46136</v>
      </c>
      <c r="C4293" s="350">
        <v>46146</v>
      </c>
      <c r="D4293" s="351">
        <v>46143</v>
      </c>
      <c r="E4293" s="340" t="s">
        <v>3002</v>
      </c>
      <c r="F4293" s="340" t="s">
        <v>894</v>
      </c>
      <c r="G4293" s="340" t="s">
        <v>2618</v>
      </c>
      <c r="H4293" s="340"/>
      <c r="I4293" s="340" t="s">
        <v>771</v>
      </c>
      <c r="K4293" s="343">
        <v>0</v>
      </c>
      <c r="L4293" s="343">
        <v>-360.71</v>
      </c>
      <c r="M4293" s="343">
        <v>-811737.03</v>
      </c>
      <c r="O4293" s="343">
        <v>0</v>
      </c>
    </row>
    <row r="4294" spans="1:15" x14ac:dyDescent="0.3">
      <c r="A4294" s="340" t="s">
        <v>891</v>
      </c>
      <c r="B4294" s="350">
        <v>46136</v>
      </c>
      <c r="C4294" s="350">
        <v>46160</v>
      </c>
      <c r="D4294" s="351">
        <v>46143</v>
      </c>
      <c r="E4294" s="340" t="s">
        <v>3027</v>
      </c>
      <c r="F4294" s="340" t="s">
        <v>894</v>
      </c>
      <c r="G4294" s="340" t="s">
        <v>3028</v>
      </c>
      <c r="H4294" s="340"/>
      <c r="I4294" s="340" t="s">
        <v>1861</v>
      </c>
      <c r="K4294" s="343">
        <v>0</v>
      </c>
      <c r="L4294" s="343">
        <v>-18361.009999999998</v>
      </c>
      <c r="M4294" s="343">
        <v>-830098.04</v>
      </c>
      <c r="O4294" s="343">
        <v>0</v>
      </c>
    </row>
    <row r="4295" spans="1:15" x14ac:dyDescent="0.3">
      <c r="A4295" s="340" t="s">
        <v>891</v>
      </c>
      <c r="B4295" s="350">
        <v>46136</v>
      </c>
      <c r="C4295" s="350">
        <v>46160</v>
      </c>
      <c r="D4295" s="351">
        <v>46143</v>
      </c>
      <c r="E4295" s="340" t="s">
        <v>3029</v>
      </c>
      <c r="F4295" s="340" t="s">
        <v>894</v>
      </c>
      <c r="G4295" s="340" t="s">
        <v>3028</v>
      </c>
      <c r="H4295" s="340"/>
      <c r="I4295" s="340" t="s">
        <v>1861</v>
      </c>
      <c r="K4295" s="343">
        <v>0</v>
      </c>
      <c r="L4295" s="343">
        <v>-2047.32</v>
      </c>
      <c r="M4295" s="343">
        <v>-832145.36</v>
      </c>
      <c r="O4295" s="343">
        <v>0</v>
      </c>
    </row>
    <row r="4296" spans="1:15" x14ac:dyDescent="0.3">
      <c r="A4296" s="340" t="s">
        <v>891</v>
      </c>
      <c r="B4296" s="350">
        <v>46136</v>
      </c>
      <c r="C4296" s="350">
        <v>46160</v>
      </c>
      <c r="D4296" s="351">
        <v>46143</v>
      </c>
      <c r="E4296" s="340" t="s">
        <v>3030</v>
      </c>
      <c r="F4296" s="340" t="s">
        <v>894</v>
      </c>
      <c r="G4296" s="340" t="s">
        <v>3028</v>
      </c>
      <c r="H4296" s="340"/>
      <c r="I4296" s="340" t="s">
        <v>1861</v>
      </c>
      <c r="K4296" s="343">
        <v>0</v>
      </c>
      <c r="L4296" s="343">
        <v>-5715.49</v>
      </c>
      <c r="M4296" s="343">
        <v>-837860.85</v>
      </c>
      <c r="O4296" s="343">
        <v>0</v>
      </c>
    </row>
    <row r="4297" spans="1:15" x14ac:dyDescent="0.3">
      <c r="A4297" s="340" t="s">
        <v>891</v>
      </c>
      <c r="B4297" s="350">
        <v>46136</v>
      </c>
      <c r="C4297" s="350">
        <v>46160</v>
      </c>
      <c r="D4297" s="351">
        <v>46143</v>
      </c>
      <c r="E4297" s="340" t="s">
        <v>3031</v>
      </c>
      <c r="F4297" s="340" t="s">
        <v>894</v>
      </c>
      <c r="G4297" s="340" t="s">
        <v>3028</v>
      </c>
      <c r="H4297" s="340"/>
      <c r="I4297" s="340" t="s">
        <v>1861</v>
      </c>
      <c r="K4297" s="343">
        <v>0</v>
      </c>
      <c r="L4297" s="343">
        <v>-3102.04</v>
      </c>
      <c r="M4297" s="343">
        <v>-840962.89</v>
      </c>
      <c r="O4297" s="343">
        <v>0</v>
      </c>
    </row>
    <row r="4298" spans="1:15" x14ac:dyDescent="0.3">
      <c r="A4298" s="340" t="s">
        <v>891</v>
      </c>
      <c r="B4298" s="350">
        <v>46137</v>
      </c>
      <c r="C4298" s="350">
        <v>46140</v>
      </c>
      <c r="D4298" s="351">
        <v>46113</v>
      </c>
      <c r="E4298" s="340" t="s">
        <v>3032</v>
      </c>
      <c r="F4298" s="340" t="s">
        <v>894</v>
      </c>
      <c r="G4298" s="340" t="s">
        <v>3033</v>
      </c>
      <c r="H4298" s="340"/>
      <c r="I4298" s="340" t="s">
        <v>740</v>
      </c>
      <c r="K4298" s="343">
        <v>0</v>
      </c>
      <c r="L4298" s="343">
        <v>-306.08999999999997</v>
      </c>
      <c r="M4298" s="343">
        <v>-841268.98</v>
      </c>
      <c r="O4298" s="343">
        <v>0</v>
      </c>
    </row>
    <row r="4299" spans="1:15" x14ac:dyDescent="0.3">
      <c r="A4299" s="340" t="s">
        <v>891</v>
      </c>
      <c r="B4299" s="350">
        <v>46137</v>
      </c>
      <c r="C4299" s="350">
        <v>46140</v>
      </c>
      <c r="D4299" s="351">
        <v>46113</v>
      </c>
      <c r="E4299" s="340" t="s">
        <v>3034</v>
      </c>
      <c r="F4299" s="340" t="s">
        <v>894</v>
      </c>
      <c r="G4299" s="340" t="s">
        <v>3035</v>
      </c>
      <c r="H4299" s="340"/>
      <c r="I4299" s="340" t="s">
        <v>740</v>
      </c>
      <c r="K4299" s="343">
        <v>0</v>
      </c>
      <c r="L4299" s="343">
        <v>-167.79</v>
      </c>
      <c r="M4299" s="343">
        <v>-841436.77</v>
      </c>
      <c r="O4299" s="343">
        <v>0</v>
      </c>
    </row>
    <row r="4300" spans="1:15" x14ac:dyDescent="0.3">
      <c r="A4300" s="340" t="s">
        <v>891</v>
      </c>
      <c r="B4300" s="350">
        <v>46137</v>
      </c>
      <c r="C4300" s="350">
        <v>46140</v>
      </c>
      <c r="D4300" s="351">
        <v>46113</v>
      </c>
      <c r="E4300" s="340" t="s">
        <v>3036</v>
      </c>
      <c r="F4300" s="340" t="s">
        <v>894</v>
      </c>
      <c r="G4300" s="340" t="s">
        <v>3037</v>
      </c>
      <c r="H4300" s="340"/>
      <c r="I4300" s="340" t="s">
        <v>740</v>
      </c>
      <c r="K4300" s="343">
        <v>0</v>
      </c>
      <c r="L4300" s="343">
        <v>-200.26</v>
      </c>
      <c r="M4300" s="343">
        <v>-841637.03</v>
      </c>
      <c r="O4300" s="343">
        <v>0</v>
      </c>
    </row>
    <row r="4301" spans="1:15" x14ac:dyDescent="0.3">
      <c r="A4301" s="340" t="s">
        <v>891</v>
      </c>
      <c r="B4301" s="350">
        <v>46137</v>
      </c>
      <c r="C4301" s="350">
        <v>46140</v>
      </c>
      <c r="D4301" s="351">
        <v>46113</v>
      </c>
      <c r="E4301" s="340" t="s">
        <v>3038</v>
      </c>
      <c r="F4301" s="340" t="s">
        <v>894</v>
      </c>
      <c r="G4301" s="340" t="s">
        <v>3039</v>
      </c>
      <c r="H4301" s="340"/>
      <c r="I4301" s="340" t="s">
        <v>740</v>
      </c>
      <c r="K4301" s="343">
        <v>0</v>
      </c>
      <c r="L4301" s="343">
        <v>-156.96</v>
      </c>
      <c r="M4301" s="343">
        <v>-841793.99</v>
      </c>
      <c r="O4301" s="343">
        <v>0</v>
      </c>
    </row>
    <row r="4302" spans="1:15" x14ac:dyDescent="0.3">
      <c r="A4302" s="340" t="s">
        <v>891</v>
      </c>
      <c r="B4302" s="350">
        <v>46137</v>
      </c>
      <c r="C4302" s="350">
        <v>46140</v>
      </c>
      <c r="D4302" s="351">
        <v>46113</v>
      </c>
      <c r="E4302" s="340" t="s">
        <v>3040</v>
      </c>
      <c r="F4302" s="340" t="s">
        <v>894</v>
      </c>
      <c r="G4302" s="340" t="s">
        <v>3041</v>
      </c>
      <c r="H4302" s="340"/>
      <c r="I4302" s="340" t="s">
        <v>740</v>
      </c>
      <c r="K4302" s="343">
        <v>0</v>
      </c>
      <c r="L4302" s="343">
        <v>-200.26</v>
      </c>
      <c r="M4302" s="343">
        <v>-841994.25</v>
      </c>
      <c r="O4302" s="343">
        <v>0</v>
      </c>
    </row>
    <row r="4303" spans="1:15" x14ac:dyDescent="0.3">
      <c r="A4303" s="340" t="s">
        <v>891</v>
      </c>
      <c r="B4303" s="350">
        <v>46137</v>
      </c>
      <c r="C4303" s="350">
        <v>46141</v>
      </c>
      <c r="D4303" s="351">
        <v>46113</v>
      </c>
      <c r="E4303" s="340" t="s">
        <v>3042</v>
      </c>
      <c r="F4303" s="340" t="s">
        <v>894</v>
      </c>
      <c r="G4303" s="340" t="s">
        <v>3043</v>
      </c>
      <c r="H4303" s="340"/>
      <c r="I4303" s="340" t="s">
        <v>740</v>
      </c>
      <c r="K4303" s="343">
        <v>0</v>
      </c>
      <c r="L4303" s="343">
        <v>-270</v>
      </c>
      <c r="M4303" s="343">
        <v>-842264.25</v>
      </c>
      <c r="O4303" s="343">
        <v>0</v>
      </c>
    </row>
    <row r="4304" spans="1:15" x14ac:dyDescent="0.3">
      <c r="A4304" s="340" t="s">
        <v>891</v>
      </c>
      <c r="B4304" s="350">
        <v>46139</v>
      </c>
      <c r="C4304" s="350">
        <v>46139</v>
      </c>
      <c r="D4304" s="351">
        <v>46113</v>
      </c>
      <c r="E4304" s="340" t="s">
        <v>3044</v>
      </c>
      <c r="F4304" s="340" t="s">
        <v>894</v>
      </c>
      <c r="G4304" s="340" t="s">
        <v>3045</v>
      </c>
      <c r="H4304" s="340"/>
      <c r="I4304" s="340" t="s">
        <v>745</v>
      </c>
      <c r="K4304" s="343">
        <v>0</v>
      </c>
      <c r="L4304" s="343">
        <v>-190.45</v>
      </c>
      <c r="M4304" s="343">
        <v>-842454.7</v>
      </c>
      <c r="O4304" s="343">
        <v>0</v>
      </c>
    </row>
    <row r="4305" spans="1:15" x14ac:dyDescent="0.3">
      <c r="A4305" s="340" t="s">
        <v>891</v>
      </c>
      <c r="B4305" s="350">
        <v>46139</v>
      </c>
      <c r="C4305" s="350">
        <v>46139</v>
      </c>
      <c r="D4305" s="351">
        <v>46113</v>
      </c>
      <c r="E4305" s="340" t="s">
        <v>3044</v>
      </c>
      <c r="F4305" s="340" t="s">
        <v>894</v>
      </c>
      <c r="G4305" s="340" t="s">
        <v>3046</v>
      </c>
      <c r="H4305" s="340"/>
      <c r="I4305" s="340" t="s">
        <v>745</v>
      </c>
      <c r="K4305" s="343">
        <v>0</v>
      </c>
      <c r="L4305" s="343">
        <v>-1857.54</v>
      </c>
      <c r="M4305" s="343">
        <v>-844312.24</v>
      </c>
      <c r="O4305" s="343">
        <v>0</v>
      </c>
    </row>
    <row r="4306" spans="1:15" x14ac:dyDescent="0.3">
      <c r="A4306" s="340" t="s">
        <v>891</v>
      </c>
      <c r="B4306" s="350">
        <v>46139</v>
      </c>
      <c r="C4306" s="350">
        <v>46139</v>
      </c>
      <c r="D4306" s="351">
        <v>46113</v>
      </c>
      <c r="E4306" s="340" t="s">
        <v>3044</v>
      </c>
      <c r="F4306" s="340" t="s">
        <v>894</v>
      </c>
      <c r="G4306" s="340" t="s">
        <v>3047</v>
      </c>
      <c r="H4306" s="340"/>
      <c r="I4306" s="340" t="s">
        <v>745</v>
      </c>
      <c r="K4306" s="343">
        <v>0</v>
      </c>
      <c r="L4306" s="343">
        <v>-135.28</v>
      </c>
      <c r="M4306" s="343">
        <v>-844447.52</v>
      </c>
      <c r="O4306" s="343">
        <v>0</v>
      </c>
    </row>
    <row r="4307" spans="1:15" x14ac:dyDescent="0.3">
      <c r="A4307" s="340" t="s">
        <v>891</v>
      </c>
      <c r="B4307" s="350">
        <v>46139</v>
      </c>
      <c r="C4307" s="350">
        <v>46139</v>
      </c>
      <c r="D4307" s="351">
        <v>46113</v>
      </c>
      <c r="E4307" s="340" t="s">
        <v>3044</v>
      </c>
      <c r="F4307" s="340" t="s">
        <v>894</v>
      </c>
      <c r="G4307" s="340" t="s">
        <v>3048</v>
      </c>
      <c r="H4307" s="340"/>
      <c r="I4307" s="340" t="s">
        <v>745</v>
      </c>
      <c r="K4307" s="343">
        <v>0</v>
      </c>
      <c r="L4307" s="343">
        <v>-192.55</v>
      </c>
      <c r="M4307" s="343">
        <v>-844640.07</v>
      </c>
      <c r="O4307" s="343">
        <v>0</v>
      </c>
    </row>
    <row r="4308" spans="1:15" x14ac:dyDescent="0.3">
      <c r="A4308" s="340" t="s">
        <v>891</v>
      </c>
      <c r="B4308" s="350">
        <v>46139</v>
      </c>
      <c r="C4308" s="350">
        <v>46139</v>
      </c>
      <c r="D4308" s="351">
        <v>46113</v>
      </c>
      <c r="E4308" s="340" t="s">
        <v>3044</v>
      </c>
      <c r="F4308" s="340" t="s">
        <v>894</v>
      </c>
      <c r="G4308" s="340" t="s">
        <v>3049</v>
      </c>
      <c r="H4308" s="340"/>
      <c r="I4308" s="340" t="s">
        <v>745</v>
      </c>
      <c r="K4308" s="343">
        <v>0</v>
      </c>
      <c r="L4308" s="343">
        <v>-238.02</v>
      </c>
      <c r="M4308" s="343">
        <v>-844878.09</v>
      </c>
      <c r="O4308" s="343">
        <v>0</v>
      </c>
    </row>
    <row r="4309" spans="1:15" x14ac:dyDescent="0.3">
      <c r="A4309" s="340" t="s">
        <v>891</v>
      </c>
      <c r="B4309" s="350">
        <v>46139</v>
      </c>
      <c r="C4309" s="350">
        <v>46139</v>
      </c>
      <c r="D4309" s="351">
        <v>46113</v>
      </c>
      <c r="E4309" s="340" t="s">
        <v>3044</v>
      </c>
      <c r="F4309" s="340" t="s">
        <v>894</v>
      </c>
      <c r="G4309" s="340" t="s">
        <v>3050</v>
      </c>
      <c r="H4309" s="340"/>
      <c r="I4309" s="340" t="s">
        <v>745</v>
      </c>
      <c r="K4309" s="343">
        <v>0</v>
      </c>
      <c r="L4309" s="343">
        <v>-280.08999999999997</v>
      </c>
      <c r="M4309" s="343">
        <v>-845158.18</v>
      </c>
      <c r="O4309" s="343">
        <v>0</v>
      </c>
    </row>
    <row r="4310" spans="1:15" x14ac:dyDescent="0.3">
      <c r="A4310" s="340" t="s">
        <v>891</v>
      </c>
      <c r="B4310" s="350">
        <v>46139</v>
      </c>
      <c r="C4310" s="350">
        <v>46139</v>
      </c>
      <c r="D4310" s="351">
        <v>46113</v>
      </c>
      <c r="E4310" s="340" t="s">
        <v>3044</v>
      </c>
      <c r="F4310" s="340" t="s">
        <v>894</v>
      </c>
      <c r="G4310" s="340" t="s">
        <v>3051</v>
      </c>
      <c r="H4310" s="340"/>
      <c r="I4310" s="340" t="s">
        <v>745</v>
      </c>
      <c r="K4310" s="343">
        <v>0</v>
      </c>
      <c r="L4310" s="343">
        <v>-82.75</v>
      </c>
      <c r="M4310" s="343">
        <v>-845240.93</v>
      </c>
      <c r="O4310" s="343">
        <v>0</v>
      </c>
    </row>
    <row r="4311" spans="1:15" x14ac:dyDescent="0.3">
      <c r="A4311" s="340" t="s">
        <v>891</v>
      </c>
      <c r="B4311" s="350">
        <v>46139</v>
      </c>
      <c r="C4311" s="350">
        <v>46139</v>
      </c>
      <c r="D4311" s="351">
        <v>46113</v>
      </c>
      <c r="E4311" s="340" t="s">
        <v>3044</v>
      </c>
      <c r="F4311" s="340" t="s">
        <v>894</v>
      </c>
      <c r="G4311" s="340" t="s">
        <v>2078</v>
      </c>
      <c r="H4311" s="340"/>
      <c r="I4311" s="340" t="s">
        <v>745</v>
      </c>
      <c r="K4311" s="343">
        <v>0</v>
      </c>
      <c r="L4311" s="343">
        <v>-373.44</v>
      </c>
      <c r="M4311" s="343">
        <v>-845614.37</v>
      </c>
      <c r="O4311" s="343">
        <v>0</v>
      </c>
    </row>
    <row r="4312" spans="1:15" x14ac:dyDescent="0.3">
      <c r="A4312" s="340" t="s">
        <v>891</v>
      </c>
      <c r="B4312" s="350">
        <v>46139</v>
      </c>
      <c r="C4312" s="350">
        <v>46139</v>
      </c>
      <c r="D4312" s="351">
        <v>46113</v>
      </c>
      <c r="E4312" s="340" t="s">
        <v>3052</v>
      </c>
      <c r="F4312" s="340" t="s">
        <v>1078</v>
      </c>
      <c r="G4312" s="340" t="s">
        <v>1487</v>
      </c>
      <c r="H4312" s="340"/>
      <c r="I4312" s="340" t="s">
        <v>2997</v>
      </c>
      <c r="K4312" s="343">
        <v>0.01</v>
      </c>
      <c r="L4312" s="343">
        <v>0</v>
      </c>
      <c r="M4312" s="343">
        <v>-845614.36</v>
      </c>
      <c r="O4312" s="343">
        <v>0</v>
      </c>
    </row>
    <row r="4313" spans="1:15" x14ac:dyDescent="0.3">
      <c r="A4313" s="340" t="s">
        <v>891</v>
      </c>
      <c r="B4313" s="350">
        <v>46139</v>
      </c>
      <c r="C4313" s="350">
        <v>46139</v>
      </c>
      <c r="D4313" s="351">
        <v>46113</v>
      </c>
      <c r="E4313" s="340" t="s">
        <v>3052</v>
      </c>
      <c r="F4313" s="340" t="s">
        <v>1078</v>
      </c>
      <c r="G4313" s="340" t="s">
        <v>1487</v>
      </c>
      <c r="H4313" s="340"/>
      <c r="I4313" s="340" t="s">
        <v>2997</v>
      </c>
      <c r="K4313" s="343">
        <v>0</v>
      </c>
      <c r="L4313" s="343">
        <v>-0.01</v>
      </c>
      <c r="M4313" s="343">
        <v>-845614.37</v>
      </c>
      <c r="O4313" s="343">
        <v>0</v>
      </c>
    </row>
    <row r="4314" spans="1:15" x14ac:dyDescent="0.3">
      <c r="A4314" s="340" t="s">
        <v>891</v>
      </c>
      <c r="B4314" s="350">
        <v>46139</v>
      </c>
      <c r="C4314" s="350">
        <v>46139</v>
      </c>
      <c r="D4314" s="351">
        <v>46113</v>
      </c>
      <c r="E4314" s="340" t="s">
        <v>1232</v>
      </c>
      <c r="F4314" s="340" t="s">
        <v>894</v>
      </c>
      <c r="G4314" s="340" t="s">
        <v>1487</v>
      </c>
      <c r="H4314" s="340"/>
      <c r="I4314" s="340" t="s">
        <v>2997</v>
      </c>
      <c r="K4314" s="343">
        <v>0.01</v>
      </c>
      <c r="L4314" s="343">
        <v>0</v>
      </c>
      <c r="M4314" s="343">
        <v>-845614.36</v>
      </c>
      <c r="O4314" s="343">
        <v>0</v>
      </c>
    </row>
    <row r="4315" spans="1:15" x14ac:dyDescent="0.3">
      <c r="A4315" s="340" t="s">
        <v>891</v>
      </c>
      <c r="B4315" s="350">
        <v>46139</v>
      </c>
      <c r="C4315" s="350">
        <v>46140</v>
      </c>
      <c r="D4315" s="351">
        <v>46113</v>
      </c>
      <c r="E4315" s="340" t="s">
        <v>3053</v>
      </c>
      <c r="F4315" s="340" t="s">
        <v>894</v>
      </c>
      <c r="G4315" s="340" t="s">
        <v>3054</v>
      </c>
      <c r="H4315" s="340"/>
      <c r="I4315" s="340" t="s">
        <v>740</v>
      </c>
      <c r="K4315" s="343">
        <v>0</v>
      </c>
      <c r="L4315" s="343">
        <v>-680</v>
      </c>
      <c r="M4315" s="343">
        <v>-846294.36</v>
      </c>
      <c r="O4315" s="343">
        <v>0</v>
      </c>
    </row>
    <row r="4316" spans="1:15" x14ac:dyDescent="0.3">
      <c r="A4316" s="340" t="s">
        <v>891</v>
      </c>
      <c r="B4316" s="350">
        <v>46139</v>
      </c>
      <c r="C4316" s="350">
        <v>46140</v>
      </c>
      <c r="D4316" s="351">
        <v>46113</v>
      </c>
      <c r="E4316" s="340" t="s">
        <v>3055</v>
      </c>
      <c r="F4316" s="340" t="s">
        <v>894</v>
      </c>
      <c r="G4316" s="340" t="s">
        <v>3056</v>
      </c>
      <c r="H4316" s="340"/>
      <c r="I4316" s="340" t="s">
        <v>740</v>
      </c>
      <c r="K4316" s="343">
        <v>0</v>
      </c>
      <c r="L4316" s="343">
        <v>-680</v>
      </c>
      <c r="M4316" s="343">
        <v>-846974.36</v>
      </c>
      <c r="O4316" s="343">
        <v>0</v>
      </c>
    </row>
    <row r="4317" spans="1:15" x14ac:dyDescent="0.3">
      <c r="A4317" s="340" t="s">
        <v>891</v>
      </c>
      <c r="B4317" s="350">
        <v>46139</v>
      </c>
      <c r="C4317" s="350">
        <v>46140</v>
      </c>
      <c r="D4317" s="351">
        <v>46113</v>
      </c>
      <c r="E4317" s="340" t="s">
        <v>3055</v>
      </c>
      <c r="F4317" s="340" t="s">
        <v>894</v>
      </c>
      <c r="G4317" s="340" t="s">
        <v>3057</v>
      </c>
      <c r="H4317" s="340"/>
      <c r="I4317" s="340" t="s">
        <v>740</v>
      </c>
      <c r="K4317" s="343">
        <v>0</v>
      </c>
      <c r="L4317" s="343">
        <v>-95</v>
      </c>
      <c r="M4317" s="343">
        <v>-847069.36</v>
      </c>
      <c r="O4317" s="343">
        <v>0</v>
      </c>
    </row>
    <row r="4318" spans="1:15" x14ac:dyDescent="0.3">
      <c r="A4318" s="340" t="s">
        <v>891</v>
      </c>
      <c r="B4318" s="350">
        <v>46139</v>
      </c>
      <c r="C4318" s="350">
        <v>46140</v>
      </c>
      <c r="D4318" s="351">
        <v>46113</v>
      </c>
      <c r="E4318" s="340" t="s">
        <v>3058</v>
      </c>
      <c r="F4318" s="340" t="s">
        <v>894</v>
      </c>
      <c r="G4318" s="340" t="s">
        <v>3059</v>
      </c>
      <c r="H4318" s="340"/>
      <c r="I4318" s="340" t="s">
        <v>740</v>
      </c>
      <c r="K4318" s="343">
        <v>0</v>
      </c>
      <c r="L4318" s="343">
        <v>-650</v>
      </c>
      <c r="M4318" s="343">
        <v>-847719.36</v>
      </c>
      <c r="O4318" s="343">
        <v>0</v>
      </c>
    </row>
    <row r="4319" spans="1:15" x14ac:dyDescent="0.3">
      <c r="A4319" s="340" t="s">
        <v>891</v>
      </c>
      <c r="B4319" s="350">
        <v>46139</v>
      </c>
      <c r="C4319" s="350">
        <v>46140</v>
      </c>
      <c r="D4319" s="351">
        <v>46113</v>
      </c>
      <c r="E4319" s="340" t="s">
        <v>3058</v>
      </c>
      <c r="F4319" s="340" t="s">
        <v>894</v>
      </c>
      <c r="G4319" s="340" t="s">
        <v>3060</v>
      </c>
      <c r="H4319" s="340"/>
      <c r="I4319" s="340" t="s">
        <v>740</v>
      </c>
      <c r="K4319" s="343">
        <v>0</v>
      </c>
      <c r="L4319" s="343">
        <v>-35</v>
      </c>
      <c r="M4319" s="343">
        <v>-847754.36</v>
      </c>
      <c r="O4319" s="343">
        <v>0</v>
      </c>
    </row>
    <row r="4320" spans="1:15" x14ac:dyDescent="0.3">
      <c r="A4320" s="340" t="s">
        <v>891</v>
      </c>
      <c r="B4320" s="350">
        <v>46139</v>
      </c>
      <c r="C4320" s="350">
        <v>46140</v>
      </c>
      <c r="D4320" s="351">
        <v>46113</v>
      </c>
      <c r="E4320" s="340" t="s">
        <v>3061</v>
      </c>
      <c r="F4320" s="340" t="s">
        <v>894</v>
      </c>
      <c r="G4320" s="340" t="s">
        <v>3062</v>
      </c>
      <c r="H4320" s="340"/>
      <c r="I4320" s="340" t="s">
        <v>740</v>
      </c>
      <c r="K4320" s="343">
        <v>0</v>
      </c>
      <c r="L4320" s="343">
        <v>-830</v>
      </c>
      <c r="M4320" s="343">
        <v>-848584.36</v>
      </c>
      <c r="O4320" s="343">
        <v>0</v>
      </c>
    </row>
    <row r="4321" spans="1:15" x14ac:dyDescent="0.3">
      <c r="A4321" s="340" t="s">
        <v>891</v>
      </c>
      <c r="B4321" s="350">
        <v>46139</v>
      </c>
      <c r="C4321" s="350">
        <v>46140</v>
      </c>
      <c r="D4321" s="351">
        <v>46113</v>
      </c>
      <c r="E4321" s="340" t="s">
        <v>3061</v>
      </c>
      <c r="F4321" s="340" t="s">
        <v>894</v>
      </c>
      <c r="G4321" s="340" t="s">
        <v>3063</v>
      </c>
      <c r="H4321" s="340"/>
      <c r="I4321" s="340" t="s">
        <v>740</v>
      </c>
      <c r="K4321" s="343">
        <v>0</v>
      </c>
      <c r="L4321" s="343">
        <v>-95</v>
      </c>
      <c r="M4321" s="343">
        <v>-848679.36</v>
      </c>
      <c r="O4321" s="343">
        <v>0</v>
      </c>
    </row>
    <row r="4322" spans="1:15" x14ac:dyDescent="0.3">
      <c r="A4322" s="340" t="s">
        <v>891</v>
      </c>
      <c r="B4322" s="350">
        <v>46139</v>
      </c>
      <c r="C4322" s="350">
        <v>46140</v>
      </c>
      <c r="D4322" s="351">
        <v>46113</v>
      </c>
      <c r="E4322" s="340" t="s">
        <v>3064</v>
      </c>
      <c r="F4322" s="340" t="s">
        <v>894</v>
      </c>
      <c r="G4322" s="340" t="s">
        <v>3065</v>
      </c>
      <c r="H4322" s="340"/>
      <c r="I4322" s="340" t="s">
        <v>740</v>
      </c>
      <c r="K4322" s="343">
        <v>0</v>
      </c>
      <c r="L4322" s="343">
        <v>-180</v>
      </c>
      <c r="M4322" s="343">
        <v>-848859.36</v>
      </c>
      <c r="O4322" s="343">
        <v>0</v>
      </c>
    </row>
    <row r="4323" spans="1:15" x14ac:dyDescent="0.3">
      <c r="A4323" s="340" t="s">
        <v>891</v>
      </c>
      <c r="B4323" s="350">
        <v>46139</v>
      </c>
      <c r="C4323" s="350">
        <v>46140</v>
      </c>
      <c r="D4323" s="351">
        <v>46113</v>
      </c>
      <c r="E4323" s="340" t="s">
        <v>3066</v>
      </c>
      <c r="F4323" s="340" t="s">
        <v>894</v>
      </c>
      <c r="G4323" s="340" t="s">
        <v>3067</v>
      </c>
      <c r="H4323" s="340"/>
      <c r="I4323" s="340" t="s">
        <v>740</v>
      </c>
      <c r="K4323" s="343">
        <v>0</v>
      </c>
      <c r="L4323" s="343">
        <v>-129.9</v>
      </c>
      <c r="M4323" s="343">
        <v>-848989.26</v>
      </c>
      <c r="O4323" s="343">
        <v>0</v>
      </c>
    </row>
    <row r="4324" spans="1:15" x14ac:dyDescent="0.3">
      <c r="A4324" s="340" t="s">
        <v>891</v>
      </c>
      <c r="B4324" s="350">
        <v>46139</v>
      </c>
      <c r="C4324" s="350">
        <v>46140</v>
      </c>
      <c r="D4324" s="351">
        <v>46113</v>
      </c>
      <c r="E4324" s="340" t="s">
        <v>3066</v>
      </c>
      <c r="F4324" s="340" t="s">
        <v>894</v>
      </c>
      <c r="G4324" s="340" t="s">
        <v>3068</v>
      </c>
      <c r="H4324" s="340"/>
      <c r="I4324" s="340" t="s">
        <v>740</v>
      </c>
      <c r="K4324" s="343">
        <v>0</v>
      </c>
      <c r="L4324" s="343">
        <v>-129.9</v>
      </c>
      <c r="M4324" s="343">
        <v>-849119.16</v>
      </c>
      <c r="O4324" s="343">
        <v>0</v>
      </c>
    </row>
    <row r="4325" spans="1:15" x14ac:dyDescent="0.3">
      <c r="A4325" s="340" t="s">
        <v>891</v>
      </c>
      <c r="B4325" s="350">
        <v>46139</v>
      </c>
      <c r="C4325" s="350">
        <v>46140</v>
      </c>
      <c r="D4325" s="351">
        <v>46113</v>
      </c>
      <c r="E4325" s="340" t="s">
        <v>3066</v>
      </c>
      <c r="F4325" s="340" t="s">
        <v>894</v>
      </c>
      <c r="G4325" s="340" t="s">
        <v>3069</v>
      </c>
      <c r="H4325" s="340"/>
      <c r="I4325" s="340" t="s">
        <v>740</v>
      </c>
      <c r="K4325" s="343">
        <v>0</v>
      </c>
      <c r="L4325" s="343">
        <v>-119.08</v>
      </c>
      <c r="M4325" s="343">
        <v>-849238.24</v>
      </c>
      <c r="O4325" s="343">
        <v>0</v>
      </c>
    </row>
    <row r="4326" spans="1:15" x14ac:dyDescent="0.3">
      <c r="A4326" s="340" t="s">
        <v>891</v>
      </c>
      <c r="B4326" s="350">
        <v>46139</v>
      </c>
      <c r="C4326" s="350">
        <v>46140</v>
      </c>
      <c r="D4326" s="351">
        <v>46113</v>
      </c>
      <c r="E4326" s="340" t="s">
        <v>3066</v>
      </c>
      <c r="F4326" s="340" t="s">
        <v>894</v>
      </c>
      <c r="G4326" s="340" t="s">
        <v>3070</v>
      </c>
      <c r="H4326" s="340"/>
      <c r="I4326" s="340" t="s">
        <v>740</v>
      </c>
      <c r="K4326" s="343">
        <v>0</v>
      </c>
      <c r="L4326" s="343">
        <v>-129.9</v>
      </c>
      <c r="M4326" s="343">
        <v>-849368.14</v>
      </c>
      <c r="O4326" s="343">
        <v>0</v>
      </c>
    </row>
    <row r="4327" spans="1:15" x14ac:dyDescent="0.3">
      <c r="A4327" s="340" t="s">
        <v>891</v>
      </c>
      <c r="B4327" s="350">
        <v>46139</v>
      </c>
      <c r="C4327" s="350">
        <v>46140</v>
      </c>
      <c r="D4327" s="351">
        <v>46113</v>
      </c>
      <c r="E4327" s="340" t="s">
        <v>3066</v>
      </c>
      <c r="F4327" s="340" t="s">
        <v>894</v>
      </c>
      <c r="G4327" s="340" t="s">
        <v>3071</v>
      </c>
      <c r="H4327" s="340"/>
      <c r="I4327" s="340" t="s">
        <v>740</v>
      </c>
      <c r="K4327" s="343">
        <v>0</v>
      </c>
      <c r="L4327" s="343">
        <v>-129.9</v>
      </c>
      <c r="M4327" s="343">
        <v>-849498.04</v>
      </c>
      <c r="O4327" s="343">
        <v>0</v>
      </c>
    </row>
    <row r="4328" spans="1:15" x14ac:dyDescent="0.3">
      <c r="A4328" s="340" t="s">
        <v>891</v>
      </c>
      <c r="B4328" s="350">
        <v>46139</v>
      </c>
      <c r="C4328" s="350">
        <v>46140</v>
      </c>
      <c r="D4328" s="351">
        <v>46113</v>
      </c>
      <c r="E4328" s="340" t="s">
        <v>3066</v>
      </c>
      <c r="F4328" s="340" t="s">
        <v>894</v>
      </c>
      <c r="G4328" s="340" t="s">
        <v>3072</v>
      </c>
      <c r="H4328" s="340"/>
      <c r="I4328" s="340" t="s">
        <v>740</v>
      </c>
      <c r="K4328" s="343">
        <v>0</v>
      </c>
      <c r="L4328" s="343">
        <v>-119.08</v>
      </c>
      <c r="M4328" s="343">
        <v>-849617.12</v>
      </c>
      <c r="O4328" s="343">
        <v>0</v>
      </c>
    </row>
    <row r="4329" spans="1:15" x14ac:dyDescent="0.3">
      <c r="A4329" s="340" t="s">
        <v>891</v>
      </c>
      <c r="B4329" s="350">
        <v>46139</v>
      </c>
      <c r="C4329" s="350">
        <v>46140</v>
      </c>
      <c r="D4329" s="351">
        <v>46113</v>
      </c>
      <c r="E4329" s="340" t="s">
        <v>3066</v>
      </c>
      <c r="F4329" s="340" t="s">
        <v>894</v>
      </c>
      <c r="G4329" s="340" t="s">
        <v>3073</v>
      </c>
      <c r="H4329" s="340"/>
      <c r="I4329" s="340" t="s">
        <v>740</v>
      </c>
      <c r="K4329" s="343">
        <v>0</v>
      </c>
      <c r="L4329" s="343">
        <v>-119.08</v>
      </c>
      <c r="M4329" s="343">
        <v>-849736.2</v>
      </c>
      <c r="O4329" s="343">
        <v>0</v>
      </c>
    </row>
    <row r="4330" spans="1:15" x14ac:dyDescent="0.3">
      <c r="A4330" s="340" t="s">
        <v>891</v>
      </c>
      <c r="B4330" s="350">
        <v>46139</v>
      </c>
      <c r="C4330" s="350">
        <v>46140</v>
      </c>
      <c r="D4330" s="351">
        <v>46113</v>
      </c>
      <c r="E4330" s="340" t="s">
        <v>3066</v>
      </c>
      <c r="F4330" s="340" t="s">
        <v>894</v>
      </c>
      <c r="G4330" s="340" t="s">
        <v>3074</v>
      </c>
      <c r="H4330" s="340"/>
      <c r="I4330" s="340" t="s">
        <v>740</v>
      </c>
      <c r="K4330" s="343">
        <v>0</v>
      </c>
      <c r="L4330" s="343">
        <v>-129.88999999999999</v>
      </c>
      <c r="M4330" s="343">
        <v>-849866.09</v>
      </c>
      <c r="O4330" s="343">
        <v>0</v>
      </c>
    </row>
    <row r="4331" spans="1:15" x14ac:dyDescent="0.3">
      <c r="A4331" s="340" t="s">
        <v>891</v>
      </c>
      <c r="B4331" s="350">
        <v>46139</v>
      </c>
      <c r="C4331" s="350">
        <v>46140</v>
      </c>
      <c r="D4331" s="351">
        <v>46113</v>
      </c>
      <c r="E4331" s="340" t="s">
        <v>3075</v>
      </c>
      <c r="F4331" s="340" t="s">
        <v>894</v>
      </c>
      <c r="G4331" s="340" t="s">
        <v>3076</v>
      </c>
      <c r="H4331" s="340"/>
      <c r="I4331" s="340" t="s">
        <v>740</v>
      </c>
      <c r="K4331" s="343">
        <v>0</v>
      </c>
      <c r="L4331" s="343">
        <v>-129.9</v>
      </c>
      <c r="M4331" s="343">
        <v>-849995.99</v>
      </c>
      <c r="O4331" s="343">
        <v>0</v>
      </c>
    </row>
    <row r="4332" spans="1:15" x14ac:dyDescent="0.3">
      <c r="A4332" s="340" t="s">
        <v>891</v>
      </c>
      <c r="B4332" s="350">
        <v>46139</v>
      </c>
      <c r="C4332" s="350">
        <v>46140</v>
      </c>
      <c r="D4332" s="351">
        <v>46113</v>
      </c>
      <c r="E4332" s="340" t="s">
        <v>3077</v>
      </c>
      <c r="F4332" s="340" t="s">
        <v>894</v>
      </c>
      <c r="G4332" s="340" t="s">
        <v>3078</v>
      </c>
      <c r="H4332" s="340"/>
      <c r="I4332" s="340" t="s">
        <v>740</v>
      </c>
      <c r="K4332" s="343">
        <v>0</v>
      </c>
      <c r="L4332" s="343">
        <v>-129.9</v>
      </c>
      <c r="M4332" s="343">
        <v>-850125.89</v>
      </c>
      <c r="O4332" s="343">
        <v>0</v>
      </c>
    </row>
    <row r="4333" spans="1:15" x14ac:dyDescent="0.3">
      <c r="A4333" s="340" t="s">
        <v>891</v>
      </c>
      <c r="B4333" s="350">
        <v>46139</v>
      </c>
      <c r="C4333" s="350">
        <v>46140</v>
      </c>
      <c r="D4333" s="351">
        <v>46113</v>
      </c>
      <c r="E4333" s="340" t="s">
        <v>3079</v>
      </c>
      <c r="F4333" s="340" t="s">
        <v>894</v>
      </c>
      <c r="G4333" s="340" t="s">
        <v>3080</v>
      </c>
      <c r="H4333" s="340"/>
      <c r="I4333" s="340" t="s">
        <v>740</v>
      </c>
      <c r="K4333" s="343">
        <v>0</v>
      </c>
      <c r="L4333" s="343">
        <v>-1050</v>
      </c>
      <c r="M4333" s="343">
        <v>-851175.89</v>
      </c>
      <c r="O4333" s="343">
        <v>0</v>
      </c>
    </row>
    <row r="4334" spans="1:15" x14ac:dyDescent="0.3">
      <c r="A4334" s="340" t="s">
        <v>891</v>
      </c>
      <c r="B4334" s="350">
        <v>46139</v>
      </c>
      <c r="C4334" s="350">
        <v>46140</v>
      </c>
      <c r="D4334" s="351">
        <v>46113</v>
      </c>
      <c r="E4334" s="340" t="s">
        <v>3081</v>
      </c>
      <c r="F4334" s="340" t="s">
        <v>894</v>
      </c>
      <c r="G4334" s="340" t="s">
        <v>3082</v>
      </c>
      <c r="H4334" s="340"/>
      <c r="I4334" s="340" t="s">
        <v>740</v>
      </c>
      <c r="K4334" s="343">
        <v>0</v>
      </c>
      <c r="L4334" s="343">
        <v>-120</v>
      </c>
      <c r="M4334" s="343">
        <v>-851295.89</v>
      </c>
      <c r="O4334" s="343">
        <v>0</v>
      </c>
    </row>
    <row r="4335" spans="1:15" x14ac:dyDescent="0.3">
      <c r="A4335" s="340" t="s">
        <v>891</v>
      </c>
      <c r="B4335" s="350">
        <v>46139</v>
      </c>
      <c r="C4335" s="350">
        <v>46140</v>
      </c>
      <c r="D4335" s="351">
        <v>46113</v>
      </c>
      <c r="E4335" s="340" t="s">
        <v>3083</v>
      </c>
      <c r="F4335" s="340" t="s">
        <v>894</v>
      </c>
      <c r="G4335" s="340" t="s">
        <v>3084</v>
      </c>
      <c r="H4335" s="340"/>
      <c r="I4335" s="340" t="s">
        <v>740</v>
      </c>
      <c r="K4335" s="343">
        <v>0</v>
      </c>
      <c r="L4335" s="343">
        <v>-129.9</v>
      </c>
      <c r="M4335" s="343">
        <v>-851425.79</v>
      </c>
      <c r="O4335" s="343">
        <v>0</v>
      </c>
    </row>
    <row r="4336" spans="1:15" x14ac:dyDescent="0.3">
      <c r="A4336" s="340" t="s">
        <v>891</v>
      </c>
      <c r="B4336" s="350">
        <v>46139</v>
      </c>
      <c r="C4336" s="350">
        <v>46140</v>
      </c>
      <c r="D4336" s="351">
        <v>46113</v>
      </c>
      <c r="E4336" s="340" t="s">
        <v>3083</v>
      </c>
      <c r="F4336" s="340" t="s">
        <v>894</v>
      </c>
      <c r="G4336" s="340" t="s">
        <v>3085</v>
      </c>
      <c r="H4336" s="340"/>
      <c r="I4336" s="340" t="s">
        <v>740</v>
      </c>
      <c r="K4336" s="343">
        <v>0</v>
      </c>
      <c r="L4336" s="343">
        <v>-129.9</v>
      </c>
      <c r="M4336" s="343">
        <v>-851555.69</v>
      </c>
      <c r="O4336" s="343">
        <v>0</v>
      </c>
    </row>
    <row r="4337" spans="1:15" x14ac:dyDescent="0.3">
      <c r="A4337" s="340" t="s">
        <v>891</v>
      </c>
      <c r="B4337" s="350">
        <v>46139</v>
      </c>
      <c r="C4337" s="350">
        <v>46140</v>
      </c>
      <c r="D4337" s="351">
        <v>46113</v>
      </c>
      <c r="E4337" s="340" t="s">
        <v>3086</v>
      </c>
      <c r="F4337" s="340" t="s">
        <v>894</v>
      </c>
      <c r="G4337" s="340" t="s">
        <v>3087</v>
      </c>
      <c r="H4337" s="340"/>
      <c r="I4337" s="340" t="s">
        <v>740</v>
      </c>
      <c r="K4337" s="343">
        <v>0</v>
      </c>
      <c r="L4337" s="343">
        <v>-129.9</v>
      </c>
      <c r="M4337" s="343">
        <v>-851685.59</v>
      </c>
      <c r="O4337" s="343">
        <v>0</v>
      </c>
    </row>
    <row r="4338" spans="1:15" x14ac:dyDescent="0.3">
      <c r="A4338" s="340" t="s">
        <v>891</v>
      </c>
      <c r="B4338" s="350">
        <v>46139</v>
      </c>
      <c r="C4338" s="350">
        <v>46140</v>
      </c>
      <c r="D4338" s="351">
        <v>46113</v>
      </c>
      <c r="E4338" s="340" t="s">
        <v>3086</v>
      </c>
      <c r="F4338" s="340" t="s">
        <v>894</v>
      </c>
      <c r="G4338" s="340" t="s">
        <v>3088</v>
      </c>
      <c r="H4338" s="340"/>
      <c r="I4338" s="340" t="s">
        <v>740</v>
      </c>
      <c r="K4338" s="343">
        <v>0</v>
      </c>
      <c r="L4338" s="343">
        <v>-129.9</v>
      </c>
      <c r="M4338" s="343">
        <v>-851815.49</v>
      </c>
      <c r="O4338" s="343">
        <v>0</v>
      </c>
    </row>
    <row r="4339" spans="1:15" x14ac:dyDescent="0.3">
      <c r="A4339" s="340" t="s">
        <v>891</v>
      </c>
      <c r="B4339" s="350">
        <v>46139</v>
      </c>
      <c r="C4339" s="350">
        <v>46140</v>
      </c>
      <c r="D4339" s="351">
        <v>46113</v>
      </c>
      <c r="E4339" s="340" t="s">
        <v>3086</v>
      </c>
      <c r="F4339" s="340" t="s">
        <v>894</v>
      </c>
      <c r="G4339" s="340" t="s">
        <v>3089</v>
      </c>
      <c r="H4339" s="340"/>
      <c r="I4339" s="340" t="s">
        <v>740</v>
      </c>
      <c r="K4339" s="343">
        <v>0</v>
      </c>
      <c r="L4339" s="343">
        <v>-129.9</v>
      </c>
      <c r="M4339" s="343">
        <v>-851945.39</v>
      </c>
      <c r="O4339" s="343">
        <v>0</v>
      </c>
    </row>
    <row r="4340" spans="1:15" x14ac:dyDescent="0.3">
      <c r="A4340" s="340" t="s">
        <v>891</v>
      </c>
      <c r="B4340" s="350">
        <v>46139</v>
      </c>
      <c r="C4340" s="350">
        <v>46140</v>
      </c>
      <c r="D4340" s="351">
        <v>46113</v>
      </c>
      <c r="E4340" s="340" t="s">
        <v>3086</v>
      </c>
      <c r="F4340" s="340" t="s">
        <v>894</v>
      </c>
      <c r="G4340" s="340" t="s">
        <v>3090</v>
      </c>
      <c r="H4340" s="340"/>
      <c r="I4340" s="340" t="s">
        <v>740</v>
      </c>
      <c r="K4340" s="343">
        <v>0</v>
      </c>
      <c r="L4340" s="343">
        <v>-129.9</v>
      </c>
      <c r="M4340" s="343">
        <v>-852075.29</v>
      </c>
      <c r="O4340" s="343">
        <v>0</v>
      </c>
    </row>
    <row r="4341" spans="1:15" x14ac:dyDescent="0.3">
      <c r="A4341" s="340" t="s">
        <v>891</v>
      </c>
      <c r="B4341" s="350">
        <v>46139</v>
      </c>
      <c r="C4341" s="350">
        <v>46140</v>
      </c>
      <c r="D4341" s="351">
        <v>46113</v>
      </c>
      <c r="E4341" s="340" t="s">
        <v>3086</v>
      </c>
      <c r="F4341" s="340" t="s">
        <v>894</v>
      </c>
      <c r="G4341" s="340" t="s">
        <v>3091</v>
      </c>
      <c r="H4341" s="340"/>
      <c r="I4341" s="340" t="s">
        <v>740</v>
      </c>
      <c r="K4341" s="343">
        <v>0</v>
      </c>
      <c r="L4341" s="343">
        <v>-119.08</v>
      </c>
      <c r="M4341" s="343">
        <v>-852194.37</v>
      </c>
      <c r="O4341" s="343">
        <v>0</v>
      </c>
    </row>
    <row r="4342" spans="1:15" x14ac:dyDescent="0.3">
      <c r="A4342" s="340" t="s">
        <v>891</v>
      </c>
      <c r="B4342" s="350">
        <v>46139</v>
      </c>
      <c r="C4342" s="350">
        <v>46140</v>
      </c>
      <c r="D4342" s="351">
        <v>46113</v>
      </c>
      <c r="E4342" s="340" t="s">
        <v>3086</v>
      </c>
      <c r="F4342" s="340" t="s">
        <v>894</v>
      </c>
      <c r="G4342" s="340" t="s">
        <v>3092</v>
      </c>
      <c r="H4342" s="340"/>
      <c r="I4342" s="340" t="s">
        <v>740</v>
      </c>
      <c r="K4342" s="343">
        <v>0</v>
      </c>
      <c r="L4342" s="343">
        <v>-119.08</v>
      </c>
      <c r="M4342" s="343">
        <v>-852313.45</v>
      </c>
      <c r="O4342" s="343">
        <v>0</v>
      </c>
    </row>
    <row r="4343" spans="1:15" x14ac:dyDescent="0.3">
      <c r="A4343" s="340" t="s">
        <v>891</v>
      </c>
      <c r="B4343" s="350">
        <v>46139</v>
      </c>
      <c r="C4343" s="350">
        <v>46140</v>
      </c>
      <c r="D4343" s="351">
        <v>46113</v>
      </c>
      <c r="E4343" s="340" t="s">
        <v>3086</v>
      </c>
      <c r="F4343" s="340" t="s">
        <v>894</v>
      </c>
      <c r="G4343" s="340" t="s">
        <v>3093</v>
      </c>
      <c r="H4343" s="340"/>
      <c r="I4343" s="340" t="s">
        <v>740</v>
      </c>
      <c r="K4343" s="343">
        <v>0</v>
      </c>
      <c r="L4343" s="343">
        <v>-119.07</v>
      </c>
      <c r="M4343" s="343">
        <v>-852432.52</v>
      </c>
      <c r="O4343" s="343">
        <v>0</v>
      </c>
    </row>
    <row r="4344" spans="1:15" x14ac:dyDescent="0.3">
      <c r="A4344" s="340" t="s">
        <v>891</v>
      </c>
      <c r="B4344" s="350">
        <v>46139</v>
      </c>
      <c r="C4344" s="350">
        <v>46140</v>
      </c>
      <c r="D4344" s="351">
        <v>46113</v>
      </c>
      <c r="E4344" s="340" t="s">
        <v>3094</v>
      </c>
      <c r="F4344" s="340" t="s">
        <v>894</v>
      </c>
      <c r="G4344" s="340" t="s">
        <v>3095</v>
      </c>
      <c r="H4344" s="340"/>
      <c r="I4344" s="340" t="s">
        <v>740</v>
      </c>
      <c r="K4344" s="343">
        <v>0</v>
      </c>
      <c r="L4344" s="343">
        <v>-119.08</v>
      </c>
      <c r="M4344" s="343">
        <v>-852551.6</v>
      </c>
      <c r="O4344" s="343">
        <v>0</v>
      </c>
    </row>
    <row r="4345" spans="1:15" x14ac:dyDescent="0.3">
      <c r="A4345" s="340" t="s">
        <v>891</v>
      </c>
      <c r="B4345" s="350">
        <v>46139</v>
      </c>
      <c r="C4345" s="350">
        <v>46141</v>
      </c>
      <c r="D4345" s="351">
        <v>46113</v>
      </c>
      <c r="E4345" s="340" t="s">
        <v>3096</v>
      </c>
      <c r="F4345" s="340" t="s">
        <v>894</v>
      </c>
      <c r="G4345" s="340" t="s">
        <v>3097</v>
      </c>
      <c r="H4345" s="340"/>
      <c r="I4345" s="340" t="s">
        <v>756</v>
      </c>
      <c r="K4345" s="343">
        <v>0</v>
      </c>
      <c r="L4345" s="343">
        <v>-153.83000000000001</v>
      </c>
      <c r="M4345" s="343">
        <v>-852705.43</v>
      </c>
      <c r="O4345" s="343">
        <v>0</v>
      </c>
    </row>
    <row r="4346" spans="1:15" x14ac:dyDescent="0.3">
      <c r="A4346" s="340" t="s">
        <v>891</v>
      </c>
      <c r="B4346" s="350">
        <v>46139</v>
      </c>
      <c r="C4346" s="350">
        <v>46141</v>
      </c>
      <c r="D4346" s="351">
        <v>46113</v>
      </c>
      <c r="E4346" s="340" t="s">
        <v>3096</v>
      </c>
      <c r="F4346" s="340" t="s">
        <v>894</v>
      </c>
      <c r="G4346" s="340" t="s">
        <v>3098</v>
      </c>
      <c r="H4346" s="340"/>
      <c r="I4346" s="340" t="s">
        <v>756</v>
      </c>
      <c r="K4346" s="343">
        <v>0</v>
      </c>
      <c r="L4346" s="343">
        <v>-228.57</v>
      </c>
      <c r="M4346" s="343">
        <v>-852934</v>
      </c>
      <c r="O4346" s="343">
        <v>0</v>
      </c>
    </row>
    <row r="4347" spans="1:15" x14ac:dyDescent="0.3">
      <c r="A4347" s="340" t="s">
        <v>891</v>
      </c>
      <c r="B4347" s="350">
        <v>46139</v>
      </c>
      <c r="C4347" s="350">
        <v>46141</v>
      </c>
      <c r="D4347" s="351">
        <v>46113</v>
      </c>
      <c r="E4347" s="340" t="s">
        <v>3096</v>
      </c>
      <c r="F4347" s="340" t="s">
        <v>894</v>
      </c>
      <c r="G4347" s="340" t="s">
        <v>3099</v>
      </c>
      <c r="H4347" s="340"/>
      <c r="I4347" s="340" t="s">
        <v>756</v>
      </c>
      <c r="K4347" s="343">
        <v>0</v>
      </c>
      <c r="L4347" s="343">
        <v>-175.79</v>
      </c>
      <c r="M4347" s="343">
        <v>-853109.79</v>
      </c>
      <c r="O4347" s="343">
        <v>0</v>
      </c>
    </row>
    <row r="4348" spans="1:15" x14ac:dyDescent="0.3">
      <c r="A4348" s="340" t="s">
        <v>891</v>
      </c>
      <c r="B4348" s="350">
        <v>46139</v>
      </c>
      <c r="C4348" s="350">
        <v>46141</v>
      </c>
      <c r="D4348" s="351">
        <v>46113</v>
      </c>
      <c r="E4348" s="340" t="s">
        <v>3096</v>
      </c>
      <c r="F4348" s="340" t="s">
        <v>894</v>
      </c>
      <c r="G4348" s="340" t="s">
        <v>3100</v>
      </c>
      <c r="H4348" s="340"/>
      <c r="I4348" s="340" t="s">
        <v>756</v>
      </c>
      <c r="K4348" s="343">
        <v>0</v>
      </c>
      <c r="L4348" s="343">
        <v>-58.31</v>
      </c>
      <c r="M4348" s="343">
        <v>-853168.1</v>
      </c>
      <c r="O4348" s="343">
        <v>0</v>
      </c>
    </row>
    <row r="4349" spans="1:15" x14ac:dyDescent="0.3">
      <c r="A4349" s="340" t="s">
        <v>891</v>
      </c>
      <c r="B4349" s="350">
        <v>46139</v>
      </c>
      <c r="C4349" s="350">
        <v>46141</v>
      </c>
      <c r="D4349" s="351">
        <v>46113</v>
      </c>
      <c r="E4349" s="340" t="s">
        <v>3096</v>
      </c>
      <c r="F4349" s="340" t="s">
        <v>894</v>
      </c>
      <c r="G4349" s="340" t="s">
        <v>3101</v>
      </c>
      <c r="H4349" s="340"/>
      <c r="I4349" s="340" t="s">
        <v>756</v>
      </c>
      <c r="K4349" s="343">
        <v>0</v>
      </c>
      <c r="L4349" s="343">
        <v>-143.09</v>
      </c>
      <c r="M4349" s="343">
        <v>-853311.19</v>
      </c>
      <c r="O4349" s="343">
        <v>0</v>
      </c>
    </row>
    <row r="4350" spans="1:15" x14ac:dyDescent="0.3">
      <c r="A4350" s="340" t="s">
        <v>891</v>
      </c>
      <c r="B4350" s="350">
        <v>46139</v>
      </c>
      <c r="C4350" s="350">
        <v>46141</v>
      </c>
      <c r="D4350" s="351">
        <v>46113</v>
      </c>
      <c r="E4350" s="340" t="s">
        <v>3096</v>
      </c>
      <c r="F4350" s="340" t="s">
        <v>894</v>
      </c>
      <c r="G4350" s="340" t="s">
        <v>3102</v>
      </c>
      <c r="H4350" s="340"/>
      <c r="I4350" s="340" t="s">
        <v>756</v>
      </c>
      <c r="K4350" s="343">
        <v>0</v>
      </c>
      <c r="L4350" s="343">
        <v>-94.73</v>
      </c>
      <c r="M4350" s="343">
        <v>-853405.92</v>
      </c>
      <c r="O4350" s="343">
        <v>0</v>
      </c>
    </row>
    <row r="4351" spans="1:15" x14ac:dyDescent="0.3">
      <c r="A4351" s="340" t="s">
        <v>891</v>
      </c>
      <c r="B4351" s="350">
        <v>46139</v>
      </c>
      <c r="C4351" s="350">
        <v>46141</v>
      </c>
      <c r="D4351" s="351">
        <v>46113</v>
      </c>
      <c r="E4351" s="340" t="s">
        <v>3096</v>
      </c>
      <c r="F4351" s="340" t="s">
        <v>894</v>
      </c>
      <c r="G4351" s="340" t="s">
        <v>3103</v>
      </c>
      <c r="H4351" s="340"/>
      <c r="I4351" s="340" t="s">
        <v>756</v>
      </c>
      <c r="K4351" s="343">
        <v>0</v>
      </c>
      <c r="L4351" s="343">
        <v>-9.32</v>
      </c>
      <c r="M4351" s="343">
        <v>-853415.24</v>
      </c>
      <c r="O4351" s="343">
        <v>0</v>
      </c>
    </row>
    <row r="4352" spans="1:15" x14ac:dyDescent="0.3">
      <c r="A4352" s="340" t="s">
        <v>891</v>
      </c>
      <c r="B4352" s="350">
        <v>46139</v>
      </c>
      <c r="C4352" s="350">
        <v>46141</v>
      </c>
      <c r="D4352" s="351">
        <v>46113</v>
      </c>
      <c r="E4352" s="340" t="s">
        <v>3096</v>
      </c>
      <c r="F4352" s="340" t="s">
        <v>894</v>
      </c>
      <c r="G4352" s="340" t="s">
        <v>2894</v>
      </c>
      <c r="H4352" s="340"/>
      <c r="I4352" s="340" t="s">
        <v>756</v>
      </c>
      <c r="K4352" s="343">
        <v>0</v>
      </c>
      <c r="L4352" s="343">
        <v>-68.58</v>
      </c>
      <c r="M4352" s="343">
        <v>-853483.82</v>
      </c>
      <c r="O4352" s="343">
        <v>0</v>
      </c>
    </row>
    <row r="4353" spans="1:15" x14ac:dyDescent="0.3">
      <c r="A4353" s="340" t="s">
        <v>891</v>
      </c>
      <c r="B4353" s="350">
        <v>46139</v>
      </c>
      <c r="C4353" s="350">
        <v>46141</v>
      </c>
      <c r="D4353" s="351">
        <v>46113</v>
      </c>
      <c r="E4353" s="340" t="s">
        <v>3096</v>
      </c>
      <c r="F4353" s="340" t="s">
        <v>894</v>
      </c>
      <c r="G4353" s="340" t="s">
        <v>3104</v>
      </c>
      <c r="H4353" s="340"/>
      <c r="I4353" s="340" t="s">
        <v>756</v>
      </c>
      <c r="K4353" s="343">
        <v>0</v>
      </c>
      <c r="L4353" s="343">
        <v>-128.80000000000001</v>
      </c>
      <c r="M4353" s="343">
        <v>-853612.62</v>
      </c>
      <c r="O4353" s="343">
        <v>0</v>
      </c>
    </row>
    <row r="4354" spans="1:15" x14ac:dyDescent="0.3">
      <c r="A4354" s="340" t="s">
        <v>891</v>
      </c>
      <c r="B4354" s="350">
        <v>46139</v>
      </c>
      <c r="C4354" s="350">
        <v>46141</v>
      </c>
      <c r="D4354" s="351">
        <v>46113</v>
      </c>
      <c r="E4354" s="340" t="s">
        <v>3096</v>
      </c>
      <c r="F4354" s="340" t="s">
        <v>894</v>
      </c>
      <c r="G4354" s="340" t="s">
        <v>3105</v>
      </c>
      <c r="H4354" s="340"/>
      <c r="I4354" s="340" t="s">
        <v>756</v>
      </c>
      <c r="K4354" s="343">
        <v>0</v>
      </c>
      <c r="L4354" s="343">
        <v>-187.82</v>
      </c>
      <c r="M4354" s="343">
        <v>-853800.44</v>
      </c>
      <c r="O4354" s="343">
        <v>0</v>
      </c>
    </row>
    <row r="4355" spans="1:15" x14ac:dyDescent="0.3">
      <c r="A4355" s="340" t="s">
        <v>891</v>
      </c>
      <c r="B4355" s="350">
        <v>46139</v>
      </c>
      <c r="C4355" s="350">
        <v>46141</v>
      </c>
      <c r="D4355" s="351">
        <v>46113</v>
      </c>
      <c r="E4355" s="340" t="s">
        <v>3096</v>
      </c>
      <c r="F4355" s="340" t="s">
        <v>894</v>
      </c>
      <c r="G4355" s="340" t="s">
        <v>3106</v>
      </c>
      <c r="H4355" s="340"/>
      <c r="I4355" s="340" t="s">
        <v>756</v>
      </c>
      <c r="K4355" s="343">
        <v>0</v>
      </c>
      <c r="L4355" s="343">
        <v>-71.27</v>
      </c>
      <c r="M4355" s="343">
        <v>-853871.71</v>
      </c>
      <c r="O4355" s="343">
        <v>0</v>
      </c>
    </row>
    <row r="4356" spans="1:15" x14ac:dyDescent="0.3">
      <c r="A4356" s="340" t="s">
        <v>891</v>
      </c>
      <c r="B4356" s="350">
        <v>46139</v>
      </c>
      <c r="C4356" s="350">
        <v>46141</v>
      </c>
      <c r="D4356" s="351">
        <v>46113</v>
      </c>
      <c r="E4356" s="340" t="s">
        <v>3096</v>
      </c>
      <c r="F4356" s="340" t="s">
        <v>894</v>
      </c>
      <c r="G4356" s="340" t="s">
        <v>3107</v>
      </c>
      <c r="H4356" s="340"/>
      <c r="I4356" s="340" t="s">
        <v>756</v>
      </c>
      <c r="K4356" s="343">
        <v>0</v>
      </c>
      <c r="L4356" s="343">
        <v>-43.17</v>
      </c>
      <c r="M4356" s="343">
        <v>-853914.88</v>
      </c>
      <c r="O4356" s="343">
        <v>0</v>
      </c>
    </row>
    <row r="4357" spans="1:15" x14ac:dyDescent="0.3">
      <c r="A4357" s="340" t="s">
        <v>891</v>
      </c>
      <c r="B4357" s="350">
        <v>46139</v>
      </c>
      <c r="C4357" s="350">
        <v>46141</v>
      </c>
      <c r="D4357" s="351">
        <v>46113</v>
      </c>
      <c r="E4357" s="340" t="s">
        <v>3096</v>
      </c>
      <c r="F4357" s="340" t="s">
        <v>894</v>
      </c>
      <c r="G4357" s="340" t="s">
        <v>3108</v>
      </c>
      <c r="H4357" s="340"/>
      <c r="I4357" s="340" t="s">
        <v>756</v>
      </c>
      <c r="K4357" s="343">
        <v>0</v>
      </c>
      <c r="L4357" s="343">
        <v>-42.18</v>
      </c>
      <c r="M4357" s="343">
        <v>-853957.06</v>
      </c>
      <c r="O4357" s="343">
        <v>0</v>
      </c>
    </row>
    <row r="4358" spans="1:15" x14ac:dyDescent="0.3">
      <c r="A4358" s="340" t="s">
        <v>891</v>
      </c>
      <c r="B4358" s="350">
        <v>46139</v>
      </c>
      <c r="C4358" s="350">
        <v>46141</v>
      </c>
      <c r="D4358" s="351">
        <v>46113</v>
      </c>
      <c r="E4358" s="340" t="s">
        <v>3096</v>
      </c>
      <c r="F4358" s="340" t="s">
        <v>894</v>
      </c>
      <c r="G4358" s="340" t="s">
        <v>3109</v>
      </c>
      <c r="H4358" s="340"/>
      <c r="I4358" s="340" t="s">
        <v>756</v>
      </c>
      <c r="K4358" s="343">
        <v>0</v>
      </c>
      <c r="L4358" s="343">
        <v>-62.64</v>
      </c>
      <c r="M4358" s="343">
        <v>-854019.7</v>
      </c>
      <c r="O4358" s="343">
        <v>0</v>
      </c>
    </row>
    <row r="4359" spans="1:15" x14ac:dyDescent="0.3">
      <c r="A4359" s="340" t="s">
        <v>891</v>
      </c>
      <c r="B4359" s="350">
        <v>46139</v>
      </c>
      <c r="C4359" s="350">
        <v>46141</v>
      </c>
      <c r="D4359" s="351">
        <v>46113</v>
      </c>
      <c r="E4359" s="340" t="s">
        <v>3096</v>
      </c>
      <c r="F4359" s="340" t="s">
        <v>894</v>
      </c>
      <c r="G4359" s="340" t="s">
        <v>3110</v>
      </c>
      <c r="H4359" s="340"/>
      <c r="I4359" s="340" t="s">
        <v>756</v>
      </c>
      <c r="K4359" s="343">
        <v>0</v>
      </c>
      <c r="L4359" s="343">
        <v>-138.32</v>
      </c>
      <c r="M4359" s="343">
        <v>-854158.02</v>
      </c>
      <c r="O4359" s="343">
        <v>0</v>
      </c>
    </row>
    <row r="4360" spans="1:15" x14ac:dyDescent="0.3">
      <c r="A4360" s="340" t="s">
        <v>891</v>
      </c>
      <c r="B4360" s="350">
        <v>46139</v>
      </c>
      <c r="C4360" s="350">
        <v>46141</v>
      </c>
      <c r="D4360" s="351">
        <v>46113</v>
      </c>
      <c r="E4360" s="340" t="s">
        <v>3096</v>
      </c>
      <c r="F4360" s="340" t="s">
        <v>894</v>
      </c>
      <c r="G4360" s="340" t="s">
        <v>3111</v>
      </c>
      <c r="H4360" s="340"/>
      <c r="I4360" s="340" t="s">
        <v>756</v>
      </c>
      <c r="K4360" s="343">
        <v>0</v>
      </c>
      <c r="L4360" s="343">
        <v>-24.31</v>
      </c>
      <c r="M4360" s="343">
        <v>-854182.33</v>
      </c>
      <c r="O4360" s="343">
        <v>0</v>
      </c>
    </row>
    <row r="4361" spans="1:15" x14ac:dyDescent="0.3">
      <c r="A4361" s="340" t="s">
        <v>891</v>
      </c>
      <c r="B4361" s="350">
        <v>46139</v>
      </c>
      <c r="C4361" s="350">
        <v>46141</v>
      </c>
      <c r="D4361" s="351">
        <v>46113</v>
      </c>
      <c r="E4361" s="340" t="s">
        <v>3096</v>
      </c>
      <c r="F4361" s="340" t="s">
        <v>894</v>
      </c>
      <c r="G4361" s="340" t="s">
        <v>3112</v>
      </c>
      <c r="H4361" s="340"/>
      <c r="I4361" s="340" t="s">
        <v>756</v>
      </c>
      <c r="K4361" s="343">
        <v>0</v>
      </c>
      <c r="L4361" s="343">
        <v>-79.66</v>
      </c>
      <c r="M4361" s="343">
        <v>-854261.99</v>
      </c>
      <c r="O4361" s="343">
        <v>0</v>
      </c>
    </row>
    <row r="4362" spans="1:15" x14ac:dyDescent="0.3">
      <c r="A4362" s="340" t="s">
        <v>891</v>
      </c>
      <c r="B4362" s="350">
        <v>46139</v>
      </c>
      <c r="C4362" s="350">
        <v>46141</v>
      </c>
      <c r="D4362" s="351">
        <v>46113</v>
      </c>
      <c r="E4362" s="340" t="s">
        <v>3096</v>
      </c>
      <c r="F4362" s="340" t="s">
        <v>894</v>
      </c>
      <c r="G4362" s="340" t="s">
        <v>3113</v>
      </c>
      <c r="H4362" s="340"/>
      <c r="I4362" s="340" t="s">
        <v>756</v>
      </c>
      <c r="K4362" s="343">
        <v>0</v>
      </c>
      <c r="L4362" s="343">
        <v>-186.46</v>
      </c>
      <c r="M4362" s="343">
        <v>-854448.45</v>
      </c>
      <c r="O4362" s="343">
        <v>0</v>
      </c>
    </row>
    <row r="4363" spans="1:15" x14ac:dyDescent="0.3">
      <c r="A4363" s="340" t="s">
        <v>891</v>
      </c>
      <c r="B4363" s="350">
        <v>46139</v>
      </c>
      <c r="C4363" s="350">
        <v>46141</v>
      </c>
      <c r="D4363" s="351">
        <v>46113</v>
      </c>
      <c r="E4363" s="340" t="s">
        <v>3096</v>
      </c>
      <c r="F4363" s="340" t="s">
        <v>894</v>
      </c>
      <c r="G4363" s="340" t="s">
        <v>3114</v>
      </c>
      <c r="H4363" s="340"/>
      <c r="I4363" s="340" t="s">
        <v>756</v>
      </c>
      <c r="K4363" s="343">
        <v>0</v>
      </c>
      <c r="L4363" s="343">
        <v>-18.399999999999999</v>
      </c>
      <c r="M4363" s="343">
        <v>-854466.85</v>
      </c>
      <c r="O4363" s="343">
        <v>0</v>
      </c>
    </row>
    <row r="4364" spans="1:15" x14ac:dyDescent="0.3">
      <c r="A4364" s="340" t="s">
        <v>891</v>
      </c>
      <c r="B4364" s="350">
        <v>46139</v>
      </c>
      <c r="C4364" s="350">
        <v>46141</v>
      </c>
      <c r="D4364" s="351">
        <v>46113</v>
      </c>
      <c r="E4364" s="340" t="s">
        <v>3096</v>
      </c>
      <c r="F4364" s="340" t="s">
        <v>894</v>
      </c>
      <c r="G4364" s="340" t="s">
        <v>3115</v>
      </c>
      <c r="H4364" s="340"/>
      <c r="I4364" s="340" t="s">
        <v>756</v>
      </c>
      <c r="K4364" s="343">
        <v>0</v>
      </c>
      <c r="L4364" s="343">
        <v>-115.28</v>
      </c>
      <c r="M4364" s="343">
        <v>-854582.13</v>
      </c>
      <c r="O4364" s="343">
        <v>0</v>
      </c>
    </row>
    <row r="4365" spans="1:15" x14ac:dyDescent="0.3">
      <c r="A4365" s="340" t="s">
        <v>891</v>
      </c>
      <c r="B4365" s="350">
        <v>46139</v>
      </c>
      <c r="C4365" s="350">
        <v>46141</v>
      </c>
      <c r="D4365" s="351">
        <v>46113</v>
      </c>
      <c r="E4365" s="340" t="s">
        <v>3096</v>
      </c>
      <c r="F4365" s="340" t="s">
        <v>894</v>
      </c>
      <c r="G4365" s="340" t="s">
        <v>3116</v>
      </c>
      <c r="H4365" s="340"/>
      <c r="I4365" s="340" t="s">
        <v>756</v>
      </c>
      <c r="K4365" s="343">
        <v>0</v>
      </c>
      <c r="L4365" s="343">
        <v>-23.37</v>
      </c>
      <c r="M4365" s="343">
        <v>-854605.5</v>
      </c>
      <c r="O4365" s="343">
        <v>0</v>
      </c>
    </row>
    <row r="4366" spans="1:15" x14ac:dyDescent="0.3">
      <c r="A4366" s="340" t="s">
        <v>891</v>
      </c>
      <c r="B4366" s="350">
        <v>46139</v>
      </c>
      <c r="C4366" s="350">
        <v>46141</v>
      </c>
      <c r="D4366" s="351">
        <v>46113</v>
      </c>
      <c r="E4366" s="340" t="s">
        <v>3096</v>
      </c>
      <c r="F4366" s="340" t="s">
        <v>894</v>
      </c>
      <c r="G4366" s="340" t="s">
        <v>3117</v>
      </c>
      <c r="H4366" s="340"/>
      <c r="I4366" s="340" t="s">
        <v>756</v>
      </c>
      <c r="K4366" s="343">
        <v>0</v>
      </c>
      <c r="L4366" s="343">
        <v>-108.08</v>
      </c>
      <c r="M4366" s="343">
        <v>-854713.58</v>
      </c>
      <c r="O4366" s="343">
        <v>0</v>
      </c>
    </row>
    <row r="4367" spans="1:15" x14ac:dyDescent="0.3">
      <c r="A4367" s="340" t="s">
        <v>891</v>
      </c>
      <c r="B4367" s="350">
        <v>46140</v>
      </c>
      <c r="C4367" s="350">
        <v>46140</v>
      </c>
      <c r="D4367" s="351">
        <v>46113</v>
      </c>
      <c r="E4367" s="340" t="s">
        <v>3118</v>
      </c>
      <c r="F4367" s="340" t="s">
        <v>894</v>
      </c>
      <c r="G4367" s="340" t="s">
        <v>3119</v>
      </c>
      <c r="H4367" s="340"/>
      <c r="I4367" s="340" t="s">
        <v>774</v>
      </c>
      <c r="K4367" s="343">
        <v>0</v>
      </c>
      <c r="L4367" s="343">
        <v>-1500</v>
      </c>
      <c r="M4367" s="343">
        <v>-856213.58</v>
      </c>
      <c r="O4367" s="343">
        <v>0</v>
      </c>
    </row>
    <row r="4368" spans="1:15" x14ac:dyDescent="0.3">
      <c r="A4368" s="340" t="s">
        <v>891</v>
      </c>
      <c r="B4368" s="350">
        <v>46140</v>
      </c>
      <c r="C4368" s="350">
        <v>46140</v>
      </c>
      <c r="D4368" s="351">
        <v>46113</v>
      </c>
      <c r="E4368" s="340" t="s">
        <v>3118</v>
      </c>
      <c r="F4368" s="340" t="s">
        <v>894</v>
      </c>
      <c r="G4368" s="340" t="s">
        <v>3119</v>
      </c>
      <c r="H4368" s="340"/>
      <c r="I4368" s="340" t="s">
        <v>774</v>
      </c>
      <c r="K4368" s="343">
        <v>0</v>
      </c>
      <c r="L4368" s="343">
        <v>-1500</v>
      </c>
      <c r="M4368" s="343">
        <v>-857713.58</v>
      </c>
      <c r="O4368" s="343">
        <v>0</v>
      </c>
    </row>
    <row r="4369" spans="1:15" x14ac:dyDescent="0.3">
      <c r="A4369" s="340" t="s">
        <v>891</v>
      </c>
      <c r="B4369" s="350">
        <v>46140</v>
      </c>
      <c r="C4369" s="350">
        <v>46140</v>
      </c>
      <c r="D4369" s="351">
        <v>46113</v>
      </c>
      <c r="E4369" s="340" t="s">
        <v>3118</v>
      </c>
      <c r="F4369" s="340" t="s">
        <v>894</v>
      </c>
      <c r="G4369" s="340" t="s">
        <v>3119</v>
      </c>
      <c r="H4369" s="340"/>
      <c r="I4369" s="340" t="s">
        <v>774</v>
      </c>
      <c r="K4369" s="343">
        <v>0</v>
      </c>
      <c r="L4369" s="343">
        <v>-1500</v>
      </c>
      <c r="M4369" s="343">
        <v>-859213.58</v>
      </c>
      <c r="O4369" s="343">
        <v>0</v>
      </c>
    </row>
    <row r="4370" spans="1:15" x14ac:dyDescent="0.3">
      <c r="A4370" s="340" t="s">
        <v>891</v>
      </c>
      <c r="B4370" s="350">
        <v>46140</v>
      </c>
      <c r="C4370" s="350">
        <v>46140</v>
      </c>
      <c r="D4370" s="351">
        <v>46113</v>
      </c>
      <c r="E4370" s="340" t="s">
        <v>3118</v>
      </c>
      <c r="F4370" s="340" t="s">
        <v>894</v>
      </c>
      <c r="G4370" s="340" t="s">
        <v>3120</v>
      </c>
      <c r="H4370" s="340"/>
      <c r="I4370" s="340" t="s">
        <v>774</v>
      </c>
      <c r="K4370" s="343">
        <v>0</v>
      </c>
      <c r="L4370" s="343">
        <v>-1000</v>
      </c>
      <c r="M4370" s="343">
        <v>-860213.58</v>
      </c>
      <c r="O4370" s="343">
        <v>0</v>
      </c>
    </row>
    <row r="4371" spans="1:15" x14ac:dyDescent="0.3">
      <c r="A4371" s="340" t="s">
        <v>891</v>
      </c>
      <c r="B4371" s="350">
        <v>46140</v>
      </c>
      <c r="C4371" s="350">
        <v>46140</v>
      </c>
      <c r="D4371" s="351">
        <v>46113</v>
      </c>
      <c r="E4371" s="340" t="s">
        <v>3118</v>
      </c>
      <c r="F4371" s="340" t="s">
        <v>894</v>
      </c>
      <c r="G4371" s="340" t="s">
        <v>3121</v>
      </c>
      <c r="H4371" s="340"/>
      <c r="I4371" s="340" t="s">
        <v>774</v>
      </c>
      <c r="K4371" s="343">
        <v>0</v>
      </c>
      <c r="L4371" s="343">
        <v>-500</v>
      </c>
      <c r="M4371" s="343">
        <v>-860713.58</v>
      </c>
      <c r="O4371" s="343">
        <v>0</v>
      </c>
    </row>
    <row r="4372" spans="1:15" x14ac:dyDescent="0.3">
      <c r="A4372" s="340" t="s">
        <v>891</v>
      </c>
      <c r="B4372" s="350">
        <v>46140</v>
      </c>
      <c r="C4372" s="350">
        <v>46140</v>
      </c>
      <c r="D4372" s="351">
        <v>46113</v>
      </c>
      <c r="E4372" s="340" t="s">
        <v>3118</v>
      </c>
      <c r="F4372" s="340" t="s">
        <v>894</v>
      </c>
      <c r="G4372" s="340" t="s">
        <v>3122</v>
      </c>
      <c r="H4372" s="340"/>
      <c r="I4372" s="340" t="s">
        <v>774</v>
      </c>
      <c r="K4372" s="343">
        <v>0</v>
      </c>
      <c r="L4372" s="343">
        <v>-500</v>
      </c>
      <c r="M4372" s="343">
        <v>-861213.58</v>
      </c>
      <c r="O4372" s="343">
        <v>0</v>
      </c>
    </row>
    <row r="4373" spans="1:15" x14ac:dyDescent="0.3">
      <c r="A4373" s="340" t="s">
        <v>891</v>
      </c>
      <c r="B4373" s="350">
        <v>46140</v>
      </c>
      <c r="C4373" s="350">
        <v>46140</v>
      </c>
      <c r="D4373" s="351">
        <v>46113</v>
      </c>
      <c r="E4373" s="340" t="s">
        <v>3118</v>
      </c>
      <c r="F4373" s="340" t="s">
        <v>894</v>
      </c>
      <c r="G4373" s="340" t="s">
        <v>3123</v>
      </c>
      <c r="H4373" s="340"/>
      <c r="I4373" s="340" t="s">
        <v>774</v>
      </c>
      <c r="K4373" s="343">
        <v>0</v>
      </c>
      <c r="L4373" s="343">
        <v>-500</v>
      </c>
      <c r="M4373" s="343">
        <v>-861713.58</v>
      </c>
      <c r="O4373" s="343">
        <v>0</v>
      </c>
    </row>
    <row r="4374" spans="1:15" x14ac:dyDescent="0.3">
      <c r="A4374" s="340" t="s">
        <v>891</v>
      </c>
      <c r="B4374" s="350">
        <v>46140</v>
      </c>
      <c r="C4374" s="350">
        <v>46140</v>
      </c>
      <c r="D4374" s="351">
        <v>46113</v>
      </c>
      <c r="E4374" s="340" t="s">
        <v>3124</v>
      </c>
      <c r="F4374" s="340" t="s">
        <v>1078</v>
      </c>
      <c r="G4374" s="340" t="s">
        <v>1487</v>
      </c>
      <c r="H4374" s="340"/>
      <c r="I4374" s="340" t="s">
        <v>2966</v>
      </c>
      <c r="K4374" s="343">
        <v>40.94</v>
      </c>
      <c r="L4374" s="343">
        <v>0</v>
      </c>
      <c r="M4374" s="343">
        <v>-861672.64</v>
      </c>
      <c r="O4374" s="343">
        <v>0</v>
      </c>
    </row>
    <row r="4375" spans="1:15" x14ac:dyDescent="0.3">
      <c r="A4375" s="340" t="s">
        <v>891</v>
      </c>
      <c r="B4375" s="350">
        <v>46140</v>
      </c>
      <c r="C4375" s="350">
        <v>46141</v>
      </c>
      <c r="D4375" s="351">
        <v>46113</v>
      </c>
      <c r="E4375" s="340" t="s">
        <v>3125</v>
      </c>
      <c r="F4375" s="340" t="s">
        <v>894</v>
      </c>
      <c r="G4375" s="340" t="s">
        <v>3126</v>
      </c>
      <c r="H4375" s="340"/>
      <c r="I4375" s="340" t="s">
        <v>752</v>
      </c>
      <c r="K4375" s="343">
        <v>0</v>
      </c>
      <c r="L4375" s="343">
        <v>-101.53</v>
      </c>
      <c r="M4375" s="343">
        <v>-861774.17</v>
      </c>
      <c r="O4375" s="343">
        <v>0</v>
      </c>
    </row>
    <row r="4376" spans="1:15" x14ac:dyDescent="0.3">
      <c r="A4376" s="340" t="s">
        <v>891</v>
      </c>
      <c r="B4376" s="350">
        <v>46140</v>
      </c>
      <c r="C4376" s="350">
        <v>46141</v>
      </c>
      <c r="D4376" s="351">
        <v>46113</v>
      </c>
      <c r="E4376" s="340" t="s">
        <v>3125</v>
      </c>
      <c r="F4376" s="340" t="s">
        <v>894</v>
      </c>
      <c r="G4376" s="340" t="s">
        <v>3127</v>
      </c>
      <c r="H4376" s="340"/>
      <c r="I4376" s="340" t="s">
        <v>752</v>
      </c>
      <c r="K4376" s="343">
        <v>0</v>
      </c>
      <c r="L4376" s="343">
        <v>-167.3</v>
      </c>
      <c r="M4376" s="343">
        <v>-861941.47</v>
      </c>
      <c r="O4376" s="343">
        <v>0</v>
      </c>
    </row>
    <row r="4377" spans="1:15" x14ac:dyDescent="0.3">
      <c r="A4377" s="340" t="s">
        <v>891</v>
      </c>
      <c r="B4377" s="350">
        <v>46140</v>
      </c>
      <c r="C4377" s="350">
        <v>46141</v>
      </c>
      <c r="D4377" s="351">
        <v>46113</v>
      </c>
      <c r="E4377" s="340" t="s">
        <v>3125</v>
      </c>
      <c r="F4377" s="340" t="s">
        <v>894</v>
      </c>
      <c r="G4377" s="340" t="s">
        <v>3128</v>
      </c>
      <c r="H4377" s="340"/>
      <c r="I4377" s="340" t="s">
        <v>752</v>
      </c>
      <c r="K4377" s="343">
        <v>0</v>
      </c>
      <c r="L4377" s="343">
        <v>-714.44</v>
      </c>
      <c r="M4377" s="343">
        <v>-862655.91</v>
      </c>
      <c r="O4377" s="343">
        <v>0</v>
      </c>
    </row>
    <row r="4378" spans="1:15" x14ac:dyDescent="0.3">
      <c r="A4378" s="340" t="s">
        <v>891</v>
      </c>
      <c r="B4378" s="350">
        <v>46140</v>
      </c>
      <c r="C4378" s="350">
        <v>46141</v>
      </c>
      <c r="D4378" s="351">
        <v>46113</v>
      </c>
      <c r="E4378" s="340" t="s">
        <v>3125</v>
      </c>
      <c r="F4378" s="340" t="s">
        <v>894</v>
      </c>
      <c r="G4378" s="340" t="s">
        <v>3129</v>
      </c>
      <c r="H4378" s="340"/>
      <c r="I4378" s="340" t="s">
        <v>752</v>
      </c>
      <c r="K4378" s="343">
        <v>0</v>
      </c>
      <c r="L4378" s="343">
        <v>-278.94</v>
      </c>
      <c r="M4378" s="343">
        <v>-862934.85</v>
      </c>
      <c r="O4378" s="343">
        <v>0</v>
      </c>
    </row>
    <row r="4379" spans="1:15" x14ac:dyDescent="0.3">
      <c r="A4379" s="340" t="s">
        <v>891</v>
      </c>
      <c r="B4379" s="350">
        <v>46140</v>
      </c>
      <c r="C4379" s="350">
        <v>46141</v>
      </c>
      <c r="D4379" s="351">
        <v>46113</v>
      </c>
      <c r="E4379" s="340" t="s">
        <v>3125</v>
      </c>
      <c r="F4379" s="340" t="s">
        <v>894</v>
      </c>
      <c r="G4379" s="340" t="s">
        <v>3130</v>
      </c>
      <c r="H4379" s="340"/>
      <c r="I4379" s="340" t="s">
        <v>752</v>
      </c>
      <c r="K4379" s="343">
        <v>0</v>
      </c>
      <c r="L4379" s="343">
        <v>-234.39</v>
      </c>
      <c r="M4379" s="343">
        <v>-863169.24</v>
      </c>
      <c r="O4379" s="343">
        <v>0</v>
      </c>
    </row>
    <row r="4380" spans="1:15" x14ac:dyDescent="0.3">
      <c r="A4380" s="340" t="s">
        <v>891</v>
      </c>
      <c r="B4380" s="350">
        <v>46140</v>
      </c>
      <c r="C4380" s="350">
        <v>46142</v>
      </c>
      <c r="D4380" s="351">
        <v>46113</v>
      </c>
      <c r="E4380" s="340" t="s">
        <v>1232</v>
      </c>
      <c r="F4380" s="340" t="s">
        <v>894</v>
      </c>
      <c r="G4380" s="340" t="s">
        <v>1487</v>
      </c>
      <c r="H4380" s="340"/>
      <c r="I4380" s="340" t="s">
        <v>3131</v>
      </c>
      <c r="K4380" s="343">
        <v>0</v>
      </c>
      <c r="L4380" s="343">
        <v>-373</v>
      </c>
      <c r="M4380" s="343">
        <v>-863542.24</v>
      </c>
      <c r="O4380" s="343">
        <v>0</v>
      </c>
    </row>
    <row r="4381" spans="1:15" x14ac:dyDescent="0.3">
      <c r="A4381" s="340" t="s">
        <v>891</v>
      </c>
      <c r="B4381" s="350">
        <v>46140</v>
      </c>
      <c r="C4381" s="350">
        <v>46142</v>
      </c>
      <c r="D4381" s="351">
        <v>46113</v>
      </c>
      <c r="E4381" s="340" t="s">
        <v>1232</v>
      </c>
      <c r="F4381" s="340" t="s">
        <v>894</v>
      </c>
      <c r="G4381" s="340" t="s">
        <v>3132</v>
      </c>
      <c r="H4381" s="340"/>
      <c r="I4381" s="340" t="s">
        <v>3131</v>
      </c>
      <c r="K4381" s="343">
        <v>0</v>
      </c>
      <c r="L4381" s="343">
        <v>-500</v>
      </c>
      <c r="M4381" s="343">
        <v>-864042.24</v>
      </c>
      <c r="O4381" s="343">
        <v>0</v>
      </c>
    </row>
    <row r="4382" spans="1:15" x14ac:dyDescent="0.3">
      <c r="A4382" s="340" t="s">
        <v>891</v>
      </c>
      <c r="B4382" s="350">
        <v>46141</v>
      </c>
      <c r="C4382" s="350">
        <v>46141</v>
      </c>
      <c r="D4382" s="351">
        <v>46113</v>
      </c>
      <c r="E4382" s="340" t="s">
        <v>3133</v>
      </c>
      <c r="F4382" s="340" t="s">
        <v>894</v>
      </c>
      <c r="G4382" s="340" t="s">
        <v>1600</v>
      </c>
      <c r="H4382" s="340"/>
      <c r="I4382" s="340" t="s">
        <v>745</v>
      </c>
      <c r="K4382" s="343">
        <v>0</v>
      </c>
      <c r="L4382" s="343">
        <v>-95.2</v>
      </c>
      <c r="M4382" s="343">
        <v>-864137.44</v>
      </c>
      <c r="O4382" s="343">
        <v>0</v>
      </c>
    </row>
    <row r="4383" spans="1:15" x14ac:dyDescent="0.3">
      <c r="A4383" s="340" t="s">
        <v>891</v>
      </c>
      <c r="B4383" s="350">
        <v>46141</v>
      </c>
      <c r="C4383" s="350">
        <v>46141</v>
      </c>
      <c r="D4383" s="351">
        <v>46113</v>
      </c>
      <c r="E4383" s="340" t="s">
        <v>3133</v>
      </c>
      <c r="F4383" s="340" t="s">
        <v>894</v>
      </c>
      <c r="G4383" s="340" t="s">
        <v>1614</v>
      </c>
      <c r="H4383" s="340"/>
      <c r="I4383" s="340" t="s">
        <v>745</v>
      </c>
      <c r="K4383" s="343">
        <v>0</v>
      </c>
      <c r="L4383" s="343">
        <v>-119.63</v>
      </c>
      <c r="M4383" s="343">
        <v>-864257.07</v>
      </c>
      <c r="O4383" s="343">
        <v>0</v>
      </c>
    </row>
    <row r="4384" spans="1:15" x14ac:dyDescent="0.3">
      <c r="A4384" s="340" t="s">
        <v>891</v>
      </c>
      <c r="B4384" s="350">
        <v>46141</v>
      </c>
      <c r="C4384" s="350">
        <v>46141</v>
      </c>
      <c r="D4384" s="351">
        <v>46113</v>
      </c>
      <c r="E4384" s="340" t="s">
        <v>3133</v>
      </c>
      <c r="F4384" s="340" t="s">
        <v>894</v>
      </c>
      <c r="G4384" s="340" t="s">
        <v>1603</v>
      </c>
      <c r="H4384" s="340"/>
      <c r="I4384" s="340" t="s">
        <v>745</v>
      </c>
      <c r="K4384" s="343">
        <v>0</v>
      </c>
      <c r="L4384" s="343">
        <v>-91.89</v>
      </c>
      <c r="M4384" s="343">
        <v>-864348.96</v>
      </c>
      <c r="O4384" s="343">
        <v>0</v>
      </c>
    </row>
    <row r="4385" spans="1:15" x14ac:dyDescent="0.3">
      <c r="A4385" s="340" t="s">
        <v>891</v>
      </c>
      <c r="B4385" s="350">
        <v>46141</v>
      </c>
      <c r="C4385" s="350">
        <v>46141</v>
      </c>
      <c r="D4385" s="351">
        <v>46113</v>
      </c>
      <c r="E4385" s="340" t="s">
        <v>3133</v>
      </c>
      <c r="F4385" s="340" t="s">
        <v>894</v>
      </c>
      <c r="G4385" s="340" t="s">
        <v>1602</v>
      </c>
      <c r="H4385" s="340"/>
      <c r="I4385" s="340" t="s">
        <v>745</v>
      </c>
      <c r="K4385" s="343">
        <v>0</v>
      </c>
      <c r="L4385" s="343">
        <v>-175.43</v>
      </c>
      <c r="M4385" s="343">
        <v>-864524.39</v>
      </c>
      <c r="O4385" s="343">
        <v>0</v>
      </c>
    </row>
    <row r="4386" spans="1:15" x14ac:dyDescent="0.3">
      <c r="A4386" s="340" t="s">
        <v>891</v>
      </c>
      <c r="B4386" s="350">
        <v>46141</v>
      </c>
      <c r="C4386" s="350">
        <v>46141</v>
      </c>
      <c r="D4386" s="351">
        <v>46113</v>
      </c>
      <c r="E4386" s="340" t="s">
        <v>3133</v>
      </c>
      <c r="F4386" s="340" t="s">
        <v>894</v>
      </c>
      <c r="G4386" s="340" t="s">
        <v>2183</v>
      </c>
      <c r="H4386" s="340"/>
      <c r="I4386" s="340" t="s">
        <v>745</v>
      </c>
      <c r="K4386" s="343">
        <v>0</v>
      </c>
      <c r="L4386" s="343">
        <v>-164.51</v>
      </c>
      <c r="M4386" s="343">
        <v>-864688.9</v>
      </c>
      <c r="O4386" s="343">
        <v>0</v>
      </c>
    </row>
    <row r="4387" spans="1:15" x14ac:dyDescent="0.3">
      <c r="A4387" s="340" t="s">
        <v>891</v>
      </c>
      <c r="B4387" s="350">
        <v>46141</v>
      </c>
      <c r="C4387" s="350">
        <v>46141</v>
      </c>
      <c r="D4387" s="351">
        <v>46113</v>
      </c>
      <c r="E4387" s="340" t="s">
        <v>3133</v>
      </c>
      <c r="F4387" s="340" t="s">
        <v>894</v>
      </c>
      <c r="G4387" s="340" t="s">
        <v>1599</v>
      </c>
      <c r="H4387" s="340"/>
      <c r="I4387" s="340" t="s">
        <v>745</v>
      </c>
      <c r="K4387" s="343">
        <v>0</v>
      </c>
      <c r="L4387" s="343">
        <v>-157.12</v>
      </c>
      <c r="M4387" s="343">
        <v>-864846.02</v>
      </c>
      <c r="O4387" s="343">
        <v>0</v>
      </c>
    </row>
    <row r="4388" spans="1:15" x14ac:dyDescent="0.3">
      <c r="A4388" s="340" t="s">
        <v>891</v>
      </c>
      <c r="B4388" s="350">
        <v>46141</v>
      </c>
      <c r="C4388" s="350">
        <v>46142</v>
      </c>
      <c r="D4388" s="351">
        <v>46113</v>
      </c>
      <c r="E4388" s="340" t="s">
        <v>3134</v>
      </c>
      <c r="F4388" s="340" t="s">
        <v>894</v>
      </c>
      <c r="G4388" s="340" t="s">
        <v>3135</v>
      </c>
      <c r="H4388" s="340"/>
      <c r="I4388" s="340" t="s">
        <v>752</v>
      </c>
      <c r="K4388" s="343">
        <v>0</v>
      </c>
      <c r="L4388" s="343">
        <v>-185.76</v>
      </c>
      <c r="M4388" s="343">
        <v>-865031.78</v>
      </c>
      <c r="O4388" s="343">
        <v>0</v>
      </c>
    </row>
    <row r="4389" spans="1:15" x14ac:dyDescent="0.3">
      <c r="A4389" s="340" t="s">
        <v>891</v>
      </c>
      <c r="B4389" s="350">
        <v>46141</v>
      </c>
      <c r="C4389" s="350">
        <v>46146</v>
      </c>
      <c r="D4389" s="351">
        <v>46143</v>
      </c>
      <c r="E4389" s="340" t="s">
        <v>3136</v>
      </c>
      <c r="F4389" s="340" t="s">
        <v>894</v>
      </c>
      <c r="G4389" s="340" t="s">
        <v>1238</v>
      </c>
      <c r="H4389" s="340"/>
      <c r="I4389" s="340" t="s">
        <v>756</v>
      </c>
      <c r="K4389" s="343">
        <v>0</v>
      </c>
      <c r="L4389" s="343">
        <v>-801.04</v>
      </c>
      <c r="M4389" s="343">
        <v>-865832.82</v>
      </c>
      <c r="O4389" s="343">
        <v>0</v>
      </c>
    </row>
    <row r="4390" spans="1:15" x14ac:dyDescent="0.3">
      <c r="A4390" s="340" t="s">
        <v>891</v>
      </c>
      <c r="B4390" s="350">
        <v>46141</v>
      </c>
      <c r="C4390" s="350">
        <v>46146</v>
      </c>
      <c r="D4390" s="351">
        <v>46143</v>
      </c>
      <c r="E4390" s="340" t="s">
        <v>3136</v>
      </c>
      <c r="F4390" s="340" t="s">
        <v>894</v>
      </c>
      <c r="G4390" s="340" t="s">
        <v>3137</v>
      </c>
      <c r="H4390" s="340"/>
      <c r="I4390" s="340" t="s">
        <v>756</v>
      </c>
      <c r="K4390" s="343">
        <v>0</v>
      </c>
      <c r="L4390" s="343">
        <v>-399.09</v>
      </c>
      <c r="M4390" s="343">
        <v>-866231.91</v>
      </c>
      <c r="O4390" s="343">
        <v>0</v>
      </c>
    </row>
    <row r="4391" spans="1:15" x14ac:dyDescent="0.3">
      <c r="A4391" s="340" t="s">
        <v>891</v>
      </c>
      <c r="B4391" s="350">
        <v>46141</v>
      </c>
      <c r="C4391" s="350">
        <v>46146</v>
      </c>
      <c r="D4391" s="351">
        <v>46143</v>
      </c>
      <c r="E4391" s="340" t="s">
        <v>3136</v>
      </c>
      <c r="F4391" s="340" t="s">
        <v>894</v>
      </c>
      <c r="G4391" s="340" t="s">
        <v>3107</v>
      </c>
      <c r="H4391" s="340"/>
      <c r="I4391" s="340" t="s">
        <v>756</v>
      </c>
      <c r="K4391" s="343">
        <v>0</v>
      </c>
      <c r="L4391" s="343">
        <v>-43.19</v>
      </c>
      <c r="M4391" s="343">
        <v>-866275.1</v>
      </c>
      <c r="O4391" s="343">
        <v>0</v>
      </c>
    </row>
    <row r="4392" spans="1:15" x14ac:dyDescent="0.3">
      <c r="A4392" s="340" t="s">
        <v>891</v>
      </c>
      <c r="B4392" s="350">
        <v>46141</v>
      </c>
      <c r="C4392" s="350">
        <v>46146</v>
      </c>
      <c r="D4392" s="351">
        <v>46143</v>
      </c>
      <c r="E4392" s="340" t="s">
        <v>3136</v>
      </c>
      <c r="F4392" s="340" t="s">
        <v>894</v>
      </c>
      <c r="G4392" s="340" t="s">
        <v>3116</v>
      </c>
      <c r="H4392" s="340"/>
      <c r="I4392" s="340" t="s">
        <v>756</v>
      </c>
      <c r="K4392" s="343">
        <v>0</v>
      </c>
      <c r="L4392" s="343">
        <v>-16.37</v>
      </c>
      <c r="M4392" s="343">
        <v>-866291.47</v>
      </c>
      <c r="O4392" s="343">
        <v>0</v>
      </c>
    </row>
    <row r="4393" spans="1:15" x14ac:dyDescent="0.3">
      <c r="A4393" s="340" t="s">
        <v>891</v>
      </c>
      <c r="B4393" s="350">
        <v>46141</v>
      </c>
      <c r="C4393" s="350">
        <v>46146</v>
      </c>
      <c r="D4393" s="351">
        <v>46143</v>
      </c>
      <c r="E4393" s="340" t="s">
        <v>3136</v>
      </c>
      <c r="F4393" s="340" t="s">
        <v>894</v>
      </c>
      <c r="G4393" s="340" t="s">
        <v>3138</v>
      </c>
      <c r="H4393" s="340"/>
      <c r="I4393" s="340" t="s">
        <v>756</v>
      </c>
      <c r="K4393" s="343">
        <v>0</v>
      </c>
      <c r="L4393" s="343">
        <v>-156.01</v>
      </c>
      <c r="M4393" s="343">
        <v>-866447.48</v>
      </c>
      <c r="O4393" s="343">
        <v>0</v>
      </c>
    </row>
    <row r="4394" spans="1:15" x14ac:dyDescent="0.3">
      <c r="A4394" s="340" t="s">
        <v>891</v>
      </c>
      <c r="B4394" s="350">
        <v>46141</v>
      </c>
      <c r="C4394" s="350">
        <v>46146</v>
      </c>
      <c r="D4394" s="351">
        <v>46143</v>
      </c>
      <c r="E4394" s="340" t="s">
        <v>3136</v>
      </c>
      <c r="F4394" s="340" t="s">
        <v>894</v>
      </c>
      <c r="G4394" s="340" t="s">
        <v>3139</v>
      </c>
      <c r="H4394" s="340"/>
      <c r="I4394" s="340" t="s">
        <v>756</v>
      </c>
      <c r="K4394" s="343">
        <v>0</v>
      </c>
      <c r="L4394" s="343">
        <v>-178.03</v>
      </c>
      <c r="M4394" s="343">
        <v>-866625.51</v>
      </c>
      <c r="O4394" s="343">
        <v>0</v>
      </c>
    </row>
    <row r="4395" spans="1:15" x14ac:dyDescent="0.3">
      <c r="A4395" s="340" t="s">
        <v>891</v>
      </c>
      <c r="B4395" s="350">
        <v>46141</v>
      </c>
      <c r="C4395" s="350">
        <v>46146</v>
      </c>
      <c r="D4395" s="351">
        <v>46143</v>
      </c>
      <c r="E4395" s="340" t="s">
        <v>3136</v>
      </c>
      <c r="F4395" s="340" t="s">
        <v>894</v>
      </c>
      <c r="G4395" s="340" t="s">
        <v>3140</v>
      </c>
      <c r="H4395" s="340"/>
      <c r="I4395" s="340" t="s">
        <v>756</v>
      </c>
      <c r="K4395" s="343">
        <v>0</v>
      </c>
      <c r="L4395" s="343">
        <v>-51.96</v>
      </c>
      <c r="M4395" s="343">
        <v>-866677.47</v>
      </c>
      <c r="O4395" s="343">
        <v>0</v>
      </c>
    </row>
    <row r="4396" spans="1:15" x14ac:dyDescent="0.3">
      <c r="A4396" s="340" t="s">
        <v>891</v>
      </c>
      <c r="B4396" s="350">
        <v>46141</v>
      </c>
      <c r="C4396" s="350">
        <v>46146</v>
      </c>
      <c r="D4396" s="351">
        <v>46143</v>
      </c>
      <c r="E4396" s="340" t="s">
        <v>3136</v>
      </c>
      <c r="F4396" s="340" t="s">
        <v>894</v>
      </c>
      <c r="G4396" s="340" t="s">
        <v>3141</v>
      </c>
      <c r="H4396" s="340"/>
      <c r="I4396" s="340" t="s">
        <v>756</v>
      </c>
      <c r="K4396" s="343">
        <v>0</v>
      </c>
      <c r="L4396" s="343">
        <v>-391.06</v>
      </c>
      <c r="M4396" s="343">
        <v>-867068.53</v>
      </c>
      <c r="O4396" s="343">
        <v>0</v>
      </c>
    </row>
    <row r="4397" spans="1:15" x14ac:dyDescent="0.3">
      <c r="A4397" s="340" t="s">
        <v>891</v>
      </c>
      <c r="B4397" s="350">
        <v>46142</v>
      </c>
      <c r="C4397" s="350">
        <v>46145</v>
      </c>
      <c r="D4397" s="351">
        <v>46143</v>
      </c>
      <c r="E4397" s="340" t="s">
        <v>3142</v>
      </c>
      <c r="F4397" s="340" t="s">
        <v>894</v>
      </c>
      <c r="G4397" s="340" t="s">
        <v>3143</v>
      </c>
      <c r="H4397" s="340"/>
      <c r="I4397" s="340" t="s">
        <v>765</v>
      </c>
      <c r="K4397" s="343">
        <v>0</v>
      </c>
      <c r="L4397" s="343">
        <v>-760.77</v>
      </c>
      <c r="M4397" s="343">
        <v>-867829.3</v>
      </c>
      <c r="O4397" s="343">
        <v>0</v>
      </c>
    </row>
    <row r="4398" spans="1:15" x14ac:dyDescent="0.3">
      <c r="A4398" s="340" t="s">
        <v>891</v>
      </c>
      <c r="B4398" s="350">
        <v>46142</v>
      </c>
      <c r="C4398" s="350">
        <v>46145</v>
      </c>
      <c r="D4398" s="351">
        <v>46143</v>
      </c>
      <c r="E4398" s="340" t="s">
        <v>3144</v>
      </c>
      <c r="F4398" s="340" t="s">
        <v>894</v>
      </c>
      <c r="G4398" s="340" t="s">
        <v>3145</v>
      </c>
      <c r="H4398" s="340"/>
      <c r="I4398" s="340" t="s">
        <v>765</v>
      </c>
      <c r="K4398" s="343">
        <v>0</v>
      </c>
      <c r="L4398" s="343">
        <v>-700.08</v>
      </c>
      <c r="M4398" s="343">
        <v>-868529.38</v>
      </c>
      <c r="O4398" s="343">
        <v>0</v>
      </c>
    </row>
    <row r="4399" spans="1:15" x14ac:dyDescent="0.3">
      <c r="A4399" s="340" t="s">
        <v>891</v>
      </c>
      <c r="B4399" s="350">
        <v>46142</v>
      </c>
      <c r="C4399" s="350">
        <v>46146</v>
      </c>
      <c r="D4399" s="351">
        <v>46143</v>
      </c>
      <c r="E4399" s="340" t="s">
        <v>3146</v>
      </c>
      <c r="F4399" s="340" t="s">
        <v>894</v>
      </c>
      <c r="G4399" s="340" t="s">
        <v>1238</v>
      </c>
      <c r="H4399" s="340"/>
      <c r="I4399" s="340" t="s">
        <v>756</v>
      </c>
      <c r="K4399" s="343">
        <v>0</v>
      </c>
      <c r="L4399" s="343">
        <v>-801.04</v>
      </c>
      <c r="M4399" s="343">
        <v>-869330.42</v>
      </c>
      <c r="O4399" s="343">
        <v>0</v>
      </c>
    </row>
    <row r="4400" spans="1:15" x14ac:dyDescent="0.3">
      <c r="A4400" s="340" t="s">
        <v>891</v>
      </c>
      <c r="B4400" s="350">
        <v>46142</v>
      </c>
      <c r="C4400" s="350">
        <v>46147</v>
      </c>
      <c r="D4400" s="351">
        <v>46143</v>
      </c>
      <c r="E4400" s="340" t="s">
        <v>3147</v>
      </c>
      <c r="F4400" s="340" t="s">
        <v>894</v>
      </c>
      <c r="G4400" s="340" t="s">
        <v>3148</v>
      </c>
      <c r="H4400" s="340"/>
      <c r="I4400" s="340" t="s">
        <v>765</v>
      </c>
      <c r="K4400" s="343">
        <v>0</v>
      </c>
      <c r="L4400" s="343">
        <v>-1679.83</v>
      </c>
      <c r="M4400" s="343">
        <v>-871010.25</v>
      </c>
      <c r="O4400" s="343">
        <v>0</v>
      </c>
    </row>
    <row r="4401" spans="1:15" x14ac:dyDescent="0.3">
      <c r="A4401" s="340" t="s">
        <v>891</v>
      </c>
      <c r="B4401" s="350">
        <v>46142</v>
      </c>
      <c r="C4401" s="350">
        <v>46147</v>
      </c>
      <c r="D4401" s="351">
        <v>46143</v>
      </c>
      <c r="E4401" s="340" t="s">
        <v>3149</v>
      </c>
      <c r="F4401" s="340" t="s">
        <v>894</v>
      </c>
      <c r="G4401" s="340" t="s">
        <v>3150</v>
      </c>
      <c r="H4401" s="340"/>
      <c r="I4401" s="340" t="s">
        <v>765</v>
      </c>
      <c r="K4401" s="343">
        <v>0</v>
      </c>
      <c r="L4401" s="343">
        <v>-1653.29</v>
      </c>
      <c r="M4401" s="343">
        <v>-872663.54</v>
      </c>
      <c r="O4401" s="343">
        <v>0</v>
      </c>
    </row>
    <row r="4402" spans="1:15" x14ac:dyDescent="0.3">
      <c r="A4402" s="340" t="s">
        <v>891</v>
      </c>
      <c r="B4402" s="350">
        <v>46142</v>
      </c>
      <c r="C4402" s="350">
        <v>46149</v>
      </c>
      <c r="D4402" s="351">
        <v>46143</v>
      </c>
      <c r="E4402" s="340" t="s">
        <v>3151</v>
      </c>
      <c r="F4402" s="340" t="s">
        <v>894</v>
      </c>
      <c r="G4402" s="340" t="s">
        <v>3152</v>
      </c>
      <c r="H4402" s="340"/>
      <c r="I4402" s="340" t="s">
        <v>746</v>
      </c>
      <c r="K4402" s="343">
        <v>0</v>
      </c>
      <c r="L4402" s="343">
        <v>-3</v>
      </c>
      <c r="M4402" s="343">
        <v>-872666.54</v>
      </c>
      <c r="O4402" s="343">
        <v>0</v>
      </c>
    </row>
    <row r="4403" spans="1:15" x14ac:dyDescent="0.3">
      <c r="A4403" s="340" t="s">
        <v>891</v>
      </c>
      <c r="B4403" s="350">
        <v>46142</v>
      </c>
      <c r="C4403" s="350">
        <v>46149</v>
      </c>
      <c r="D4403" s="351">
        <v>46143</v>
      </c>
      <c r="E4403" s="340" t="s">
        <v>3151</v>
      </c>
      <c r="F4403" s="340" t="s">
        <v>894</v>
      </c>
      <c r="G4403" s="340" t="s">
        <v>3153</v>
      </c>
      <c r="H4403" s="340"/>
      <c r="I4403" s="340" t="s">
        <v>746</v>
      </c>
      <c r="K4403" s="343">
        <v>0</v>
      </c>
      <c r="L4403" s="343">
        <v>-239.4</v>
      </c>
      <c r="M4403" s="343">
        <v>-872905.94</v>
      </c>
      <c r="O4403" s="343">
        <v>0</v>
      </c>
    </row>
    <row r="4404" spans="1:15" x14ac:dyDescent="0.3">
      <c r="A4404" s="340" t="s">
        <v>891</v>
      </c>
      <c r="B4404" s="350">
        <v>46142</v>
      </c>
      <c r="C4404" s="350">
        <v>46149</v>
      </c>
      <c r="D4404" s="351">
        <v>46143</v>
      </c>
      <c r="E4404" s="340" t="s">
        <v>3151</v>
      </c>
      <c r="F4404" s="340" t="s">
        <v>894</v>
      </c>
      <c r="G4404" s="340" t="s">
        <v>3154</v>
      </c>
      <c r="H4404" s="340"/>
      <c r="I4404" s="340" t="s">
        <v>746</v>
      </c>
      <c r="K4404" s="343">
        <v>0</v>
      </c>
      <c r="L4404" s="343">
        <v>-269.5</v>
      </c>
      <c r="M4404" s="343">
        <v>-873175.44</v>
      </c>
      <c r="O4404" s="343">
        <v>0</v>
      </c>
    </row>
    <row r="4405" spans="1:15" x14ac:dyDescent="0.3">
      <c r="A4405" s="340" t="s">
        <v>891</v>
      </c>
      <c r="B4405" s="350">
        <v>46142</v>
      </c>
      <c r="C4405" s="350">
        <v>46149</v>
      </c>
      <c r="D4405" s="351">
        <v>46143</v>
      </c>
      <c r="E4405" s="340" t="s">
        <v>3151</v>
      </c>
      <c r="F4405" s="340" t="s">
        <v>894</v>
      </c>
      <c r="G4405" s="340" t="s">
        <v>3155</v>
      </c>
      <c r="H4405" s="340"/>
      <c r="I4405" s="340" t="s">
        <v>746</v>
      </c>
      <c r="K4405" s="343">
        <v>0</v>
      </c>
      <c r="L4405" s="343">
        <v>-626.4</v>
      </c>
      <c r="M4405" s="343">
        <v>-873801.84</v>
      </c>
      <c r="O4405" s="343">
        <v>0</v>
      </c>
    </row>
    <row r="4406" spans="1:15" x14ac:dyDescent="0.3">
      <c r="A4406" s="340" t="s">
        <v>891</v>
      </c>
      <c r="B4406" s="350">
        <v>46142</v>
      </c>
      <c r="C4406" s="350">
        <v>46149</v>
      </c>
      <c r="D4406" s="351">
        <v>46143</v>
      </c>
      <c r="E4406" s="340" t="s">
        <v>3151</v>
      </c>
      <c r="F4406" s="340" t="s">
        <v>894</v>
      </c>
      <c r="G4406" s="340" t="s">
        <v>3156</v>
      </c>
      <c r="H4406" s="340"/>
      <c r="I4406" s="340" t="s">
        <v>746</v>
      </c>
      <c r="K4406" s="343">
        <v>0</v>
      </c>
      <c r="L4406" s="343">
        <v>-6002.89</v>
      </c>
      <c r="M4406" s="343">
        <v>-879804.73</v>
      </c>
      <c r="O4406" s="343">
        <v>0</v>
      </c>
    </row>
    <row r="4407" spans="1:15" x14ac:dyDescent="0.3">
      <c r="A4407" s="340" t="s">
        <v>891</v>
      </c>
      <c r="B4407" s="350">
        <v>46142</v>
      </c>
      <c r="C4407" s="350">
        <v>46149</v>
      </c>
      <c r="D4407" s="351">
        <v>46143</v>
      </c>
      <c r="E4407" s="340" t="s">
        <v>3151</v>
      </c>
      <c r="F4407" s="340" t="s">
        <v>894</v>
      </c>
      <c r="G4407" s="340" t="s">
        <v>3157</v>
      </c>
      <c r="H4407" s="340"/>
      <c r="I4407" s="340" t="s">
        <v>746</v>
      </c>
      <c r="K4407" s="343">
        <v>0</v>
      </c>
      <c r="L4407" s="343">
        <v>-6343.01</v>
      </c>
      <c r="M4407" s="343">
        <v>-886147.74</v>
      </c>
      <c r="O4407" s="343">
        <v>0</v>
      </c>
    </row>
    <row r="4408" spans="1:15" x14ac:dyDescent="0.3">
      <c r="A4408" s="340" t="s">
        <v>891</v>
      </c>
      <c r="B4408" s="350">
        <v>46142</v>
      </c>
      <c r="C4408" s="350">
        <v>46149</v>
      </c>
      <c r="D4408" s="351">
        <v>46143</v>
      </c>
      <c r="E4408" s="340" t="s">
        <v>3158</v>
      </c>
      <c r="F4408" s="340" t="s">
        <v>894</v>
      </c>
      <c r="G4408" s="340" t="s">
        <v>3159</v>
      </c>
      <c r="H4408" s="340"/>
      <c r="I4408" s="340" t="s">
        <v>746</v>
      </c>
      <c r="K4408" s="343">
        <v>0</v>
      </c>
      <c r="L4408" s="343">
        <v>-183.96</v>
      </c>
      <c r="M4408" s="343">
        <v>-886331.7</v>
      </c>
      <c r="O4408" s="343">
        <v>0</v>
      </c>
    </row>
    <row r="4409" spans="1:15" x14ac:dyDescent="0.3">
      <c r="A4409" s="340" t="s">
        <v>891</v>
      </c>
      <c r="B4409" s="350">
        <v>46142</v>
      </c>
      <c r="C4409" s="350">
        <v>46149</v>
      </c>
      <c r="D4409" s="351">
        <v>46143</v>
      </c>
      <c r="E4409" s="340" t="s">
        <v>3158</v>
      </c>
      <c r="F4409" s="340" t="s">
        <v>894</v>
      </c>
      <c r="G4409" s="340" t="s">
        <v>3160</v>
      </c>
      <c r="H4409" s="340"/>
      <c r="I4409" s="340" t="s">
        <v>746</v>
      </c>
      <c r="K4409" s="343">
        <v>0</v>
      </c>
      <c r="L4409" s="343">
        <v>-205.94</v>
      </c>
      <c r="M4409" s="343">
        <v>-886537.64</v>
      </c>
      <c r="O4409" s="343">
        <v>0</v>
      </c>
    </row>
    <row r="4410" spans="1:15" x14ac:dyDescent="0.3">
      <c r="A4410" s="340" t="s">
        <v>891</v>
      </c>
      <c r="B4410" s="350">
        <v>46142</v>
      </c>
      <c r="C4410" s="350">
        <v>46149</v>
      </c>
      <c r="D4410" s="351">
        <v>46143</v>
      </c>
      <c r="E4410" s="340" t="s">
        <v>3158</v>
      </c>
      <c r="F4410" s="340" t="s">
        <v>894</v>
      </c>
      <c r="G4410" s="340" t="s">
        <v>3161</v>
      </c>
      <c r="H4410" s="340"/>
      <c r="I4410" s="340" t="s">
        <v>746</v>
      </c>
      <c r="K4410" s="343">
        <v>0</v>
      </c>
      <c r="L4410" s="343">
        <v>-493</v>
      </c>
      <c r="M4410" s="343">
        <v>-887030.64</v>
      </c>
      <c r="O4410" s="343">
        <v>0</v>
      </c>
    </row>
    <row r="4411" spans="1:15" x14ac:dyDescent="0.3">
      <c r="A4411" s="340" t="s">
        <v>891</v>
      </c>
      <c r="B4411" s="350">
        <v>46142</v>
      </c>
      <c r="C4411" s="350">
        <v>46149</v>
      </c>
      <c r="D4411" s="351">
        <v>46143</v>
      </c>
      <c r="E4411" s="340" t="s">
        <v>3158</v>
      </c>
      <c r="F4411" s="340" t="s">
        <v>894</v>
      </c>
      <c r="G4411" s="340" t="s">
        <v>3162</v>
      </c>
      <c r="H4411" s="340"/>
      <c r="I4411" s="340" t="s">
        <v>746</v>
      </c>
      <c r="K4411" s="343">
        <v>0</v>
      </c>
      <c r="L4411" s="343">
        <v>-2793.34</v>
      </c>
      <c r="M4411" s="343">
        <v>-889823.98</v>
      </c>
      <c r="O4411" s="343">
        <v>0</v>
      </c>
    </row>
    <row r="4412" spans="1:15" x14ac:dyDescent="0.3">
      <c r="A4412" s="340" t="s">
        <v>891</v>
      </c>
      <c r="B4412" s="350">
        <v>46142</v>
      </c>
      <c r="C4412" s="350">
        <v>46149</v>
      </c>
      <c r="D4412" s="351">
        <v>46143</v>
      </c>
      <c r="E4412" s="340" t="s">
        <v>3158</v>
      </c>
      <c r="F4412" s="340" t="s">
        <v>894</v>
      </c>
      <c r="G4412" s="340" t="s">
        <v>3163</v>
      </c>
      <c r="H4412" s="340"/>
      <c r="I4412" s="340" t="s">
        <v>746</v>
      </c>
      <c r="K4412" s="343">
        <v>0</v>
      </c>
      <c r="L4412" s="343">
        <v>-3111.71</v>
      </c>
      <c r="M4412" s="343">
        <v>-892935.69</v>
      </c>
      <c r="O4412" s="343">
        <v>0</v>
      </c>
    </row>
    <row r="4413" spans="1:15" x14ac:dyDescent="0.3">
      <c r="A4413" s="340" t="s">
        <v>891</v>
      </c>
      <c r="B4413" s="350">
        <v>46142</v>
      </c>
      <c r="C4413" s="350">
        <v>46149</v>
      </c>
      <c r="D4413" s="351">
        <v>46143</v>
      </c>
      <c r="E4413" s="340" t="s">
        <v>3158</v>
      </c>
      <c r="F4413" s="340" t="s">
        <v>894</v>
      </c>
      <c r="G4413" s="340" t="s">
        <v>3164</v>
      </c>
      <c r="H4413" s="340"/>
      <c r="I4413" s="340" t="s">
        <v>746</v>
      </c>
      <c r="K4413" s="343">
        <v>0</v>
      </c>
      <c r="L4413" s="343">
        <v>-3</v>
      </c>
      <c r="M4413" s="343">
        <v>-892938.69</v>
      </c>
      <c r="O4413" s="343">
        <v>0</v>
      </c>
    </row>
    <row r="4414" spans="1:15" x14ac:dyDescent="0.3">
      <c r="A4414" s="340" t="s">
        <v>891</v>
      </c>
      <c r="B4414" s="350">
        <v>46142</v>
      </c>
      <c r="C4414" s="350">
        <v>46149</v>
      </c>
      <c r="D4414" s="351">
        <v>46143</v>
      </c>
      <c r="E4414" s="340" t="s">
        <v>3165</v>
      </c>
      <c r="F4414" s="340" t="s">
        <v>894</v>
      </c>
      <c r="G4414" s="340" t="s">
        <v>3152</v>
      </c>
      <c r="H4414" s="340"/>
      <c r="I4414" s="340" t="s">
        <v>746</v>
      </c>
      <c r="K4414" s="343">
        <v>0</v>
      </c>
      <c r="L4414" s="343">
        <v>-3</v>
      </c>
      <c r="M4414" s="343">
        <v>-892941.69</v>
      </c>
      <c r="O4414" s="343">
        <v>0</v>
      </c>
    </row>
    <row r="4415" spans="1:15" x14ac:dyDescent="0.3">
      <c r="A4415" s="340" t="s">
        <v>891</v>
      </c>
      <c r="B4415" s="350">
        <v>46142</v>
      </c>
      <c r="C4415" s="350">
        <v>46149</v>
      </c>
      <c r="D4415" s="351">
        <v>46143</v>
      </c>
      <c r="E4415" s="340" t="s">
        <v>3165</v>
      </c>
      <c r="F4415" s="340" t="s">
        <v>894</v>
      </c>
      <c r="G4415" s="340" t="s">
        <v>3155</v>
      </c>
      <c r="H4415" s="340"/>
      <c r="I4415" s="340" t="s">
        <v>746</v>
      </c>
      <c r="K4415" s="343">
        <v>0</v>
      </c>
      <c r="L4415" s="343">
        <v>-582.9</v>
      </c>
      <c r="M4415" s="343">
        <v>-893524.59</v>
      </c>
      <c r="O4415" s="343">
        <v>0</v>
      </c>
    </row>
    <row r="4416" spans="1:15" x14ac:dyDescent="0.3">
      <c r="A4416" s="340" t="s">
        <v>891</v>
      </c>
      <c r="B4416" s="350">
        <v>46142</v>
      </c>
      <c r="C4416" s="350">
        <v>46149</v>
      </c>
      <c r="D4416" s="351">
        <v>46143</v>
      </c>
      <c r="E4416" s="340" t="s">
        <v>3165</v>
      </c>
      <c r="F4416" s="340" t="s">
        <v>894</v>
      </c>
      <c r="G4416" s="340" t="s">
        <v>3156</v>
      </c>
      <c r="H4416" s="340"/>
      <c r="I4416" s="340" t="s">
        <v>746</v>
      </c>
      <c r="K4416" s="343">
        <v>0</v>
      </c>
      <c r="L4416" s="343">
        <v>-3837.84</v>
      </c>
      <c r="M4416" s="343">
        <v>-897362.43</v>
      </c>
      <c r="O4416" s="343">
        <v>0</v>
      </c>
    </row>
    <row r="4417" spans="1:15" x14ac:dyDescent="0.3">
      <c r="A4417" s="340" t="s">
        <v>891</v>
      </c>
      <c r="B4417" s="350">
        <v>46142</v>
      </c>
      <c r="C4417" s="350">
        <v>46149</v>
      </c>
      <c r="D4417" s="351">
        <v>46143</v>
      </c>
      <c r="E4417" s="340" t="s">
        <v>3165</v>
      </c>
      <c r="F4417" s="340" t="s">
        <v>894</v>
      </c>
      <c r="G4417" s="340" t="s">
        <v>3166</v>
      </c>
      <c r="H4417" s="340"/>
      <c r="I4417" s="340" t="s">
        <v>746</v>
      </c>
      <c r="K4417" s="343">
        <v>0</v>
      </c>
      <c r="L4417" s="343">
        <v>-157.13999999999999</v>
      </c>
      <c r="M4417" s="343">
        <v>-897519.57</v>
      </c>
      <c r="O4417" s="343">
        <v>0</v>
      </c>
    </row>
    <row r="4418" spans="1:15" x14ac:dyDescent="0.3">
      <c r="A4418" s="340" t="s">
        <v>891</v>
      </c>
      <c r="B4418" s="350">
        <v>46142</v>
      </c>
      <c r="C4418" s="350">
        <v>46149</v>
      </c>
      <c r="D4418" s="351">
        <v>46143</v>
      </c>
      <c r="E4418" s="340" t="s">
        <v>3165</v>
      </c>
      <c r="F4418" s="340" t="s">
        <v>894</v>
      </c>
      <c r="G4418" s="340" t="s">
        <v>3166</v>
      </c>
      <c r="H4418" s="340"/>
      <c r="I4418" s="340" t="s">
        <v>746</v>
      </c>
      <c r="K4418" s="343">
        <v>0</v>
      </c>
      <c r="L4418" s="343">
        <v>-265.89</v>
      </c>
      <c r="M4418" s="343">
        <v>-897785.46</v>
      </c>
      <c r="O4418" s="343">
        <v>0</v>
      </c>
    </row>
    <row r="4419" spans="1:15" x14ac:dyDescent="0.3">
      <c r="A4419" s="340" t="s">
        <v>891</v>
      </c>
      <c r="B4419" s="350">
        <v>46142</v>
      </c>
      <c r="C4419" s="350">
        <v>46149</v>
      </c>
      <c r="D4419" s="351">
        <v>46143</v>
      </c>
      <c r="E4419" s="340" t="s">
        <v>3165</v>
      </c>
      <c r="F4419" s="340" t="s">
        <v>894</v>
      </c>
      <c r="G4419" s="340" t="s">
        <v>3157</v>
      </c>
      <c r="H4419" s="340"/>
      <c r="I4419" s="340" t="s">
        <v>746</v>
      </c>
      <c r="K4419" s="343">
        <v>0</v>
      </c>
      <c r="L4419" s="343">
        <v>-4038.01</v>
      </c>
      <c r="M4419" s="343">
        <v>-901823.47</v>
      </c>
      <c r="O4419" s="343">
        <v>0</v>
      </c>
    </row>
    <row r="4420" spans="1:15" x14ac:dyDescent="0.3">
      <c r="A4420" s="340" t="s">
        <v>891</v>
      </c>
      <c r="B4420" s="350">
        <v>46142</v>
      </c>
      <c r="C4420" s="350">
        <v>46154</v>
      </c>
      <c r="D4420" s="351">
        <v>46143</v>
      </c>
      <c r="E4420" s="340" t="s">
        <v>3167</v>
      </c>
      <c r="F4420" s="340" t="s">
        <v>894</v>
      </c>
      <c r="G4420" s="340" t="s">
        <v>3168</v>
      </c>
      <c r="H4420" s="340"/>
      <c r="I4420" s="340" t="s">
        <v>232</v>
      </c>
      <c r="K4420" s="343">
        <v>0</v>
      </c>
      <c r="L4420" s="343">
        <v>-10297.76</v>
      </c>
      <c r="M4420" s="343">
        <v>-912121.23</v>
      </c>
      <c r="O4420" s="343">
        <v>0</v>
      </c>
    </row>
    <row r="4421" spans="1:15" x14ac:dyDescent="0.3">
      <c r="A4421" s="340" t="s">
        <v>891</v>
      </c>
      <c r="B4421" s="350">
        <v>46142</v>
      </c>
      <c r="C4421" s="350">
        <v>46154</v>
      </c>
      <c r="D4421" s="351">
        <v>46143</v>
      </c>
      <c r="E4421" s="340" t="s">
        <v>3167</v>
      </c>
      <c r="F4421" s="340" t="s">
        <v>894</v>
      </c>
      <c r="G4421" s="340" t="s">
        <v>3169</v>
      </c>
      <c r="H4421" s="340"/>
      <c r="I4421" s="340" t="s">
        <v>232</v>
      </c>
      <c r="K4421" s="343">
        <v>0</v>
      </c>
      <c r="L4421" s="343">
        <v>-300</v>
      </c>
      <c r="M4421" s="343">
        <v>-912421.23</v>
      </c>
      <c r="O4421" s="343">
        <v>0</v>
      </c>
    </row>
    <row r="4422" spans="1:15" x14ac:dyDescent="0.3">
      <c r="A4422" s="340" t="s">
        <v>891</v>
      </c>
      <c r="B4422" s="350">
        <v>46142</v>
      </c>
      <c r="C4422" s="350">
        <v>46154</v>
      </c>
      <c r="D4422" s="351">
        <v>46143</v>
      </c>
      <c r="E4422" s="340" t="s">
        <v>3167</v>
      </c>
      <c r="F4422" s="340" t="s">
        <v>894</v>
      </c>
      <c r="G4422" s="340" t="s">
        <v>3170</v>
      </c>
      <c r="H4422" s="340"/>
      <c r="I4422" s="340" t="s">
        <v>232</v>
      </c>
      <c r="K4422" s="343">
        <v>0</v>
      </c>
      <c r="L4422" s="343">
        <v>-249</v>
      </c>
      <c r="M4422" s="343">
        <v>-912670.23</v>
      </c>
      <c r="O4422" s="343">
        <v>0</v>
      </c>
    </row>
    <row r="4423" spans="1:15" x14ac:dyDescent="0.3">
      <c r="A4423" s="340" t="s">
        <v>891</v>
      </c>
      <c r="B4423" s="350">
        <v>46142</v>
      </c>
      <c r="C4423" s="350">
        <v>46162</v>
      </c>
      <c r="D4423" s="351">
        <v>46143</v>
      </c>
      <c r="E4423" s="340" t="s">
        <v>3171</v>
      </c>
      <c r="F4423" s="340" t="s">
        <v>894</v>
      </c>
      <c r="G4423" s="340" t="s">
        <v>3019</v>
      </c>
      <c r="H4423" s="340"/>
      <c r="I4423" s="340" t="s">
        <v>771</v>
      </c>
      <c r="K4423" s="343">
        <v>0</v>
      </c>
      <c r="L4423" s="343">
        <v>-0.01</v>
      </c>
      <c r="M4423" s="343">
        <v>-912670.24</v>
      </c>
      <c r="O4423" s="343">
        <v>0</v>
      </c>
    </row>
    <row r="4424" spans="1:15" x14ac:dyDescent="0.3">
      <c r="A4424" s="340" t="s">
        <v>891</v>
      </c>
      <c r="B4424" s="350">
        <v>46142</v>
      </c>
      <c r="C4424" s="350">
        <v>46162</v>
      </c>
      <c r="D4424" s="351">
        <v>46143</v>
      </c>
      <c r="E4424" s="340" t="s">
        <v>3171</v>
      </c>
      <c r="F4424" s="340" t="s">
        <v>894</v>
      </c>
      <c r="G4424" s="340" t="s">
        <v>3024</v>
      </c>
      <c r="H4424" s="340"/>
      <c r="I4424" s="340" t="s">
        <v>771</v>
      </c>
      <c r="K4424" s="343">
        <v>0</v>
      </c>
      <c r="L4424" s="343">
        <v>-0.38</v>
      </c>
      <c r="M4424" s="343">
        <v>-912670.62</v>
      </c>
      <c r="O4424" s="343">
        <v>0</v>
      </c>
    </row>
    <row r="4425" spans="1:15" x14ac:dyDescent="0.3">
      <c r="A4425" s="340" t="s">
        <v>891</v>
      </c>
      <c r="B4425" s="350">
        <v>46142</v>
      </c>
      <c r="C4425" s="350">
        <v>46162</v>
      </c>
      <c r="D4425" s="351">
        <v>46143</v>
      </c>
      <c r="E4425" s="340" t="s">
        <v>3171</v>
      </c>
      <c r="F4425" s="340" t="s">
        <v>894</v>
      </c>
      <c r="G4425" s="340" t="s">
        <v>2574</v>
      </c>
      <c r="H4425" s="340"/>
      <c r="I4425" s="340" t="s">
        <v>771</v>
      </c>
      <c r="K4425" s="343">
        <v>0</v>
      </c>
      <c r="L4425" s="343">
        <v>-4.62</v>
      </c>
      <c r="M4425" s="343">
        <v>-912675.24</v>
      </c>
      <c r="O4425" s="343">
        <v>0</v>
      </c>
    </row>
    <row r="4426" spans="1:15" x14ac:dyDescent="0.3">
      <c r="A4426" s="340" t="s">
        <v>891</v>
      </c>
      <c r="B4426" s="350">
        <v>46142</v>
      </c>
      <c r="C4426" s="350">
        <v>46162</v>
      </c>
      <c r="D4426" s="351">
        <v>46143</v>
      </c>
      <c r="E4426" s="340" t="s">
        <v>3171</v>
      </c>
      <c r="F4426" s="340" t="s">
        <v>894</v>
      </c>
      <c r="G4426" s="340" t="s">
        <v>3019</v>
      </c>
      <c r="H4426" s="340"/>
      <c r="I4426" s="340" t="s">
        <v>771</v>
      </c>
      <c r="K4426" s="343">
        <v>0</v>
      </c>
      <c r="L4426" s="343">
        <v>-0.05</v>
      </c>
      <c r="M4426" s="343">
        <v>-912675.29</v>
      </c>
      <c r="O4426" s="343">
        <v>0</v>
      </c>
    </row>
    <row r="4427" spans="1:15" x14ac:dyDescent="0.3">
      <c r="A4427" s="340" t="s">
        <v>891</v>
      </c>
      <c r="B4427" s="350">
        <v>46142</v>
      </c>
      <c r="C4427" s="350">
        <v>46162</v>
      </c>
      <c r="D4427" s="351">
        <v>46143</v>
      </c>
      <c r="E4427" s="340" t="s">
        <v>3171</v>
      </c>
      <c r="F4427" s="340" t="s">
        <v>894</v>
      </c>
      <c r="G4427" s="340" t="s">
        <v>3016</v>
      </c>
      <c r="H4427" s="340"/>
      <c r="I4427" s="340" t="s">
        <v>771</v>
      </c>
      <c r="K4427" s="343">
        <v>0</v>
      </c>
      <c r="L4427" s="343">
        <v>-0.09</v>
      </c>
      <c r="M4427" s="343">
        <v>-912675.38</v>
      </c>
      <c r="O4427" s="343">
        <v>0</v>
      </c>
    </row>
    <row r="4428" spans="1:15" x14ac:dyDescent="0.3">
      <c r="A4428" s="340" t="s">
        <v>891</v>
      </c>
      <c r="B4428" s="350">
        <v>46142</v>
      </c>
      <c r="C4428" s="350">
        <v>46162</v>
      </c>
      <c r="D4428" s="351">
        <v>46143</v>
      </c>
      <c r="E4428" s="340" t="s">
        <v>3171</v>
      </c>
      <c r="F4428" s="340" t="s">
        <v>894</v>
      </c>
      <c r="G4428" s="340" t="s">
        <v>3016</v>
      </c>
      <c r="H4428" s="340"/>
      <c r="I4428" s="340" t="s">
        <v>771</v>
      </c>
      <c r="K4428" s="343">
        <v>0</v>
      </c>
      <c r="L4428" s="343">
        <v>-0.13</v>
      </c>
      <c r="M4428" s="343">
        <v>-912675.51</v>
      </c>
      <c r="O4428" s="343">
        <v>0</v>
      </c>
    </row>
    <row r="4429" spans="1:15" x14ac:dyDescent="0.3">
      <c r="A4429" s="340" t="s">
        <v>891</v>
      </c>
      <c r="B4429" s="350">
        <v>46142</v>
      </c>
      <c r="C4429" s="350">
        <v>46162</v>
      </c>
      <c r="D4429" s="351">
        <v>46143</v>
      </c>
      <c r="E4429" s="340" t="s">
        <v>3171</v>
      </c>
      <c r="F4429" s="340" t="s">
        <v>894</v>
      </c>
      <c r="G4429" s="340" t="s">
        <v>3025</v>
      </c>
      <c r="H4429" s="340"/>
      <c r="I4429" s="340" t="s">
        <v>771</v>
      </c>
      <c r="K4429" s="343">
        <v>0</v>
      </c>
      <c r="L4429" s="343">
        <v>-1.07</v>
      </c>
      <c r="M4429" s="343">
        <v>-912676.58</v>
      </c>
      <c r="O4429" s="343">
        <v>0</v>
      </c>
    </row>
    <row r="4430" spans="1:15" x14ac:dyDescent="0.3">
      <c r="A4430" s="340" t="s">
        <v>891</v>
      </c>
      <c r="B4430" s="350">
        <v>46142</v>
      </c>
      <c r="C4430" s="350">
        <v>46162</v>
      </c>
      <c r="D4430" s="351">
        <v>46143</v>
      </c>
      <c r="E4430" s="340" t="s">
        <v>3171</v>
      </c>
      <c r="F4430" s="340" t="s">
        <v>894</v>
      </c>
      <c r="G4430" s="340" t="s">
        <v>3023</v>
      </c>
      <c r="H4430" s="340"/>
      <c r="I4430" s="340" t="s">
        <v>771</v>
      </c>
      <c r="K4430" s="343">
        <v>0</v>
      </c>
      <c r="L4430" s="343">
        <v>-0.2</v>
      </c>
      <c r="M4430" s="343">
        <v>-912676.78</v>
      </c>
      <c r="O4430" s="343">
        <v>0</v>
      </c>
    </row>
    <row r="4431" spans="1:15" x14ac:dyDescent="0.3">
      <c r="A4431" s="340" t="s">
        <v>891</v>
      </c>
      <c r="B4431" s="350">
        <v>46142</v>
      </c>
      <c r="C4431" s="350">
        <v>46162</v>
      </c>
      <c r="D4431" s="351">
        <v>46143</v>
      </c>
      <c r="E4431" s="340" t="s">
        <v>3171</v>
      </c>
      <c r="F4431" s="340" t="s">
        <v>894</v>
      </c>
      <c r="G4431" s="340" t="s">
        <v>3022</v>
      </c>
      <c r="H4431" s="340"/>
      <c r="I4431" s="340" t="s">
        <v>771</v>
      </c>
      <c r="K4431" s="343">
        <v>0</v>
      </c>
      <c r="L4431" s="343">
        <v>-0.2</v>
      </c>
      <c r="M4431" s="343">
        <v>-912676.98</v>
      </c>
      <c r="O4431" s="343">
        <v>0</v>
      </c>
    </row>
    <row r="4432" spans="1:15" x14ac:dyDescent="0.3">
      <c r="A4432" s="340" t="s">
        <v>891</v>
      </c>
      <c r="B4432" s="350">
        <v>46142</v>
      </c>
      <c r="C4432" s="350">
        <v>46162</v>
      </c>
      <c r="D4432" s="351">
        <v>46143</v>
      </c>
      <c r="E4432" s="340" t="s">
        <v>3171</v>
      </c>
      <c r="F4432" s="340" t="s">
        <v>894</v>
      </c>
      <c r="G4432" s="340" t="s">
        <v>3024</v>
      </c>
      <c r="H4432" s="340"/>
      <c r="I4432" s="340" t="s">
        <v>771</v>
      </c>
      <c r="K4432" s="343">
        <v>0</v>
      </c>
      <c r="L4432" s="343">
        <v>-0.41</v>
      </c>
      <c r="M4432" s="343">
        <v>-912677.39</v>
      </c>
      <c r="O4432" s="343">
        <v>0</v>
      </c>
    </row>
    <row r="4433" spans="1:15" x14ac:dyDescent="0.3">
      <c r="A4433" s="340" t="s">
        <v>891</v>
      </c>
      <c r="B4433" s="350">
        <v>46142</v>
      </c>
      <c r="C4433" s="350">
        <v>46162</v>
      </c>
      <c r="D4433" s="351">
        <v>46143</v>
      </c>
      <c r="E4433" s="340" t="s">
        <v>3171</v>
      </c>
      <c r="F4433" s="340" t="s">
        <v>894</v>
      </c>
      <c r="G4433" s="340" t="s">
        <v>3025</v>
      </c>
      <c r="H4433" s="340"/>
      <c r="I4433" s="340" t="s">
        <v>771</v>
      </c>
      <c r="K4433" s="343">
        <v>0</v>
      </c>
      <c r="L4433" s="343">
        <v>-1.1599999999999999</v>
      </c>
      <c r="M4433" s="343">
        <v>-912678.55</v>
      </c>
      <c r="O4433" s="343">
        <v>0</v>
      </c>
    </row>
    <row r="4434" spans="1:15" x14ac:dyDescent="0.3">
      <c r="A4434" s="340" t="s">
        <v>891</v>
      </c>
      <c r="B4434" s="350">
        <v>46142</v>
      </c>
      <c r="C4434" s="350">
        <v>46162</v>
      </c>
      <c r="D4434" s="351">
        <v>46143</v>
      </c>
      <c r="E4434" s="340" t="s">
        <v>3171</v>
      </c>
      <c r="F4434" s="340" t="s">
        <v>894</v>
      </c>
      <c r="G4434" s="340" t="s">
        <v>3026</v>
      </c>
      <c r="H4434" s="340"/>
      <c r="I4434" s="340" t="s">
        <v>771</v>
      </c>
      <c r="K4434" s="343">
        <v>0</v>
      </c>
      <c r="L4434" s="343">
        <v>-1.36</v>
      </c>
      <c r="M4434" s="343">
        <v>-912679.91</v>
      </c>
      <c r="O4434" s="343">
        <v>0</v>
      </c>
    </row>
    <row r="4435" spans="1:15" x14ac:dyDescent="0.3">
      <c r="A4435" s="340" t="s">
        <v>891</v>
      </c>
      <c r="B4435" s="350">
        <v>46142</v>
      </c>
      <c r="C4435" s="350">
        <v>46162</v>
      </c>
      <c r="D4435" s="351">
        <v>46143</v>
      </c>
      <c r="E4435" s="340" t="s">
        <v>3171</v>
      </c>
      <c r="F4435" s="340" t="s">
        <v>894</v>
      </c>
      <c r="G4435" s="340" t="s">
        <v>3016</v>
      </c>
      <c r="H4435" s="340"/>
      <c r="I4435" s="340" t="s">
        <v>771</v>
      </c>
      <c r="K4435" s="343">
        <v>0</v>
      </c>
      <c r="L4435" s="343">
        <v>-0.01</v>
      </c>
      <c r="M4435" s="343">
        <v>-912679.92</v>
      </c>
      <c r="O4435" s="343">
        <v>0</v>
      </c>
    </row>
    <row r="4436" spans="1:15" x14ac:dyDescent="0.3">
      <c r="A4436" s="340" t="s">
        <v>891</v>
      </c>
      <c r="B4436" s="350">
        <v>46142</v>
      </c>
      <c r="C4436" s="350">
        <v>46162</v>
      </c>
      <c r="D4436" s="351">
        <v>46143</v>
      </c>
      <c r="E4436" s="340" t="s">
        <v>3171</v>
      </c>
      <c r="F4436" s="340" t="s">
        <v>894</v>
      </c>
      <c r="G4436" s="340" t="s">
        <v>3020</v>
      </c>
      <c r="H4436" s="340"/>
      <c r="I4436" s="340" t="s">
        <v>771</v>
      </c>
      <c r="K4436" s="343">
        <v>0</v>
      </c>
      <c r="L4436" s="343">
        <v>-0.04</v>
      </c>
      <c r="M4436" s="343">
        <v>-912679.96</v>
      </c>
      <c r="O4436" s="343">
        <v>0</v>
      </c>
    </row>
    <row r="4437" spans="1:15" x14ac:dyDescent="0.3">
      <c r="A4437" s="340" t="s">
        <v>891</v>
      </c>
      <c r="B4437" s="350">
        <v>46142</v>
      </c>
      <c r="C4437" s="350">
        <v>46162</v>
      </c>
      <c r="D4437" s="351">
        <v>46143</v>
      </c>
      <c r="E4437" s="340" t="s">
        <v>3171</v>
      </c>
      <c r="F4437" s="340" t="s">
        <v>894</v>
      </c>
      <c r="G4437" s="340" t="s">
        <v>3020</v>
      </c>
      <c r="H4437" s="340"/>
      <c r="I4437" s="340" t="s">
        <v>771</v>
      </c>
      <c r="K4437" s="343">
        <v>0</v>
      </c>
      <c r="L4437" s="343">
        <v>-0.09</v>
      </c>
      <c r="M4437" s="343">
        <v>-912680.05</v>
      </c>
      <c r="O4437" s="343">
        <v>0</v>
      </c>
    </row>
    <row r="4438" spans="1:15" x14ac:dyDescent="0.3">
      <c r="A4438" s="340" t="s">
        <v>891</v>
      </c>
      <c r="B4438" s="350">
        <v>46142</v>
      </c>
      <c r="C4438" s="350">
        <v>46162</v>
      </c>
      <c r="D4438" s="351">
        <v>46143</v>
      </c>
      <c r="E4438" s="340" t="s">
        <v>3171</v>
      </c>
      <c r="F4438" s="340" t="s">
        <v>894</v>
      </c>
      <c r="G4438" s="340" t="s">
        <v>3024</v>
      </c>
      <c r="H4438" s="340"/>
      <c r="I4438" s="340" t="s">
        <v>771</v>
      </c>
      <c r="K4438" s="343">
        <v>0</v>
      </c>
      <c r="L4438" s="343">
        <v>-0.64</v>
      </c>
      <c r="M4438" s="343">
        <v>-912680.69</v>
      </c>
      <c r="O4438" s="343">
        <v>0</v>
      </c>
    </row>
    <row r="4439" spans="1:15" x14ac:dyDescent="0.3">
      <c r="A4439" s="340" t="s">
        <v>891</v>
      </c>
      <c r="B4439" s="350">
        <v>46142</v>
      </c>
      <c r="C4439" s="350">
        <v>46162</v>
      </c>
      <c r="D4439" s="351">
        <v>46143</v>
      </c>
      <c r="E4439" s="340" t="s">
        <v>3171</v>
      </c>
      <c r="F4439" s="340" t="s">
        <v>894</v>
      </c>
      <c r="G4439" s="340" t="s">
        <v>3017</v>
      </c>
      <c r="H4439" s="340"/>
      <c r="I4439" s="340" t="s">
        <v>771</v>
      </c>
      <c r="K4439" s="343">
        <v>0</v>
      </c>
      <c r="L4439" s="343">
        <v>-2.2599999999999998</v>
      </c>
      <c r="M4439" s="343">
        <v>-912682.95</v>
      </c>
      <c r="O4439" s="343">
        <v>0</v>
      </c>
    </row>
    <row r="4440" spans="1:15" x14ac:dyDescent="0.3">
      <c r="A4440" s="340" t="s">
        <v>891</v>
      </c>
      <c r="B4440" s="350">
        <v>46142</v>
      </c>
      <c r="C4440" s="350">
        <v>46162</v>
      </c>
      <c r="D4440" s="351">
        <v>46143</v>
      </c>
      <c r="E4440" s="340" t="s">
        <v>3171</v>
      </c>
      <c r="F4440" s="340" t="s">
        <v>894</v>
      </c>
      <c r="G4440" s="340" t="s">
        <v>3005</v>
      </c>
      <c r="H4440" s="340"/>
      <c r="I4440" s="340" t="s">
        <v>771</v>
      </c>
      <c r="K4440" s="343">
        <v>0</v>
      </c>
      <c r="L4440" s="343">
        <v>-4.3600000000000003</v>
      </c>
      <c r="M4440" s="343">
        <v>-912687.31</v>
      </c>
      <c r="O4440" s="343">
        <v>0</v>
      </c>
    </row>
    <row r="4441" spans="1:15" x14ac:dyDescent="0.3">
      <c r="A4441" s="340" t="s">
        <v>891</v>
      </c>
      <c r="B4441" s="350">
        <v>46142</v>
      </c>
      <c r="C4441" s="350">
        <v>46162</v>
      </c>
      <c r="D4441" s="351">
        <v>46143</v>
      </c>
      <c r="E4441" s="340" t="s">
        <v>3171</v>
      </c>
      <c r="F4441" s="340" t="s">
        <v>894</v>
      </c>
      <c r="G4441" s="340" t="s">
        <v>3021</v>
      </c>
      <c r="H4441" s="340"/>
      <c r="I4441" s="340" t="s">
        <v>771</v>
      </c>
      <c r="K4441" s="343">
        <v>0</v>
      </c>
      <c r="L4441" s="343">
        <v>-4.6100000000000003</v>
      </c>
      <c r="M4441" s="343">
        <v>-912691.92</v>
      </c>
      <c r="O4441" s="343">
        <v>0</v>
      </c>
    </row>
    <row r="4442" spans="1:15" x14ac:dyDescent="0.3">
      <c r="A4442" s="340" t="s">
        <v>891</v>
      </c>
      <c r="B4442" s="350">
        <v>46142</v>
      </c>
      <c r="C4442" s="350">
        <v>46162</v>
      </c>
      <c r="D4442" s="351">
        <v>46143</v>
      </c>
      <c r="E4442" s="340" t="s">
        <v>3171</v>
      </c>
      <c r="F4442" s="340" t="s">
        <v>894</v>
      </c>
      <c r="G4442" s="340" t="s">
        <v>3016</v>
      </c>
      <c r="H4442" s="340"/>
      <c r="I4442" s="340" t="s">
        <v>771</v>
      </c>
      <c r="K4442" s="343">
        <v>0</v>
      </c>
      <c r="L4442" s="343">
        <v>-0.01</v>
      </c>
      <c r="M4442" s="343">
        <v>-912691.93</v>
      </c>
      <c r="O4442" s="343">
        <v>0</v>
      </c>
    </row>
    <row r="4443" spans="1:15" x14ac:dyDescent="0.3">
      <c r="A4443" s="340" t="s">
        <v>891</v>
      </c>
      <c r="B4443" s="350">
        <v>46142</v>
      </c>
      <c r="C4443" s="350">
        <v>46162</v>
      </c>
      <c r="D4443" s="351">
        <v>46143</v>
      </c>
      <c r="E4443" s="340" t="s">
        <v>3171</v>
      </c>
      <c r="F4443" s="340" t="s">
        <v>894</v>
      </c>
      <c r="G4443" s="340" t="s">
        <v>3020</v>
      </c>
      <c r="H4443" s="340"/>
      <c r="I4443" s="340" t="s">
        <v>771</v>
      </c>
      <c r="K4443" s="343">
        <v>0</v>
      </c>
      <c r="L4443" s="343">
        <v>-7.0000000000000007E-2</v>
      </c>
      <c r="M4443" s="343">
        <v>-912692</v>
      </c>
      <c r="O4443" s="343">
        <v>0</v>
      </c>
    </row>
    <row r="4444" spans="1:15" x14ac:dyDescent="0.3">
      <c r="A4444" s="340" t="s">
        <v>891</v>
      </c>
      <c r="B4444" s="350">
        <v>46142</v>
      </c>
      <c r="C4444" s="350">
        <v>46162</v>
      </c>
      <c r="D4444" s="351">
        <v>46143</v>
      </c>
      <c r="E4444" s="340" t="s">
        <v>3171</v>
      </c>
      <c r="F4444" s="340" t="s">
        <v>894</v>
      </c>
      <c r="G4444" s="340" t="s">
        <v>3022</v>
      </c>
      <c r="H4444" s="340"/>
      <c r="I4444" s="340" t="s">
        <v>771</v>
      </c>
      <c r="K4444" s="343">
        <v>0</v>
      </c>
      <c r="L4444" s="343">
        <v>-0.14000000000000001</v>
      </c>
      <c r="M4444" s="343">
        <v>-912692.14</v>
      </c>
      <c r="O4444" s="343">
        <v>0</v>
      </c>
    </row>
    <row r="4445" spans="1:15" x14ac:dyDescent="0.3">
      <c r="A4445" s="340" t="s">
        <v>891</v>
      </c>
      <c r="B4445" s="350">
        <v>46142</v>
      </c>
      <c r="C4445" s="350">
        <v>46162</v>
      </c>
      <c r="D4445" s="351">
        <v>46143</v>
      </c>
      <c r="E4445" s="340" t="s">
        <v>3171</v>
      </c>
      <c r="F4445" s="340" t="s">
        <v>894</v>
      </c>
      <c r="G4445" s="340" t="s">
        <v>3017</v>
      </c>
      <c r="H4445" s="340"/>
      <c r="I4445" s="340" t="s">
        <v>771</v>
      </c>
      <c r="K4445" s="343">
        <v>0</v>
      </c>
      <c r="L4445" s="343">
        <v>-2.2599999999999998</v>
      </c>
      <c r="M4445" s="343">
        <v>-912694.4</v>
      </c>
      <c r="O4445" s="343">
        <v>0</v>
      </c>
    </row>
    <row r="4446" spans="1:15" x14ac:dyDescent="0.3">
      <c r="A4446" s="340" t="s">
        <v>891</v>
      </c>
      <c r="B4446" s="350">
        <v>46142</v>
      </c>
      <c r="C4446" s="350">
        <v>46162</v>
      </c>
      <c r="D4446" s="351">
        <v>46143</v>
      </c>
      <c r="E4446" s="340" t="s">
        <v>3171</v>
      </c>
      <c r="F4446" s="340" t="s">
        <v>894</v>
      </c>
      <c r="G4446" s="340" t="s">
        <v>3021</v>
      </c>
      <c r="H4446" s="340"/>
      <c r="I4446" s="340" t="s">
        <v>771</v>
      </c>
      <c r="K4446" s="343">
        <v>0</v>
      </c>
      <c r="L4446" s="343">
        <v>-4.6100000000000003</v>
      </c>
      <c r="M4446" s="343">
        <v>-912699.01</v>
      </c>
      <c r="O4446" s="343">
        <v>0</v>
      </c>
    </row>
    <row r="4447" spans="1:15" x14ac:dyDescent="0.3">
      <c r="A4447" s="340" t="s">
        <v>891</v>
      </c>
      <c r="B4447" s="350">
        <v>46142</v>
      </c>
      <c r="C4447" s="350">
        <v>46162</v>
      </c>
      <c r="D4447" s="351">
        <v>46143</v>
      </c>
      <c r="E4447" s="340" t="s">
        <v>3171</v>
      </c>
      <c r="F4447" s="340" t="s">
        <v>894</v>
      </c>
      <c r="G4447" s="340" t="s">
        <v>3020</v>
      </c>
      <c r="H4447" s="340"/>
      <c r="I4447" s="340" t="s">
        <v>771</v>
      </c>
      <c r="K4447" s="343">
        <v>0</v>
      </c>
      <c r="L4447" s="343">
        <v>-0.53</v>
      </c>
      <c r="M4447" s="343">
        <v>-912699.54</v>
      </c>
      <c r="O4447" s="343">
        <v>0</v>
      </c>
    </row>
    <row r="4448" spans="1:15" x14ac:dyDescent="0.3">
      <c r="A4448" s="340" t="s">
        <v>891</v>
      </c>
      <c r="B4448" s="350">
        <v>46142</v>
      </c>
      <c r="C4448" s="350">
        <v>46162</v>
      </c>
      <c r="D4448" s="351">
        <v>46143</v>
      </c>
      <c r="E4448" s="340" t="s">
        <v>3171</v>
      </c>
      <c r="F4448" s="340" t="s">
        <v>894</v>
      </c>
      <c r="G4448" s="340" t="s">
        <v>3018</v>
      </c>
      <c r="H4448" s="340"/>
      <c r="I4448" s="340" t="s">
        <v>771</v>
      </c>
      <c r="K4448" s="343">
        <v>0</v>
      </c>
      <c r="L4448" s="343">
        <v>-0.53</v>
      </c>
      <c r="M4448" s="343">
        <v>-912700.07</v>
      </c>
      <c r="O4448" s="343">
        <v>0</v>
      </c>
    </row>
    <row r="4449" spans="1:15" x14ac:dyDescent="0.3">
      <c r="A4449" s="340" t="s">
        <v>891</v>
      </c>
      <c r="B4449" s="350">
        <v>46142</v>
      </c>
      <c r="C4449" s="350">
        <v>46162</v>
      </c>
      <c r="D4449" s="351">
        <v>46143</v>
      </c>
      <c r="E4449" s="340" t="s">
        <v>3171</v>
      </c>
      <c r="F4449" s="340" t="s">
        <v>894</v>
      </c>
      <c r="G4449" s="340" t="s">
        <v>3020</v>
      </c>
      <c r="H4449" s="340"/>
      <c r="I4449" s="340" t="s">
        <v>771</v>
      </c>
      <c r="K4449" s="343">
        <v>0</v>
      </c>
      <c r="L4449" s="343">
        <v>-0.77</v>
      </c>
      <c r="M4449" s="343">
        <v>-912700.84</v>
      </c>
      <c r="O4449" s="343">
        <v>0</v>
      </c>
    </row>
    <row r="4450" spans="1:15" x14ac:dyDescent="0.3">
      <c r="A4450" s="340" t="s">
        <v>891</v>
      </c>
      <c r="B4450" s="350">
        <v>46142</v>
      </c>
      <c r="C4450" s="350">
        <v>46162</v>
      </c>
      <c r="D4450" s="351">
        <v>46143</v>
      </c>
      <c r="E4450" s="340" t="s">
        <v>3171</v>
      </c>
      <c r="F4450" s="340" t="s">
        <v>894</v>
      </c>
      <c r="G4450" s="340" t="s">
        <v>3022</v>
      </c>
      <c r="H4450" s="340"/>
      <c r="I4450" s="340" t="s">
        <v>771</v>
      </c>
      <c r="K4450" s="343">
        <v>0</v>
      </c>
      <c r="L4450" s="343">
        <v>-1.06</v>
      </c>
      <c r="M4450" s="343">
        <v>-912701.9</v>
      </c>
      <c r="O4450" s="343">
        <v>0</v>
      </c>
    </row>
    <row r="4451" spans="1:15" x14ac:dyDescent="0.3">
      <c r="A4451" s="340" t="s">
        <v>891</v>
      </c>
      <c r="B4451" s="350">
        <v>46142</v>
      </c>
      <c r="C4451" s="350">
        <v>46162</v>
      </c>
      <c r="D4451" s="351">
        <v>46143</v>
      </c>
      <c r="E4451" s="340" t="s">
        <v>3171</v>
      </c>
      <c r="F4451" s="340" t="s">
        <v>894</v>
      </c>
      <c r="G4451" s="340" t="s">
        <v>3022</v>
      </c>
      <c r="H4451" s="340"/>
      <c r="I4451" s="340" t="s">
        <v>771</v>
      </c>
      <c r="K4451" s="343">
        <v>0</v>
      </c>
      <c r="L4451" s="343">
        <v>-1.53</v>
      </c>
      <c r="M4451" s="343">
        <v>-912703.43</v>
      </c>
      <c r="O4451" s="343">
        <v>0</v>
      </c>
    </row>
    <row r="4452" spans="1:15" x14ac:dyDescent="0.3">
      <c r="A4452" s="340" t="s">
        <v>891</v>
      </c>
      <c r="B4452" s="350">
        <v>46142</v>
      </c>
      <c r="C4452" s="350">
        <v>46162</v>
      </c>
      <c r="D4452" s="351">
        <v>46143</v>
      </c>
      <c r="E4452" s="340" t="s">
        <v>3171</v>
      </c>
      <c r="F4452" s="340" t="s">
        <v>894</v>
      </c>
      <c r="G4452" s="340" t="s">
        <v>3017</v>
      </c>
      <c r="H4452" s="340"/>
      <c r="I4452" s="340" t="s">
        <v>771</v>
      </c>
      <c r="K4452" s="343">
        <v>0</v>
      </c>
      <c r="L4452" s="343">
        <v>-2.2599999999999998</v>
      </c>
      <c r="M4452" s="343">
        <v>-912705.69</v>
      </c>
      <c r="O4452" s="343">
        <v>0</v>
      </c>
    </row>
    <row r="4453" spans="1:15" x14ac:dyDescent="0.3">
      <c r="A4453" s="340" t="s">
        <v>891</v>
      </c>
      <c r="B4453" s="350">
        <v>46142</v>
      </c>
      <c r="C4453" s="350">
        <v>46162</v>
      </c>
      <c r="D4453" s="351">
        <v>46143</v>
      </c>
      <c r="E4453" s="340" t="s">
        <v>3171</v>
      </c>
      <c r="F4453" s="340" t="s">
        <v>894</v>
      </c>
      <c r="G4453" s="340" t="s">
        <v>3023</v>
      </c>
      <c r="H4453" s="340"/>
      <c r="I4453" s="340" t="s">
        <v>771</v>
      </c>
      <c r="K4453" s="343">
        <v>0</v>
      </c>
      <c r="L4453" s="343">
        <v>-3.08</v>
      </c>
      <c r="M4453" s="343">
        <v>-912708.77</v>
      </c>
      <c r="O4453" s="343">
        <v>0</v>
      </c>
    </row>
    <row r="4454" spans="1:15" x14ac:dyDescent="0.3">
      <c r="A4454" s="340" t="s">
        <v>891</v>
      </c>
      <c r="B4454" s="350">
        <v>46142</v>
      </c>
      <c r="C4454" s="350">
        <v>46162</v>
      </c>
      <c r="D4454" s="351">
        <v>46143</v>
      </c>
      <c r="E4454" s="340" t="s">
        <v>3171</v>
      </c>
      <c r="F4454" s="340" t="s">
        <v>894</v>
      </c>
      <c r="G4454" s="340" t="s">
        <v>3021</v>
      </c>
      <c r="H4454" s="340"/>
      <c r="I4454" s="340" t="s">
        <v>771</v>
      </c>
      <c r="K4454" s="343">
        <v>0</v>
      </c>
      <c r="L4454" s="343">
        <v>-4.6100000000000003</v>
      </c>
      <c r="M4454" s="343">
        <v>-912713.38</v>
      </c>
      <c r="O4454" s="343">
        <v>0</v>
      </c>
    </row>
    <row r="4455" spans="1:15" x14ac:dyDescent="0.3">
      <c r="A4455" s="340" t="s">
        <v>891</v>
      </c>
      <c r="B4455" s="350">
        <v>46142</v>
      </c>
      <c r="C4455" s="350">
        <v>46162</v>
      </c>
      <c r="D4455" s="351">
        <v>46143</v>
      </c>
      <c r="E4455" s="340" t="s">
        <v>3171</v>
      </c>
      <c r="F4455" s="340" t="s">
        <v>894</v>
      </c>
      <c r="G4455" s="340" t="s">
        <v>3024</v>
      </c>
      <c r="H4455" s="340"/>
      <c r="I4455" s="340" t="s">
        <v>771</v>
      </c>
      <c r="K4455" s="343">
        <v>0</v>
      </c>
      <c r="L4455" s="343">
        <v>-6.29</v>
      </c>
      <c r="M4455" s="343">
        <v>-912719.67</v>
      </c>
      <c r="O4455" s="343">
        <v>0</v>
      </c>
    </row>
    <row r="4456" spans="1:15" x14ac:dyDescent="0.3">
      <c r="A4456" s="340" t="s">
        <v>891</v>
      </c>
      <c r="B4456" s="350">
        <v>46142</v>
      </c>
      <c r="C4456" s="350">
        <v>46162</v>
      </c>
      <c r="D4456" s="351">
        <v>46143</v>
      </c>
      <c r="E4456" s="340" t="s">
        <v>3171</v>
      </c>
      <c r="F4456" s="340" t="s">
        <v>894</v>
      </c>
      <c r="G4456" s="340" t="s">
        <v>3025</v>
      </c>
      <c r="H4456" s="340"/>
      <c r="I4456" s="340" t="s">
        <v>771</v>
      </c>
      <c r="K4456" s="343">
        <v>0</v>
      </c>
      <c r="L4456" s="343">
        <v>-17.809999999999999</v>
      </c>
      <c r="M4456" s="343">
        <v>-912737.48</v>
      </c>
      <c r="O4456" s="343">
        <v>0</v>
      </c>
    </row>
    <row r="4457" spans="1:15" x14ac:dyDescent="0.3">
      <c r="A4457" s="340" t="s">
        <v>891</v>
      </c>
      <c r="B4457" s="350">
        <v>46142</v>
      </c>
      <c r="C4457" s="350">
        <v>46162</v>
      </c>
      <c r="D4457" s="351">
        <v>46143</v>
      </c>
      <c r="E4457" s="340" t="s">
        <v>3171</v>
      </c>
      <c r="F4457" s="340" t="s">
        <v>894</v>
      </c>
      <c r="G4457" s="340" t="s">
        <v>3026</v>
      </c>
      <c r="H4457" s="340"/>
      <c r="I4457" s="340" t="s">
        <v>771</v>
      </c>
      <c r="K4457" s="343">
        <v>0</v>
      </c>
      <c r="L4457" s="343">
        <v>-20.85</v>
      </c>
      <c r="M4457" s="343">
        <v>-912758.33</v>
      </c>
      <c r="O4457" s="343">
        <v>0</v>
      </c>
    </row>
    <row r="4458" spans="1:15" x14ac:dyDescent="0.3">
      <c r="A4458" s="340" t="s">
        <v>891</v>
      </c>
      <c r="B4458" s="350">
        <v>46142</v>
      </c>
      <c r="C4458" s="350">
        <v>46162</v>
      </c>
      <c r="D4458" s="351">
        <v>46143</v>
      </c>
      <c r="E4458" s="340" t="s">
        <v>3171</v>
      </c>
      <c r="F4458" s="340" t="s">
        <v>894</v>
      </c>
      <c r="G4458" s="340" t="s">
        <v>3005</v>
      </c>
      <c r="H4458" s="340"/>
      <c r="I4458" s="340" t="s">
        <v>771</v>
      </c>
      <c r="K4458" s="343">
        <v>0</v>
      </c>
      <c r="L4458" s="343">
        <v>-71.319999999999993</v>
      </c>
      <c r="M4458" s="343">
        <v>-912829.65</v>
      </c>
      <c r="O4458" s="343">
        <v>0</v>
      </c>
    </row>
    <row r="4459" spans="1:15" x14ac:dyDescent="0.3">
      <c r="A4459" s="340" t="s">
        <v>891</v>
      </c>
      <c r="B4459" s="350">
        <v>46142</v>
      </c>
      <c r="C4459" s="350">
        <v>46162</v>
      </c>
      <c r="D4459" s="351">
        <v>46143</v>
      </c>
      <c r="E4459" s="340" t="s">
        <v>3171</v>
      </c>
      <c r="F4459" s="340" t="s">
        <v>894</v>
      </c>
      <c r="G4459" s="340" t="s">
        <v>3016</v>
      </c>
      <c r="H4459" s="340"/>
      <c r="I4459" s="340" t="s">
        <v>771</v>
      </c>
      <c r="K4459" s="343">
        <v>0</v>
      </c>
      <c r="L4459" s="343">
        <v>-0.01</v>
      </c>
      <c r="M4459" s="343">
        <v>-912829.66</v>
      </c>
      <c r="O4459" s="343">
        <v>0</v>
      </c>
    </row>
    <row r="4460" spans="1:15" x14ac:dyDescent="0.3">
      <c r="A4460" s="340" t="s">
        <v>891</v>
      </c>
      <c r="B4460" s="350">
        <v>46142</v>
      </c>
      <c r="C4460" s="350">
        <v>46162</v>
      </c>
      <c r="D4460" s="351">
        <v>46143</v>
      </c>
      <c r="E4460" s="340" t="s">
        <v>3171</v>
      </c>
      <c r="F4460" s="340" t="s">
        <v>894</v>
      </c>
      <c r="G4460" s="340" t="s">
        <v>3016</v>
      </c>
      <c r="H4460" s="340"/>
      <c r="I4460" s="340" t="s">
        <v>771</v>
      </c>
      <c r="K4460" s="343">
        <v>0</v>
      </c>
      <c r="L4460" s="343">
        <v>-0.02</v>
      </c>
      <c r="M4460" s="343">
        <v>-912829.68</v>
      </c>
      <c r="O4460" s="343">
        <v>0</v>
      </c>
    </row>
    <row r="4461" spans="1:15" x14ac:dyDescent="0.3">
      <c r="A4461" s="340" t="s">
        <v>891</v>
      </c>
      <c r="B4461" s="350">
        <v>46142</v>
      </c>
      <c r="C4461" s="350">
        <v>46162</v>
      </c>
      <c r="D4461" s="351">
        <v>46143</v>
      </c>
      <c r="E4461" s="340" t="s">
        <v>3171</v>
      </c>
      <c r="F4461" s="340" t="s">
        <v>894</v>
      </c>
      <c r="G4461" s="340" t="s">
        <v>3018</v>
      </c>
      <c r="H4461" s="340"/>
      <c r="I4461" s="340" t="s">
        <v>771</v>
      </c>
      <c r="K4461" s="343">
        <v>0</v>
      </c>
      <c r="L4461" s="343">
        <v>-0.04</v>
      </c>
      <c r="M4461" s="343">
        <v>-912829.72</v>
      </c>
      <c r="O4461" s="343">
        <v>0</v>
      </c>
    </row>
    <row r="4462" spans="1:15" x14ac:dyDescent="0.3">
      <c r="A4462" s="340" t="s">
        <v>891</v>
      </c>
      <c r="B4462" s="350">
        <v>46142</v>
      </c>
      <c r="C4462" s="350">
        <v>46162</v>
      </c>
      <c r="D4462" s="351">
        <v>46143</v>
      </c>
      <c r="E4462" s="340" t="s">
        <v>3171</v>
      </c>
      <c r="F4462" s="340" t="s">
        <v>894</v>
      </c>
      <c r="G4462" s="340" t="s">
        <v>3020</v>
      </c>
      <c r="H4462" s="340"/>
      <c r="I4462" s="340" t="s">
        <v>771</v>
      </c>
      <c r="K4462" s="343">
        <v>0</v>
      </c>
      <c r="L4462" s="343">
        <v>-0.05</v>
      </c>
      <c r="M4462" s="343">
        <v>-912829.77</v>
      </c>
      <c r="O4462" s="343">
        <v>0</v>
      </c>
    </row>
    <row r="4463" spans="1:15" x14ac:dyDescent="0.3">
      <c r="A4463" s="340" t="s">
        <v>891</v>
      </c>
      <c r="B4463" s="350">
        <v>46142</v>
      </c>
      <c r="C4463" s="350">
        <v>46162</v>
      </c>
      <c r="D4463" s="351">
        <v>46143</v>
      </c>
      <c r="E4463" s="340" t="s">
        <v>3171</v>
      </c>
      <c r="F4463" s="340" t="s">
        <v>894</v>
      </c>
      <c r="G4463" s="340" t="s">
        <v>3020</v>
      </c>
      <c r="H4463" s="340"/>
      <c r="I4463" s="340" t="s">
        <v>771</v>
      </c>
      <c r="K4463" s="343">
        <v>0</v>
      </c>
      <c r="L4463" s="343">
        <v>-0.1</v>
      </c>
      <c r="M4463" s="343">
        <v>-912829.87</v>
      </c>
      <c r="O4463" s="343">
        <v>0</v>
      </c>
    </row>
    <row r="4464" spans="1:15" x14ac:dyDescent="0.3">
      <c r="A4464" s="340" t="s">
        <v>891</v>
      </c>
      <c r="B4464" s="350">
        <v>46142</v>
      </c>
      <c r="C4464" s="350">
        <v>46162</v>
      </c>
      <c r="D4464" s="351">
        <v>46143</v>
      </c>
      <c r="E4464" s="340" t="s">
        <v>3171</v>
      </c>
      <c r="F4464" s="340" t="s">
        <v>894</v>
      </c>
      <c r="G4464" s="340" t="s">
        <v>3022</v>
      </c>
      <c r="H4464" s="340"/>
      <c r="I4464" s="340" t="s">
        <v>771</v>
      </c>
      <c r="K4464" s="343">
        <v>0</v>
      </c>
      <c r="L4464" s="343">
        <v>-0.11</v>
      </c>
      <c r="M4464" s="343">
        <v>-912829.98</v>
      </c>
      <c r="O4464" s="343">
        <v>0</v>
      </c>
    </row>
    <row r="4465" spans="1:15" x14ac:dyDescent="0.3">
      <c r="A4465" s="340" t="s">
        <v>891</v>
      </c>
      <c r="B4465" s="350">
        <v>46142</v>
      </c>
      <c r="C4465" s="350">
        <v>46162</v>
      </c>
      <c r="D4465" s="351">
        <v>46143</v>
      </c>
      <c r="E4465" s="340" t="s">
        <v>3171</v>
      </c>
      <c r="F4465" s="340" t="s">
        <v>894</v>
      </c>
      <c r="G4465" s="340" t="s">
        <v>3022</v>
      </c>
      <c r="H4465" s="340"/>
      <c r="I4465" s="340" t="s">
        <v>771</v>
      </c>
      <c r="K4465" s="343">
        <v>0</v>
      </c>
      <c r="L4465" s="343">
        <v>-0.21</v>
      </c>
      <c r="M4465" s="343">
        <v>-912830.19</v>
      </c>
      <c r="O4465" s="343">
        <v>0</v>
      </c>
    </row>
    <row r="4466" spans="1:15" x14ac:dyDescent="0.3">
      <c r="A4466" s="340" t="s">
        <v>891</v>
      </c>
      <c r="B4466" s="350">
        <v>46142</v>
      </c>
      <c r="C4466" s="350">
        <v>46162</v>
      </c>
      <c r="D4466" s="351">
        <v>46143</v>
      </c>
      <c r="E4466" s="340" t="s">
        <v>3171</v>
      </c>
      <c r="F4466" s="340" t="s">
        <v>894</v>
      </c>
      <c r="G4466" s="340" t="s">
        <v>3023</v>
      </c>
      <c r="H4466" s="340"/>
      <c r="I4466" s="340" t="s">
        <v>771</v>
      </c>
      <c r="K4466" s="343">
        <v>0</v>
      </c>
      <c r="L4466" s="343">
        <v>-0.22</v>
      </c>
      <c r="M4466" s="343">
        <v>-912830.41</v>
      </c>
      <c r="O4466" s="343">
        <v>0</v>
      </c>
    </row>
    <row r="4467" spans="1:15" x14ac:dyDescent="0.3">
      <c r="A4467" s="340" t="s">
        <v>891</v>
      </c>
      <c r="B4467" s="350">
        <v>46142</v>
      </c>
      <c r="C4467" s="350">
        <v>46162</v>
      </c>
      <c r="D4467" s="351">
        <v>46143</v>
      </c>
      <c r="E4467" s="340" t="s">
        <v>3171</v>
      </c>
      <c r="F4467" s="340" t="s">
        <v>894</v>
      </c>
      <c r="G4467" s="340" t="s">
        <v>3024</v>
      </c>
      <c r="H4467" s="340"/>
      <c r="I4467" s="340" t="s">
        <v>771</v>
      </c>
      <c r="K4467" s="343">
        <v>0</v>
      </c>
      <c r="L4467" s="343">
        <v>-0.45</v>
      </c>
      <c r="M4467" s="343">
        <v>-912830.86</v>
      </c>
      <c r="O4467" s="343">
        <v>0</v>
      </c>
    </row>
    <row r="4468" spans="1:15" x14ac:dyDescent="0.3">
      <c r="A4468" s="340" t="s">
        <v>891</v>
      </c>
      <c r="B4468" s="350">
        <v>46142</v>
      </c>
      <c r="C4468" s="350">
        <v>46162</v>
      </c>
      <c r="D4468" s="351">
        <v>46143</v>
      </c>
      <c r="E4468" s="340" t="s">
        <v>3171</v>
      </c>
      <c r="F4468" s="340" t="s">
        <v>894</v>
      </c>
      <c r="G4468" s="340" t="s">
        <v>3025</v>
      </c>
      <c r="H4468" s="340"/>
      <c r="I4468" s="340" t="s">
        <v>771</v>
      </c>
      <c r="K4468" s="343">
        <v>0</v>
      </c>
      <c r="L4468" s="343">
        <v>-1.27</v>
      </c>
      <c r="M4468" s="343">
        <v>-912832.13</v>
      </c>
      <c r="O4468" s="343">
        <v>0</v>
      </c>
    </row>
    <row r="4469" spans="1:15" x14ac:dyDescent="0.3">
      <c r="A4469" s="340" t="s">
        <v>891</v>
      </c>
      <c r="B4469" s="350">
        <v>46142</v>
      </c>
      <c r="C4469" s="350">
        <v>46162</v>
      </c>
      <c r="D4469" s="351">
        <v>46143</v>
      </c>
      <c r="E4469" s="340" t="s">
        <v>3171</v>
      </c>
      <c r="F4469" s="340" t="s">
        <v>894</v>
      </c>
      <c r="G4469" s="340" t="s">
        <v>3026</v>
      </c>
      <c r="H4469" s="340"/>
      <c r="I4469" s="340" t="s">
        <v>771</v>
      </c>
      <c r="K4469" s="343">
        <v>0</v>
      </c>
      <c r="L4469" s="343">
        <v>-1.49</v>
      </c>
      <c r="M4469" s="343">
        <v>-912833.62</v>
      </c>
      <c r="O4469" s="343">
        <v>0</v>
      </c>
    </row>
    <row r="4470" spans="1:15" x14ac:dyDescent="0.3">
      <c r="A4470" s="340" t="s">
        <v>891</v>
      </c>
      <c r="B4470" s="350">
        <v>46142</v>
      </c>
      <c r="C4470" s="350">
        <v>46162</v>
      </c>
      <c r="D4470" s="351">
        <v>46143</v>
      </c>
      <c r="E4470" s="340" t="s">
        <v>3171</v>
      </c>
      <c r="F4470" s="340" t="s">
        <v>894</v>
      </c>
      <c r="G4470" s="340" t="s">
        <v>3017</v>
      </c>
      <c r="H4470" s="340"/>
      <c r="I4470" s="340" t="s">
        <v>771</v>
      </c>
      <c r="K4470" s="343">
        <v>0</v>
      </c>
      <c r="L4470" s="343">
        <v>-2.2599999999999998</v>
      </c>
      <c r="M4470" s="343">
        <v>-912835.88</v>
      </c>
      <c r="O4470" s="343">
        <v>0</v>
      </c>
    </row>
    <row r="4471" spans="1:15" x14ac:dyDescent="0.3">
      <c r="A4471" s="340" t="s">
        <v>891</v>
      </c>
      <c r="B4471" s="350">
        <v>46142</v>
      </c>
      <c r="C4471" s="350">
        <v>46162</v>
      </c>
      <c r="D4471" s="351">
        <v>46143</v>
      </c>
      <c r="E4471" s="340" t="s">
        <v>3171</v>
      </c>
      <c r="F4471" s="340" t="s">
        <v>894</v>
      </c>
      <c r="G4471" s="340" t="s">
        <v>3021</v>
      </c>
      <c r="H4471" s="340"/>
      <c r="I4471" s="340" t="s">
        <v>771</v>
      </c>
      <c r="K4471" s="343">
        <v>0</v>
      </c>
      <c r="L4471" s="343">
        <v>-4.6100000000000003</v>
      </c>
      <c r="M4471" s="343">
        <v>-912840.49</v>
      </c>
      <c r="O4471" s="343">
        <v>0</v>
      </c>
    </row>
    <row r="4472" spans="1:15" x14ac:dyDescent="0.3">
      <c r="A4472" s="340" t="s">
        <v>891</v>
      </c>
      <c r="B4472" s="350">
        <v>46142</v>
      </c>
      <c r="C4472" s="350">
        <v>46162</v>
      </c>
      <c r="D4472" s="351">
        <v>46143</v>
      </c>
      <c r="E4472" s="340" t="s">
        <v>3171</v>
      </c>
      <c r="F4472" s="340" t="s">
        <v>894</v>
      </c>
      <c r="G4472" s="340" t="s">
        <v>3005</v>
      </c>
      <c r="H4472" s="340"/>
      <c r="I4472" s="340" t="s">
        <v>771</v>
      </c>
      <c r="K4472" s="343">
        <v>0</v>
      </c>
      <c r="L4472" s="343">
        <v>-5.09</v>
      </c>
      <c r="M4472" s="343">
        <v>-912845.58</v>
      </c>
      <c r="O4472" s="343">
        <v>0</v>
      </c>
    </row>
    <row r="4473" spans="1:15" x14ac:dyDescent="0.3">
      <c r="A4473" s="340" t="s">
        <v>891</v>
      </c>
      <c r="B4473" s="350">
        <v>46142</v>
      </c>
      <c r="C4473" s="350">
        <v>46162</v>
      </c>
      <c r="D4473" s="351">
        <v>46143</v>
      </c>
      <c r="E4473" s="340" t="s">
        <v>3171</v>
      </c>
      <c r="F4473" s="340" t="s">
        <v>894</v>
      </c>
      <c r="G4473" s="340" t="s">
        <v>3016</v>
      </c>
      <c r="H4473" s="340"/>
      <c r="I4473" s="340" t="s">
        <v>771</v>
      </c>
      <c r="K4473" s="343">
        <v>0</v>
      </c>
      <c r="L4473" s="343">
        <v>-0.01</v>
      </c>
      <c r="M4473" s="343">
        <v>-912845.59</v>
      </c>
      <c r="O4473" s="343">
        <v>0</v>
      </c>
    </row>
    <row r="4474" spans="1:15" x14ac:dyDescent="0.3">
      <c r="A4474" s="340" t="s">
        <v>891</v>
      </c>
      <c r="B4474" s="350">
        <v>46142</v>
      </c>
      <c r="C4474" s="350">
        <v>46162</v>
      </c>
      <c r="D4474" s="351">
        <v>46143</v>
      </c>
      <c r="E4474" s="340" t="s">
        <v>3171</v>
      </c>
      <c r="F4474" s="340" t="s">
        <v>894</v>
      </c>
      <c r="G4474" s="340" t="s">
        <v>3016</v>
      </c>
      <c r="H4474" s="340"/>
      <c r="I4474" s="340" t="s">
        <v>771</v>
      </c>
      <c r="K4474" s="343">
        <v>0</v>
      </c>
      <c r="L4474" s="343">
        <v>-0.02</v>
      </c>
      <c r="M4474" s="343">
        <v>-912845.61</v>
      </c>
      <c r="O4474" s="343">
        <v>0</v>
      </c>
    </row>
    <row r="4475" spans="1:15" x14ac:dyDescent="0.3">
      <c r="A4475" s="340" t="s">
        <v>891</v>
      </c>
      <c r="B4475" s="350">
        <v>46142</v>
      </c>
      <c r="C4475" s="350">
        <v>46162</v>
      </c>
      <c r="D4475" s="351">
        <v>46143</v>
      </c>
      <c r="E4475" s="340" t="s">
        <v>3171</v>
      </c>
      <c r="F4475" s="340" t="s">
        <v>894</v>
      </c>
      <c r="G4475" s="340" t="s">
        <v>3018</v>
      </c>
      <c r="H4475" s="340"/>
      <c r="I4475" s="340" t="s">
        <v>771</v>
      </c>
      <c r="K4475" s="343">
        <v>0</v>
      </c>
      <c r="L4475" s="343">
        <v>-0.06</v>
      </c>
      <c r="M4475" s="343">
        <v>-912845.67</v>
      </c>
      <c r="O4475" s="343">
        <v>0</v>
      </c>
    </row>
    <row r="4476" spans="1:15" x14ac:dyDescent="0.3">
      <c r="A4476" s="340" t="s">
        <v>891</v>
      </c>
      <c r="B4476" s="350">
        <v>46142</v>
      </c>
      <c r="C4476" s="350">
        <v>46162</v>
      </c>
      <c r="D4476" s="351">
        <v>46143</v>
      </c>
      <c r="E4476" s="340" t="s">
        <v>3171</v>
      </c>
      <c r="F4476" s="340" t="s">
        <v>894</v>
      </c>
      <c r="G4476" s="340" t="s">
        <v>3020</v>
      </c>
      <c r="H4476" s="340"/>
      <c r="I4476" s="340" t="s">
        <v>771</v>
      </c>
      <c r="K4476" s="343">
        <v>0</v>
      </c>
      <c r="L4476" s="343">
        <v>-0.08</v>
      </c>
      <c r="M4476" s="343">
        <v>-912845.75</v>
      </c>
      <c r="O4476" s="343">
        <v>0</v>
      </c>
    </row>
    <row r="4477" spans="1:15" x14ac:dyDescent="0.3">
      <c r="A4477" s="340" t="s">
        <v>891</v>
      </c>
      <c r="B4477" s="350">
        <v>46142</v>
      </c>
      <c r="C4477" s="350">
        <v>46162</v>
      </c>
      <c r="D4477" s="351">
        <v>46143</v>
      </c>
      <c r="E4477" s="340" t="s">
        <v>3171</v>
      </c>
      <c r="F4477" s="340" t="s">
        <v>894</v>
      </c>
      <c r="G4477" s="340" t="s">
        <v>3020</v>
      </c>
      <c r="H4477" s="340"/>
      <c r="I4477" s="340" t="s">
        <v>771</v>
      </c>
      <c r="K4477" s="343">
        <v>0</v>
      </c>
      <c r="L4477" s="343">
        <v>-0.12</v>
      </c>
      <c r="M4477" s="343">
        <v>-912845.87</v>
      </c>
      <c r="O4477" s="343">
        <v>0</v>
      </c>
    </row>
    <row r="4478" spans="1:15" x14ac:dyDescent="0.3">
      <c r="A4478" s="340" t="s">
        <v>891</v>
      </c>
      <c r="B4478" s="350">
        <v>46142</v>
      </c>
      <c r="C4478" s="350">
        <v>46162</v>
      </c>
      <c r="D4478" s="351">
        <v>46143</v>
      </c>
      <c r="E4478" s="340" t="s">
        <v>3171</v>
      </c>
      <c r="F4478" s="340" t="s">
        <v>894</v>
      </c>
      <c r="G4478" s="340" t="s">
        <v>3022</v>
      </c>
      <c r="H4478" s="340"/>
      <c r="I4478" s="340" t="s">
        <v>771</v>
      </c>
      <c r="K4478" s="343">
        <v>0</v>
      </c>
      <c r="L4478" s="343">
        <v>-0.17</v>
      </c>
      <c r="M4478" s="343">
        <v>-912846.04</v>
      </c>
      <c r="O4478" s="343">
        <v>0</v>
      </c>
    </row>
    <row r="4479" spans="1:15" x14ac:dyDescent="0.3">
      <c r="A4479" s="340" t="s">
        <v>891</v>
      </c>
      <c r="B4479" s="350">
        <v>46142</v>
      </c>
      <c r="C4479" s="350">
        <v>46162</v>
      </c>
      <c r="D4479" s="351">
        <v>46143</v>
      </c>
      <c r="E4479" s="340" t="s">
        <v>3171</v>
      </c>
      <c r="F4479" s="340" t="s">
        <v>894</v>
      </c>
      <c r="G4479" s="340" t="s">
        <v>3022</v>
      </c>
      <c r="H4479" s="340"/>
      <c r="I4479" s="340" t="s">
        <v>771</v>
      </c>
      <c r="K4479" s="343">
        <v>0</v>
      </c>
      <c r="L4479" s="343">
        <v>-0.24</v>
      </c>
      <c r="M4479" s="343">
        <v>-912846.28</v>
      </c>
      <c r="O4479" s="343">
        <v>0</v>
      </c>
    </row>
    <row r="4480" spans="1:15" x14ac:dyDescent="0.3">
      <c r="A4480" s="340" t="s">
        <v>891</v>
      </c>
      <c r="B4480" s="350">
        <v>46142</v>
      </c>
      <c r="C4480" s="350">
        <v>46162</v>
      </c>
      <c r="D4480" s="351">
        <v>46143</v>
      </c>
      <c r="E4480" s="340" t="s">
        <v>3171</v>
      </c>
      <c r="F4480" s="340" t="s">
        <v>894</v>
      </c>
      <c r="G4480" s="340" t="s">
        <v>3023</v>
      </c>
      <c r="H4480" s="340"/>
      <c r="I4480" s="340" t="s">
        <v>771</v>
      </c>
      <c r="K4480" s="343">
        <v>0</v>
      </c>
      <c r="L4480" s="343">
        <v>-0.33</v>
      </c>
      <c r="M4480" s="343">
        <v>-912846.61</v>
      </c>
      <c r="O4480" s="343">
        <v>0</v>
      </c>
    </row>
    <row r="4481" spans="1:15" x14ac:dyDescent="0.3">
      <c r="A4481" s="340" t="s">
        <v>891</v>
      </c>
      <c r="B4481" s="350">
        <v>46142</v>
      </c>
      <c r="C4481" s="350">
        <v>46162</v>
      </c>
      <c r="D4481" s="351">
        <v>46143</v>
      </c>
      <c r="E4481" s="340" t="s">
        <v>3171</v>
      </c>
      <c r="F4481" s="340" t="s">
        <v>894</v>
      </c>
      <c r="G4481" s="340" t="s">
        <v>3024</v>
      </c>
      <c r="H4481" s="340"/>
      <c r="I4481" s="340" t="s">
        <v>771</v>
      </c>
      <c r="K4481" s="343">
        <v>0</v>
      </c>
      <c r="L4481" s="343">
        <v>-0.68</v>
      </c>
      <c r="M4481" s="343">
        <v>-912847.29</v>
      </c>
      <c r="O4481" s="343">
        <v>0</v>
      </c>
    </row>
    <row r="4482" spans="1:15" x14ac:dyDescent="0.3">
      <c r="A4482" s="340" t="s">
        <v>891</v>
      </c>
      <c r="B4482" s="350">
        <v>46142</v>
      </c>
      <c r="C4482" s="350">
        <v>46162</v>
      </c>
      <c r="D4482" s="351">
        <v>46143</v>
      </c>
      <c r="E4482" s="340" t="s">
        <v>3171</v>
      </c>
      <c r="F4482" s="340" t="s">
        <v>894</v>
      </c>
      <c r="G4482" s="340" t="s">
        <v>3025</v>
      </c>
      <c r="H4482" s="340"/>
      <c r="I4482" s="340" t="s">
        <v>771</v>
      </c>
      <c r="K4482" s="343">
        <v>0</v>
      </c>
      <c r="L4482" s="343">
        <v>-1.92</v>
      </c>
      <c r="M4482" s="343">
        <v>-912849.21</v>
      </c>
      <c r="O4482" s="343">
        <v>0</v>
      </c>
    </row>
    <row r="4483" spans="1:15" x14ac:dyDescent="0.3">
      <c r="A4483" s="340" t="s">
        <v>891</v>
      </c>
      <c r="B4483" s="350">
        <v>46142</v>
      </c>
      <c r="C4483" s="350">
        <v>46162</v>
      </c>
      <c r="D4483" s="351">
        <v>46143</v>
      </c>
      <c r="E4483" s="340" t="s">
        <v>3171</v>
      </c>
      <c r="F4483" s="340" t="s">
        <v>894</v>
      </c>
      <c r="G4483" s="340" t="s">
        <v>3026</v>
      </c>
      <c r="H4483" s="340"/>
      <c r="I4483" s="340" t="s">
        <v>771</v>
      </c>
      <c r="K4483" s="343">
        <v>0</v>
      </c>
      <c r="L4483" s="343">
        <v>-2.25</v>
      </c>
      <c r="M4483" s="343">
        <v>-912851.46</v>
      </c>
      <c r="O4483" s="343">
        <v>0</v>
      </c>
    </row>
    <row r="4484" spans="1:15" x14ac:dyDescent="0.3">
      <c r="A4484" s="340" t="s">
        <v>891</v>
      </c>
      <c r="B4484" s="350">
        <v>46142</v>
      </c>
      <c r="C4484" s="350">
        <v>46162</v>
      </c>
      <c r="D4484" s="351">
        <v>46143</v>
      </c>
      <c r="E4484" s="340" t="s">
        <v>3171</v>
      </c>
      <c r="F4484" s="340" t="s">
        <v>894</v>
      </c>
      <c r="G4484" s="340" t="s">
        <v>3017</v>
      </c>
      <c r="H4484" s="340"/>
      <c r="I4484" s="340" t="s">
        <v>771</v>
      </c>
      <c r="K4484" s="343">
        <v>0</v>
      </c>
      <c r="L4484" s="343">
        <v>-2.2599999999999998</v>
      </c>
      <c r="M4484" s="343">
        <v>-912853.72</v>
      </c>
      <c r="O4484" s="343">
        <v>0</v>
      </c>
    </row>
    <row r="4485" spans="1:15" x14ac:dyDescent="0.3">
      <c r="A4485" s="340" t="s">
        <v>891</v>
      </c>
      <c r="B4485" s="350">
        <v>46142</v>
      </c>
      <c r="C4485" s="350">
        <v>46162</v>
      </c>
      <c r="D4485" s="351">
        <v>46143</v>
      </c>
      <c r="E4485" s="340" t="s">
        <v>3171</v>
      </c>
      <c r="F4485" s="340" t="s">
        <v>894</v>
      </c>
      <c r="G4485" s="340" t="s">
        <v>3021</v>
      </c>
      <c r="H4485" s="340"/>
      <c r="I4485" s="340" t="s">
        <v>771</v>
      </c>
      <c r="K4485" s="343">
        <v>0</v>
      </c>
      <c r="L4485" s="343">
        <v>-4.6100000000000003</v>
      </c>
      <c r="M4485" s="343">
        <v>-912858.33</v>
      </c>
      <c r="O4485" s="343">
        <v>0</v>
      </c>
    </row>
    <row r="4486" spans="1:15" x14ac:dyDescent="0.3">
      <c r="A4486" s="340" t="s">
        <v>891</v>
      </c>
      <c r="B4486" s="350">
        <v>46142</v>
      </c>
      <c r="C4486" s="350">
        <v>46162</v>
      </c>
      <c r="D4486" s="351">
        <v>46143</v>
      </c>
      <c r="E4486" s="340" t="s">
        <v>3171</v>
      </c>
      <c r="F4486" s="340" t="s">
        <v>894</v>
      </c>
      <c r="G4486" s="340" t="s">
        <v>3005</v>
      </c>
      <c r="H4486" s="340"/>
      <c r="I4486" s="340" t="s">
        <v>771</v>
      </c>
      <c r="K4486" s="343">
        <v>0</v>
      </c>
      <c r="L4486" s="343">
        <v>-7.71</v>
      </c>
      <c r="M4486" s="343">
        <v>-912866.04</v>
      </c>
      <c r="O4486" s="343">
        <v>0</v>
      </c>
    </row>
    <row r="4487" spans="1:15" x14ac:dyDescent="0.3">
      <c r="A4487" s="340" t="s">
        <v>891</v>
      </c>
      <c r="B4487" s="350">
        <v>46142</v>
      </c>
      <c r="C4487" s="350">
        <v>46162</v>
      </c>
      <c r="D4487" s="351">
        <v>46143</v>
      </c>
      <c r="E4487" s="340" t="s">
        <v>3171</v>
      </c>
      <c r="F4487" s="340" t="s">
        <v>894</v>
      </c>
      <c r="G4487" s="340" t="s">
        <v>3016</v>
      </c>
      <c r="H4487" s="340"/>
      <c r="I4487" s="340" t="s">
        <v>771</v>
      </c>
      <c r="K4487" s="343">
        <v>0</v>
      </c>
      <c r="L4487" s="343">
        <v>-0.17</v>
      </c>
      <c r="M4487" s="343">
        <v>-912866.21</v>
      </c>
      <c r="O4487" s="343">
        <v>0</v>
      </c>
    </row>
    <row r="4488" spans="1:15" x14ac:dyDescent="0.3">
      <c r="A4488" s="340" t="s">
        <v>891</v>
      </c>
      <c r="B4488" s="350">
        <v>46142</v>
      </c>
      <c r="C4488" s="350">
        <v>46162</v>
      </c>
      <c r="D4488" s="351">
        <v>46143</v>
      </c>
      <c r="E4488" s="340" t="s">
        <v>3171</v>
      </c>
      <c r="F4488" s="340" t="s">
        <v>894</v>
      </c>
      <c r="G4488" s="340" t="s">
        <v>3016</v>
      </c>
      <c r="H4488" s="340"/>
      <c r="I4488" s="340" t="s">
        <v>771</v>
      </c>
      <c r="K4488" s="343">
        <v>0</v>
      </c>
      <c r="L4488" s="343">
        <v>-0.17</v>
      </c>
      <c r="M4488" s="343">
        <v>-912866.38</v>
      </c>
      <c r="O4488" s="343">
        <v>0</v>
      </c>
    </row>
    <row r="4489" spans="1:15" x14ac:dyDescent="0.3">
      <c r="A4489" s="340" t="s">
        <v>891</v>
      </c>
      <c r="B4489" s="350">
        <v>46142</v>
      </c>
      <c r="C4489" s="350">
        <v>46162</v>
      </c>
      <c r="D4489" s="351">
        <v>46143</v>
      </c>
      <c r="E4489" s="340" t="s">
        <v>3171</v>
      </c>
      <c r="F4489" s="340" t="s">
        <v>894</v>
      </c>
      <c r="G4489" s="340" t="s">
        <v>3018</v>
      </c>
      <c r="H4489" s="340"/>
      <c r="I4489" s="340" t="s">
        <v>771</v>
      </c>
      <c r="K4489" s="343">
        <v>0</v>
      </c>
      <c r="L4489" s="343">
        <v>-0.71</v>
      </c>
      <c r="M4489" s="343">
        <v>-912867.09</v>
      </c>
      <c r="O4489" s="343">
        <v>0</v>
      </c>
    </row>
    <row r="4490" spans="1:15" x14ac:dyDescent="0.3">
      <c r="A4490" s="340" t="s">
        <v>891</v>
      </c>
      <c r="B4490" s="350">
        <v>46142</v>
      </c>
      <c r="C4490" s="350">
        <v>46162</v>
      </c>
      <c r="D4490" s="351">
        <v>46143</v>
      </c>
      <c r="E4490" s="340" t="s">
        <v>3171</v>
      </c>
      <c r="F4490" s="340" t="s">
        <v>894</v>
      </c>
      <c r="G4490" s="340" t="s">
        <v>3019</v>
      </c>
      <c r="H4490" s="340"/>
      <c r="I4490" s="340" t="s">
        <v>771</v>
      </c>
      <c r="K4490" s="343">
        <v>0</v>
      </c>
      <c r="L4490" s="343">
        <v>-0.72</v>
      </c>
      <c r="M4490" s="343">
        <v>-912867.81</v>
      </c>
      <c r="O4490" s="343">
        <v>0</v>
      </c>
    </row>
    <row r="4491" spans="1:15" x14ac:dyDescent="0.3">
      <c r="A4491" s="340" t="s">
        <v>891</v>
      </c>
      <c r="B4491" s="350">
        <v>46142</v>
      </c>
      <c r="C4491" s="350">
        <v>46162</v>
      </c>
      <c r="D4491" s="351">
        <v>46143</v>
      </c>
      <c r="E4491" s="340" t="s">
        <v>3171</v>
      </c>
      <c r="F4491" s="340" t="s">
        <v>894</v>
      </c>
      <c r="G4491" s="340" t="s">
        <v>3020</v>
      </c>
      <c r="H4491" s="340"/>
      <c r="I4491" s="340" t="s">
        <v>771</v>
      </c>
      <c r="K4491" s="343">
        <v>0</v>
      </c>
      <c r="L4491" s="343">
        <v>-1.03</v>
      </c>
      <c r="M4491" s="343">
        <v>-912868.84</v>
      </c>
      <c r="O4491" s="343">
        <v>0</v>
      </c>
    </row>
    <row r="4492" spans="1:15" x14ac:dyDescent="0.3">
      <c r="A4492" s="340" t="s">
        <v>891</v>
      </c>
      <c r="B4492" s="350">
        <v>46142</v>
      </c>
      <c r="C4492" s="350">
        <v>46162</v>
      </c>
      <c r="D4492" s="351">
        <v>46143</v>
      </c>
      <c r="E4492" s="340" t="s">
        <v>3171</v>
      </c>
      <c r="F4492" s="340" t="s">
        <v>894</v>
      </c>
      <c r="G4492" s="340" t="s">
        <v>3020</v>
      </c>
      <c r="H4492" s="340"/>
      <c r="I4492" s="340" t="s">
        <v>771</v>
      </c>
      <c r="K4492" s="343">
        <v>0</v>
      </c>
      <c r="L4492" s="343">
        <v>-1.03</v>
      </c>
      <c r="M4492" s="343">
        <v>-912869.87</v>
      </c>
      <c r="O4492" s="343">
        <v>0</v>
      </c>
    </row>
    <row r="4493" spans="1:15" x14ac:dyDescent="0.3">
      <c r="A4493" s="340" t="s">
        <v>891</v>
      </c>
      <c r="B4493" s="350">
        <v>46142</v>
      </c>
      <c r="C4493" s="350">
        <v>46162</v>
      </c>
      <c r="D4493" s="351">
        <v>46143</v>
      </c>
      <c r="E4493" s="340" t="s">
        <v>3171</v>
      </c>
      <c r="F4493" s="340" t="s">
        <v>894</v>
      </c>
      <c r="G4493" s="340" t="s">
        <v>3022</v>
      </c>
      <c r="H4493" s="340"/>
      <c r="I4493" s="340" t="s">
        <v>771</v>
      </c>
      <c r="K4493" s="343">
        <v>0</v>
      </c>
      <c r="L4493" s="343">
        <v>-2.0499999999999998</v>
      </c>
      <c r="M4493" s="343">
        <v>-912871.92</v>
      </c>
      <c r="O4493" s="343">
        <v>0</v>
      </c>
    </row>
    <row r="4494" spans="1:15" x14ac:dyDescent="0.3">
      <c r="A4494" s="340" t="s">
        <v>891</v>
      </c>
      <c r="B4494" s="350">
        <v>46142</v>
      </c>
      <c r="C4494" s="350">
        <v>46162</v>
      </c>
      <c r="D4494" s="351">
        <v>46143</v>
      </c>
      <c r="E4494" s="340" t="s">
        <v>3171</v>
      </c>
      <c r="F4494" s="340" t="s">
        <v>894</v>
      </c>
      <c r="G4494" s="340" t="s">
        <v>3022</v>
      </c>
      <c r="H4494" s="340"/>
      <c r="I4494" s="340" t="s">
        <v>771</v>
      </c>
      <c r="K4494" s="343">
        <v>0</v>
      </c>
      <c r="L4494" s="343">
        <v>-2.06</v>
      </c>
      <c r="M4494" s="343">
        <v>-912873.98</v>
      </c>
      <c r="O4494" s="343">
        <v>0</v>
      </c>
    </row>
    <row r="4495" spans="1:15" x14ac:dyDescent="0.3">
      <c r="A4495" s="340" t="s">
        <v>891</v>
      </c>
      <c r="B4495" s="350">
        <v>46142</v>
      </c>
      <c r="C4495" s="350">
        <v>46162</v>
      </c>
      <c r="D4495" s="351">
        <v>46143</v>
      </c>
      <c r="E4495" s="340" t="s">
        <v>3171</v>
      </c>
      <c r="F4495" s="340" t="s">
        <v>894</v>
      </c>
      <c r="G4495" s="340" t="s">
        <v>3023</v>
      </c>
      <c r="H4495" s="340"/>
      <c r="I4495" s="340" t="s">
        <v>771</v>
      </c>
      <c r="K4495" s="343">
        <v>0</v>
      </c>
      <c r="L4495" s="343">
        <v>-4.3</v>
      </c>
      <c r="M4495" s="343">
        <v>-912878.28</v>
      </c>
      <c r="O4495" s="343">
        <v>0</v>
      </c>
    </row>
    <row r="4496" spans="1:15" x14ac:dyDescent="0.3">
      <c r="A4496" s="340" t="s">
        <v>891</v>
      </c>
      <c r="B4496" s="350">
        <v>46142</v>
      </c>
      <c r="C4496" s="350">
        <v>46162</v>
      </c>
      <c r="D4496" s="351">
        <v>46143</v>
      </c>
      <c r="E4496" s="340" t="s">
        <v>3171</v>
      </c>
      <c r="F4496" s="340" t="s">
        <v>894</v>
      </c>
      <c r="G4496" s="340" t="s">
        <v>3024</v>
      </c>
      <c r="H4496" s="340"/>
      <c r="I4496" s="340" t="s">
        <v>771</v>
      </c>
      <c r="K4496" s="343">
        <v>0</v>
      </c>
      <c r="L4496" s="343">
        <v>-6.22</v>
      </c>
      <c r="M4496" s="343">
        <v>-912884.5</v>
      </c>
      <c r="O4496" s="343">
        <v>0</v>
      </c>
    </row>
    <row r="4497" spans="1:15" x14ac:dyDescent="0.3">
      <c r="A4497" s="340" t="s">
        <v>891</v>
      </c>
      <c r="B4497" s="350">
        <v>46142</v>
      </c>
      <c r="C4497" s="350">
        <v>46162</v>
      </c>
      <c r="D4497" s="351">
        <v>46143</v>
      </c>
      <c r="E4497" s="340" t="s">
        <v>3171</v>
      </c>
      <c r="F4497" s="340" t="s">
        <v>894</v>
      </c>
      <c r="G4497" s="340" t="s">
        <v>3017</v>
      </c>
      <c r="H4497" s="340"/>
      <c r="I4497" s="340" t="s">
        <v>771</v>
      </c>
      <c r="K4497" s="343">
        <v>0</v>
      </c>
      <c r="L4497" s="343">
        <v>-11.13</v>
      </c>
      <c r="M4497" s="343">
        <v>-912895.63</v>
      </c>
      <c r="O4497" s="343">
        <v>0</v>
      </c>
    </row>
    <row r="4498" spans="1:15" x14ac:dyDescent="0.3">
      <c r="A4498" s="340" t="s">
        <v>891</v>
      </c>
      <c r="B4498" s="350">
        <v>46142</v>
      </c>
      <c r="C4498" s="350">
        <v>46162</v>
      </c>
      <c r="D4498" s="351">
        <v>46143</v>
      </c>
      <c r="E4498" s="340" t="s">
        <v>3171</v>
      </c>
      <c r="F4498" s="340" t="s">
        <v>894</v>
      </c>
      <c r="G4498" s="340" t="s">
        <v>3021</v>
      </c>
      <c r="H4498" s="340"/>
      <c r="I4498" s="340" t="s">
        <v>771</v>
      </c>
      <c r="K4498" s="343">
        <v>0</v>
      </c>
      <c r="L4498" s="343">
        <v>-21.3</v>
      </c>
      <c r="M4498" s="343">
        <v>-912916.93</v>
      </c>
      <c r="O4498" s="343">
        <v>0</v>
      </c>
    </row>
    <row r="4499" spans="1:15" x14ac:dyDescent="0.3">
      <c r="A4499" s="340" t="s">
        <v>891</v>
      </c>
      <c r="B4499" s="350">
        <v>46142</v>
      </c>
      <c r="C4499" s="350">
        <v>46162</v>
      </c>
      <c r="D4499" s="351">
        <v>46143</v>
      </c>
      <c r="E4499" s="340" t="s">
        <v>3171</v>
      </c>
      <c r="F4499" s="340" t="s">
        <v>894</v>
      </c>
      <c r="G4499" s="340" t="s">
        <v>3025</v>
      </c>
      <c r="H4499" s="340"/>
      <c r="I4499" s="340" t="s">
        <v>771</v>
      </c>
      <c r="K4499" s="343">
        <v>0</v>
      </c>
      <c r="L4499" s="343">
        <v>-30.69</v>
      </c>
      <c r="M4499" s="343">
        <v>-912947.62</v>
      </c>
      <c r="O4499" s="343">
        <v>0</v>
      </c>
    </row>
    <row r="4500" spans="1:15" x14ac:dyDescent="0.3">
      <c r="A4500" s="340" t="s">
        <v>891</v>
      </c>
      <c r="B4500" s="350">
        <v>46142</v>
      </c>
      <c r="C4500" s="350">
        <v>46162</v>
      </c>
      <c r="D4500" s="351">
        <v>46143</v>
      </c>
      <c r="E4500" s="340" t="s">
        <v>3171</v>
      </c>
      <c r="F4500" s="340" t="s">
        <v>894</v>
      </c>
      <c r="G4500" s="340" t="s">
        <v>3026</v>
      </c>
      <c r="H4500" s="340"/>
      <c r="I4500" s="340" t="s">
        <v>771</v>
      </c>
      <c r="K4500" s="343">
        <v>0</v>
      </c>
      <c r="L4500" s="343">
        <v>-30.73</v>
      </c>
      <c r="M4500" s="343">
        <v>-912978.35</v>
      </c>
      <c r="O4500" s="343">
        <v>0</v>
      </c>
    </row>
    <row r="4501" spans="1:15" x14ac:dyDescent="0.3">
      <c r="A4501" s="340" t="s">
        <v>891</v>
      </c>
      <c r="B4501" s="350">
        <v>46142</v>
      </c>
      <c r="C4501" s="350">
        <v>46162</v>
      </c>
      <c r="D4501" s="351">
        <v>46143</v>
      </c>
      <c r="E4501" s="340" t="s">
        <v>3171</v>
      </c>
      <c r="F4501" s="340" t="s">
        <v>894</v>
      </c>
      <c r="G4501" s="340" t="s">
        <v>3005</v>
      </c>
      <c r="H4501" s="340"/>
      <c r="I4501" s="340" t="s">
        <v>771</v>
      </c>
      <c r="K4501" s="343">
        <v>0</v>
      </c>
      <c r="L4501" s="343">
        <v>-95.96</v>
      </c>
      <c r="M4501" s="343">
        <v>-913074.31</v>
      </c>
      <c r="O4501" s="343">
        <v>0</v>
      </c>
    </row>
    <row r="4502" spans="1:15" x14ac:dyDescent="0.3">
      <c r="A4502" s="340" t="s">
        <v>891</v>
      </c>
      <c r="B4502" s="350">
        <v>46142</v>
      </c>
      <c r="C4502" s="350">
        <v>46162</v>
      </c>
      <c r="D4502" s="351">
        <v>46143</v>
      </c>
      <c r="E4502" s="340" t="s">
        <v>3171</v>
      </c>
      <c r="F4502" s="340" t="s">
        <v>894</v>
      </c>
      <c r="G4502" s="340" t="s">
        <v>3019</v>
      </c>
      <c r="H4502" s="340"/>
      <c r="I4502" s="340" t="s">
        <v>771</v>
      </c>
      <c r="K4502" s="343">
        <v>0</v>
      </c>
      <c r="L4502" s="343">
        <v>-0.01</v>
      </c>
      <c r="M4502" s="343">
        <v>-913074.32</v>
      </c>
      <c r="O4502" s="343">
        <v>0</v>
      </c>
    </row>
    <row r="4503" spans="1:15" x14ac:dyDescent="0.3">
      <c r="A4503" s="340" t="s">
        <v>891</v>
      </c>
      <c r="B4503" s="350">
        <v>46142</v>
      </c>
      <c r="C4503" s="350">
        <v>46162</v>
      </c>
      <c r="D4503" s="351">
        <v>46143</v>
      </c>
      <c r="E4503" s="340" t="s">
        <v>3171</v>
      </c>
      <c r="F4503" s="340" t="s">
        <v>894</v>
      </c>
      <c r="G4503" s="340" t="s">
        <v>3016</v>
      </c>
      <c r="H4503" s="340"/>
      <c r="I4503" s="340" t="s">
        <v>771</v>
      </c>
      <c r="K4503" s="343">
        <v>0</v>
      </c>
      <c r="L4503" s="343">
        <v>-0.01</v>
      </c>
      <c r="M4503" s="343">
        <v>-913074.33</v>
      </c>
      <c r="O4503" s="343">
        <v>0</v>
      </c>
    </row>
    <row r="4504" spans="1:15" x14ac:dyDescent="0.3">
      <c r="A4504" s="340" t="s">
        <v>891</v>
      </c>
      <c r="B4504" s="350">
        <v>46142</v>
      </c>
      <c r="C4504" s="350">
        <v>46162</v>
      </c>
      <c r="D4504" s="351">
        <v>46143</v>
      </c>
      <c r="E4504" s="340" t="s">
        <v>3171</v>
      </c>
      <c r="F4504" s="340" t="s">
        <v>894</v>
      </c>
      <c r="G4504" s="340" t="s">
        <v>3016</v>
      </c>
      <c r="H4504" s="340"/>
      <c r="I4504" s="340" t="s">
        <v>771</v>
      </c>
      <c r="K4504" s="343">
        <v>0</v>
      </c>
      <c r="L4504" s="343">
        <v>-0.02</v>
      </c>
      <c r="M4504" s="343">
        <v>-913074.35</v>
      </c>
      <c r="O4504" s="343">
        <v>0</v>
      </c>
    </row>
    <row r="4505" spans="1:15" x14ac:dyDescent="0.3">
      <c r="A4505" s="340" t="s">
        <v>891</v>
      </c>
      <c r="B4505" s="350">
        <v>46142</v>
      </c>
      <c r="C4505" s="350">
        <v>46162</v>
      </c>
      <c r="D4505" s="351">
        <v>46143</v>
      </c>
      <c r="E4505" s="340" t="s">
        <v>3171</v>
      </c>
      <c r="F4505" s="340" t="s">
        <v>894</v>
      </c>
      <c r="G4505" s="340" t="s">
        <v>3018</v>
      </c>
      <c r="H4505" s="340"/>
      <c r="I4505" s="340" t="s">
        <v>771</v>
      </c>
      <c r="K4505" s="343">
        <v>0</v>
      </c>
      <c r="L4505" s="343">
        <v>-0.05</v>
      </c>
      <c r="M4505" s="343">
        <v>-913074.4</v>
      </c>
      <c r="O4505" s="343">
        <v>0</v>
      </c>
    </row>
    <row r="4506" spans="1:15" x14ac:dyDescent="0.3">
      <c r="A4506" s="340" t="s">
        <v>891</v>
      </c>
      <c r="B4506" s="350">
        <v>46142</v>
      </c>
      <c r="C4506" s="350">
        <v>46162</v>
      </c>
      <c r="D4506" s="351">
        <v>46143</v>
      </c>
      <c r="E4506" s="340" t="s">
        <v>3171</v>
      </c>
      <c r="F4506" s="340" t="s">
        <v>894</v>
      </c>
      <c r="G4506" s="340" t="s">
        <v>3020</v>
      </c>
      <c r="H4506" s="340"/>
      <c r="I4506" s="340" t="s">
        <v>771</v>
      </c>
      <c r="K4506" s="343">
        <v>0</v>
      </c>
      <c r="L4506" s="343">
        <v>-7.0000000000000007E-2</v>
      </c>
      <c r="M4506" s="343">
        <v>-913074.47</v>
      </c>
      <c r="O4506" s="343">
        <v>0</v>
      </c>
    </row>
    <row r="4507" spans="1:15" x14ac:dyDescent="0.3">
      <c r="A4507" s="340" t="s">
        <v>891</v>
      </c>
      <c r="B4507" s="350">
        <v>46142</v>
      </c>
      <c r="C4507" s="350">
        <v>46162</v>
      </c>
      <c r="D4507" s="351">
        <v>46143</v>
      </c>
      <c r="E4507" s="340" t="s">
        <v>3171</v>
      </c>
      <c r="F4507" s="340" t="s">
        <v>894</v>
      </c>
      <c r="G4507" s="340" t="s">
        <v>3020</v>
      </c>
      <c r="H4507" s="340"/>
      <c r="I4507" s="340" t="s">
        <v>771</v>
      </c>
      <c r="K4507" s="343">
        <v>0</v>
      </c>
      <c r="L4507" s="343">
        <v>-0.11</v>
      </c>
      <c r="M4507" s="343">
        <v>-913074.58</v>
      </c>
      <c r="O4507" s="343">
        <v>0</v>
      </c>
    </row>
    <row r="4508" spans="1:15" x14ac:dyDescent="0.3">
      <c r="A4508" s="340" t="s">
        <v>891</v>
      </c>
      <c r="B4508" s="350">
        <v>46142</v>
      </c>
      <c r="C4508" s="350">
        <v>46162</v>
      </c>
      <c r="D4508" s="351">
        <v>46143</v>
      </c>
      <c r="E4508" s="340" t="s">
        <v>3171</v>
      </c>
      <c r="F4508" s="340" t="s">
        <v>894</v>
      </c>
      <c r="G4508" s="340" t="s">
        <v>3022</v>
      </c>
      <c r="H4508" s="340"/>
      <c r="I4508" s="340" t="s">
        <v>771</v>
      </c>
      <c r="K4508" s="343">
        <v>0</v>
      </c>
      <c r="L4508" s="343">
        <v>-0.15</v>
      </c>
      <c r="M4508" s="343">
        <v>-913074.73</v>
      </c>
      <c r="O4508" s="343">
        <v>0</v>
      </c>
    </row>
    <row r="4509" spans="1:15" x14ac:dyDescent="0.3">
      <c r="A4509" s="340" t="s">
        <v>891</v>
      </c>
      <c r="B4509" s="350">
        <v>46142</v>
      </c>
      <c r="C4509" s="350">
        <v>46162</v>
      </c>
      <c r="D4509" s="351">
        <v>46143</v>
      </c>
      <c r="E4509" s="340" t="s">
        <v>3171</v>
      </c>
      <c r="F4509" s="340" t="s">
        <v>894</v>
      </c>
      <c r="G4509" s="340" t="s">
        <v>3022</v>
      </c>
      <c r="H4509" s="340"/>
      <c r="I4509" s="340" t="s">
        <v>771</v>
      </c>
      <c r="K4509" s="343">
        <v>0</v>
      </c>
      <c r="L4509" s="343">
        <v>-0.23</v>
      </c>
      <c r="M4509" s="343">
        <v>-913074.96</v>
      </c>
      <c r="O4509" s="343">
        <v>0</v>
      </c>
    </row>
    <row r="4510" spans="1:15" x14ac:dyDescent="0.3">
      <c r="A4510" s="340" t="s">
        <v>891</v>
      </c>
      <c r="B4510" s="350">
        <v>46142</v>
      </c>
      <c r="C4510" s="350">
        <v>46162</v>
      </c>
      <c r="D4510" s="351">
        <v>46143</v>
      </c>
      <c r="E4510" s="340" t="s">
        <v>3171</v>
      </c>
      <c r="F4510" s="340" t="s">
        <v>894</v>
      </c>
      <c r="G4510" s="340" t="s">
        <v>3023</v>
      </c>
      <c r="H4510" s="340"/>
      <c r="I4510" s="340" t="s">
        <v>771</v>
      </c>
      <c r="K4510" s="343">
        <v>0</v>
      </c>
      <c r="L4510" s="343">
        <v>-0.3</v>
      </c>
      <c r="M4510" s="343">
        <v>-913075.26</v>
      </c>
      <c r="O4510" s="343">
        <v>0</v>
      </c>
    </row>
    <row r="4511" spans="1:15" x14ac:dyDescent="0.3">
      <c r="A4511" s="340" t="s">
        <v>891</v>
      </c>
      <c r="B4511" s="350">
        <v>46142</v>
      </c>
      <c r="C4511" s="350">
        <v>46162</v>
      </c>
      <c r="D4511" s="351">
        <v>46143</v>
      </c>
      <c r="E4511" s="340" t="s">
        <v>3171</v>
      </c>
      <c r="F4511" s="340" t="s">
        <v>894</v>
      </c>
      <c r="G4511" s="340" t="s">
        <v>3024</v>
      </c>
      <c r="H4511" s="340"/>
      <c r="I4511" s="340" t="s">
        <v>771</v>
      </c>
      <c r="K4511" s="343">
        <v>0</v>
      </c>
      <c r="L4511" s="343">
        <v>-0.61</v>
      </c>
      <c r="M4511" s="343">
        <v>-913075.87</v>
      </c>
      <c r="O4511" s="343">
        <v>0</v>
      </c>
    </row>
    <row r="4512" spans="1:15" x14ac:dyDescent="0.3">
      <c r="A4512" s="340" t="s">
        <v>891</v>
      </c>
      <c r="B4512" s="350">
        <v>46142</v>
      </c>
      <c r="C4512" s="350">
        <v>46162</v>
      </c>
      <c r="D4512" s="351">
        <v>46143</v>
      </c>
      <c r="E4512" s="340" t="s">
        <v>3171</v>
      </c>
      <c r="F4512" s="340" t="s">
        <v>894</v>
      </c>
      <c r="G4512" s="340" t="s">
        <v>3025</v>
      </c>
      <c r="H4512" s="340"/>
      <c r="I4512" s="340" t="s">
        <v>771</v>
      </c>
      <c r="K4512" s="343">
        <v>0</v>
      </c>
      <c r="L4512" s="343">
        <v>-1.72</v>
      </c>
      <c r="M4512" s="343">
        <v>-913077.59</v>
      </c>
      <c r="O4512" s="343">
        <v>0</v>
      </c>
    </row>
    <row r="4513" spans="1:15" x14ac:dyDescent="0.3">
      <c r="A4513" s="340" t="s">
        <v>891</v>
      </c>
      <c r="B4513" s="350">
        <v>46142</v>
      </c>
      <c r="C4513" s="350">
        <v>46162</v>
      </c>
      <c r="D4513" s="351">
        <v>46143</v>
      </c>
      <c r="E4513" s="340" t="s">
        <v>3171</v>
      </c>
      <c r="F4513" s="340" t="s">
        <v>894</v>
      </c>
      <c r="G4513" s="340" t="s">
        <v>3026</v>
      </c>
      <c r="H4513" s="340"/>
      <c r="I4513" s="340" t="s">
        <v>771</v>
      </c>
      <c r="K4513" s="343">
        <v>0</v>
      </c>
      <c r="L4513" s="343">
        <v>-2.02</v>
      </c>
      <c r="M4513" s="343">
        <v>-913079.61</v>
      </c>
      <c r="O4513" s="343">
        <v>0</v>
      </c>
    </row>
    <row r="4514" spans="1:15" x14ac:dyDescent="0.3">
      <c r="A4514" s="340" t="s">
        <v>891</v>
      </c>
      <c r="B4514" s="350">
        <v>46142</v>
      </c>
      <c r="C4514" s="350">
        <v>46162</v>
      </c>
      <c r="D4514" s="351">
        <v>46143</v>
      </c>
      <c r="E4514" s="340" t="s">
        <v>3171</v>
      </c>
      <c r="F4514" s="340" t="s">
        <v>894</v>
      </c>
      <c r="G4514" s="340" t="s">
        <v>3017</v>
      </c>
      <c r="H4514" s="340"/>
      <c r="I4514" s="340" t="s">
        <v>771</v>
      </c>
      <c r="K4514" s="343">
        <v>0</v>
      </c>
      <c r="L4514" s="343">
        <v>-2.2599999999999998</v>
      </c>
      <c r="M4514" s="343">
        <v>-913081.87</v>
      </c>
      <c r="O4514" s="343">
        <v>0</v>
      </c>
    </row>
    <row r="4515" spans="1:15" x14ac:dyDescent="0.3">
      <c r="A4515" s="340" t="s">
        <v>891</v>
      </c>
      <c r="B4515" s="350">
        <v>46142</v>
      </c>
      <c r="C4515" s="350">
        <v>46162</v>
      </c>
      <c r="D4515" s="351">
        <v>46143</v>
      </c>
      <c r="E4515" s="340" t="s">
        <v>3171</v>
      </c>
      <c r="F4515" s="340" t="s">
        <v>894</v>
      </c>
      <c r="G4515" s="340" t="s">
        <v>3021</v>
      </c>
      <c r="H4515" s="340"/>
      <c r="I4515" s="340" t="s">
        <v>771</v>
      </c>
      <c r="K4515" s="343">
        <v>0</v>
      </c>
      <c r="L4515" s="343">
        <v>-4.6100000000000003</v>
      </c>
      <c r="M4515" s="343">
        <v>-913086.48</v>
      </c>
      <c r="O4515" s="343">
        <v>0</v>
      </c>
    </row>
    <row r="4516" spans="1:15" x14ac:dyDescent="0.3">
      <c r="A4516" s="340" t="s">
        <v>891</v>
      </c>
      <c r="B4516" s="350">
        <v>46142</v>
      </c>
      <c r="C4516" s="350">
        <v>46162</v>
      </c>
      <c r="D4516" s="351">
        <v>46143</v>
      </c>
      <c r="E4516" s="340" t="s">
        <v>3171</v>
      </c>
      <c r="F4516" s="340" t="s">
        <v>894</v>
      </c>
      <c r="G4516" s="340" t="s">
        <v>3005</v>
      </c>
      <c r="H4516" s="340"/>
      <c r="I4516" s="340" t="s">
        <v>771</v>
      </c>
      <c r="K4516" s="343">
        <v>0</v>
      </c>
      <c r="L4516" s="343">
        <v>-6.91</v>
      </c>
      <c r="M4516" s="343">
        <v>-913093.39</v>
      </c>
      <c r="O4516" s="343">
        <v>0</v>
      </c>
    </row>
    <row r="4517" spans="1:15" x14ac:dyDescent="0.3">
      <c r="A4517" s="340" t="s">
        <v>891</v>
      </c>
      <c r="B4517" s="350">
        <v>46142</v>
      </c>
      <c r="C4517" s="350">
        <v>46162</v>
      </c>
      <c r="D4517" s="351">
        <v>46143</v>
      </c>
      <c r="E4517" s="340" t="s">
        <v>3171</v>
      </c>
      <c r="F4517" s="340" t="s">
        <v>894</v>
      </c>
      <c r="G4517" s="340" t="s">
        <v>3016</v>
      </c>
      <c r="H4517" s="340"/>
      <c r="I4517" s="340" t="s">
        <v>771</v>
      </c>
      <c r="K4517" s="343">
        <v>0</v>
      </c>
      <c r="L4517" s="343">
        <v>-0.01</v>
      </c>
      <c r="M4517" s="343">
        <v>-913093.4</v>
      </c>
      <c r="O4517" s="343">
        <v>0</v>
      </c>
    </row>
    <row r="4518" spans="1:15" x14ac:dyDescent="0.3">
      <c r="A4518" s="340" t="s">
        <v>891</v>
      </c>
      <c r="B4518" s="350">
        <v>46142</v>
      </c>
      <c r="C4518" s="350">
        <v>46162</v>
      </c>
      <c r="D4518" s="351">
        <v>46143</v>
      </c>
      <c r="E4518" s="340" t="s">
        <v>3171</v>
      </c>
      <c r="F4518" s="340" t="s">
        <v>894</v>
      </c>
      <c r="G4518" s="340" t="s">
        <v>3018</v>
      </c>
      <c r="H4518" s="340"/>
      <c r="I4518" s="340" t="s">
        <v>771</v>
      </c>
      <c r="K4518" s="343">
        <v>0</v>
      </c>
      <c r="L4518" s="343">
        <v>-0.01</v>
      </c>
      <c r="M4518" s="343">
        <v>-913093.41</v>
      </c>
      <c r="O4518" s="343">
        <v>0</v>
      </c>
    </row>
    <row r="4519" spans="1:15" x14ac:dyDescent="0.3">
      <c r="A4519" s="340" t="s">
        <v>891</v>
      </c>
      <c r="B4519" s="350">
        <v>46142</v>
      </c>
      <c r="C4519" s="350">
        <v>46162</v>
      </c>
      <c r="D4519" s="351">
        <v>46143</v>
      </c>
      <c r="E4519" s="340" t="s">
        <v>3171</v>
      </c>
      <c r="F4519" s="340" t="s">
        <v>894</v>
      </c>
      <c r="G4519" s="340" t="s">
        <v>3020</v>
      </c>
      <c r="H4519" s="340"/>
      <c r="I4519" s="340" t="s">
        <v>771</v>
      </c>
      <c r="K4519" s="343">
        <v>0</v>
      </c>
      <c r="L4519" s="343">
        <v>-0.02</v>
      </c>
      <c r="M4519" s="343">
        <v>-913093.43</v>
      </c>
      <c r="O4519" s="343">
        <v>0</v>
      </c>
    </row>
    <row r="4520" spans="1:15" x14ac:dyDescent="0.3">
      <c r="A4520" s="340" t="s">
        <v>891</v>
      </c>
      <c r="B4520" s="350">
        <v>46142</v>
      </c>
      <c r="C4520" s="350">
        <v>46162</v>
      </c>
      <c r="D4520" s="351">
        <v>46143</v>
      </c>
      <c r="E4520" s="340" t="s">
        <v>3171</v>
      </c>
      <c r="F4520" s="340" t="s">
        <v>894</v>
      </c>
      <c r="G4520" s="340" t="s">
        <v>3022</v>
      </c>
      <c r="H4520" s="340"/>
      <c r="I4520" s="340" t="s">
        <v>771</v>
      </c>
      <c r="K4520" s="343">
        <v>0</v>
      </c>
      <c r="L4520" s="343">
        <v>-0.03</v>
      </c>
      <c r="M4520" s="343">
        <v>-913093.46</v>
      </c>
      <c r="O4520" s="343">
        <v>0</v>
      </c>
    </row>
    <row r="4521" spans="1:15" x14ac:dyDescent="0.3">
      <c r="A4521" s="340" t="s">
        <v>891</v>
      </c>
      <c r="B4521" s="350">
        <v>46142</v>
      </c>
      <c r="C4521" s="350">
        <v>46162</v>
      </c>
      <c r="D4521" s="351">
        <v>46143</v>
      </c>
      <c r="E4521" s="340" t="s">
        <v>3171</v>
      </c>
      <c r="F4521" s="340" t="s">
        <v>894</v>
      </c>
      <c r="G4521" s="340" t="s">
        <v>3023</v>
      </c>
      <c r="H4521" s="340"/>
      <c r="I4521" s="340" t="s">
        <v>771</v>
      </c>
      <c r="K4521" s="343">
        <v>0</v>
      </c>
      <c r="L4521" s="343">
        <v>-7.0000000000000007E-2</v>
      </c>
      <c r="M4521" s="343">
        <v>-913093.53</v>
      </c>
      <c r="O4521" s="343">
        <v>0</v>
      </c>
    </row>
    <row r="4522" spans="1:15" x14ac:dyDescent="0.3">
      <c r="A4522" s="340" t="s">
        <v>891</v>
      </c>
      <c r="B4522" s="350">
        <v>46142</v>
      </c>
      <c r="C4522" s="350">
        <v>46162</v>
      </c>
      <c r="D4522" s="351">
        <v>46143</v>
      </c>
      <c r="E4522" s="340" t="s">
        <v>3171</v>
      </c>
      <c r="F4522" s="340" t="s">
        <v>894</v>
      </c>
      <c r="G4522" s="340" t="s">
        <v>3020</v>
      </c>
      <c r="H4522" s="340"/>
      <c r="I4522" s="340" t="s">
        <v>771</v>
      </c>
      <c r="K4522" s="343">
        <v>0</v>
      </c>
      <c r="L4522" s="343">
        <v>-0.08</v>
      </c>
      <c r="M4522" s="343">
        <v>-913093.61</v>
      </c>
      <c r="O4522" s="343">
        <v>0</v>
      </c>
    </row>
    <row r="4523" spans="1:15" x14ac:dyDescent="0.3">
      <c r="A4523" s="340" t="s">
        <v>891</v>
      </c>
      <c r="B4523" s="350">
        <v>46142</v>
      </c>
      <c r="C4523" s="350">
        <v>46162</v>
      </c>
      <c r="D4523" s="351">
        <v>46143</v>
      </c>
      <c r="E4523" s="340" t="s">
        <v>3171</v>
      </c>
      <c r="F4523" s="340" t="s">
        <v>894</v>
      </c>
      <c r="G4523" s="340" t="s">
        <v>3024</v>
      </c>
      <c r="H4523" s="340"/>
      <c r="I4523" s="340" t="s">
        <v>771</v>
      </c>
      <c r="K4523" s="343">
        <v>0</v>
      </c>
      <c r="L4523" s="343">
        <v>-0.13</v>
      </c>
      <c r="M4523" s="343">
        <v>-913093.74</v>
      </c>
      <c r="O4523" s="343">
        <v>0</v>
      </c>
    </row>
    <row r="4524" spans="1:15" x14ac:dyDescent="0.3">
      <c r="A4524" s="340" t="s">
        <v>891</v>
      </c>
      <c r="B4524" s="350">
        <v>46142</v>
      </c>
      <c r="C4524" s="350">
        <v>46162</v>
      </c>
      <c r="D4524" s="351">
        <v>46143</v>
      </c>
      <c r="E4524" s="340" t="s">
        <v>3171</v>
      </c>
      <c r="F4524" s="340" t="s">
        <v>894</v>
      </c>
      <c r="G4524" s="340" t="s">
        <v>3022</v>
      </c>
      <c r="H4524" s="340"/>
      <c r="I4524" s="340" t="s">
        <v>771</v>
      </c>
      <c r="K4524" s="343">
        <v>0</v>
      </c>
      <c r="L4524" s="343">
        <v>-0.16</v>
      </c>
      <c r="M4524" s="343">
        <v>-913093.9</v>
      </c>
      <c r="O4524" s="343">
        <v>0</v>
      </c>
    </row>
    <row r="4525" spans="1:15" x14ac:dyDescent="0.3">
      <c r="A4525" s="340" t="s">
        <v>891</v>
      </c>
      <c r="B4525" s="350">
        <v>46142</v>
      </c>
      <c r="C4525" s="350">
        <v>46162</v>
      </c>
      <c r="D4525" s="351">
        <v>46143</v>
      </c>
      <c r="E4525" s="340" t="s">
        <v>3171</v>
      </c>
      <c r="F4525" s="340" t="s">
        <v>894</v>
      </c>
      <c r="G4525" s="340" t="s">
        <v>3025</v>
      </c>
      <c r="H4525" s="340"/>
      <c r="I4525" s="340" t="s">
        <v>771</v>
      </c>
      <c r="K4525" s="343">
        <v>0</v>
      </c>
      <c r="L4525" s="343">
        <v>-0.38</v>
      </c>
      <c r="M4525" s="343">
        <v>-913094.28</v>
      </c>
      <c r="O4525" s="343">
        <v>0</v>
      </c>
    </row>
    <row r="4526" spans="1:15" x14ac:dyDescent="0.3">
      <c r="A4526" s="340" t="s">
        <v>891</v>
      </c>
      <c r="B4526" s="350">
        <v>46142</v>
      </c>
      <c r="C4526" s="350">
        <v>46162</v>
      </c>
      <c r="D4526" s="351">
        <v>46143</v>
      </c>
      <c r="E4526" s="340" t="s">
        <v>3171</v>
      </c>
      <c r="F4526" s="340" t="s">
        <v>894</v>
      </c>
      <c r="G4526" s="340" t="s">
        <v>3026</v>
      </c>
      <c r="H4526" s="340"/>
      <c r="I4526" s="340" t="s">
        <v>771</v>
      </c>
      <c r="K4526" s="343">
        <v>0</v>
      </c>
      <c r="L4526" s="343">
        <v>-0.45</v>
      </c>
      <c r="M4526" s="343">
        <v>-913094.73</v>
      </c>
      <c r="O4526" s="343">
        <v>0</v>
      </c>
    </row>
    <row r="4527" spans="1:15" x14ac:dyDescent="0.3">
      <c r="A4527" s="340" t="s">
        <v>891</v>
      </c>
      <c r="B4527" s="350">
        <v>46142</v>
      </c>
      <c r="C4527" s="350">
        <v>46162</v>
      </c>
      <c r="D4527" s="351">
        <v>46143</v>
      </c>
      <c r="E4527" s="340" t="s">
        <v>3171</v>
      </c>
      <c r="F4527" s="340" t="s">
        <v>894</v>
      </c>
      <c r="G4527" s="340" t="s">
        <v>3005</v>
      </c>
      <c r="H4527" s="340"/>
      <c r="I4527" s="340" t="s">
        <v>771</v>
      </c>
      <c r="K4527" s="343">
        <v>0</v>
      </c>
      <c r="L4527" s="343">
        <v>-1.53</v>
      </c>
      <c r="M4527" s="343">
        <v>-913096.26</v>
      </c>
      <c r="O4527" s="343">
        <v>0</v>
      </c>
    </row>
    <row r="4528" spans="1:15" x14ac:dyDescent="0.3">
      <c r="A4528" s="340" t="s">
        <v>891</v>
      </c>
      <c r="B4528" s="350">
        <v>46142</v>
      </c>
      <c r="C4528" s="350">
        <v>46162</v>
      </c>
      <c r="D4528" s="351">
        <v>46143</v>
      </c>
      <c r="E4528" s="340" t="s">
        <v>3171</v>
      </c>
      <c r="F4528" s="340" t="s">
        <v>894</v>
      </c>
      <c r="G4528" s="340" t="s">
        <v>3017</v>
      </c>
      <c r="H4528" s="340"/>
      <c r="I4528" s="340" t="s">
        <v>771</v>
      </c>
      <c r="K4528" s="343">
        <v>0</v>
      </c>
      <c r="L4528" s="343">
        <v>-2.2599999999999998</v>
      </c>
      <c r="M4528" s="343">
        <v>-913098.52</v>
      </c>
      <c r="O4528" s="343">
        <v>0</v>
      </c>
    </row>
    <row r="4529" spans="1:15" x14ac:dyDescent="0.3">
      <c r="A4529" s="340" t="s">
        <v>891</v>
      </c>
      <c r="B4529" s="350">
        <v>46142</v>
      </c>
      <c r="C4529" s="350">
        <v>46162</v>
      </c>
      <c r="D4529" s="351">
        <v>46143</v>
      </c>
      <c r="E4529" s="340" t="s">
        <v>3171</v>
      </c>
      <c r="F4529" s="340" t="s">
        <v>894</v>
      </c>
      <c r="G4529" s="340" t="s">
        <v>3021</v>
      </c>
      <c r="H4529" s="340"/>
      <c r="I4529" s="340" t="s">
        <v>771</v>
      </c>
      <c r="K4529" s="343">
        <v>0</v>
      </c>
      <c r="L4529" s="343">
        <v>-4.6100000000000003</v>
      </c>
      <c r="M4529" s="343">
        <v>-913103.13</v>
      </c>
      <c r="O4529" s="343">
        <v>0</v>
      </c>
    </row>
    <row r="4530" spans="1:15" x14ac:dyDescent="0.3">
      <c r="A4530" s="340" t="s">
        <v>891</v>
      </c>
      <c r="B4530" s="350">
        <v>46142</v>
      </c>
      <c r="C4530" s="350">
        <v>46162</v>
      </c>
      <c r="D4530" s="351">
        <v>46143</v>
      </c>
      <c r="E4530" s="340" t="s">
        <v>3171</v>
      </c>
      <c r="F4530" s="340" t="s">
        <v>894</v>
      </c>
      <c r="G4530" s="340" t="s">
        <v>3019</v>
      </c>
      <c r="H4530" s="340"/>
      <c r="I4530" s="340" t="s">
        <v>771</v>
      </c>
      <c r="K4530" s="343">
        <v>0</v>
      </c>
      <c r="L4530" s="343">
        <v>-0.01</v>
      </c>
      <c r="M4530" s="343">
        <v>-913103.14</v>
      </c>
      <c r="O4530" s="343">
        <v>0</v>
      </c>
    </row>
    <row r="4531" spans="1:15" x14ac:dyDescent="0.3">
      <c r="A4531" s="340" t="s">
        <v>891</v>
      </c>
      <c r="B4531" s="350">
        <v>46142</v>
      </c>
      <c r="C4531" s="350">
        <v>46162</v>
      </c>
      <c r="D4531" s="351">
        <v>46143</v>
      </c>
      <c r="E4531" s="340" t="s">
        <v>3171</v>
      </c>
      <c r="F4531" s="340" t="s">
        <v>894</v>
      </c>
      <c r="G4531" s="340" t="s">
        <v>3016</v>
      </c>
      <c r="H4531" s="340"/>
      <c r="I4531" s="340" t="s">
        <v>771</v>
      </c>
      <c r="K4531" s="343">
        <v>0</v>
      </c>
      <c r="L4531" s="343">
        <v>-0.03</v>
      </c>
      <c r="M4531" s="343">
        <v>-913103.17</v>
      </c>
      <c r="O4531" s="343">
        <v>0</v>
      </c>
    </row>
    <row r="4532" spans="1:15" x14ac:dyDescent="0.3">
      <c r="A4532" s="340" t="s">
        <v>891</v>
      </c>
      <c r="B4532" s="350">
        <v>46142</v>
      </c>
      <c r="C4532" s="350">
        <v>46162</v>
      </c>
      <c r="D4532" s="351">
        <v>46143</v>
      </c>
      <c r="E4532" s="340" t="s">
        <v>3171</v>
      </c>
      <c r="F4532" s="340" t="s">
        <v>894</v>
      </c>
      <c r="G4532" s="340" t="s">
        <v>3016</v>
      </c>
      <c r="H4532" s="340"/>
      <c r="I4532" s="340" t="s">
        <v>771</v>
      </c>
      <c r="K4532" s="343">
        <v>0</v>
      </c>
      <c r="L4532" s="343">
        <v>-0.03</v>
      </c>
      <c r="M4532" s="343">
        <v>-913103.2</v>
      </c>
      <c r="O4532" s="343">
        <v>0</v>
      </c>
    </row>
    <row r="4533" spans="1:15" x14ac:dyDescent="0.3">
      <c r="A4533" s="340" t="s">
        <v>891</v>
      </c>
      <c r="B4533" s="350">
        <v>46142</v>
      </c>
      <c r="C4533" s="350">
        <v>46162</v>
      </c>
      <c r="D4533" s="351">
        <v>46143</v>
      </c>
      <c r="E4533" s="340" t="s">
        <v>3171</v>
      </c>
      <c r="F4533" s="340" t="s">
        <v>894</v>
      </c>
      <c r="G4533" s="340" t="s">
        <v>3018</v>
      </c>
      <c r="H4533" s="340"/>
      <c r="I4533" s="340" t="s">
        <v>771</v>
      </c>
      <c r="K4533" s="343">
        <v>0</v>
      </c>
      <c r="L4533" s="343">
        <v>-0.11</v>
      </c>
      <c r="M4533" s="343">
        <v>-913103.31</v>
      </c>
      <c r="O4533" s="343">
        <v>0</v>
      </c>
    </row>
    <row r="4534" spans="1:15" x14ac:dyDescent="0.3">
      <c r="A4534" s="340" t="s">
        <v>891</v>
      </c>
      <c r="B4534" s="350">
        <v>46142</v>
      </c>
      <c r="C4534" s="350">
        <v>46162</v>
      </c>
      <c r="D4534" s="351">
        <v>46143</v>
      </c>
      <c r="E4534" s="340" t="s">
        <v>3171</v>
      </c>
      <c r="F4534" s="340" t="s">
        <v>894</v>
      </c>
      <c r="G4534" s="340" t="s">
        <v>3020</v>
      </c>
      <c r="H4534" s="340"/>
      <c r="I4534" s="340" t="s">
        <v>771</v>
      </c>
      <c r="K4534" s="343">
        <v>0</v>
      </c>
      <c r="L4534" s="343">
        <v>-0.17</v>
      </c>
      <c r="M4534" s="343">
        <v>-913103.48</v>
      </c>
      <c r="O4534" s="343">
        <v>0</v>
      </c>
    </row>
    <row r="4535" spans="1:15" x14ac:dyDescent="0.3">
      <c r="A4535" s="340" t="s">
        <v>891</v>
      </c>
      <c r="B4535" s="350">
        <v>46142</v>
      </c>
      <c r="C4535" s="350">
        <v>46162</v>
      </c>
      <c r="D4535" s="351">
        <v>46143</v>
      </c>
      <c r="E4535" s="340" t="s">
        <v>3171</v>
      </c>
      <c r="F4535" s="340" t="s">
        <v>894</v>
      </c>
      <c r="G4535" s="340" t="s">
        <v>3020</v>
      </c>
      <c r="H4535" s="340"/>
      <c r="I4535" s="340" t="s">
        <v>771</v>
      </c>
      <c r="K4535" s="343">
        <v>0</v>
      </c>
      <c r="L4535" s="343">
        <v>-0.17</v>
      </c>
      <c r="M4535" s="343">
        <v>-913103.65</v>
      </c>
      <c r="O4535" s="343">
        <v>0</v>
      </c>
    </row>
    <row r="4536" spans="1:15" x14ac:dyDescent="0.3">
      <c r="A4536" s="340" t="s">
        <v>891</v>
      </c>
      <c r="B4536" s="350">
        <v>46142</v>
      </c>
      <c r="C4536" s="350">
        <v>46162</v>
      </c>
      <c r="D4536" s="351">
        <v>46143</v>
      </c>
      <c r="E4536" s="340" t="s">
        <v>3171</v>
      </c>
      <c r="F4536" s="340" t="s">
        <v>894</v>
      </c>
      <c r="G4536" s="340" t="s">
        <v>3022</v>
      </c>
      <c r="H4536" s="340"/>
      <c r="I4536" s="340" t="s">
        <v>771</v>
      </c>
      <c r="K4536" s="343">
        <v>0</v>
      </c>
      <c r="L4536" s="343">
        <v>-0.34</v>
      </c>
      <c r="M4536" s="343">
        <v>-913103.99</v>
      </c>
      <c r="O4536" s="343">
        <v>0</v>
      </c>
    </row>
    <row r="4537" spans="1:15" x14ac:dyDescent="0.3">
      <c r="A4537" s="340" t="s">
        <v>891</v>
      </c>
      <c r="B4537" s="350">
        <v>46142</v>
      </c>
      <c r="C4537" s="350">
        <v>46162</v>
      </c>
      <c r="D4537" s="351">
        <v>46143</v>
      </c>
      <c r="E4537" s="340" t="s">
        <v>3171</v>
      </c>
      <c r="F4537" s="340" t="s">
        <v>894</v>
      </c>
      <c r="G4537" s="340" t="s">
        <v>3022</v>
      </c>
      <c r="H4537" s="340"/>
      <c r="I4537" s="340" t="s">
        <v>771</v>
      </c>
      <c r="K4537" s="343">
        <v>0</v>
      </c>
      <c r="L4537" s="343">
        <v>-0.34</v>
      </c>
      <c r="M4537" s="343">
        <v>-913104.33</v>
      </c>
      <c r="O4537" s="343">
        <v>0</v>
      </c>
    </row>
    <row r="4538" spans="1:15" x14ac:dyDescent="0.3">
      <c r="A4538" s="340" t="s">
        <v>891</v>
      </c>
      <c r="B4538" s="350">
        <v>46142</v>
      </c>
      <c r="C4538" s="350">
        <v>46162</v>
      </c>
      <c r="D4538" s="351">
        <v>46143</v>
      </c>
      <c r="E4538" s="340" t="s">
        <v>3171</v>
      </c>
      <c r="F4538" s="340" t="s">
        <v>894</v>
      </c>
      <c r="G4538" s="340" t="s">
        <v>3023</v>
      </c>
      <c r="H4538" s="340"/>
      <c r="I4538" s="340" t="s">
        <v>771</v>
      </c>
      <c r="K4538" s="343">
        <v>0</v>
      </c>
      <c r="L4538" s="343">
        <v>-0.68</v>
      </c>
      <c r="M4538" s="343">
        <v>-913105.01</v>
      </c>
      <c r="O4538" s="343">
        <v>0</v>
      </c>
    </row>
    <row r="4539" spans="1:15" x14ac:dyDescent="0.3">
      <c r="A4539" s="340" t="s">
        <v>891</v>
      </c>
      <c r="B4539" s="350">
        <v>46142</v>
      </c>
      <c r="C4539" s="350">
        <v>46162</v>
      </c>
      <c r="D4539" s="351">
        <v>46143</v>
      </c>
      <c r="E4539" s="340" t="s">
        <v>3171</v>
      </c>
      <c r="F4539" s="340" t="s">
        <v>894</v>
      </c>
      <c r="G4539" s="340" t="s">
        <v>3024</v>
      </c>
      <c r="H4539" s="340"/>
      <c r="I4539" s="340" t="s">
        <v>771</v>
      </c>
      <c r="K4539" s="343">
        <v>0</v>
      </c>
      <c r="L4539" s="343">
        <v>-1.39</v>
      </c>
      <c r="M4539" s="343">
        <v>-913106.4</v>
      </c>
      <c r="O4539" s="343">
        <v>0</v>
      </c>
    </row>
    <row r="4540" spans="1:15" x14ac:dyDescent="0.3">
      <c r="A4540" s="340" t="s">
        <v>891</v>
      </c>
      <c r="B4540" s="350">
        <v>46142</v>
      </c>
      <c r="C4540" s="350">
        <v>46162</v>
      </c>
      <c r="D4540" s="351">
        <v>46143</v>
      </c>
      <c r="E4540" s="340" t="s">
        <v>3171</v>
      </c>
      <c r="F4540" s="340" t="s">
        <v>894</v>
      </c>
      <c r="G4540" s="340" t="s">
        <v>3017</v>
      </c>
      <c r="H4540" s="340"/>
      <c r="I4540" s="340" t="s">
        <v>771</v>
      </c>
      <c r="K4540" s="343">
        <v>0</v>
      </c>
      <c r="L4540" s="343">
        <v>-2.2599999999999998</v>
      </c>
      <c r="M4540" s="343">
        <v>-913108.66</v>
      </c>
      <c r="O4540" s="343">
        <v>0</v>
      </c>
    </row>
    <row r="4541" spans="1:15" x14ac:dyDescent="0.3">
      <c r="A4541" s="340" t="s">
        <v>891</v>
      </c>
      <c r="B4541" s="350">
        <v>46142</v>
      </c>
      <c r="C4541" s="350">
        <v>46162</v>
      </c>
      <c r="D4541" s="351">
        <v>46143</v>
      </c>
      <c r="E4541" s="340" t="s">
        <v>3171</v>
      </c>
      <c r="F4541" s="340" t="s">
        <v>894</v>
      </c>
      <c r="G4541" s="340" t="s">
        <v>3025</v>
      </c>
      <c r="H4541" s="340"/>
      <c r="I4541" s="340" t="s">
        <v>771</v>
      </c>
      <c r="K4541" s="343">
        <v>0</v>
      </c>
      <c r="L4541" s="343">
        <v>-3.94</v>
      </c>
      <c r="M4541" s="343">
        <v>-913112.6</v>
      </c>
      <c r="O4541" s="343">
        <v>0</v>
      </c>
    </row>
    <row r="4542" spans="1:15" x14ac:dyDescent="0.3">
      <c r="A4542" s="340" t="s">
        <v>891</v>
      </c>
      <c r="B4542" s="350">
        <v>46142</v>
      </c>
      <c r="C4542" s="350">
        <v>46162</v>
      </c>
      <c r="D4542" s="351">
        <v>46143</v>
      </c>
      <c r="E4542" s="340" t="s">
        <v>3171</v>
      </c>
      <c r="F4542" s="340" t="s">
        <v>894</v>
      </c>
      <c r="G4542" s="340" t="s">
        <v>3021</v>
      </c>
      <c r="H4542" s="340"/>
      <c r="I4542" s="340" t="s">
        <v>771</v>
      </c>
      <c r="K4542" s="343">
        <v>0</v>
      </c>
      <c r="L4542" s="343">
        <v>-4.6100000000000003</v>
      </c>
      <c r="M4542" s="343">
        <v>-913117.21</v>
      </c>
      <c r="O4542" s="343">
        <v>0</v>
      </c>
    </row>
    <row r="4543" spans="1:15" x14ac:dyDescent="0.3">
      <c r="A4543" s="340" t="s">
        <v>891</v>
      </c>
      <c r="B4543" s="350">
        <v>46142</v>
      </c>
      <c r="C4543" s="350">
        <v>46162</v>
      </c>
      <c r="D4543" s="351">
        <v>46143</v>
      </c>
      <c r="E4543" s="340" t="s">
        <v>3171</v>
      </c>
      <c r="F4543" s="340" t="s">
        <v>894</v>
      </c>
      <c r="G4543" s="340" t="s">
        <v>3026</v>
      </c>
      <c r="H4543" s="340"/>
      <c r="I4543" s="340" t="s">
        <v>771</v>
      </c>
      <c r="K4543" s="343">
        <v>0</v>
      </c>
      <c r="L4543" s="343">
        <v>-4.6100000000000003</v>
      </c>
      <c r="M4543" s="343">
        <v>-913121.82</v>
      </c>
      <c r="O4543" s="343">
        <v>0</v>
      </c>
    </row>
    <row r="4544" spans="1:15" x14ac:dyDescent="0.3">
      <c r="A4544" s="340" t="s">
        <v>891</v>
      </c>
      <c r="B4544" s="350">
        <v>46142</v>
      </c>
      <c r="C4544" s="350">
        <v>46162</v>
      </c>
      <c r="D4544" s="351">
        <v>46143</v>
      </c>
      <c r="E4544" s="340" t="s">
        <v>3171</v>
      </c>
      <c r="F4544" s="340" t="s">
        <v>894</v>
      </c>
      <c r="G4544" s="340" t="s">
        <v>3005</v>
      </c>
      <c r="H4544" s="340"/>
      <c r="I4544" s="340" t="s">
        <v>771</v>
      </c>
      <c r="K4544" s="343">
        <v>0</v>
      </c>
      <c r="L4544" s="343">
        <v>-15.78</v>
      </c>
      <c r="M4544" s="343">
        <v>-913137.6</v>
      </c>
      <c r="O4544" s="343">
        <v>0</v>
      </c>
    </row>
    <row r="4545" spans="1:15" x14ac:dyDescent="0.3">
      <c r="A4545" s="340" t="s">
        <v>891</v>
      </c>
      <c r="B4545" s="350">
        <v>46142</v>
      </c>
      <c r="C4545" s="350">
        <v>46162</v>
      </c>
      <c r="D4545" s="351">
        <v>46143</v>
      </c>
      <c r="E4545" s="340" t="s">
        <v>3171</v>
      </c>
      <c r="F4545" s="340" t="s">
        <v>894</v>
      </c>
      <c r="G4545" s="340" t="s">
        <v>3016</v>
      </c>
      <c r="H4545" s="340"/>
      <c r="I4545" s="340" t="s">
        <v>771</v>
      </c>
      <c r="K4545" s="343">
        <v>0</v>
      </c>
      <c r="L4545" s="343">
        <v>-0.01</v>
      </c>
      <c r="M4545" s="343">
        <v>-913137.61</v>
      </c>
      <c r="O4545" s="343">
        <v>0</v>
      </c>
    </row>
    <row r="4546" spans="1:15" x14ac:dyDescent="0.3">
      <c r="A4546" s="340" t="s">
        <v>891</v>
      </c>
      <c r="B4546" s="350">
        <v>46142</v>
      </c>
      <c r="C4546" s="350">
        <v>46162</v>
      </c>
      <c r="D4546" s="351">
        <v>46143</v>
      </c>
      <c r="E4546" s="340" t="s">
        <v>3171</v>
      </c>
      <c r="F4546" s="340" t="s">
        <v>894</v>
      </c>
      <c r="G4546" s="340" t="s">
        <v>3016</v>
      </c>
      <c r="H4546" s="340"/>
      <c r="I4546" s="340" t="s">
        <v>771</v>
      </c>
      <c r="K4546" s="343">
        <v>0</v>
      </c>
      <c r="L4546" s="343">
        <v>-0.02</v>
      </c>
      <c r="M4546" s="343">
        <v>-913137.63</v>
      </c>
      <c r="O4546" s="343">
        <v>0</v>
      </c>
    </row>
    <row r="4547" spans="1:15" x14ac:dyDescent="0.3">
      <c r="A4547" s="340" t="s">
        <v>891</v>
      </c>
      <c r="B4547" s="350">
        <v>46142</v>
      </c>
      <c r="C4547" s="350">
        <v>46162</v>
      </c>
      <c r="D4547" s="351">
        <v>46143</v>
      </c>
      <c r="E4547" s="340" t="s">
        <v>3171</v>
      </c>
      <c r="F4547" s="340" t="s">
        <v>894</v>
      </c>
      <c r="G4547" s="340" t="s">
        <v>3018</v>
      </c>
      <c r="H4547" s="340"/>
      <c r="I4547" s="340" t="s">
        <v>771</v>
      </c>
      <c r="K4547" s="343">
        <v>0</v>
      </c>
      <c r="L4547" s="343">
        <v>-0.05</v>
      </c>
      <c r="M4547" s="343">
        <v>-913137.68</v>
      </c>
      <c r="O4547" s="343">
        <v>0</v>
      </c>
    </row>
    <row r="4548" spans="1:15" x14ac:dyDescent="0.3">
      <c r="A4548" s="340" t="s">
        <v>891</v>
      </c>
      <c r="B4548" s="350">
        <v>46142</v>
      </c>
      <c r="C4548" s="350">
        <v>46162</v>
      </c>
      <c r="D4548" s="351">
        <v>46143</v>
      </c>
      <c r="E4548" s="340" t="s">
        <v>3171</v>
      </c>
      <c r="F4548" s="340" t="s">
        <v>894</v>
      </c>
      <c r="G4548" s="340" t="s">
        <v>3020</v>
      </c>
      <c r="H4548" s="340"/>
      <c r="I4548" s="340" t="s">
        <v>771</v>
      </c>
      <c r="K4548" s="343">
        <v>0</v>
      </c>
      <c r="L4548" s="343">
        <v>-7.0000000000000007E-2</v>
      </c>
      <c r="M4548" s="343">
        <v>-913137.75</v>
      </c>
      <c r="O4548" s="343">
        <v>0</v>
      </c>
    </row>
    <row r="4549" spans="1:15" x14ac:dyDescent="0.3">
      <c r="A4549" s="340" t="s">
        <v>891</v>
      </c>
      <c r="B4549" s="350">
        <v>46142</v>
      </c>
      <c r="C4549" s="350">
        <v>46162</v>
      </c>
      <c r="D4549" s="351">
        <v>46143</v>
      </c>
      <c r="E4549" s="340" t="s">
        <v>3171</v>
      </c>
      <c r="F4549" s="340" t="s">
        <v>894</v>
      </c>
      <c r="G4549" s="340" t="s">
        <v>3020</v>
      </c>
      <c r="H4549" s="340"/>
      <c r="I4549" s="340" t="s">
        <v>771</v>
      </c>
      <c r="K4549" s="343">
        <v>0</v>
      </c>
      <c r="L4549" s="343">
        <v>-0.11</v>
      </c>
      <c r="M4549" s="343">
        <v>-913137.86</v>
      </c>
      <c r="O4549" s="343">
        <v>0</v>
      </c>
    </row>
    <row r="4550" spans="1:15" x14ac:dyDescent="0.3">
      <c r="A4550" s="340" t="s">
        <v>891</v>
      </c>
      <c r="B4550" s="350">
        <v>46142</v>
      </c>
      <c r="C4550" s="350">
        <v>46162</v>
      </c>
      <c r="D4550" s="351">
        <v>46143</v>
      </c>
      <c r="E4550" s="340" t="s">
        <v>3171</v>
      </c>
      <c r="F4550" s="340" t="s">
        <v>894</v>
      </c>
      <c r="G4550" s="340" t="s">
        <v>3022</v>
      </c>
      <c r="H4550" s="340"/>
      <c r="I4550" s="340" t="s">
        <v>771</v>
      </c>
      <c r="K4550" s="343">
        <v>0</v>
      </c>
      <c r="L4550" s="343">
        <v>-0.14000000000000001</v>
      </c>
      <c r="M4550" s="343">
        <v>-913138</v>
      </c>
      <c r="O4550" s="343">
        <v>0</v>
      </c>
    </row>
    <row r="4551" spans="1:15" x14ac:dyDescent="0.3">
      <c r="A4551" s="340" t="s">
        <v>891</v>
      </c>
      <c r="B4551" s="350">
        <v>46142</v>
      </c>
      <c r="C4551" s="350">
        <v>46162</v>
      </c>
      <c r="D4551" s="351">
        <v>46143</v>
      </c>
      <c r="E4551" s="340" t="s">
        <v>3171</v>
      </c>
      <c r="F4551" s="340" t="s">
        <v>894</v>
      </c>
      <c r="G4551" s="340" t="s">
        <v>3022</v>
      </c>
      <c r="H4551" s="340"/>
      <c r="I4551" s="340" t="s">
        <v>771</v>
      </c>
      <c r="K4551" s="343">
        <v>0</v>
      </c>
      <c r="L4551" s="343">
        <v>-0.22</v>
      </c>
      <c r="M4551" s="343">
        <v>-913138.22</v>
      </c>
      <c r="O4551" s="343">
        <v>0</v>
      </c>
    </row>
    <row r="4552" spans="1:15" x14ac:dyDescent="0.3">
      <c r="A4552" s="340" t="s">
        <v>891</v>
      </c>
      <c r="B4552" s="350">
        <v>46142</v>
      </c>
      <c r="C4552" s="350">
        <v>46162</v>
      </c>
      <c r="D4552" s="351">
        <v>46143</v>
      </c>
      <c r="E4552" s="340" t="s">
        <v>3171</v>
      </c>
      <c r="F4552" s="340" t="s">
        <v>894</v>
      </c>
      <c r="G4552" s="340" t="s">
        <v>3023</v>
      </c>
      <c r="H4552" s="340"/>
      <c r="I4552" s="340" t="s">
        <v>771</v>
      </c>
      <c r="K4552" s="343">
        <v>0</v>
      </c>
      <c r="L4552" s="343">
        <v>-0.27</v>
      </c>
      <c r="M4552" s="343">
        <v>-913138.49</v>
      </c>
      <c r="O4552" s="343">
        <v>0</v>
      </c>
    </row>
    <row r="4553" spans="1:15" x14ac:dyDescent="0.3">
      <c r="A4553" s="340" t="s">
        <v>891</v>
      </c>
      <c r="B4553" s="350">
        <v>46142</v>
      </c>
      <c r="C4553" s="350">
        <v>46162</v>
      </c>
      <c r="D4553" s="351">
        <v>46143</v>
      </c>
      <c r="E4553" s="340" t="s">
        <v>3171</v>
      </c>
      <c r="F4553" s="340" t="s">
        <v>894</v>
      </c>
      <c r="G4553" s="340" t="s">
        <v>3024</v>
      </c>
      <c r="H4553" s="340"/>
      <c r="I4553" s="340" t="s">
        <v>771</v>
      </c>
      <c r="K4553" s="343">
        <v>0</v>
      </c>
      <c r="L4553" s="343">
        <v>-0.56000000000000005</v>
      </c>
      <c r="M4553" s="343">
        <v>-913139.05</v>
      </c>
      <c r="O4553" s="343">
        <v>0</v>
      </c>
    </row>
    <row r="4554" spans="1:15" x14ac:dyDescent="0.3">
      <c r="A4554" s="340" t="s">
        <v>891</v>
      </c>
      <c r="B4554" s="350">
        <v>46142</v>
      </c>
      <c r="C4554" s="350">
        <v>46162</v>
      </c>
      <c r="D4554" s="351">
        <v>46143</v>
      </c>
      <c r="E4554" s="340" t="s">
        <v>3171</v>
      </c>
      <c r="F4554" s="340" t="s">
        <v>894</v>
      </c>
      <c r="G4554" s="340" t="s">
        <v>3025</v>
      </c>
      <c r="H4554" s="340"/>
      <c r="I4554" s="340" t="s">
        <v>771</v>
      </c>
      <c r="K4554" s="343">
        <v>0</v>
      </c>
      <c r="L4554" s="343">
        <v>-1.58</v>
      </c>
      <c r="M4554" s="343">
        <v>-913140.63</v>
      </c>
      <c r="O4554" s="343">
        <v>0</v>
      </c>
    </row>
    <row r="4555" spans="1:15" x14ac:dyDescent="0.3">
      <c r="A4555" s="340" t="s">
        <v>891</v>
      </c>
      <c r="B4555" s="350">
        <v>46142</v>
      </c>
      <c r="C4555" s="350">
        <v>46162</v>
      </c>
      <c r="D4555" s="351">
        <v>46143</v>
      </c>
      <c r="E4555" s="340" t="s">
        <v>3171</v>
      </c>
      <c r="F4555" s="340" t="s">
        <v>894</v>
      </c>
      <c r="G4555" s="340" t="s">
        <v>3026</v>
      </c>
      <c r="H4555" s="340"/>
      <c r="I4555" s="340" t="s">
        <v>771</v>
      </c>
      <c r="K4555" s="343">
        <v>0</v>
      </c>
      <c r="L4555" s="343">
        <v>-1.85</v>
      </c>
      <c r="M4555" s="343">
        <v>-913142.48</v>
      </c>
      <c r="O4555" s="343">
        <v>0</v>
      </c>
    </row>
    <row r="4556" spans="1:15" x14ac:dyDescent="0.3">
      <c r="A4556" s="340" t="s">
        <v>891</v>
      </c>
      <c r="B4556" s="350">
        <v>46142</v>
      </c>
      <c r="C4556" s="350">
        <v>46162</v>
      </c>
      <c r="D4556" s="351">
        <v>46143</v>
      </c>
      <c r="E4556" s="340" t="s">
        <v>3171</v>
      </c>
      <c r="F4556" s="340" t="s">
        <v>894</v>
      </c>
      <c r="G4556" s="340" t="s">
        <v>3017</v>
      </c>
      <c r="H4556" s="340"/>
      <c r="I4556" s="340" t="s">
        <v>771</v>
      </c>
      <c r="K4556" s="343">
        <v>0</v>
      </c>
      <c r="L4556" s="343">
        <v>-2.2599999999999998</v>
      </c>
      <c r="M4556" s="343">
        <v>-913144.74</v>
      </c>
      <c r="O4556" s="343">
        <v>0</v>
      </c>
    </row>
    <row r="4557" spans="1:15" x14ac:dyDescent="0.3">
      <c r="A4557" s="340" t="s">
        <v>891</v>
      </c>
      <c r="B4557" s="350">
        <v>46142</v>
      </c>
      <c r="C4557" s="350">
        <v>46162</v>
      </c>
      <c r="D4557" s="351">
        <v>46143</v>
      </c>
      <c r="E4557" s="340" t="s">
        <v>3171</v>
      </c>
      <c r="F4557" s="340" t="s">
        <v>894</v>
      </c>
      <c r="G4557" s="340" t="s">
        <v>3021</v>
      </c>
      <c r="H4557" s="340"/>
      <c r="I4557" s="340" t="s">
        <v>771</v>
      </c>
      <c r="K4557" s="343">
        <v>0</v>
      </c>
      <c r="L4557" s="343">
        <v>-4.6100000000000003</v>
      </c>
      <c r="M4557" s="343">
        <v>-913149.35</v>
      </c>
      <c r="O4557" s="343">
        <v>0</v>
      </c>
    </row>
    <row r="4558" spans="1:15" x14ac:dyDescent="0.3">
      <c r="A4558" s="340" t="s">
        <v>891</v>
      </c>
      <c r="B4558" s="350">
        <v>46142</v>
      </c>
      <c r="C4558" s="350">
        <v>46162</v>
      </c>
      <c r="D4558" s="351">
        <v>46143</v>
      </c>
      <c r="E4558" s="340" t="s">
        <v>3171</v>
      </c>
      <c r="F4558" s="340" t="s">
        <v>894</v>
      </c>
      <c r="G4558" s="340" t="s">
        <v>3005</v>
      </c>
      <c r="H4558" s="340"/>
      <c r="I4558" s="340" t="s">
        <v>771</v>
      </c>
      <c r="K4558" s="343">
        <v>0</v>
      </c>
      <c r="L4558" s="343">
        <v>-6.32</v>
      </c>
      <c r="M4558" s="343">
        <v>-913155.67</v>
      </c>
      <c r="O4558" s="343">
        <v>0</v>
      </c>
    </row>
    <row r="4559" spans="1:15" x14ac:dyDescent="0.3">
      <c r="A4559" s="340" t="s">
        <v>891</v>
      </c>
      <c r="B4559" s="350">
        <v>46142</v>
      </c>
      <c r="C4559" s="350">
        <v>46162</v>
      </c>
      <c r="D4559" s="351">
        <v>46143</v>
      </c>
      <c r="E4559" s="340" t="s">
        <v>3171</v>
      </c>
      <c r="F4559" s="340" t="s">
        <v>894</v>
      </c>
      <c r="G4559" s="340" t="s">
        <v>3016</v>
      </c>
      <c r="H4559" s="340"/>
      <c r="I4559" s="340" t="s">
        <v>771</v>
      </c>
      <c r="K4559" s="343">
        <v>0</v>
      </c>
      <c r="L4559" s="343">
        <v>-0.01</v>
      </c>
      <c r="M4559" s="343">
        <v>-913155.68</v>
      </c>
      <c r="O4559" s="343">
        <v>0</v>
      </c>
    </row>
    <row r="4560" spans="1:15" x14ac:dyDescent="0.3">
      <c r="A4560" s="340" t="s">
        <v>891</v>
      </c>
      <c r="B4560" s="350">
        <v>46142</v>
      </c>
      <c r="C4560" s="350">
        <v>46162</v>
      </c>
      <c r="D4560" s="351">
        <v>46143</v>
      </c>
      <c r="E4560" s="340" t="s">
        <v>3171</v>
      </c>
      <c r="F4560" s="340" t="s">
        <v>894</v>
      </c>
      <c r="G4560" s="340" t="s">
        <v>3016</v>
      </c>
      <c r="H4560" s="340"/>
      <c r="I4560" s="340" t="s">
        <v>771</v>
      </c>
      <c r="K4560" s="343">
        <v>0</v>
      </c>
      <c r="L4560" s="343">
        <v>-0.02</v>
      </c>
      <c r="M4560" s="343">
        <v>-913155.7</v>
      </c>
      <c r="O4560" s="343">
        <v>0</v>
      </c>
    </row>
    <row r="4561" spans="1:15" x14ac:dyDescent="0.3">
      <c r="A4561" s="340" t="s">
        <v>891</v>
      </c>
      <c r="B4561" s="350">
        <v>46142</v>
      </c>
      <c r="C4561" s="350">
        <v>46162</v>
      </c>
      <c r="D4561" s="351">
        <v>46143</v>
      </c>
      <c r="E4561" s="340" t="s">
        <v>3171</v>
      </c>
      <c r="F4561" s="340" t="s">
        <v>894</v>
      </c>
      <c r="G4561" s="340" t="s">
        <v>3018</v>
      </c>
      <c r="H4561" s="340"/>
      <c r="I4561" s="340" t="s">
        <v>771</v>
      </c>
      <c r="K4561" s="343">
        <v>0</v>
      </c>
      <c r="L4561" s="343">
        <v>-0.03</v>
      </c>
      <c r="M4561" s="343">
        <v>-913155.73</v>
      </c>
      <c r="O4561" s="343">
        <v>0</v>
      </c>
    </row>
    <row r="4562" spans="1:15" x14ac:dyDescent="0.3">
      <c r="A4562" s="340" t="s">
        <v>891</v>
      </c>
      <c r="B4562" s="350">
        <v>46142</v>
      </c>
      <c r="C4562" s="350">
        <v>46162</v>
      </c>
      <c r="D4562" s="351">
        <v>46143</v>
      </c>
      <c r="E4562" s="340" t="s">
        <v>3171</v>
      </c>
      <c r="F4562" s="340" t="s">
        <v>894</v>
      </c>
      <c r="G4562" s="340" t="s">
        <v>3020</v>
      </c>
      <c r="H4562" s="340"/>
      <c r="I4562" s="340" t="s">
        <v>771</v>
      </c>
      <c r="K4562" s="343">
        <v>0</v>
      </c>
      <c r="L4562" s="343">
        <v>-0.05</v>
      </c>
      <c r="M4562" s="343">
        <v>-913155.78</v>
      </c>
      <c r="O4562" s="343">
        <v>0</v>
      </c>
    </row>
    <row r="4563" spans="1:15" x14ac:dyDescent="0.3">
      <c r="A4563" s="340" t="s">
        <v>891</v>
      </c>
      <c r="B4563" s="350">
        <v>46142</v>
      </c>
      <c r="C4563" s="350">
        <v>46162</v>
      </c>
      <c r="D4563" s="351">
        <v>46143</v>
      </c>
      <c r="E4563" s="340" t="s">
        <v>3171</v>
      </c>
      <c r="F4563" s="340" t="s">
        <v>894</v>
      </c>
      <c r="G4563" s="340" t="s">
        <v>3022</v>
      </c>
      <c r="H4563" s="340"/>
      <c r="I4563" s="340" t="s">
        <v>771</v>
      </c>
      <c r="K4563" s="343">
        <v>0</v>
      </c>
      <c r="L4563" s="343">
        <v>-0.09</v>
      </c>
      <c r="M4563" s="343">
        <v>-913155.87</v>
      </c>
      <c r="O4563" s="343">
        <v>0</v>
      </c>
    </row>
    <row r="4564" spans="1:15" x14ac:dyDescent="0.3">
      <c r="A4564" s="340" t="s">
        <v>891</v>
      </c>
      <c r="B4564" s="350">
        <v>46142</v>
      </c>
      <c r="C4564" s="350">
        <v>46162</v>
      </c>
      <c r="D4564" s="351">
        <v>46143</v>
      </c>
      <c r="E4564" s="340" t="s">
        <v>3171</v>
      </c>
      <c r="F4564" s="340" t="s">
        <v>894</v>
      </c>
      <c r="G4564" s="340" t="s">
        <v>3020</v>
      </c>
      <c r="H4564" s="340"/>
      <c r="I4564" s="340" t="s">
        <v>771</v>
      </c>
      <c r="K4564" s="343">
        <v>0</v>
      </c>
      <c r="L4564" s="343">
        <v>-0.1</v>
      </c>
      <c r="M4564" s="343">
        <v>-913155.97</v>
      </c>
      <c r="O4564" s="343">
        <v>0</v>
      </c>
    </row>
    <row r="4565" spans="1:15" x14ac:dyDescent="0.3">
      <c r="A4565" s="340" t="s">
        <v>891</v>
      </c>
      <c r="B4565" s="350">
        <v>46142</v>
      </c>
      <c r="C4565" s="350">
        <v>46162</v>
      </c>
      <c r="D4565" s="351">
        <v>46143</v>
      </c>
      <c r="E4565" s="340" t="s">
        <v>3171</v>
      </c>
      <c r="F4565" s="340" t="s">
        <v>894</v>
      </c>
      <c r="G4565" s="340" t="s">
        <v>3023</v>
      </c>
      <c r="H4565" s="340"/>
      <c r="I4565" s="340" t="s">
        <v>771</v>
      </c>
      <c r="K4565" s="343">
        <v>0</v>
      </c>
      <c r="L4565" s="343">
        <v>-0.19</v>
      </c>
      <c r="M4565" s="343">
        <v>-913156.16</v>
      </c>
      <c r="O4565" s="343">
        <v>0</v>
      </c>
    </row>
    <row r="4566" spans="1:15" x14ac:dyDescent="0.3">
      <c r="A4566" s="340" t="s">
        <v>891</v>
      </c>
      <c r="B4566" s="350">
        <v>46142</v>
      </c>
      <c r="C4566" s="350">
        <v>46162</v>
      </c>
      <c r="D4566" s="351">
        <v>46143</v>
      </c>
      <c r="E4566" s="340" t="s">
        <v>3171</v>
      </c>
      <c r="F4566" s="340" t="s">
        <v>894</v>
      </c>
      <c r="G4566" s="340" t="s">
        <v>3022</v>
      </c>
      <c r="H4566" s="340"/>
      <c r="I4566" s="340" t="s">
        <v>771</v>
      </c>
      <c r="K4566" s="343">
        <v>0</v>
      </c>
      <c r="L4566" s="343">
        <v>-0.2</v>
      </c>
      <c r="M4566" s="343">
        <v>-913156.36</v>
      </c>
      <c r="O4566" s="343">
        <v>0</v>
      </c>
    </row>
    <row r="4567" spans="1:15" x14ac:dyDescent="0.3">
      <c r="A4567" s="340" t="s">
        <v>891</v>
      </c>
      <c r="B4567" s="350">
        <v>46142</v>
      </c>
      <c r="C4567" s="350">
        <v>46162</v>
      </c>
      <c r="D4567" s="351">
        <v>46143</v>
      </c>
      <c r="E4567" s="340" t="s">
        <v>3171</v>
      </c>
      <c r="F4567" s="340" t="s">
        <v>894</v>
      </c>
      <c r="G4567" s="340" t="s">
        <v>3026</v>
      </c>
      <c r="H4567" s="340"/>
      <c r="I4567" s="340" t="s">
        <v>771</v>
      </c>
      <c r="K4567" s="343">
        <v>0</v>
      </c>
      <c r="L4567" s="343">
        <v>-1.25</v>
      </c>
      <c r="M4567" s="343">
        <v>-913157.61</v>
      </c>
      <c r="O4567" s="343">
        <v>0</v>
      </c>
    </row>
    <row r="4568" spans="1:15" x14ac:dyDescent="0.3">
      <c r="A4568" s="340" t="s">
        <v>891</v>
      </c>
      <c r="B4568" s="350">
        <v>46142</v>
      </c>
      <c r="C4568" s="350">
        <v>46162</v>
      </c>
      <c r="D4568" s="351">
        <v>46143</v>
      </c>
      <c r="E4568" s="340" t="s">
        <v>3171</v>
      </c>
      <c r="F4568" s="340" t="s">
        <v>894</v>
      </c>
      <c r="G4568" s="340" t="s">
        <v>3017</v>
      </c>
      <c r="H4568" s="340"/>
      <c r="I4568" s="340" t="s">
        <v>771</v>
      </c>
      <c r="K4568" s="343">
        <v>0</v>
      </c>
      <c r="L4568" s="343">
        <v>-2.2599999999999998</v>
      </c>
      <c r="M4568" s="343">
        <v>-913159.87</v>
      </c>
      <c r="O4568" s="343">
        <v>0</v>
      </c>
    </row>
    <row r="4569" spans="1:15" x14ac:dyDescent="0.3">
      <c r="A4569" s="340" t="s">
        <v>891</v>
      </c>
      <c r="B4569" s="350">
        <v>46142</v>
      </c>
      <c r="C4569" s="350">
        <v>46162</v>
      </c>
      <c r="D4569" s="351">
        <v>46143</v>
      </c>
      <c r="E4569" s="340" t="s">
        <v>3171</v>
      </c>
      <c r="F4569" s="340" t="s">
        <v>894</v>
      </c>
      <c r="G4569" s="340" t="s">
        <v>3005</v>
      </c>
      <c r="H4569" s="340"/>
      <c r="I4569" s="340" t="s">
        <v>771</v>
      </c>
      <c r="K4569" s="343">
        <v>0</v>
      </c>
      <c r="L4569" s="343">
        <v>-4.29</v>
      </c>
      <c r="M4569" s="343">
        <v>-913164.16</v>
      </c>
      <c r="O4569" s="343">
        <v>0</v>
      </c>
    </row>
    <row r="4570" spans="1:15" x14ac:dyDescent="0.3">
      <c r="A4570" s="340" t="s">
        <v>891</v>
      </c>
      <c r="B4570" s="350">
        <v>46142</v>
      </c>
      <c r="C4570" s="350">
        <v>46162</v>
      </c>
      <c r="D4570" s="351">
        <v>46143</v>
      </c>
      <c r="E4570" s="340" t="s">
        <v>3171</v>
      </c>
      <c r="F4570" s="340" t="s">
        <v>894</v>
      </c>
      <c r="G4570" s="340" t="s">
        <v>3021</v>
      </c>
      <c r="H4570" s="340"/>
      <c r="I4570" s="340" t="s">
        <v>771</v>
      </c>
      <c r="K4570" s="343">
        <v>0</v>
      </c>
      <c r="L4570" s="343">
        <v>-4.6100000000000003</v>
      </c>
      <c r="M4570" s="343">
        <v>-913168.77</v>
      </c>
      <c r="O4570" s="343">
        <v>0</v>
      </c>
    </row>
    <row r="4571" spans="1:15" x14ac:dyDescent="0.3">
      <c r="A4571" s="340" t="s">
        <v>891</v>
      </c>
      <c r="B4571" s="350">
        <v>46142</v>
      </c>
      <c r="C4571" s="350">
        <v>46162</v>
      </c>
      <c r="D4571" s="351">
        <v>46143</v>
      </c>
      <c r="E4571" s="340" t="s">
        <v>3171</v>
      </c>
      <c r="F4571" s="340" t="s">
        <v>894</v>
      </c>
      <c r="G4571" s="340" t="s">
        <v>3019</v>
      </c>
      <c r="H4571" s="340"/>
      <c r="I4571" s="340" t="s">
        <v>771</v>
      </c>
      <c r="K4571" s="343">
        <v>0</v>
      </c>
      <c r="L4571" s="343">
        <v>-0.1</v>
      </c>
      <c r="M4571" s="343">
        <v>-913168.87</v>
      </c>
      <c r="O4571" s="343">
        <v>0</v>
      </c>
    </row>
    <row r="4572" spans="1:15" x14ac:dyDescent="0.3">
      <c r="A4572" s="340" t="s">
        <v>891</v>
      </c>
      <c r="B4572" s="350">
        <v>46142</v>
      </c>
      <c r="C4572" s="350">
        <v>46162</v>
      </c>
      <c r="D4572" s="351">
        <v>46143</v>
      </c>
      <c r="E4572" s="340" t="s">
        <v>3171</v>
      </c>
      <c r="F4572" s="340" t="s">
        <v>894</v>
      </c>
      <c r="G4572" s="340" t="s">
        <v>3016</v>
      </c>
      <c r="H4572" s="340"/>
      <c r="I4572" s="340" t="s">
        <v>771</v>
      </c>
      <c r="K4572" s="343">
        <v>0</v>
      </c>
      <c r="L4572" s="343">
        <v>-0.15</v>
      </c>
      <c r="M4572" s="343">
        <v>-913169.02</v>
      </c>
      <c r="O4572" s="343">
        <v>0</v>
      </c>
    </row>
    <row r="4573" spans="1:15" x14ac:dyDescent="0.3">
      <c r="A4573" s="340" t="s">
        <v>891</v>
      </c>
      <c r="B4573" s="350">
        <v>46142</v>
      </c>
      <c r="C4573" s="350">
        <v>46162</v>
      </c>
      <c r="D4573" s="351">
        <v>46143</v>
      </c>
      <c r="E4573" s="340" t="s">
        <v>3171</v>
      </c>
      <c r="F4573" s="340" t="s">
        <v>894</v>
      </c>
      <c r="G4573" s="340" t="s">
        <v>3016</v>
      </c>
      <c r="H4573" s="340"/>
      <c r="I4573" s="340" t="s">
        <v>771</v>
      </c>
      <c r="K4573" s="343">
        <v>0</v>
      </c>
      <c r="L4573" s="343">
        <v>-0.23</v>
      </c>
      <c r="M4573" s="343">
        <v>-913169.25</v>
      </c>
      <c r="O4573" s="343">
        <v>0</v>
      </c>
    </row>
    <row r="4574" spans="1:15" x14ac:dyDescent="0.3">
      <c r="A4574" s="340" t="s">
        <v>891</v>
      </c>
      <c r="B4574" s="350">
        <v>46142</v>
      </c>
      <c r="C4574" s="350">
        <v>46162</v>
      </c>
      <c r="D4574" s="351">
        <v>46143</v>
      </c>
      <c r="E4574" s="340" t="s">
        <v>3171</v>
      </c>
      <c r="F4574" s="340" t="s">
        <v>894</v>
      </c>
      <c r="G4574" s="340" t="s">
        <v>3020</v>
      </c>
      <c r="H4574" s="340"/>
      <c r="I4574" s="340" t="s">
        <v>771</v>
      </c>
      <c r="K4574" s="343">
        <v>0</v>
      </c>
      <c r="L4574" s="343">
        <v>-0.91</v>
      </c>
      <c r="M4574" s="343">
        <v>-913170.16</v>
      </c>
      <c r="O4574" s="343">
        <v>0</v>
      </c>
    </row>
    <row r="4575" spans="1:15" x14ac:dyDescent="0.3">
      <c r="A4575" s="340" t="s">
        <v>891</v>
      </c>
      <c r="B4575" s="350">
        <v>46142</v>
      </c>
      <c r="C4575" s="350">
        <v>46162</v>
      </c>
      <c r="D4575" s="351">
        <v>46143</v>
      </c>
      <c r="E4575" s="340" t="s">
        <v>3171</v>
      </c>
      <c r="F4575" s="340" t="s">
        <v>894</v>
      </c>
      <c r="G4575" s="340" t="s">
        <v>3018</v>
      </c>
      <c r="H4575" s="340"/>
      <c r="I4575" s="340" t="s">
        <v>771</v>
      </c>
      <c r="K4575" s="343">
        <v>0</v>
      </c>
      <c r="L4575" s="343">
        <v>-0.96</v>
      </c>
      <c r="M4575" s="343">
        <v>-913171.12</v>
      </c>
      <c r="O4575" s="343">
        <v>0</v>
      </c>
    </row>
    <row r="4576" spans="1:15" x14ac:dyDescent="0.3">
      <c r="A4576" s="340" t="s">
        <v>891</v>
      </c>
      <c r="B4576" s="350">
        <v>46142</v>
      </c>
      <c r="C4576" s="350">
        <v>46162</v>
      </c>
      <c r="D4576" s="351">
        <v>46143</v>
      </c>
      <c r="E4576" s="340" t="s">
        <v>3171</v>
      </c>
      <c r="F4576" s="340" t="s">
        <v>894</v>
      </c>
      <c r="G4576" s="340" t="s">
        <v>3020</v>
      </c>
      <c r="H4576" s="340"/>
      <c r="I4576" s="340" t="s">
        <v>771</v>
      </c>
      <c r="K4576" s="343">
        <v>0</v>
      </c>
      <c r="L4576" s="343">
        <v>-1.39</v>
      </c>
      <c r="M4576" s="343">
        <v>-913172.51</v>
      </c>
      <c r="O4576" s="343">
        <v>0</v>
      </c>
    </row>
    <row r="4577" spans="1:15" x14ac:dyDescent="0.3">
      <c r="A4577" s="340" t="s">
        <v>891</v>
      </c>
      <c r="B4577" s="350">
        <v>46142</v>
      </c>
      <c r="C4577" s="350">
        <v>46162</v>
      </c>
      <c r="D4577" s="351">
        <v>46143</v>
      </c>
      <c r="E4577" s="340" t="s">
        <v>3171</v>
      </c>
      <c r="F4577" s="340" t="s">
        <v>894</v>
      </c>
      <c r="G4577" s="340" t="s">
        <v>3022</v>
      </c>
      <c r="H4577" s="340"/>
      <c r="I4577" s="340" t="s">
        <v>771</v>
      </c>
      <c r="K4577" s="343">
        <v>0</v>
      </c>
      <c r="L4577" s="343">
        <v>-1.81</v>
      </c>
      <c r="M4577" s="343">
        <v>-913174.32</v>
      </c>
      <c r="O4577" s="343">
        <v>0</v>
      </c>
    </row>
    <row r="4578" spans="1:15" x14ac:dyDescent="0.3">
      <c r="A4578" s="340" t="s">
        <v>891</v>
      </c>
      <c r="B4578" s="350">
        <v>46142</v>
      </c>
      <c r="C4578" s="350">
        <v>46162</v>
      </c>
      <c r="D4578" s="351">
        <v>46143</v>
      </c>
      <c r="E4578" s="340" t="s">
        <v>3171</v>
      </c>
      <c r="F4578" s="340" t="s">
        <v>894</v>
      </c>
      <c r="G4578" s="340" t="s">
        <v>3017</v>
      </c>
      <c r="H4578" s="340"/>
      <c r="I4578" s="340" t="s">
        <v>771</v>
      </c>
      <c r="K4578" s="343">
        <v>0</v>
      </c>
      <c r="L4578" s="343">
        <v>-2.2599999999999998</v>
      </c>
      <c r="M4578" s="343">
        <v>-913176.58</v>
      </c>
      <c r="O4578" s="343">
        <v>0</v>
      </c>
    </row>
    <row r="4579" spans="1:15" x14ac:dyDescent="0.3">
      <c r="A4579" s="340" t="s">
        <v>891</v>
      </c>
      <c r="B4579" s="350">
        <v>46142</v>
      </c>
      <c r="C4579" s="350">
        <v>46162</v>
      </c>
      <c r="D4579" s="351">
        <v>46143</v>
      </c>
      <c r="E4579" s="340" t="s">
        <v>3171</v>
      </c>
      <c r="F4579" s="340" t="s">
        <v>894</v>
      </c>
      <c r="G4579" s="340" t="s">
        <v>3022</v>
      </c>
      <c r="H4579" s="340"/>
      <c r="I4579" s="340" t="s">
        <v>771</v>
      </c>
      <c r="K4579" s="343">
        <v>0</v>
      </c>
      <c r="L4579" s="343">
        <v>-2.78</v>
      </c>
      <c r="M4579" s="343">
        <v>-913179.36</v>
      </c>
      <c r="O4579" s="343">
        <v>0</v>
      </c>
    </row>
    <row r="4580" spans="1:15" x14ac:dyDescent="0.3">
      <c r="A4580" s="340" t="s">
        <v>891</v>
      </c>
      <c r="B4580" s="350">
        <v>46142</v>
      </c>
      <c r="C4580" s="350">
        <v>46162</v>
      </c>
      <c r="D4580" s="351">
        <v>46143</v>
      </c>
      <c r="E4580" s="340" t="s">
        <v>3171</v>
      </c>
      <c r="F4580" s="340" t="s">
        <v>894</v>
      </c>
      <c r="G4580" s="340" t="s">
        <v>3021</v>
      </c>
      <c r="H4580" s="340"/>
      <c r="I4580" s="340" t="s">
        <v>771</v>
      </c>
      <c r="K4580" s="343">
        <v>0</v>
      </c>
      <c r="L4580" s="343">
        <v>-4.6100000000000003</v>
      </c>
      <c r="M4580" s="343">
        <v>-913183.97</v>
      </c>
      <c r="O4580" s="343">
        <v>0</v>
      </c>
    </row>
    <row r="4581" spans="1:15" x14ac:dyDescent="0.3">
      <c r="A4581" s="340" t="s">
        <v>891</v>
      </c>
      <c r="B4581" s="350">
        <v>46142</v>
      </c>
      <c r="C4581" s="350">
        <v>46162</v>
      </c>
      <c r="D4581" s="351">
        <v>46143</v>
      </c>
      <c r="E4581" s="340" t="s">
        <v>3171</v>
      </c>
      <c r="F4581" s="340" t="s">
        <v>894</v>
      </c>
      <c r="G4581" s="340" t="s">
        <v>3023</v>
      </c>
      <c r="H4581" s="340"/>
      <c r="I4581" s="340" t="s">
        <v>771</v>
      </c>
      <c r="K4581" s="343">
        <v>0</v>
      </c>
      <c r="L4581" s="343">
        <v>-5.61</v>
      </c>
      <c r="M4581" s="343">
        <v>-913189.58</v>
      </c>
      <c r="O4581" s="343">
        <v>0</v>
      </c>
    </row>
    <row r="4582" spans="1:15" x14ac:dyDescent="0.3">
      <c r="A4582" s="340" t="s">
        <v>891</v>
      </c>
      <c r="B4582" s="350">
        <v>46142</v>
      </c>
      <c r="C4582" s="350">
        <v>46162</v>
      </c>
      <c r="D4582" s="351">
        <v>46143</v>
      </c>
      <c r="E4582" s="340" t="s">
        <v>3171</v>
      </c>
      <c r="F4582" s="340" t="s">
        <v>894</v>
      </c>
      <c r="G4582" s="340" t="s">
        <v>3024</v>
      </c>
      <c r="H4582" s="340"/>
      <c r="I4582" s="340" t="s">
        <v>771</v>
      </c>
      <c r="K4582" s="343">
        <v>0</v>
      </c>
      <c r="L4582" s="343">
        <v>-11.44</v>
      </c>
      <c r="M4582" s="343">
        <v>-913201.02</v>
      </c>
      <c r="O4582" s="343">
        <v>0</v>
      </c>
    </row>
    <row r="4583" spans="1:15" x14ac:dyDescent="0.3">
      <c r="A4583" s="340" t="s">
        <v>891</v>
      </c>
      <c r="B4583" s="350">
        <v>46142</v>
      </c>
      <c r="C4583" s="350">
        <v>46162</v>
      </c>
      <c r="D4583" s="351">
        <v>46143</v>
      </c>
      <c r="E4583" s="340" t="s">
        <v>3171</v>
      </c>
      <c r="F4583" s="340" t="s">
        <v>894</v>
      </c>
      <c r="G4583" s="340" t="s">
        <v>3025</v>
      </c>
      <c r="H4583" s="340"/>
      <c r="I4583" s="340" t="s">
        <v>771</v>
      </c>
      <c r="K4583" s="343">
        <v>0</v>
      </c>
      <c r="L4583" s="343">
        <v>-32.39</v>
      </c>
      <c r="M4583" s="343">
        <v>-913233.41</v>
      </c>
      <c r="O4583" s="343">
        <v>0</v>
      </c>
    </row>
    <row r="4584" spans="1:15" x14ac:dyDescent="0.3">
      <c r="A4584" s="340" t="s">
        <v>891</v>
      </c>
      <c r="B4584" s="350">
        <v>46142</v>
      </c>
      <c r="C4584" s="350">
        <v>46162</v>
      </c>
      <c r="D4584" s="351">
        <v>46143</v>
      </c>
      <c r="E4584" s="340" t="s">
        <v>3171</v>
      </c>
      <c r="F4584" s="340" t="s">
        <v>894</v>
      </c>
      <c r="G4584" s="340" t="s">
        <v>3026</v>
      </c>
      <c r="H4584" s="340"/>
      <c r="I4584" s="340" t="s">
        <v>771</v>
      </c>
      <c r="K4584" s="343">
        <v>0</v>
      </c>
      <c r="L4584" s="343">
        <v>-37.909999999999997</v>
      </c>
      <c r="M4584" s="343">
        <v>-913271.32</v>
      </c>
      <c r="O4584" s="343">
        <v>0</v>
      </c>
    </row>
    <row r="4585" spans="1:15" x14ac:dyDescent="0.3">
      <c r="A4585" s="340" t="s">
        <v>891</v>
      </c>
      <c r="B4585" s="350">
        <v>46142</v>
      </c>
      <c r="C4585" s="350">
        <v>46162</v>
      </c>
      <c r="D4585" s="351">
        <v>46143</v>
      </c>
      <c r="E4585" s="340" t="s">
        <v>3171</v>
      </c>
      <c r="F4585" s="340" t="s">
        <v>894</v>
      </c>
      <c r="G4585" s="340" t="s">
        <v>3005</v>
      </c>
      <c r="H4585" s="340"/>
      <c r="I4585" s="340" t="s">
        <v>771</v>
      </c>
      <c r="K4585" s="343">
        <v>0</v>
      </c>
      <c r="L4585" s="343">
        <v>-129.69999999999999</v>
      </c>
      <c r="M4585" s="343">
        <v>-913401.02</v>
      </c>
      <c r="O4585" s="343">
        <v>0</v>
      </c>
    </row>
    <row r="4586" spans="1:15" x14ac:dyDescent="0.3">
      <c r="A4586" s="340" t="s">
        <v>891</v>
      </c>
      <c r="B4586" s="350">
        <v>46142</v>
      </c>
      <c r="C4586" s="350">
        <v>46162</v>
      </c>
      <c r="D4586" s="351">
        <v>46143</v>
      </c>
      <c r="E4586" s="340" t="s">
        <v>3171</v>
      </c>
      <c r="F4586" s="340" t="s">
        <v>894</v>
      </c>
      <c r="G4586" s="340" t="s">
        <v>3016</v>
      </c>
      <c r="H4586" s="340"/>
      <c r="I4586" s="340" t="s">
        <v>771</v>
      </c>
      <c r="K4586" s="343">
        <v>0</v>
      </c>
      <c r="L4586" s="343">
        <v>-0.01</v>
      </c>
      <c r="M4586" s="343">
        <v>-913401.03</v>
      </c>
      <c r="O4586" s="343">
        <v>0</v>
      </c>
    </row>
    <row r="4587" spans="1:15" x14ac:dyDescent="0.3">
      <c r="A4587" s="340" t="s">
        <v>891</v>
      </c>
      <c r="B4587" s="350">
        <v>46142</v>
      </c>
      <c r="C4587" s="350">
        <v>46162</v>
      </c>
      <c r="D4587" s="351">
        <v>46143</v>
      </c>
      <c r="E4587" s="340" t="s">
        <v>3171</v>
      </c>
      <c r="F4587" s="340" t="s">
        <v>894</v>
      </c>
      <c r="G4587" s="340" t="s">
        <v>3016</v>
      </c>
      <c r="H4587" s="340"/>
      <c r="I4587" s="340" t="s">
        <v>771</v>
      </c>
      <c r="K4587" s="343">
        <v>0</v>
      </c>
      <c r="L4587" s="343">
        <v>-0.02</v>
      </c>
      <c r="M4587" s="343">
        <v>-913401.05</v>
      </c>
      <c r="O4587" s="343">
        <v>0</v>
      </c>
    </row>
    <row r="4588" spans="1:15" x14ac:dyDescent="0.3">
      <c r="A4588" s="340" t="s">
        <v>891</v>
      </c>
      <c r="B4588" s="350">
        <v>46142</v>
      </c>
      <c r="C4588" s="350">
        <v>46162</v>
      </c>
      <c r="D4588" s="351">
        <v>46143</v>
      </c>
      <c r="E4588" s="340" t="s">
        <v>3171</v>
      </c>
      <c r="F4588" s="340" t="s">
        <v>894</v>
      </c>
      <c r="G4588" s="340" t="s">
        <v>3018</v>
      </c>
      <c r="H4588" s="340"/>
      <c r="I4588" s="340" t="s">
        <v>771</v>
      </c>
      <c r="K4588" s="343">
        <v>0</v>
      </c>
      <c r="L4588" s="343">
        <v>-0.03</v>
      </c>
      <c r="M4588" s="343">
        <v>-913401.08</v>
      </c>
      <c r="O4588" s="343">
        <v>0</v>
      </c>
    </row>
    <row r="4589" spans="1:15" x14ac:dyDescent="0.3">
      <c r="A4589" s="340" t="s">
        <v>891</v>
      </c>
      <c r="B4589" s="350">
        <v>46142</v>
      </c>
      <c r="C4589" s="350">
        <v>46162</v>
      </c>
      <c r="D4589" s="351">
        <v>46143</v>
      </c>
      <c r="E4589" s="340" t="s">
        <v>3171</v>
      </c>
      <c r="F4589" s="340" t="s">
        <v>894</v>
      </c>
      <c r="G4589" s="340" t="s">
        <v>3020</v>
      </c>
      <c r="H4589" s="340"/>
      <c r="I4589" s="340" t="s">
        <v>771</v>
      </c>
      <c r="K4589" s="343">
        <v>0</v>
      </c>
      <c r="L4589" s="343">
        <v>-0.05</v>
      </c>
      <c r="M4589" s="343">
        <v>-913401.13</v>
      </c>
      <c r="O4589" s="343">
        <v>0</v>
      </c>
    </row>
    <row r="4590" spans="1:15" x14ac:dyDescent="0.3">
      <c r="A4590" s="340" t="s">
        <v>891</v>
      </c>
      <c r="B4590" s="350">
        <v>46142</v>
      </c>
      <c r="C4590" s="350">
        <v>46162</v>
      </c>
      <c r="D4590" s="351">
        <v>46143</v>
      </c>
      <c r="E4590" s="340" t="s">
        <v>3171</v>
      </c>
      <c r="F4590" s="340" t="s">
        <v>894</v>
      </c>
      <c r="G4590" s="340" t="s">
        <v>3020</v>
      </c>
      <c r="H4590" s="340"/>
      <c r="I4590" s="340" t="s">
        <v>771</v>
      </c>
      <c r="K4590" s="343">
        <v>0</v>
      </c>
      <c r="L4590" s="343">
        <v>-0.1</v>
      </c>
      <c r="M4590" s="343">
        <v>-913401.23</v>
      </c>
      <c r="O4590" s="343">
        <v>0</v>
      </c>
    </row>
    <row r="4591" spans="1:15" x14ac:dyDescent="0.3">
      <c r="A4591" s="340" t="s">
        <v>891</v>
      </c>
      <c r="B4591" s="350">
        <v>46142</v>
      </c>
      <c r="C4591" s="350">
        <v>46162</v>
      </c>
      <c r="D4591" s="351">
        <v>46143</v>
      </c>
      <c r="E4591" s="340" t="s">
        <v>3171</v>
      </c>
      <c r="F4591" s="340" t="s">
        <v>894</v>
      </c>
      <c r="G4591" s="340" t="s">
        <v>3022</v>
      </c>
      <c r="H4591" s="340"/>
      <c r="I4591" s="340" t="s">
        <v>771</v>
      </c>
      <c r="K4591" s="343">
        <v>0</v>
      </c>
      <c r="L4591" s="343">
        <v>-0.1</v>
      </c>
      <c r="M4591" s="343">
        <v>-913401.33</v>
      </c>
      <c r="O4591" s="343">
        <v>0</v>
      </c>
    </row>
    <row r="4592" spans="1:15" x14ac:dyDescent="0.3">
      <c r="A4592" s="340" t="s">
        <v>891</v>
      </c>
      <c r="B4592" s="350">
        <v>46142</v>
      </c>
      <c r="C4592" s="350">
        <v>46162</v>
      </c>
      <c r="D4592" s="351">
        <v>46143</v>
      </c>
      <c r="E4592" s="340" t="s">
        <v>3171</v>
      </c>
      <c r="F4592" s="340" t="s">
        <v>894</v>
      </c>
      <c r="G4592" s="340" t="s">
        <v>3017</v>
      </c>
      <c r="H4592" s="340"/>
      <c r="I4592" s="340" t="s">
        <v>771</v>
      </c>
      <c r="K4592" s="343">
        <v>0</v>
      </c>
      <c r="L4592" s="343">
        <v>-2.2599999999999998</v>
      </c>
      <c r="M4592" s="343">
        <v>-913403.59</v>
      </c>
      <c r="O4592" s="343">
        <v>0</v>
      </c>
    </row>
    <row r="4593" spans="1:15" x14ac:dyDescent="0.3">
      <c r="A4593" s="340" t="s">
        <v>891</v>
      </c>
      <c r="B4593" s="350">
        <v>46142</v>
      </c>
      <c r="C4593" s="350">
        <v>46162</v>
      </c>
      <c r="D4593" s="351">
        <v>46143</v>
      </c>
      <c r="E4593" s="340" t="s">
        <v>3171</v>
      </c>
      <c r="F4593" s="340" t="s">
        <v>894</v>
      </c>
      <c r="G4593" s="340" t="s">
        <v>3021</v>
      </c>
      <c r="H4593" s="340"/>
      <c r="I4593" s="340" t="s">
        <v>771</v>
      </c>
      <c r="K4593" s="343">
        <v>0</v>
      </c>
      <c r="L4593" s="343">
        <v>-4.6100000000000003</v>
      </c>
      <c r="M4593" s="343">
        <v>-913408.2</v>
      </c>
      <c r="O4593" s="343">
        <v>0</v>
      </c>
    </row>
    <row r="4594" spans="1:15" x14ac:dyDescent="0.3">
      <c r="A4594" s="340" t="s">
        <v>891</v>
      </c>
      <c r="B4594" s="350">
        <v>46142</v>
      </c>
      <c r="C4594" s="350">
        <v>46162</v>
      </c>
      <c r="D4594" s="351">
        <v>46143</v>
      </c>
      <c r="E4594" s="340" t="s">
        <v>3171</v>
      </c>
      <c r="F4594" s="340" t="s">
        <v>894</v>
      </c>
      <c r="G4594" s="340" t="s">
        <v>3005</v>
      </c>
      <c r="H4594" s="340"/>
      <c r="I4594" s="340" t="s">
        <v>771</v>
      </c>
      <c r="K4594" s="343">
        <v>0</v>
      </c>
      <c r="L4594" s="343">
        <v>-4.6500000000000004</v>
      </c>
      <c r="M4594" s="343">
        <v>-913412.85</v>
      </c>
      <c r="O4594" s="343">
        <v>0</v>
      </c>
    </row>
    <row r="4595" spans="1:15" x14ac:dyDescent="0.3">
      <c r="A4595" s="340" t="s">
        <v>891</v>
      </c>
      <c r="B4595" s="350">
        <v>46142</v>
      </c>
      <c r="C4595" s="350">
        <v>46162</v>
      </c>
      <c r="D4595" s="351">
        <v>46143</v>
      </c>
      <c r="E4595" s="340" t="s">
        <v>3171</v>
      </c>
      <c r="F4595" s="340" t="s">
        <v>894</v>
      </c>
      <c r="G4595" s="340" t="s">
        <v>3016</v>
      </c>
      <c r="H4595" s="340"/>
      <c r="I4595" s="340" t="s">
        <v>771</v>
      </c>
      <c r="K4595" s="343">
        <v>0</v>
      </c>
      <c r="L4595" s="343">
        <v>-0.02</v>
      </c>
      <c r="M4595" s="343">
        <v>-913412.87</v>
      </c>
      <c r="O4595" s="343">
        <v>0</v>
      </c>
    </row>
    <row r="4596" spans="1:15" x14ac:dyDescent="0.3">
      <c r="A4596" s="340" t="s">
        <v>891</v>
      </c>
      <c r="B4596" s="350">
        <v>46142</v>
      </c>
      <c r="C4596" s="350">
        <v>46162</v>
      </c>
      <c r="D4596" s="351">
        <v>46143</v>
      </c>
      <c r="E4596" s="340" t="s">
        <v>3171</v>
      </c>
      <c r="F4596" s="340" t="s">
        <v>894</v>
      </c>
      <c r="G4596" s="340" t="s">
        <v>3018</v>
      </c>
      <c r="H4596" s="340"/>
      <c r="I4596" s="340" t="s">
        <v>771</v>
      </c>
      <c r="K4596" s="343">
        <v>0</v>
      </c>
      <c r="L4596" s="343">
        <v>-0.03</v>
      </c>
      <c r="M4596" s="343">
        <v>-913412.9</v>
      </c>
      <c r="O4596" s="343">
        <v>0</v>
      </c>
    </row>
    <row r="4597" spans="1:15" x14ac:dyDescent="0.3">
      <c r="A4597" s="340" t="s">
        <v>891</v>
      </c>
      <c r="B4597" s="350">
        <v>46142</v>
      </c>
      <c r="C4597" s="350">
        <v>46162</v>
      </c>
      <c r="D4597" s="351">
        <v>46143</v>
      </c>
      <c r="E4597" s="340" t="s">
        <v>3171</v>
      </c>
      <c r="F4597" s="340" t="s">
        <v>894</v>
      </c>
      <c r="G4597" s="340" t="s">
        <v>3022</v>
      </c>
      <c r="H4597" s="340"/>
      <c r="I4597" s="340" t="s">
        <v>771</v>
      </c>
      <c r="K4597" s="343">
        <v>0</v>
      </c>
      <c r="L4597" s="343">
        <v>-0.08</v>
      </c>
      <c r="M4597" s="343">
        <v>-913412.98</v>
      </c>
      <c r="O4597" s="343">
        <v>0</v>
      </c>
    </row>
    <row r="4598" spans="1:15" x14ac:dyDescent="0.3">
      <c r="A4598" s="340" t="s">
        <v>891</v>
      </c>
      <c r="B4598" s="350">
        <v>46142</v>
      </c>
      <c r="C4598" s="350">
        <v>46162</v>
      </c>
      <c r="D4598" s="351">
        <v>46143</v>
      </c>
      <c r="E4598" s="340" t="s">
        <v>3171</v>
      </c>
      <c r="F4598" s="340" t="s">
        <v>894</v>
      </c>
      <c r="G4598" s="340" t="s">
        <v>3023</v>
      </c>
      <c r="H4598" s="340"/>
      <c r="I4598" s="340" t="s">
        <v>771</v>
      </c>
      <c r="K4598" s="343">
        <v>0</v>
      </c>
      <c r="L4598" s="343">
        <v>-0.16</v>
      </c>
      <c r="M4598" s="343">
        <v>-913413.14</v>
      </c>
      <c r="O4598" s="343">
        <v>0</v>
      </c>
    </row>
    <row r="4599" spans="1:15" x14ac:dyDescent="0.3">
      <c r="A4599" s="340" t="s">
        <v>891</v>
      </c>
      <c r="B4599" s="350">
        <v>46142</v>
      </c>
      <c r="C4599" s="350">
        <v>46162</v>
      </c>
      <c r="D4599" s="351">
        <v>46143</v>
      </c>
      <c r="E4599" s="340" t="s">
        <v>3171</v>
      </c>
      <c r="F4599" s="340" t="s">
        <v>894</v>
      </c>
      <c r="G4599" s="340" t="s">
        <v>3022</v>
      </c>
      <c r="H4599" s="340"/>
      <c r="I4599" s="340" t="s">
        <v>771</v>
      </c>
      <c r="K4599" s="343">
        <v>0</v>
      </c>
      <c r="L4599" s="343">
        <v>-0.19</v>
      </c>
      <c r="M4599" s="343">
        <v>-913413.33</v>
      </c>
      <c r="O4599" s="343">
        <v>0</v>
      </c>
    </row>
    <row r="4600" spans="1:15" x14ac:dyDescent="0.3">
      <c r="A4600" s="340" t="s">
        <v>891</v>
      </c>
      <c r="B4600" s="350">
        <v>46142</v>
      </c>
      <c r="C4600" s="350">
        <v>46162</v>
      </c>
      <c r="D4600" s="351">
        <v>46143</v>
      </c>
      <c r="E4600" s="340" t="s">
        <v>3171</v>
      </c>
      <c r="F4600" s="340" t="s">
        <v>894</v>
      </c>
      <c r="G4600" s="340" t="s">
        <v>3024</v>
      </c>
      <c r="H4600" s="340"/>
      <c r="I4600" s="340" t="s">
        <v>771</v>
      </c>
      <c r="K4600" s="343">
        <v>0</v>
      </c>
      <c r="L4600" s="343">
        <v>-0.32</v>
      </c>
      <c r="M4600" s="343">
        <v>-913413.65</v>
      </c>
      <c r="O4600" s="343">
        <v>0</v>
      </c>
    </row>
    <row r="4601" spans="1:15" x14ac:dyDescent="0.3">
      <c r="A4601" s="340" t="s">
        <v>891</v>
      </c>
      <c r="B4601" s="350">
        <v>46142</v>
      </c>
      <c r="C4601" s="350">
        <v>46162</v>
      </c>
      <c r="D4601" s="351">
        <v>46143</v>
      </c>
      <c r="E4601" s="340" t="s">
        <v>3171</v>
      </c>
      <c r="F4601" s="340" t="s">
        <v>894</v>
      </c>
      <c r="G4601" s="340" t="s">
        <v>3025</v>
      </c>
      <c r="H4601" s="340"/>
      <c r="I4601" s="340" t="s">
        <v>771</v>
      </c>
      <c r="K4601" s="343">
        <v>0</v>
      </c>
      <c r="L4601" s="343">
        <v>-0.91</v>
      </c>
      <c r="M4601" s="343">
        <v>-913414.56</v>
      </c>
      <c r="O4601" s="343">
        <v>0</v>
      </c>
    </row>
    <row r="4602" spans="1:15" x14ac:dyDescent="0.3">
      <c r="A4602" s="340" t="s">
        <v>891</v>
      </c>
      <c r="B4602" s="350">
        <v>46142</v>
      </c>
      <c r="C4602" s="350">
        <v>46162</v>
      </c>
      <c r="D4602" s="351">
        <v>46143</v>
      </c>
      <c r="E4602" s="340" t="s">
        <v>3171</v>
      </c>
      <c r="F4602" s="340" t="s">
        <v>894</v>
      </c>
      <c r="G4602" s="340" t="s">
        <v>3026</v>
      </c>
      <c r="H4602" s="340"/>
      <c r="I4602" s="340" t="s">
        <v>771</v>
      </c>
      <c r="K4602" s="343">
        <v>0</v>
      </c>
      <c r="L4602" s="343">
        <v>-1.06</v>
      </c>
      <c r="M4602" s="343">
        <v>-913415.62</v>
      </c>
      <c r="O4602" s="343">
        <v>0</v>
      </c>
    </row>
    <row r="4603" spans="1:15" x14ac:dyDescent="0.3">
      <c r="A4603" s="340" t="s">
        <v>891</v>
      </c>
      <c r="B4603" s="350">
        <v>46142</v>
      </c>
      <c r="C4603" s="350">
        <v>46162</v>
      </c>
      <c r="D4603" s="351">
        <v>46143</v>
      </c>
      <c r="E4603" s="340" t="s">
        <v>3171</v>
      </c>
      <c r="F4603" s="340" t="s">
        <v>894</v>
      </c>
      <c r="G4603" s="340" t="s">
        <v>3017</v>
      </c>
      <c r="H4603" s="340"/>
      <c r="I4603" s="340" t="s">
        <v>771</v>
      </c>
      <c r="K4603" s="343">
        <v>0</v>
      </c>
      <c r="L4603" s="343">
        <v>-2.2599999999999998</v>
      </c>
      <c r="M4603" s="343">
        <v>-913417.88</v>
      </c>
      <c r="O4603" s="343">
        <v>0</v>
      </c>
    </row>
    <row r="4604" spans="1:15" x14ac:dyDescent="0.3">
      <c r="A4604" s="340" t="s">
        <v>891</v>
      </c>
      <c r="B4604" s="350">
        <v>46142</v>
      </c>
      <c r="C4604" s="350">
        <v>46162</v>
      </c>
      <c r="D4604" s="351">
        <v>46143</v>
      </c>
      <c r="E4604" s="340" t="s">
        <v>3171</v>
      </c>
      <c r="F4604" s="340" t="s">
        <v>894</v>
      </c>
      <c r="G4604" s="340" t="s">
        <v>3005</v>
      </c>
      <c r="H4604" s="340"/>
      <c r="I4604" s="340" t="s">
        <v>771</v>
      </c>
      <c r="K4604" s="343">
        <v>0</v>
      </c>
      <c r="L4604" s="343">
        <v>-3.63</v>
      </c>
      <c r="M4604" s="343">
        <v>-913421.51</v>
      </c>
      <c r="O4604" s="343">
        <v>0</v>
      </c>
    </row>
    <row r="4605" spans="1:15" x14ac:dyDescent="0.3">
      <c r="A4605" s="340" t="s">
        <v>891</v>
      </c>
      <c r="B4605" s="350">
        <v>46142</v>
      </c>
      <c r="C4605" s="350">
        <v>46162</v>
      </c>
      <c r="D4605" s="351">
        <v>46143</v>
      </c>
      <c r="E4605" s="340" t="s">
        <v>3171</v>
      </c>
      <c r="F4605" s="340" t="s">
        <v>894</v>
      </c>
      <c r="G4605" s="340" t="s">
        <v>3021</v>
      </c>
      <c r="H4605" s="340"/>
      <c r="I4605" s="340" t="s">
        <v>771</v>
      </c>
      <c r="K4605" s="343">
        <v>0</v>
      </c>
      <c r="L4605" s="343">
        <v>-4.6100000000000003</v>
      </c>
      <c r="M4605" s="343">
        <v>-913426.12</v>
      </c>
      <c r="O4605" s="343">
        <v>0</v>
      </c>
    </row>
    <row r="4606" spans="1:15" x14ac:dyDescent="0.3">
      <c r="A4606" s="340" t="s">
        <v>891</v>
      </c>
      <c r="B4606" s="350">
        <v>46142</v>
      </c>
      <c r="C4606" s="350">
        <v>46162</v>
      </c>
      <c r="D4606" s="351">
        <v>46143</v>
      </c>
      <c r="E4606" s="340" t="s">
        <v>3171</v>
      </c>
      <c r="F4606" s="340" t="s">
        <v>894</v>
      </c>
      <c r="G4606" s="340" t="s">
        <v>3016</v>
      </c>
      <c r="H4606" s="340"/>
      <c r="I4606" s="340" t="s">
        <v>771</v>
      </c>
      <c r="K4606" s="343">
        <v>0</v>
      </c>
      <c r="L4606" s="343">
        <v>-0.01</v>
      </c>
      <c r="M4606" s="343">
        <v>-913426.13</v>
      </c>
      <c r="O4606" s="343">
        <v>0</v>
      </c>
    </row>
    <row r="4607" spans="1:15" x14ac:dyDescent="0.3">
      <c r="A4607" s="340" t="s">
        <v>891</v>
      </c>
      <c r="B4607" s="350">
        <v>46142</v>
      </c>
      <c r="C4607" s="350">
        <v>46162</v>
      </c>
      <c r="D4607" s="351">
        <v>46143</v>
      </c>
      <c r="E4607" s="340" t="s">
        <v>3171</v>
      </c>
      <c r="F4607" s="340" t="s">
        <v>894</v>
      </c>
      <c r="G4607" s="340" t="s">
        <v>3016</v>
      </c>
      <c r="H4607" s="340"/>
      <c r="I4607" s="340" t="s">
        <v>771</v>
      </c>
      <c r="K4607" s="343">
        <v>0</v>
      </c>
      <c r="L4607" s="343">
        <v>-0.02</v>
      </c>
      <c r="M4607" s="343">
        <v>-913426.15</v>
      </c>
      <c r="O4607" s="343">
        <v>0</v>
      </c>
    </row>
    <row r="4608" spans="1:15" x14ac:dyDescent="0.3">
      <c r="A4608" s="340" t="s">
        <v>891</v>
      </c>
      <c r="B4608" s="350">
        <v>46142</v>
      </c>
      <c r="C4608" s="350">
        <v>46162</v>
      </c>
      <c r="D4608" s="351">
        <v>46143</v>
      </c>
      <c r="E4608" s="340" t="s">
        <v>3171</v>
      </c>
      <c r="F4608" s="340" t="s">
        <v>894</v>
      </c>
      <c r="G4608" s="340" t="s">
        <v>3018</v>
      </c>
      <c r="H4608" s="340"/>
      <c r="I4608" s="340" t="s">
        <v>771</v>
      </c>
      <c r="K4608" s="343">
        <v>0</v>
      </c>
      <c r="L4608" s="343">
        <v>-0.04</v>
      </c>
      <c r="M4608" s="343">
        <v>-913426.19</v>
      </c>
      <c r="O4608" s="343">
        <v>0</v>
      </c>
    </row>
    <row r="4609" spans="1:15" x14ac:dyDescent="0.3">
      <c r="A4609" s="340" t="s">
        <v>891</v>
      </c>
      <c r="B4609" s="350">
        <v>46142</v>
      </c>
      <c r="C4609" s="350">
        <v>46162</v>
      </c>
      <c r="D4609" s="351">
        <v>46143</v>
      </c>
      <c r="E4609" s="340" t="s">
        <v>3171</v>
      </c>
      <c r="F4609" s="340" t="s">
        <v>894</v>
      </c>
      <c r="G4609" s="340" t="s">
        <v>3020</v>
      </c>
      <c r="H4609" s="340"/>
      <c r="I4609" s="340" t="s">
        <v>771</v>
      </c>
      <c r="K4609" s="343">
        <v>0</v>
      </c>
      <c r="L4609" s="343">
        <v>-0.06</v>
      </c>
      <c r="M4609" s="343">
        <v>-913426.25</v>
      </c>
      <c r="O4609" s="343">
        <v>0</v>
      </c>
    </row>
    <row r="4610" spans="1:15" x14ac:dyDescent="0.3">
      <c r="A4610" s="340" t="s">
        <v>891</v>
      </c>
      <c r="B4610" s="350">
        <v>46142</v>
      </c>
      <c r="C4610" s="350">
        <v>46162</v>
      </c>
      <c r="D4610" s="351">
        <v>46143</v>
      </c>
      <c r="E4610" s="340" t="s">
        <v>3171</v>
      </c>
      <c r="F4610" s="340" t="s">
        <v>894</v>
      </c>
      <c r="G4610" s="340" t="s">
        <v>3020</v>
      </c>
      <c r="H4610" s="340"/>
      <c r="I4610" s="340" t="s">
        <v>771</v>
      </c>
      <c r="K4610" s="343">
        <v>0</v>
      </c>
      <c r="L4610" s="343">
        <v>-0.11</v>
      </c>
      <c r="M4610" s="343">
        <v>-913426.36</v>
      </c>
      <c r="O4610" s="343">
        <v>0</v>
      </c>
    </row>
    <row r="4611" spans="1:15" x14ac:dyDescent="0.3">
      <c r="A4611" s="340" t="s">
        <v>891</v>
      </c>
      <c r="B4611" s="350">
        <v>46142</v>
      </c>
      <c r="C4611" s="350">
        <v>46162</v>
      </c>
      <c r="D4611" s="351">
        <v>46143</v>
      </c>
      <c r="E4611" s="340" t="s">
        <v>3171</v>
      </c>
      <c r="F4611" s="340" t="s">
        <v>894</v>
      </c>
      <c r="G4611" s="340" t="s">
        <v>3022</v>
      </c>
      <c r="H4611" s="340"/>
      <c r="I4611" s="340" t="s">
        <v>771</v>
      </c>
      <c r="K4611" s="343">
        <v>0</v>
      </c>
      <c r="L4611" s="343">
        <v>-0.13</v>
      </c>
      <c r="M4611" s="343">
        <v>-913426.49</v>
      </c>
      <c r="O4611" s="343">
        <v>0</v>
      </c>
    </row>
    <row r="4612" spans="1:15" x14ac:dyDescent="0.3">
      <c r="A4612" s="340" t="s">
        <v>891</v>
      </c>
      <c r="B4612" s="350">
        <v>46142</v>
      </c>
      <c r="C4612" s="350">
        <v>46162</v>
      </c>
      <c r="D4612" s="351">
        <v>46143</v>
      </c>
      <c r="E4612" s="340" t="s">
        <v>3171</v>
      </c>
      <c r="F4612" s="340" t="s">
        <v>894</v>
      </c>
      <c r="G4612" s="340" t="s">
        <v>3022</v>
      </c>
      <c r="H4612" s="340"/>
      <c r="I4612" s="340" t="s">
        <v>771</v>
      </c>
      <c r="K4612" s="343">
        <v>0</v>
      </c>
      <c r="L4612" s="343">
        <v>-0.22</v>
      </c>
      <c r="M4612" s="343">
        <v>-913426.71</v>
      </c>
      <c r="O4612" s="343">
        <v>0</v>
      </c>
    </row>
    <row r="4613" spans="1:15" x14ac:dyDescent="0.3">
      <c r="A4613" s="340" t="s">
        <v>891</v>
      </c>
      <c r="B4613" s="350">
        <v>46142</v>
      </c>
      <c r="C4613" s="350">
        <v>46162</v>
      </c>
      <c r="D4613" s="351">
        <v>46143</v>
      </c>
      <c r="E4613" s="340" t="s">
        <v>3171</v>
      </c>
      <c r="F4613" s="340" t="s">
        <v>894</v>
      </c>
      <c r="G4613" s="340" t="s">
        <v>3023</v>
      </c>
      <c r="H4613" s="340"/>
      <c r="I4613" s="340" t="s">
        <v>771</v>
      </c>
      <c r="K4613" s="343">
        <v>0</v>
      </c>
      <c r="L4613" s="343">
        <v>-0.26</v>
      </c>
      <c r="M4613" s="343">
        <v>-913426.97</v>
      </c>
      <c r="O4613" s="343">
        <v>0</v>
      </c>
    </row>
    <row r="4614" spans="1:15" x14ac:dyDescent="0.3">
      <c r="A4614" s="340" t="s">
        <v>891</v>
      </c>
      <c r="B4614" s="350">
        <v>46142</v>
      </c>
      <c r="C4614" s="350">
        <v>46162</v>
      </c>
      <c r="D4614" s="351">
        <v>46143</v>
      </c>
      <c r="E4614" s="340" t="s">
        <v>3171</v>
      </c>
      <c r="F4614" s="340" t="s">
        <v>894</v>
      </c>
      <c r="G4614" s="340" t="s">
        <v>3024</v>
      </c>
      <c r="H4614" s="340"/>
      <c r="I4614" s="340" t="s">
        <v>771</v>
      </c>
      <c r="K4614" s="343">
        <v>0</v>
      </c>
      <c r="L4614" s="343">
        <v>-0.53</v>
      </c>
      <c r="M4614" s="343">
        <v>-913427.5</v>
      </c>
      <c r="O4614" s="343">
        <v>0</v>
      </c>
    </row>
    <row r="4615" spans="1:15" x14ac:dyDescent="0.3">
      <c r="A4615" s="340" t="s">
        <v>891</v>
      </c>
      <c r="B4615" s="350">
        <v>46142</v>
      </c>
      <c r="C4615" s="350">
        <v>46162</v>
      </c>
      <c r="D4615" s="351">
        <v>46143</v>
      </c>
      <c r="E4615" s="340" t="s">
        <v>3171</v>
      </c>
      <c r="F4615" s="340" t="s">
        <v>894</v>
      </c>
      <c r="G4615" s="340" t="s">
        <v>3025</v>
      </c>
      <c r="H4615" s="340"/>
      <c r="I4615" s="340" t="s">
        <v>771</v>
      </c>
      <c r="K4615" s="343">
        <v>0</v>
      </c>
      <c r="L4615" s="343">
        <v>-1.51</v>
      </c>
      <c r="M4615" s="343">
        <v>-913429.01</v>
      </c>
      <c r="O4615" s="343">
        <v>0</v>
      </c>
    </row>
    <row r="4616" spans="1:15" x14ac:dyDescent="0.3">
      <c r="A4616" s="340" t="s">
        <v>891</v>
      </c>
      <c r="B4616" s="350">
        <v>46142</v>
      </c>
      <c r="C4616" s="350">
        <v>46162</v>
      </c>
      <c r="D4616" s="351">
        <v>46143</v>
      </c>
      <c r="E4616" s="340" t="s">
        <v>3171</v>
      </c>
      <c r="F4616" s="340" t="s">
        <v>894</v>
      </c>
      <c r="G4616" s="340" t="s">
        <v>3026</v>
      </c>
      <c r="H4616" s="340"/>
      <c r="I4616" s="340" t="s">
        <v>771</v>
      </c>
      <c r="K4616" s="343">
        <v>0</v>
      </c>
      <c r="L4616" s="343">
        <v>-1.76</v>
      </c>
      <c r="M4616" s="343">
        <v>-913430.77</v>
      </c>
      <c r="O4616" s="343">
        <v>0</v>
      </c>
    </row>
    <row r="4617" spans="1:15" x14ac:dyDescent="0.3">
      <c r="A4617" s="340" t="s">
        <v>891</v>
      </c>
      <c r="B4617" s="350">
        <v>46142</v>
      </c>
      <c r="C4617" s="350">
        <v>46162</v>
      </c>
      <c r="D4617" s="351">
        <v>46143</v>
      </c>
      <c r="E4617" s="340" t="s">
        <v>3171</v>
      </c>
      <c r="F4617" s="340" t="s">
        <v>894</v>
      </c>
      <c r="G4617" s="340" t="s">
        <v>3017</v>
      </c>
      <c r="H4617" s="340"/>
      <c r="I4617" s="340" t="s">
        <v>771</v>
      </c>
      <c r="K4617" s="343">
        <v>0</v>
      </c>
      <c r="L4617" s="343">
        <v>-2.2599999999999998</v>
      </c>
      <c r="M4617" s="343">
        <v>-913433.03</v>
      </c>
      <c r="O4617" s="343">
        <v>0</v>
      </c>
    </row>
    <row r="4618" spans="1:15" x14ac:dyDescent="0.3">
      <c r="A4618" s="340" t="s">
        <v>891</v>
      </c>
      <c r="B4618" s="350">
        <v>46142</v>
      </c>
      <c r="C4618" s="350">
        <v>46162</v>
      </c>
      <c r="D4618" s="351">
        <v>46143</v>
      </c>
      <c r="E4618" s="340" t="s">
        <v>3171</v>
      </c>
      <c r="F4618" s="340" t="s">
        <v>894</v>
      </c>
      <c r="G4618" s="340" t="s">
        <v>3021</v>
      </c>
      <c r="H4618" s="340"/>
      <c r="I4618" s="340" t="s">
        <v>771</v>
      </c>
      <c r="K4618" s="343">
        <v>0</v>
      </c>
      <c r="L4618" s="343">
        <v>-4.6100000000000003</v>
      </c>
      <c r="M4618" s="343">
        <v>-913437.64</v>
      </c>
      <c r="O4618" s="343">
        <v>0</v>
      </c>
    </row>
    <row r="4619" spans="1:15" x14ac:dyDescent="0.3">
      <c r="A4619" s="340" t="s">
        <v>891</v>
      </c>
      <c r="B4619" s="350">
        <v>46142</v>
      </c>
      <c r="C4619" s="350">
        <v>46162</v>
      </c>
      <c r="D4619" s="351">
        <v>46143</v>
      </c>
      <c r="E4619" s="340" t="s">
        <v>3171</v>
      </c>
      <c r="F4619" s="340" t="s">
        <v>894</v>
      </c>
      <c r="G4619" s="340" t="s">
        <v>3005</v>
      </c>
      <c r="H4619" s="340"/>
      <c r="I4619" s="340" t="s">
        <v>771</v>
      </c>
      <c r="K4619" s="343">
        <v>0</v>
      </c>
      <c r="L4619" s="343">
        <v>-6.03</v>
      </c>
      <c r="M4619" s="343">
        <v>-913443.67</v>
      </c>
      <c r="O4619" s="343">
        <v>0</v>
      </c>
    </row>
    <row r="4620" spans="1:15" x14ac:dyDescent="0.3">
      <c r="A4620" s="340" t="s">
        <v>891</v>
      </c>
      <c r="B4620" s="350">
        <v>46142</v>
      </c>
      <c r="C4620" s="350">
        <v>46162</v>
      </c>
      <c r="D4620" s="351">
        <v>46143</v>
      </c>
      <c r="E4620" s="340" t="s">
        <v>3171</v>
      </c>
      <c r="F4620" s="340" t="s">
        <v>894</v>
      </c>
      <c r="G4620" s="340" t="s">
        <v>3016</v>
      </c>
      <c r="H4620" s="340"/>
      <c r="I4620" s="340" t="s">
        <v>771</v>
      </c>
      <c r="K4620" s="343">
        <v>0</v>
      </c>
      <c r="L4620" s="343">
        <v>-0.01</v>
      </c>
      <c r="M4620" s="343">
        <v>-913443.68</v>
      </c>
      <c r="O4620" s="343">
        <v>0</v>
      </c>
    </row>
    <row r="4621" spans="1:15" x14ac:dyDescent="0.3">
      <c r="A4621" s="340" t="s">
        <v>891</v>
      </c>
      <c r="B4621" s="350">
        <v>46142</v>
      </c>
      <c r="C4621" s="350">
        <v>46162</v>
      </c>
      <c r="D4621" s="351">
        <v>46143</v>
      </c>
      <c r="E4621" s="340" t="s">
        <v>3171</v>
      </c>
      <c r="F4621" s="340" t="s">
        <v>894</v>
      </c>
      <c r="G4621" s="340" t="s">
        <v>3016</v>
      </c>
      <c r="H4621" s="340"/>
      <c r="I4621" s="340" t="s">
        <v>771</v>
      </c>
      <c r="K4621" s="343">
        <v>0</v>
      </c>
      <c r="L4621" s="343">
        <v>-0.02</v>
      </c>
      <c r="M4621" s="343">
        <v>-913443.7</v>
      </c>
      <c r="O4621" s="343">
        <v>0</v>
      </c>
    </row>
    <row r="4622" spans="1:15" x14ac:dyDescent="0.3">
      <c r="A4622" s="340" t="s">
        <v>891</v>
      </c>
      <c r="B4622" s="350">
        <v>46142</v>
      </c>
      <c r="C4622" s="350">
        <v>46162</v>
      </c>
      <c r="D4622" s="351">
        <v>46143</v>
      </c>
      <c r="E4622" s="340" t="s">
        <v>3171</v>
      </c>
      <c r="F4622" s="340" t="s">
        <v>894</v>
      </c>
      <c r="G4622" s="340" t="s">
        <v>3018</v>
      </c>
      <c r="H4622" s="340"/>
      <c r="I4622" s="340" t="s">
        <v>771</v>
      </c>
      <c r="K4622" s="343">
        <v>0</v>
      </c>
      <c r="L4622" s="343">
        <v>-0.03</v>
      </c>
      <c r="M4622" s="343">
        <v>-913443.73</v>
      </c>
      <c r="O4622" s="343">
        <v>0</v>
      </c>
    </row>
    <row r="4623" spans="1:15" x14ac:dyDescent="0.3">
      <c r="A4623" s="340" t="s">
        <v>891</v>
      </c>
      <c r="B4623" s="350">
        <v>46142</v>
      </c>
      <c r="C4623" s="350">
        <v>46162</v>
      </c>
      <c r="D4623" s="351">
        <v>46143</v>
      </c>
      <c r="E4623" s="340" t="s">
        <v>3171</v>
      </c>
      <c r="F4623" s="340" t="s">
        <v>894</v>
      </c>
      <c r="G4623" s="340" t="s">
        <v>3020</v>
      </c>
      <c r="H4623" s="340"/>
      <c r="I4623" s="340" t="s">
        <v>771</v>
      </c>
      <c r="K4623" s="343">
        <v>0</v>
      </c>
      <c r="L4623" s="343">
        <v>-0.04</v>
      </c>
      <c r="M4623" s="343">
        <v>-913443.77</v>
      </c>
      <c r="O4623" s="343">
        <v>0</v>
      </c>
    </row>
    <row r="4624" spans="1:15" x14ac:dyDescent="0.3">
      <c r="A4624" s="340" t="s">
        <v>891</v>
      </c>
      <c r="B4624" s="350">
        <v>46142</v>
      </c>
      <c r="C4624" s="350">
        <v>46162</v>
      </c>
      <c r="D4624" s="351">
        <v>46143</v>
      </c>
      <c r="E4624" s="340" t="s">
        <v>3171</v>
      </c>
      <c r="F4624" s="340" t="s">
        <v>894</v>
      </c>
      <c r="G4624" s="340" t="s">
        <v>3022</v>
      </c>
      <c r="H4624" s="340"/>
      <c r="I4624" s="340" t="s">
        <v>771</v>
      </c>
      <c r="K4624" s="343">
        <v>0</v>
      </c>
      <c r="L4624" s="343">
        <v>-0.08</v>
      </c>
      <c r="M4624" s="343">
        <v>-913443.85</v>
      </c>
      <c r="O4624" s="343">
        <v>0</v>
      </c>
    </row>
    <row r="4625" spans="1:15" x14ac:dyDescent="0.3">
      <c r="A4625" s="340" t="s">
        <v>891</v>
      </c>
      <c r="B4625" s="350">
        <v>46142</v>
      </c>
      <c r="C4625" s="350">
        <v>46162</v>
      </c>
      <c r="D4625" s="351">
        <v>46143</v>
      </c>
      <c r="E4625" s="340" t="s">
        <v>3171</v>
      </c>
      <c r="F4625" s="340" t="s">
        <v>894</v>
      </c>
      <c r="G4625" s="340" t="s">
        <v>3020</v>
      </c>
      <c r="H4625" s="340"/>
      <c r="I4625" s="340" t="s">
        <v>771</v>
      </c>
      <c r="K4625" s="343">
        <v>0</v>
      </c>
      <c r="L4625" s="343">
        <v>-0.1</v>
      </c>
      <c r="M4625" s="343">
        <v>-913443.95</v>
      </c>
      <c r="O4625" s="343">
        <v>0</v>
      </c>
    </row>
    <row r="4626" spans="1:15" x14ac:dyDescent="0.3">
      <c r="A4626" s="340" t="s">
        <v>891</v>
      </c>
      <c r="B4626" s="350">
        <v>46142</v>
      </c>
      <c r="C4626" s="350">
        <v>46162</v>
      </c>
      <c r="D4626" s="351">
        <v>46143</v>
      </c>
      <c r="E4626" s="340" t="s">
        <v>3171</v>
      </c>
      <c r="F4626" s="340" t="s">
        <v>894</v>
      </c>
      <c r="G4626" s="340" t="s">
        <v>3023</v>
      </c>
      <c r="H4626" s="340"/>
      <c r="I4626" s="340" t="s">
        <v>771</v>
      </c>
      <c r="K4626" s="343">
        <v>0</v>
      </c>
      <c r="L4626" s="343">
        <v>-0.17</v>
      </c>
      <c r="M4626" s="343">
        <v>-913444.12</v>
      </c>
      <c r="O4626" s="343">
        <v>0</v>
      </c>
    </row>
    <row r="4627" spans="1:15" x14ac:dyDescent="0.3">
      <c r="A4627" s="340" t="s">
        <v>891</v>
      </c>
      <c r="B4627" s="350">
        <v>46142</v>
      </c>
      <c r="C4627" s="350">
        <v>46162</v>
      </c>
      <c r="D4627" s="351">
        <v>46143</v>
      </c>
      <c r="E4627" s="340" t="s">
        <v>3171</v>
      </c>
      <c r="F4627" s="340" t="s">
        <v>894</v>
      </c>
      <c r="G4627" s="340" t="s">
        <v>3022</v>
      </c>
      <c r="H4627" s="340"/>
      <c r="I4627" s="340" t="s">
        <v>771</v>
      </c>
      <c r="K4627" s="343">
        <v>0</v>
      </c>
      <c r="L4627" s="343">
        <v>-0.19</v>
      </c>
      <c r="M4627" s="343">
        <v>-913444.31</v>
      </c>
      <c r="O4627" s="343">
        <v>0</v>
      </c>
    </row>
    <row r="4628" spans="1:15" x14ac:dyDescent="0.3">
      <c r="A4628" s="340" t="s">
        <v>891</v>
      </c>
      <c r="B4628" s="350">
        <v>46142</v>
      </c>
      <c r="C4628" s="350">
        <v>46162</v>
      </c>
      <c r="D4628" s="351">
        <v>46143</v>
      </c>
      <c r="E4628" s="340" t="s">
        <v>3171</v>
      </c>
      <c r="F4628" s="340" t="s">
        <v>894</v>
      </c>
      <c r="G4628" s="340" t="s">
        <v>3024</v>
      </c>
      <c r="H4628" s="340"/>
      <c r="I4628" s="340" t="s">
        <v>771</v>
      </c>
      <c r="K4628" s="343">
        <v>0</v>
      </c>
      <c r="L4628" s="343">
        <v>-0.35</v>
      </c>
      <c r="M4628" s="343">
        <v>-913444.66</v>
      </c>
      <c r="O4628" s="343">
        <v>0</v>
      </c>
    </row>
    <row r="4629" spans="1:15" x14ac:dyDescent="0.3">
      <c r="A4629" s="340" t="s">
        <v>891</v>
      </c>
      <c r="B4629" s="350">
        <v>46142</v>
      </c>
      <c r="C4629" s="350">
        <v>46162</v>
      </c>
      <c r="D4629" s="351">
        <v>46143</v>
      </c>
      <c r="E4629" s="340" t="s">
        <v>3171</v>
      </c>
      <c r="F4629" s="340" t="s">
        <v>894</v>
      </c>
      <c r="G4629" s="340" t="s">
        <v>3025</v>
      </c>
      <c r="H4629" s="340"/>
      <c r="I4629" s="340" t="s">
        <v>771</v>
      </c>
      <c r="K4629" s="343">
        <v>0</v>
      </c>
      <c r="L4629" s="343">
        <v>-0.98</v>
      </c>
      <c r="M4629" s="343">
        <v>-913445.64</v>
      </c>
      <c r="O4629" s="343">
        <v>0</v>
      </c>
    </row>
    <row r="4630" spans="1:15" x14ac:dyDescent="0.3">
      <c r="A4630" s="340" t="s">
        <v>891</v>
      </c>
      <c r="B4630" s="350">
        <v>46142</v>
      </c>
      <c r="C4630" s="350">
        <v>46162</v>
      </c>
      <c r="D4630" s="351">
        <v>46143</v>
      </c>
      <c r="E4630" s="340" t="s">
        <v>3171</v>
      </c>
      <c r="F4630" s="340" t="s">
        <v>894</v>
      </c>
      <c r="G4630" s="340" t="s">
        <v>3026</v>
      </c>
      <c r="H4630" s="340"/>
      <c r="I4630" s="340" t="s">
        <v>771</v>
      </c>
      <c r="K4630" s="343">
        <v>0</v>
      </c>
      <c r="L4630" s="343">
        <v>-1.1499999999999999</v>
      </c>
      <c r="M4630" s="343">
        <v>-913446.79</v>
      </c>
      <c r="O4630" s="343">
        <v>0</v>
      </c>
    </row>
    <row r="4631" spans="1:15" x14ac:dyDescent="0.3">
      <c r="A4631" s="340" t="s">
        <v>891</v>
      </c>
      <c r="B4631" s="350">
        <v>46142</v>
      </c>
      <c r="C4631" s="350">
        <v>46162</v>
      </c>
      <c r="D4631" s="351">
        <v>46143</v>
      </c>
      <c r="E4631" s="340" t="s">
        <v>3171</v>
      </c>
      <c r="F4631" s="340" t="s">
        <v>894</v>
      </c>
      <c r="G4631" s="340" t="s">
        <v>3017</v>
      </c>
      <c r="H4631" s="340"/>
      <c r="I4631" s="340" t="s">
        <v>771</v>
      </c>
      <c r="K4631" s="343">
        <v>0</v>
      </c>
      <c r="L4631" s="343">
        <v>-2.2599999999999998</v>
      </c>
      <c r="M4631" s="343">
        <v>-913449.05</v>
      </c>
      <c r="O4631" s="343">
        <v>0</v>
      </c>
    </row>
    <row r="4632" spans="1:15" x14ac:dyDescent="0.3">
      <c r="A4632" s="340" t="s">
        <v>891</v>
      </c>
      <c r="B4632" s="350">
        <v>46142</v>
      </c>
      <c r="C4632" s="350">
        <v>46162</v>
      </c>
      <c r="D4632" s="351">
        <v>46143</v>
      </c>
      <c r="E4632" s="340" t="s">
        <v>3171</v>
      </c>
      <c r="F4632" s="340" t="s">
        <v>894</v>
      </c>
      <c r="G4632" s="340" t="s">
        <v>3005</v>
      </c>
      <c r="H4632" s="340"/>
      <c r="I4632" s="340" t="s">
        <v>771</v>
      </c>
      <c r="K4632" s="343">
        <v>0</v>
      </c>
      <c r="L4632" s="343">
        <v>-3.93</v>
      </c>
      <c r="M4632" s="343">
        <v>-913452.98</v>
      </c>
      <c r="O4632" s="343">
        <v>0</v>
      </c>
    </row>
    <row r="4633" spans="1:15" x14ac:dyDescent="0.3">
      <c r="A4633" s="340" t="s">
        <v>891</v>
      </c>
      <c r="B4633" s="350">
        <v>46142</v>
      </c>
      <c r="C4633" s="350">
        <v>46162</v>
      </c>
      <c r="D4633" s="351">
        <v>46143</v>
      </c>
      <c r="E4633" s="340" t="s">
        <v>3171</v>
      </c>
      <c r="F4633" s="340" t="s">
        <v>894</v>
      </c>
      <c r="G4633" s="340" t="s">
        <v>3021</v>
      </c>
      <c r="H4633" s="340"/>
      <c r="I4633" s="340" t="s">
        <v>771</v>
      </c>
      <c r="K4633" s="343">
        <v>0</v>
      </c>
      <c r="L4633" s="343">
        <v>-4.6100000000000003</v>
      </c>
      <c r="M4633" s="343">
        <v>-913457.59</v>
      </c>
      <c r="O4633" s="343">
        <v>0</v>
      </c>
    </row>
    <row r="4634" spans="1:15" x14ac:dyDescent="0.3">
      <c r="A4634" s="340" t="s">
        <v>891</v>
      </c>
      <c r="B4634" s="350">
        <v>46142</v>
      </c>
      <c r="C4634" s="350">
        <v>46162</v>
      </c>
      <c r="D4634" s="351">
        <v>46143</v>
      </c>
      <c r="E4634" s="340" t="s">
        <v>3171</v>
      </c>
      <c r="F4634" s="340" t="s">
        <v>894</v>
      </c>
      <c r="G4634" s="340" t="s">
        <v>3016</v>
      </c>
      <c r="H4634" s="340"/>
      <c r="I4634" s="340" t="s">
        <v>771</v>
      </c>
      <c r="K4634" s="343">
        <v>0</v>
      </c>
      <c r="L4634" s="343">
        <v>-0.01</v>
      </c>
      <c r="M4634" s="343">
        <v>-913457.6</v>
      </c>
      <c r="O4634" s="343">
        <v>0</v>
      </c>
    </row>
    <row r="4635" spans="1:15" x14ac:dyDescent="0.3">
      <c r="A4635" s="340" t="s">
        <v>891</v>
      </c>
      <c r="B4635" s="350">
        <v>46142</v>
      </c>
      <c r="C4635" s="350">
        <v>46162</v>
      </c>
      <c r="D4635" s="351">
        <v>46143</v>
      </c>
      <c r="E4635" s="340" t="s">
        <v>3171</v>
      </c>
      <c r="F4635" s="340" t="s">
        <v>894</v>
      </c>
      <c r="G4635" s="340" t="s">
        <v>3016</v>
      </c>
      <c r="H4635" s="340"/>
      <c r="I4635" s="340" t="s">
        <v>771</v>
      </c>
      <c r="K4635" s="343">
        <v>0</v>
      </c>
      <c r="L4635" s="343">
        <v>-0.02</v>
      </c>
      <c r="M4635" s="343">
        <v>-913457.62</v>
      </c>
      <c r="O4635" s="343">
        <v>0</v>
      </c>
    </row>
    <row r="4636" spans="1:15" x14ac:dyDescent="0.3">
      <c r="A4636" s="340" t="s">
        <v>891</v>
      </c>
      <c r="B4636" s="350">
        <v>46142</v>
      </c>
      <c r="C4636" s="350">
        <v>46162</v>
      </c>
      <c r="D4636" s="351">
        <v>46143</v>
      </c>
      <c r="E4636" s="340" t="s">
        <v>3171</v>
      </c>
      <c r="F4636" s="340" t="s">
        <v>894</v>
      </c>
      <c r="G4636" s="340" t="s">
        <v>3018</v>
      </c>
      <c r="H4636" s="340"/>
      <c r="I4636" s="340" t="s">
        <v>771</v>
      </c>
      <c r="K4636" s="343">
        <v>0</v>
      </c>
      <c r="L4636" s="343">
        <v>-0.03</v>
      </c>
      <c r="M4636" s="343">
        <v>-913457.65</v>
      </c>
      <c r="O4636" s="343">
        <v>0</v>
      </c>
    </row>
    <row r="4637" spans="1:15" x14ac:dyDescent="0.3">
      <c r="A4637" s="340" t="s">
        <v>891</v>
      </c>
      <c r="B4637" s="350">
        <v>46142</v>
      </c>
      <c r="C4637" s="350">
        <v>46162</v>
      </c>
      <c r="D4637" s="351">
        <v>46143</v>
      </c>
      <c r="E4637" s="340" t="s">
        <v>3171</v>
      </c>
      <c r="F4637" s="340" t="s">
        <v>894</v>
      </c>
      <c r="G4637" s="340" t="s">
        <v>3020</v>
      </c>
      <c r="H4637" s="340"/>
      <c r="I4637" s="340" t="s">
        <v>771</v>
      </c>
      <c r="K4637" s="343">
        <v>0</v>
      </c>
      <c r="L4637" s="343">
        <v>-0.04</v>
      </c>
      <c r="M4637" s="343">
        <v>-913457.69</v>
      </c>
      <c r="O4637" s="343">
        <v>0</v>
      </c>
    </row>
    <row r="4638" spans="1:15" x14ac:dyDescent="0.3">
      <c r="A4638" s="340" t="s">
        <v>891</v>
      </c>
      <c r="B4638" s="350">
        <v>46142</v>
      </c>
      <c r="C4638" s="350">
        <v>46162</v>
      </c>
      <c r="D4638" s="351">
        <v>46143</v>
      </c>
      <c r="E4638" s="340" t="s">
        <v>3171</v>
      </c>
      <c r="F4638" s="340" t="s">
        <v>894</v>
      </c>
      <c r="G4638" s="340" t="s">
        <v>3022</v>
      </c>
      <c r="H4638" s="340"/>
      <c r="I4638" s="340" t="s">
        <v>771</v>
      </c>
      <c r="K4638" s="343">
        <v>0</v>
      </c>
      <c r="L4638" s="343">
        <v>-0.08</v>
      </c>
      <c r="M4638" s="343">
        <v>-913457.77</v>
      </c>
      <c r="O4638" s="343">
        <v>0</v>
      </c>
    </row>
    <row r="4639" spans="1:15" x14ac:dyDescent="0.3">
      <c r="A4639" s="340" t="s">
        <v>891</v>
      </c>
      <c r="B4639" s="350">
        <v>46142</v>
      </c>
      <c r="C4639" s="350">
        <v>46162</v>
      </c>
      <c r="D4639" s="351">
        <v>46143</v>
      </c>
      <c r="E4639" s="340" t="s">
        <v>3171</v>
      </c>
      <c r="F4639" s="340" t="s">
        <v>894</v>
      </c>
      <c r="G4639" s="340" t="s">
        <v>3020</v>
      </c>
      <c r="H4639" s="340"/>
      <c r="I4639" s="340" t="s">
        <v>771</v>
      </c>
      <c r="K4639" s="343">
        <v>0</v>
      </c>
      <c r="L4639" s="343">
        <v>-0.09</v>
      </c>
      <c r="M4639" s="343">
        <v>-913457.86</v>
      </c>
      <c r="O4639" s="343">
        <v>0</v>
      </c>
    </row>
    <row r="4640" spans="1:15" x14ac:dyDescent="0.3">
      <c r="A4640" s="340" t="s">
        <v>891</v>
      </c>
      <c r="B4640" s="350">
        <v>46142</v>
      </c>
      <c r="C4640" s="350">
        <v>46162</v>
      </c>
      <c r="D4640" s="351">
        <v>46143</v>
      </c>
      <c r="E4640" s="340" t="s">
        <v>3171</v>
      </c>
      <c r="F4640" s="340" t="s">
        <v>894</v>
      </c>
      <c r="G4640" s="340" t="s">
        <v>3023</v>
      </c>
      <c r="H4640" s="340"/>
      <c r="I4640" s="340" t="s">
        <v>771</v>
      </c>
      <c r="K4640" s="343">
        <v>0</v>
      </c>
      <c r="L4640" s="343">
        <v>-0.15</v>
      </c>
      <c r="M4640" s="343">
        <v>-913458.01</v>
      </c>
      <c r="O4640" s="343">
        <v>0</v>
      </c>
    </row>
    <row r="4641" spans="1:15" x14ac:dyDescent="0.3">
      <c r="A4641" s="340" t="s">
        <v>891</v>
      </c>
      <c r="B4641" s="350">
        <v>46142</v>
      </c>
      <c r="C4641" s="350">
        <v>46162</v>
      </c>
      <c r="D4641" s="351">
        <v>46143</v>
      </c>
      <c r="E4641" s="340" t="s">
        <v>3171</v>
      </c>
      <c r="F4641" s="340" t="s">
        <v>894</v>
      </c>
      <c r="G4641" s="340" t="s">
        <v>3022</v>
      </c>
      <c r="H4641" s="340"/>
      <c r="I4641" s="340" t="s">
        <v>771</v>
      </c>
      <c r="K4641" s="343">
        <v>0</v>
      </c>
      <c r="L4641" s="343">
        <v>-0.19</v>
      </c>
      <c r="M4641" s="343">
        <v>-913458.2</v>
      </c>
      <c r="O4641" s="343">
        <v>0</v>
      </c>
    </row>
    <row r="4642" spans="1:15" x14ac:dyDescent="0.3">
      <c r="A4642" s="340" t="s">
        <v>891</v>
      </c>
      <c r="B4642" s="350">
        <v>46142</v>
      </c>
      <c r="C4642" s="350">
        <v>46162</v>
      </c>
      <c r="D4642" s="351">
        <v>46143</v>
      </c>
      <c r="E4642" s="340" t="s">
        <v>3171</v>
      </c>
      <c r="F4642" s="340" t="s">
        <v>894</v>
      </c>
      <c r="G4642" s="340" t="s">
        <v>3026</v>
      </c>
      <c r="H4642" s="340"/>
      <c r="I4642" s="340" t="s">
        <v>771</v>
      </c>
      <c r="K4642" s="343">
        <v>0</v>
      </c>
      <c r="L4642" s="343">
        <v>-0.31</v>
      </c>
      <c r="M4642" s="343">
        <v>-913458.51</v>
      </c>
      <c r="O4642" s="343">
        <v>0</v>
      </c>
    </row>
    <row r="4643" spans="1:15" x14ac:dyDescent="0.3">
      <c r="A4643" s="340" t="s">
        <v>891</v>
      </c>
      <c r="B4643" s="350">
        <v>46142</v>
      </c>
      <c r="C4643" s="350">
        <v>46162</v>
      </c>
      <c r="D4643" s="351">
        <v>46143</v>
      </c>
      <c r="E4643" s="340" t="s">
        <v>3171</v>
      </c>
      <c r="F4643" s="340" t="s">
        <v>894</v>
      </c>
      <c r="G4643" s="340" t="s">
        <v>3025</v>
      </c>
      <c r="H4643" s="340"/>
      <c r="I4643" s="340" t="s">
        <v>771</v>
      </c>
      <c r="K4643" s="343">
        <v>0</v>
      </c>
      <c r="L4643" s="343">
        <v>-0.89</v>
      </c>
      <c r="M4643" s="343">
        <v>-913459.4</v>
      </c>
      <c r="O4643" s="343">
        <v>0</v>
      </c>
    </row>
    <row r="4644" spans="1:15" x14ac:dyDescent="0.3">
      <c r="A4644" s="340" t="s">
        <v>891</v>
      </c>
      <c r="B4644" s="350">
        <v>46142</v>
      </c>
      <c r="C4644" s="350">
        <v>46162</v>
      </c>
      <c r="D4644" s="351">
        <v>46143</v>
      </c>
      <c r="E4644" s="340" t="s">
        <v>3171</v>
      </c>
      <c r="F4644" s="340" t="s">
        <v>894</v>
      </c>
      <c r="G4644" s="340" t="s">
        <v>3024</v>
      </c>
      <c r="H4644" s="340"/>
      <c r="I4644" s="340" t="s">
        <v>771</v>
      </c>
      <c r="K4644" s="343">
        <v>0</v>
      </c>
      <c r="L4644" s="343">
        <v>-1.04</v>
      </c>
      <c r="M4644" s="343">
        <v>-913460.44</v>
      </c>
      <c r="O4644" s="343">
        <v>0</v>
      </c>
    </row>
    <row r="4645" spans="1:15" x14ac:dyDescent="0.3">
      <c r="A4645" s="340" t="s">
        <v>891</v>
      </c>
      <c r="B4645" s="350">
        <v>46142</v>
      </c>
      <c r="C4645" s="350">
        <v>46162</v>
      </c>
      <c r="D4645" s="351">
        <v>46143</v>
      </c>
      <c r="E4645" s="340" t="s">
        <v>3171</v>
      </c>
      <c r="F4645" s="340" t="s">
        <v>894</v>
      </c>
      <c r="G4645" s="340" t="s">
        <v>3017</v>
      </c>
      <c r="H4645" s="340"/>
      <c r="I4645" s="340" t="s">
        <v>771</v>
      </c>
      <c r="K4645" s="343">
        <v>0</v>
      </c>
      <c r="L4645" s="343">
        <v>-2.2599999999999998</v>
      </c>
      <c r="M4645" s="343">
        <v>-913462.7</v>
      </c>
      <c r="O4645" s="343">
        <v>0</v>
      </c>
    </row>
    <row r="4646" spans="1:15" x14ac:dyDescent="0.3">
      <c r="A4646" s="340" t="s">
        <v>891</v>
      </c>
      <c r="B4646" s="350">
        <v>46142</v>
      </c>
      <c r="C4646" s="350">
        <v>46162</v>
      </c>
      <c r="D4646" s="351">
        <v>46143</v>
      </c>
      <c r="E4646" s="340" t="s">
        <v>3171</v>
      </c>
      <c r="F4646" s="340" t="s">
        <v>894</v>
      </c>
      <c r="G4646" s="340" t="s">
        <v>3005</v>
      </c>
      <c r="H4646" s="340"/>
      <c r="I4646" s="340" t="s">
        <v>771</v>
      </c>
      <c r="K4646" s="343">
        <v>0</v>
      </c>
      <c r="L4646" s="343">
        <v>-3.56</v>
      </c>
      <c r="M4646" s="343">
        <v>-913466.26</v>
      </c>
      <c r="O4646" s="343">
        <v>0</v>
      </c>
    </row>
    <row r="4647" spans="1:15" x14ac:dyDescent="0.3">
      <c r="A4647" s="340" t="s">
        <v>891</v>
      </c>
      <c r="B4647" s="350">
        <v>46142</v>
      </c>
      <c r="C4647" s="350">
        <v>46162</v>
      </c>
      <c r="D4647" s="351">
        <v>46143</v>
      </c>
      <c r="E4647" s="340" t="s">
        <v>3171</v>
      </c>
      <c r="F4647" s="340" t="s">
        <v>894</v>
      </c>
      <c r="G4647" s="340" t="s">
        <v>3021</v>
      </c>
      <c r="H4647" s="340"/>
      <c r="I4647" s="340" t="s">
        <v>771</v>
      </c>
      <c r="K4647" s="343">
        <v>0</v>
      </c>
      <c r="L4647" s="343">
        <v>-4.6100000000000003</v>
      </c>
      <c r="M4647" s="343">
        <v>-913470.87</v>
      </c>
      <c r="O4647" s="343">
        <v>0</v>
      </c>
    </row>
    <row r="4648" spans="1:15" x14ac:dyDescent="0.3">
      <c r="A4648" s="340" t="s">
        <v>891</v>
      </c>
      <c r="B4648" s="350">
        <v>46142</v>
      </c>
      <c r="C4648" s="350">
        <v>46162</v>
      </c>
      <c r="D4648" s="351">
        <v>46143</v>
      </c>
      <c r="E4648" s="340" t="s">
        <v>3171</v>
      </c>
      <c r="F4648" s="340" t="s">
        <v>894</v>
      </c>
      <c r="G4648" s="340" t="s">
        <v>3016</v>
      </c>
      <c r="H4648" s="340"/>
      <c r="I4648" s="340" t="s">
        <v>771</v>
      </c>
      <c r="K4648" s="343">
        <v>0</v>
      </c>
      <c r="L4648" s="343">
        <v>-0.01</v>
      </c>
      <c r="M4648" s="343">
        <v>-913470.88</v>
      </c>
      <c r="O4648" s="343">
        <v>0</v>
      </c>
    </row>
    <row r="4649" spans="1:15" x14ac:dyDescent="0.3">
      <c r="A4649" s="340" t="s">
        <v>891</v>
      </c>
      <c r="B4649" s="350">
        <v>46142</v>
      </c>
      <c r="C4649" s="350">
        <v>46162</v>
      </c>
      <c r="D4649" s="351">
        <v>46143</v>
      </c>
      <c r="E4649" s="340" t="s">
        <v>3171</v>
      </c>
      <c r="F4649" s="340" t="s">
        <v>894</v>
      </c>
      <c r="G4649" s="340" t="s">
        <v>3016</v>
      </c>
      <c r="H4649" s="340"/>
      <c r="I4649" s="340" t="s">
        <v>771</v>
      </c>
      <c r="K4649" s="343">
        <v>0</v>
      </c>
      <c r="L4649" s="343">
        <v>-0.02</v>
      </c>
      <c r="M4649" s="343">
        <v>-913470.9</v>
      </c>
      <c r="O4649" s="343">
        <v>0</v>
      </c>
    </row>
    <row r="4650" spans="1:15" x14ac:dyDescent="0.3">
      <c r="A4650" s="340" t="s">
        <v>891</v>
      </c>
      <c r="B4650" s="350">
        <v>46142</v>
      </c>
      <c r="C4650" s="350">
        <v>46162</v>
      </c>
      <c r="D4650" s="351">
        <v>46143</v>
      </c>
      <c r="E4650" s="340" t="s">
        <v>3171</v>
      </c>
      <c r="F4650" s="340" t="s">
        <v>894</v>
      </c>
      <c r="G4650" s="340" t="s">
        <v>3018</v>
      </c>
      <c r="H4650" s="340"/>
      <c r="I4650" s="340" t="s">
        <v>771</v>
      </c>
      <c r="K4650" s="343">
        <v>0</v>
      </c>
      <c r="L4650" s="343">
        <v>-0.03</v>
      </c>
      <c r="M4650" s="343">
        <v>-913470.93</v>
      </c>
      <c r="O4650" s="343">
        <v>0</v>
      </c>
    </row>
    <row r="4651" spans="1:15" x14ac:dyDescent="0.3">
      <c r="A4651" s="340" t="s">
        <v>891</v>
      </c>
      <c r="B4651" s="350">
        <v>46142</v>
      </c>
      <c r="C4651" s="350">
        <v>46162</v>
      </c>
      <c r="D4651" s="351">
        <v>46143</v>
      </c>
      <c r="E4651" s="340" t="s">
        <v>3171</v>
      </c>
      <c r="F4651" s="340" t="s">
        <v>894</v>
      </c>
      <c r="G4651" s="340" t="s">
        <v>3020</v>
      </c>
      <c r="H4651" s="340"/>
      <c r="I4651" s="340" t="s">
        <v>771</v>
      </c>
      <c r="K4651" s="343">
        <v>0</v>
      </c>
      <c r="L4651" s="343">
        <v>-0.04</v>
      </c>
      <c r="M4651" s="343">
        <v>-913470.97</v>
      </c>
      <c r="O4651" s="343">
        <v>0</v>
      </c>
    </row>
    <row r="4652" spans="1:15" x14ac:dyDescent="0.3">
      <c r="A4652" s="340" t="s">
        <v>891</v>
      </c>
      <c r="B4652" s="350">
        <v>46142</v>
      </c>
      <c r="C4652" s="350">
        <v>46162</v>
      </c>
      <c r="D4652" s="351">
        <v>46143</v>
      </c>
      <c r="E4652" s="340" t="s">
        <v>3171</v>
      </c>
      <c r="F4652" s="340" t="s">
        <v>894</v>
      </c>
      <c r="G4652" s="340" t="s">
        <v>3022</v>
      </c>
      <c r="H4652" s="340"/>
      <c r="I4652" s="340" t="s">
        <v>771</v>
      </c>
      <c r="K4652" s="343">
        <v>0</v>
      </c>
      <c r="L4652" s="343">
        <v>-7.0000000000000007E-2</v>
      </c>
      <c r="M4652" s="343">
        <v>-913471.04</v>
      </c>
      <c r="O4652" s="343">
        <v>0</v>
      </c>
    </row>
    <row r="4653" spans="1:15" x14ac:dyDescent="0.3">
      <c r="A4653" s="340" t="s">
        <v>891</v>
      </c>
      <c r="B4653" s="350">
        <v>46142</v>
      </c>
      <c r="C4653" s="350">
        <v>46162</v>
      </c>
      <c r="D4653" s="351">
        <v>46143</v>
      </c>
      <c r="E4653" s="340" t="s">
        <v>3171</v>
      </c>
      <c r="F4653" s="340" t="s">
        <v>894</v>
      </c>
      <c r="G4653" s="340" t="s">
        <v>3020</v>
      </c>
      <c r="H4653" s="340"/>
      <c r="I4653" s="340" t="s">
        <v>771</v>
      </c>
      <c r="K4653" s="343">
        <v>0</v>
      </c>
      <c r="L4653" s="343">
        <v>-0.09</v>
      </c>
      <c r="M4653" s="343">
        <v>-913471.13</v>
      </c>
      <c r="O4653" s="343">
        <v>0</v>
      </c>
    </row>
    <row r="4654" spans="1:15" x14ac:dyDescent="0.3">
      <c r="A4654" s="340" t="s">
        <v>891</v>
      </c>
      <c r="B4654" s="350">
        <v>46142</v>
      </c>
      <c r="C4654" s="350">
        <v>46162</v>
      </c>
      <c r="D4654" s="351">
        <v>46143</v>
      </c>
      <c r="E4654" s="340" t="s">
        <v>3171</v>
      </c>
      <c r="F4654" s="340" t="s">
        <v>894</v>
      </c>
      <c r="G4654" s="340" t="s">
        <v>3023</v>
      </c>
      <c r="H4654" s="340"/>
      <c r="I4654" s="340" t="s">
        <v>771</v>
      </c>
      <c r="K4654" s="343">
        <v>0</v>
      </c>
      <c r="L4654" s="343">
        <v>-0.15</v>
      </c>
      <c r="M4654" s="343">
        <v>-913471.28</v>
      </c>
      <c r="O4654" s="343">
        <v>0</v>
      </c>
    </row>
    <row r="4655" spans="1:15" x14ac:dyDescent="0.3">
      <c r="A4655" s="340" t="s">
        <v>891</v>
      </c>
      <c r="B4655" s="350">
        <v>46142</v>
      </c>
      <c r="C4655" s="350">
        <v>46162</v>
      </c>
      <c r="D4655" s="351">
        <v>46143</v>
      </c>
      <c r="E4655" s="340" t="s">
        <v>3171</v>
      </c>
      <c r="F4655" s="340" t="s">
        <v>894</v>
      </c>
      <c r="G4655" s="340" t="s">
        <v>3022</v>
      </c>
      <c r="H4655" s="340"/>
      <c r="I4655" s="340" t="s">
        <v>771</v>
      </c>
      <c r="K4655" s="343">
        <v>0</v>
      </c>
      <c r="L4655" s="343">
        <v>-0.18</v>
      </c>
      <c r="M4655" s="343">
        <v>-913471.46</v>
      </c>
      <c r="O4655" s="343">
        <v>0</v>
      </c>
    </row>
    <row r="4656" spans="1:15" x14ac:dyDescent="0.3">
      <c r="A4656" s="340" t="s">
        <v>891</v>
      </c>
      <c r="B4656" s="350">
        <v>46142</v>
      </c>
      <c r="C4656" s="350">
        <v>46162</v>
      </c>
      <c r="D4656" s="351">
        <v>46143</v>
      </c>
      <c r="E4656" s="340" t="s">
        <v>3171</v>
      </c>
      <c r="F4656" s="340" t="s">
        <v>894</v>
      </c>
      <c r="G4656" s="340" t="s">
        <v>3024</v>
      </c>
      <c r="H4656" s="340"/>
      <c r="I4656" s="340" t="s">
        <v>771</v>
      </c>
      <c r="K4656" s="343">
        <v>0</v>
      </c>
      <c r="L4656" s="343">
        <v>-0.31</v>
      </c>
      <c r="M4656" s="343">
        <v>-913471.77</v>
      </c>
      <c r="O4656" s="343">
        <v>0</v>
      </c>
    </row>
    <row r="4657" spans="1:15" x14ac:dyDescent="0.3">
      <c r="A4657" s="340" t="s">
        <v>891</v>
      </c>
      <c r="B4657" s="350">
        <v>46142</v>
      </c>
      <c r="C4657" s="350">
        <v>46162</v>
      </c>
      <c r="D4657" s="351">
        <v>46143</v>
      </c>
      <c r="E4657" s="340" t="s">
        <v>3171</v>
      </c>
      <c r="F4657" s="340" t="s">
        <v>894</v>
      </c>
      <c r="G4657" s="340" t="s">
        <v>3025</v>
      </c>
      <c r="H4657" s="340"/>
      <c r="I4657" s="340" t="s">
        <v>771</v>
      </c>
      <c r="K4657" s="343">
        <v>0</v>
      </c>
      <c r="L4657" s="343">
        <v>-0.87</v>
      </c>
      <c r="M4657" s="343">
        <v>-913472.64</v>
      </c>
      <c r="O4657" s="343">
        <v>0</v>
      </c>
    </row>
    <row r="4658" spans="1:15" x14ac:dyDescent="0.3">
      <c r="A4658" s="340" t="s">
        <v>891</v>
      </c>
      <c r="B4658" s="350">
        <v>46142</v>
      </c>
      <c r="C4658" s="350">
        <v>46162</v>
      </c>
      <c r="D4658" s="351">
        <v>46143</v>
      </c>
      <c r="E4658" s="340" t="s">
        <v>3171</v>
      </c>
      <c r="F4658" s="340" t="s">
        <v>894</v>
      </c>
      <c r="G4658" s="340" t="s">
        <v>3026</v>
      </c>
      <c r="H4658" s="340"/>
      <c r="I4658" s="340" t="s">
        <v>771</v>
      </c>
      <c r="K4658" s="343">
        <v>0</v>
      </c>
      <c r="L4658" s="343">
        <v>-1.02</v>
      </c>
      <c r="M4658" s="343">
        <v>-913473.66</v>
      </c>
      <c r="O4658" s="343">
        <v>0</v>
      </c>
    </row>
    <row r="4659" spans="1:15" x14ac:dyDescent="0.3">
      <c r="A4659" s="340" t="s">
        <v>891</v>
      </c>
      <c r="B4659" s="350">
        <v>46142</v>
      </c>
      <c r="C4659" s="350">
        <v>46162</v>
      </c>
      <c r="D4659" s="351">
        <v>46143</v>
      </c>
      <c r="E4659" s="340" t="s">
        <v>3171</v>
      </c>
      <c r="F4659" s="340" t="s">
        <v>894</v>
      </c>
      <c r="G4659" s="340" t="s">
        <v>3017</v>
      </c>
      <c r="H4659" s="340"/>
      <c r="I4659" s="340" t="s">
        <v>771</v>
      </c>
      <c r="K4659" s="343">
        <v>0</v>
      </c>
      <c r="L4659" s="343">
        <v>-2.2599999999999998</v>
      </c>
      <c r="M4659" s="343">
        <v>-913475.92</v>
      </c>
      <c r="O4659" s="343">
        <v>0</v>
      </c>
    </row>
    <row r="4660" spans="1:15" x14ac:dyDescent="0.3">
      <c r="A4660" s="340" t="s">
        <v>891</v>
      </c>
      <c r="B4660" s="350">
        <v>46142</v>
      </c>
      <c r="C4660" s="350">
        <v>46162</v>
      </c>
      <c r="D4660" s="351">
        <v>46143</v>
      </c>
      <c r="E4660" s="340" t="s">
        <v>3171</v>
      </c>
      <c r="F4660" s="340" t="s">
        <v>894</v>
      </c>
      <c r="G4660" s="340" t="s">
        <v>3005</v>
      </c>
      <c r="H4660" s="340"/>
      <c r="I4660" s="340" t="s">
        <v>771</v>
      </c>
      <c r="K4660" s="343">
        <v>0</v>
      </c>
      <c r="L4660" s="343">
        <v>-3.49</v>
      </c>
      <c r="M4660" s="343">
        <v>-913479.41</v>
      </c>
      <c r="O4660" s="343">
        <v>0</v>
      </c>
    </row>
    <row r="4661" spans="1:15" x14ac:dyDescent="0.3">
      <c r="A4661" s="340" t="s">
        <v>891</v>
      </c>
      <c r="B4661" s="350">
        <v>46142</v>
      </c>
      <c r="C4661" s="350">
        <v>46162</v>
      </c>
      <c r="D4661" s="351">
        <v>46143</v>
      </c>
      <c r="E4661" s="340" t="s">
        <v>3171</v>
      </c>
      <c r="F4661" s="340" t="s">
        <v>894</v>
      </c>
      <c r="G4661" s="340" t="s">
        <v>3021</v>
      </c>
      <c r="H4661" s="340"/>
      <c r="I4661" s="340" t="s">
        <v>771</v>
      </c>
      <c r="K4661" s="343">
        <v>0</v>
      </c>
      <c r="L4661" s="343">
        <v>-4.6100000000000003</v>
      </c>
      <c r="M4661" s="343">
        <v>-913484.02</v>
      </c>
      <c r="O4661" s="343">
        <v>0</v>
      </c>
    </row>
    <row r="4662" spans="1:15" x14ac:dyDescent="0.3">
      <c r="A4662" s="340" t="s">
        <v>891</v>
      </c>
      <c r="B4662" s="350">
        <v>46142</v>
      </c>
      <c r="C4662" s="350">
        <v>46162</v>
      </c>
      <c r="D4662" s="351">
        <v>46143</v>
      </c>
      <c r="E4662" s="340" t="s">
        <v>3171</v>
      </c>
      <c r="F4662" s="340" t="s">
        <v>894</v>
      </c>
      <c r="G4662" s="340" t="s">
        <v>3016</v>
      </c>
      <c r="H4662" s="340"/>
      <c r="I4662" s="340" t="s">
        <v>771</v>
      </c>
      <c r="K4662" s="343">
        <v>0</v>
      </c>
      <c r="L4662" s="343">
        <v>-0.01</v>
      </c>
      <c r="M4662" s="343">
        <v>-913484.03</v>
      </c>
      <c r="O4662" s="343">
        <v>0</v>
      </c>
    </row>
    <row r="4663" spans="1:15" x14ac:dyDescent="0.3">
      <c r="A4663" s="340" t="s">
        <v>891</v>
      </c>
      <c r="B4663" s="350">
        <v>46142</v>
      </c>
      <c r="C4663" s="350">
        <v>46162</v>
      </c>
      <c r="D4663" s="351">
        <v>46143</v>
      </c>
      <c r="E4663" s="340" t="s">
        <v>3171</v>
      </c>
      <c r="F4663" s="340" t="s">
        <v>894</v>
      </c>
      <c r="G4663" s="340" t="s">
        <v>3016</v>
      </c>
      <c r="H4663" s="340"/>
      <c r="I4663" s="340" t="s">
        <v>771</v>
      </c>
      <c r="K4663" s="343">
        <v>0</v>
      </c>
      <c r="L4663" s="343">
        <v>-0.02</v>
      </c>
      <c r="M4663" s="343">
        <v>-913484.05</v>
      </c>
      <c r="O4663" s="343">
        <v>0</v>
      </c>
    </row>
    <row r="4664" spans="1:15" x14ac:dyDescent="0.3">
      <c r="A4664" s="340" t="s">
        <v>891</v>
      </c>
      <c r="B4664" s="350">
        <v>46142</v>
      </c>
      <c r="C4664" s="350">
        <v>46162</v>
      </c>
      <c r="D4664" s="351">
        <v>46143</v>
      </c>
      <c r="E4664" s="340" t="s">
        <v>3171</v>
      </c>
      <c r="F4664" s="340" t="s">
        <v>894</v>
      </c>
      <c r="G4664" s="340" t="s">
        <v>3018</v>
      </c>
      <c r="H4664" s="340"/>
      <c r="I4664" s="340" t="s">
        <v>771</v>
      </c>
      <c r="K4664" s="343">
        <v>0</v>
      </c>
      <c r="L4664" s="343">
        <v>-0.03</v>
      </c>
      <c r="M4664" s="343">
        <v>-913484.08</v>
      </c>
      <c r="O4664" s="343">
        <v>0</v>
      </c>
    </row>
    <row r="4665" spans="1:15" x14ac:dyDescent="0.3">
      <c r="A4665" s="340" t="s">
        <v>891</v>
      </c>
      <c r="B4665" s="350">
        <v>46142</v>
      </c>
      <c r="C4665" s="350">
        <v>46162</v>
      </c>
      <c r="D4665" s="351">
        <v>46143</v>
      </c>
      <c r="E4665" s="340" t="s">
        <v>3171</v>
      </c>
      <c r="F4665" s="340" t="s">
        <v>894</v>
      </c>
      <c r="G4665" s="340" t="s">
        <v>3020</v>
      </c>
      <c r="H4665" s="340"/>
      <c r="I4665" s="340" t="s">
        <v>771</v>
      </c>
      <c r="K4665" s="343">
        <v>0</v>
      </c>
      <c r="L4665" s="343">
        <v>-0.05</v>
      </c>
      <c r="M4665" s="343">
        <v>-913484.13</v>
      </c>
      <c r="O4665" s="343">
        <v>0</v>
      </c>
    </row>
    <row r="4666" spans="1:15" x14ac:dyDescent="0.3">
      <c r="A4666" s="340" t="s">
        <v>891</v>
      </c>
      <c r="B4666" s="350">
        <v>46142</v>
      </c>
      <c r="C4666" s="350">
        <v>46162</v>
      </c>
      <c r="D4666" s="351">
        <v>46143</v>
      </c>
      <c r="E4666" s="340" t="s">
        <v>3171</v>
      </c>
      <c r="F4666" s="340" t="s">
        <v>894</v>
      </c>
      <c r="G4666" s="340" t="s">
        <v>3022</v>
      </c>
      <c r="H4666" s="340"/>
      <c r="I4666" s="340" t="s">
        <v>771</v>
      </c>
      <c r="K4666" s="343">
        <v>0</v>
      </c>
      <c r="L4666" s="343">
        <v>-0.09</v>
      </c>
      <c r="M4666" s="343">
        <v>-913484.22</v>
      </c>
      <c r="O4666" s="343">
        <v>0</v>
      </c>
    </row>
    <row r="4667" spans="1:15" x14ac:dyDescent="0.3">
      <c r="A4667" s="340" t="s">
        <v>891</v>
      </c>
      <c r="B4667" s="350">
        <v>46142</v>
      </c>
      <c r="C4667" s="350">
        <v>46162</v>
      </c>
      <c r="D4667" s="351">
        <v>46143</v>
      </c>
      <c r="E4667" s="340" t="s">
        <v>3171</v>
      </c>
      <c r="F4667" s="340" t="s">
        <v>894</v>
      </c>
      <c r="G4667" s="340" t="s">
        <v>3020</v>
      </c>
      <c r="H4667" s="340"/>
      <c r="I4667" s="340" t="s">
        <v>771</v>
      </c>
      <c r="K4667" s="343">
        <v>0</v>
      </c>
      <c r="L4667" s="343">
        <v>-0.1</v>
      </c>
      <c r="M4667" s="343">
        <v>-913484.32</v>
      </c>
      <c r="O4667" s="343">
        <v>0</v>
      </c>
    </row>
    <row r="4668" spans="1:15" x14ac:dyDescent="0.3">
      <c r="A4668" s="340" t="s">
        <v>891</v>
      </c>
      <c r="B4668" s="350">
        <v>46142</v>
      </c>
      <c r="C4668" s="350">
        <v>46162</v>
      </c>
      <c r="D4668" s="351">
        <v>46143</v>
      </c>
      <c r="E4668" s="340" t="s">
        <v>3171</v>
      </c>
      <c r="F4668" s="340" t="s">
        <v>894</v>
      </c>
      <c r="G4668" s="340" t="s">
        <v>3023</v>
      </c>
      <c r="H4668" s="340"/>
      <c r="I4668" s="340" t="s">
        <v>771</v>
      </c>
      <c r="K4668" s="343">
        <v>0</v>
      </c>
      <c r="L4668" s="343">
        <v>-0.19</v>
      </c>
      <c r="M4668" s="343">
        <v>-913484.51</v>
      </c>
      <c r="O4668" s="343">
        <v>0</v>
      </c>
    </row>
    <row r="4669" spans="1:15" x14ac:dyDescent="0.3">
      <c r="A4669" s="340" t="s">
        <v>891</v>
      </c>
      <c r="B4669" s="350">
        <v>46142</v>
      </c>
      <c r="C4669" s="350">
        <v>46162</v>
      </c>
      <c r="D4669" s="351">
        <v>46143</v>
      </c>
      <c r="E4669" s="340" t="s">
        <v>3171</v>
      </c>
      <c r="F4669" s="340" t="s">
        <v>894</v>
      </c>
      <c r="G4669" s="340" t="s">
        <v>3022</v>
      </c>
      <c r="H4669" s="340"/>
      <c r="I4669" s="340" t="s">
        <v>771</v>
      </c>
      <c r="K4669" s="343">
        <v>0</v>
      </c>
      <c r="L4669" s="343">
        <v>-0.2</v>
      </c>
      <c r="M4669" s="343">
        <v>-913484.71</v>
      </c>
      <c r="O4669" s="343">
        <v>0</v>
      </c>
    </row>
    <row r="4670" spans="1:15" x14ac:dyDescent="0.3">
      <c r="A4670" s="340" t="s">
        <v>891</v>
      </c>
      <c r="B4670" s="350">
        <v>46142</v>
      </c>
      <c r="C4670" s="350">
        <v>46162</v>
      </c>
      <c r="D4670" s="351">
        <v>46143</v>
      </c>
      <c r="E4670" s="340" t="s">
        <v>3171</v>
      </c>
      <c r="F4670" s="340" t="s">
        <v>894</v>
      </c>
      <c r="G4670" s="340" t="s">
        <v>3024</v>
      </c>
      <c r="H4670" s="340"/>
      <c r="I4670" s="340" t="s">
        <v>771</v>
      </c>
      <c r="K4670" s="343">
        <v>0</v>
      </c>
      <c r="L4670" s="343">
        <v>-0.39</v>
      </c>
      <c r="M4670" s="343">
        <v>-913485.1</v>
      </c>
      <c r="O4670" s="343">
        <v>0</v>
      </c>
    </row>
    <row r="4671" spans="1:15" x14ac:dyDescent="0.3">
      <c r="A4671" s="340" t="s">
        <v>891</v>
      </c>
      <c r="B4671" s="350">
        <v>46142</v>
      </c>
      <c r="C4671" s="350">
        <v>46162</v>
      </c>
      <c r="D4671" s="351">
        <v>46143</v>
      </c>
      <c r="E4671" s="340" t="s">
        <v>3171</v>
      </c>
      <c r="F4671" s="340" t="s">
        <v>894</v>
      </c>
      <c r="G4671" s="340" t="s">
        <v>3025</v>
      </c>
      <c r="H4671" s="340"/>
      <c r="I4671" s="340" t="s">
        <v>771</v>
      </c>
      <c r="K4671" s="343">
        <v>0</v>
      </c>
      <c r="L4671" s="343">
        <v>-1.1100000000000001</v>
      </c>
      <c r="M4671" s="343">
        <v>-913486.21</v>
      </c>
      <c r="O4671" s="343">
        <v>0</v>
      </c>
    </row>
    <row r="4672" spans="1:15" x14ac:dyDescent="0.3">
      <c r="A4672" s="340" t="s">
        <v>891</v>
      </c>
      <c r="B4672" s="350">
        <v>46142</v>
      </c>
      <c r="C4672" s="350">
        <v>46162</v>
      </c>
      <c r="D4672" s="351">
        <v>46143</v>
      </c>
      <c r="E4672" s="340" t="s">
        <v>3171</v>
      </c>
      <c r="F4672" s="340" t="s">
        <v>894</v>
      </c>
      <c r="G4672" s="340" t="s">
        <v>3026</v>
      </c>
      <c r="H4672" s="340"/>
      <c r="I4672" s="340" t="s">
        <v>771</v>
      </c>
      <c r="K4672" s="343">
        <v>0</v>
      </c>
      <c r="L4672" s="343">
        <v>-1.3</v>
      </c>
      <c r="M4672" s="343">
        <v>-913487.51</v>
      </c>
      <c r="O4672" s="343">
        <v>0</v>
      </c>
    </row>
    <row r="4673" spans="1:15" x14ac:dyDescent="0.3">
      <c r="A4673" s="340" t="s">
        <v>891</v>
      </c>
      <c r="B4673" s="350">
        <v>46142</v>
      </c>
      <c r="C4673" s="350">
        <v>46162</v>
      </c>
      <c r="D4673" s="351">
        <v>46143</v>
      </c>
      <c r="E4673" s="340" t="s">
        <v>3171</v>
      </c>
      <c r="F4673" s="340" t="s">
        <v>894</v>
      </c>
      <c r="G4673" s="340" t="s">
        <v>3017</v>
      </c>
      <c r="H4673" s="340"/>
      <c r="I4673" s="340" t="s">
        <v>771</v>
      </c>
      <c r="K4673" s="343">
        <v>0</v>
      </c>
      <c r="L4673" s="343">
        <v>-2.2599999999999998</v>
      </c>
      <c r="M4673" s="343">
        <v>-913489.77</v>
      </c>
      <c r="O4673" s="343">
        <v>0</v>
      </c>
    </row>
    <row r="4674" spans="1:15" x14ac:dyDescent="0.3">
      <c r="A4674" s="340" t="s">
        <v>891</v>
      </c>
      <c r="B4674" s="350">
        <v>46142</v>
      </c>
      <c r="C4674" s="350">
        <v>46162</v>
      </c>
      <c r="D4674" s="351">
        <v>46143</v>
      </c>
      <c r="E4674" s="340" t="s">
        <v>3171</v>
      </c>
      <c r="F4674" s="340" t="s">
        <v>894</v>
      </c>
      <c r="G4674" s="340" t="s">
        <v>3005</v>
      </c>
      <c r="H4674" s="340"/>
      <c r="I4674" s="340" t="s">
        <v>771</v>
      </c>
      <c r="K4674" s="343">
        <v>0</v>
      </c>
      <c r="L4674" s="343">
        <v>-4.43</v>
      </c>
      <c r="M4674" s="343">
        <v>-913494.2</v>
      </c>
      <c r="O4674" s="343">
        <v>0</v>
      </c>
    </row>
    <row r="4675" spans="1:15" x14ac:dyDescent="0.3">
      <c r="A4675" s="340" t="s">
        <v>891</v>
      </c>
      <c r="B4675" s="350">
        <v>46142</v>
      </c>
      <c r="C4675" s="350">
        <v>46162</v>
      </c>
      <c r="D4675" s="351">
        <v>46143</v>
      </c>
      <c r="E4675" s="340" t="s">
        <v>3171</v>
      </c>
      <c r="F4675" s="340" t="s">
        <v>894</v>
      </c>
      <c r="G4675" s="340" t="s">
        <v>3021</v>
      </c>
      <c r="H4675" s="340"/>
      <c r="I4675" s="340" t="s">
        <v>771</v>
      </c>
      <c r="K4675" s="343">
        <v>0</v>
      </c>
      <c r="L4675" s="343">
        <v>-4.6100000000000003</v>
      </c>
      <c r="M4675" s="343">
        <v>-913498.81</v>
      </c>
      <c r="O4675" s="343">
        <v>0</v>
      </c>
    </row>
    <row r="4676" spans="1:15" x14ac:dyDescent="0.3">
      <c r="A4676" s="340" t="s">
        <v>891</v>
      </c>
      <c r="B4676" s="350">
        <v>46142</v>
      </c>
      <c r="C4676" s="350">
        <v>46162</v>
      </c>
      <c r="D4676" s="351">
        <v>46143</v>
      </c>
      <c r="E4676" s="340" t="s">
        <v>3171</v>
      </c>
      <c r="F4676" s="340" t="s">
        <v>894</v>
      </c>
      <c r="G4676" s="340" t="s">
        <v>3019</v>
      </c>
      <c r="H4676" s="340"/>
      <c r="I4676" s="340" t="s">
        <v>771</v>
      </c>
      <c r="K4676" s="343">
        <v>0</v>
      </c>
      <c r="L4676" s="343">
        <v>-0.01</v>
      </c>
      <c r="M4676" s="343">
        <v>-913498.82</v>
      </c>
      <c r="O4676" s="343">
        <v>0</v>
      </c>
    </row>
    <row r="4677" spans="1:15" x14ac:dyDescent="0.3">
      <c r="A4677" s="340" t="s">
        <v>891</v>
      </c>
      <c r="B4677" s="350">
        <v>46142</v>
      </c>
      <c r="C4677" s="350">
        <v>46162</v>
      </c>
      <c r="D4677" s="351">
        <v>46143</v>
      </c>
      <c r="E4677" s="340" t="s">
        <v>3171</v>
      </c>
      <c r="F4677" s="340" t="s">
        <v>894</v>
      </c>
      <c r="G4677" s="340" t="s">
        <v>3016</v>
      </c>
      <c r="H4677" s="340"/>
      <c r="I4677" s="340" t="s">
        <v>771</v>
      </c>
      <c r="K4677" s="343">
        <v>0</v>
      </c>
      <c r="L4677" s="343">
        <v>-0.03</v>
      </c>
      <c r="M4677" s="343">
        <v>-913498.85</v>
      </c>
      <c r="O4677" s="343">
        <v>0</v>
      </c>
    </row>
    <row r="4678" spans="1:15" x14ac:dyDescent="0.3">
      <c r="A4678" s="340" t="s">
        <v>891</v>
      </c>
      <c r="B4678" s="350">
        <v>46142</v>
      </c>
      <c r="C4678" s="350">
        <v>46162</v>
      </c>
      <c r="D4678" s="351">
        <v>46143</v>
      </c>
      <c r="E4678" s="340" t="s">
        <v>3171</v>
      </c>
      <c r="F4678" s="340" t="s">
        <v>894</v>
      </c>
      <c r="G4678" s="340" t="s">
        <v>3016</v>
      </c>
      <c r="H4678" s="340"/>
      <c r="I4678" s="340" t="s">
        <v>771</v>
      </c>
      <c r="K4678" s="343">
        <v>0</v>
      </c>
      <c r="L4678" s="343">
        <v>-0.03</v>
      </c>
      <c r="M4678" s="343">
        <v>-913498.88</v>
      </c>
      <c r="O4678" s="343">
        <v>0</v>
      </c>
    </row>
    <row r="4679" spans="1:15" x14ac:dyDescent="0.3">
      <c r="A4679" s="340" t="s">
        <v>891</v>
      </c>
      <c r="B4679" s="350">
        <v>46142</v>
      </c>
      <c r="C4679" s="350">
        <v>46162</v>
      </c>
      <c r="D4679" s="351">
        <v>46143</v>
      </c>
      <c r="E4679" s="340" t="s">
        <v>3171</v>
      </c>
      <c r="F4679" s="340" t="s">
        <v>894</v>
      </c>
      <c r="G4679" s="340" t="s">
        <v>3018</v>
      </c>
      <c r="H4679" s="340"/>
      <c r="I4679" s="340" t="s">
        <v>771</v>
      </c>
      <c r="K4679" s="343">
        <v>0</v>
      </c>
      <c r="L4679" s="343">
        <v>-0.11</v>
      </c>
      <c r="M4679" s="343">
        <v>-913498.99</v>
      </c>
      <c r="O4679" s="343">
        <v>0</v>
      </c>
    </row>
    <row r="4680" spans="1:15" x14ac:dyDescent="0.3">
      <c r="A4680" s="340" t="s">
        <v>891</v>
      </c>
      <c r="B4680" s="350">
        <v>46142</v>
      </c>
      <c r="C4680" s="350">
        <v>46162</v>
      </c>
      <c r="D4680" s="351">
        <v>46143</v>
      </c>
      <c r="E4680" s="340" t="s">
        <v>3171</v>
      </c>
      <c r="F4680" s="340" t="s">
        <v>894</v>
      </c>
      <c r="G4680" s="340" t="s">
        <v>3020</v>
      </c>
      <c r="H4680" s="340"/>
      <c r="I4680" s="340" t="s">
        <v>771</v>
      </c>
      <c r="K4680" s="343">
        <v>0</v>
      </c>
      <c r="L4680" s="343">
        <v>-0.17</v>
      </c>
      <c r="M4680" s="343">
        <v>-913499.16</v>
      </c>
      <c r="O4680" s="343">
        <v>0</v>
      </c>
    </row>
    <row r="4681" spans="1:15" x14ac:dyDescent="0.3">
      <c r="A4681" s="340" t="s">
        <v>891</v>
      </c>
      <c r="B4681" s="350">
        <v>46142</v>
      </c>
      <c r="C4681" s="350">
        <v>46162</v>
      </c>
      <c r="D4681" s="351">
        <v>46143</v>
      </c>
      <c r="E4681" s="340" t="s">
        <v>3171</v>
      </c>
      <c r="F4681" s="340" t="s">
        <v>894</v>
      </c>
      <c r="G4681" s="340" t="s">
        <v>3020</v>
      </c>
      <c r="H4681" s="340"/>
      <c r="I4681" s="340" t="s">
        <v>771</v>
      </c>
      <c r="K4681" s="343">
        <v>0</v>
      </c>
      <c r="L4681" s="343">
        <v>-0.17</v>
      </c>
      <c r="M4681" s="343">
        <v>-913499.33</v>
      </c>
      <c r="O4681" s="343">
        <v>0</v>
      </c>
    </row>
    <row r="4682" spans="1:15" x14ac:dyDescent="0.3">
      <c r="A4682" s="340" t="s">
        <v>891</v>
      </c>
      <c r="B4682" s="350">
        <v>46142</v>
      </c>
      <c r="C4682" s="350">
        <v>46162</v>
      </c>
      <c r="D4682" s="351">
        <v>46143</v>
      </c>
      <c r="E4682" s="340" t="s">
        <v>3171</v>
      </c>
      <c r="F4682" s="340" t="s">
        <v>894</v>
      </c>
      <c r="G4682" s="340" t="s">
        <v>3022</v>
      </c>
      <c r="H4682" s="340"/>
      <c r="I4682" s="340" t="s">
        <v>771</v>
      </c>
      <c r="K4682" s="343">
        <v>0</v>
      </c>
      <c r="L4682" s="343">
        <v>-0.34</v>
      </c>
      <c r="M4682" s="343">
        <v>-913499.67</v>
      </c>
      <c r="O4682" s="343">
        <v>0</v>
      </c>
    </row>
    <row r="4683" spans="1:15" x14ac:dyDescent="0.3">
      <c r="A4683" s="340" t="s">
        <v>891</v>
      </c>
      <c r="B4683" s="350">
        <v>46142</v>
      </c>
      <c r="C4683" s="350">
        <v>46162</v>
      </c>
      <c r="D4683" s="351">
        <v>46143</v>
      </c>
      <c r="E4683" s="340" t="s">
        <v>3171</v>
      </c>
      <c r="F4683" s="340" t="s">
        <v>894</v>
      </c>
      <c r="G4683" s="340" t="s">
        <v>3022</v>
      </c>
      <c r="H4683" s="340"/>
      <c r="I4683" s="340" t="s">
        <v>771</v>
      </c>
      <c r="K4683" s="343">
        <v>0</v>
      </c>
      <c r="L4683" s="343">
        <v>-0.34</v>
      </c>
      <c r="M4683" s="343">
        <v>-913500.01</v>
      </c>
      <c r="O4683" s="343">
        <v>0</v>
      </c>
    </row>
    <row r="4684" spans="1:15" x14ac:dyDescent="0.3">
      <c r="A4684" s="340" t="s">
        <v>891</v>
      </c>
      <c r="B4684" s="350">
        <v>46142</v>
      </c>
      <c r="C4684" s="350">
        <v>46162</v>
      </c>
      <c r="D4684" s="351">
        <v>46143</v>
      </c>
      <c r="E4684" s="340" t="s">
        <v>3171</v>
      </c>
      <c r="F4684" s="340" t="s">
        <v>894</v>
      </c>
      <c r="G4684" s="340" t="s">
        <v>3023</v>
      </c>
      <c r="H4684" s="340"/>
      <c r="I4684" s="340" t="s">
        <v>771</v>
      </c>
      <c r="K4684" s="343">
        <v>0</v>
      </c>
      <c r="L4684" s="343">
        <v>-0.68</v>
      </c>
      <c r="M4684" s="343">
        <v>-913500.69</v>
      </c>
      <c r="O4684" s="343">
        <v>0</v>
      </c>
    </row>
    <row r="4685" spans="1:15" x14ac:dyDescent="0.3">
      <c r="A4685" s="340" t="s">
        <v>891</v>
      </c>
      <c r="B4685" s="350">
        <v>46142</v>
      </c>
      <c r="C4685" s="350">
        <v>46162</v>
      </c>
      <c r="D4685" s="351">
        <v>46143</v>
      </c>
      <c r="E4685" s="340" t="s">
        <v>3171</v>
      </c>
      <c r="F4685" s="340" t="s">
        <v>894</v>
      </c>
      <c r="G4685" s="340" t="s">
        <v>3024</v>
      </c>
      <c r="H4685" s="340"/>
      <c r="I4685" s="340" t="s">
        <v>771</v>
      </c>
      <c r="K4685" s="343">
        <v>0</v>
      </c>
      <c r="L4685" s="343">
        <v>-1.38</v>
      </c>
      <c r="M4685" s="343">
        <v>-913502.07</v>
      </c>
      <c r="O4685" s="343">
        <v>0</v>
      </c>
    </row>
    <row r="4686" spans="1:15" x14ac:dyDescent="0.3">
      <c r="A4686" s="340" t="s">
        <v>891</v>
      </c>
      <c r="B4686" s="350">
        <v>46142</v>
      </c>
      <c r="C4686" s="350">
        <v>46162</v>
      </c>
      <c r="D4686" s="351">
        <v>46143</v>
      </c>
      <c r="E4686" s="340" t="s">
        <v>3171</v>
      </c>
      <c r="F4686" s="340" t="s">
        <v>894</v>
      </c>
      <c r="G4686" s="340" t="s">
        <v>3017</v>
      </c>
      <c r="H4686" s="340"/>
      <c r="I4686" s="340" t="s">
        <v>771</v>
      </c>
      <c r="K4686" s="343">
        <v>0</v>
      </c>
      <c r="L4686" s="343">
        <v>-2.2599999999999998</v>
      </c>
      <c r="M4686" s="343">
        <v>-913504.33</v>
      </c>
      <c r="O4686" s="343">
        <v>0</v>
      </c>
    </row>
    <row r="4687" spans="1:15" x14ac:dyDescent="0.3">
      <c r="A4687" s="340" t="s">
        <v>891</v>
      </c>
      <c r="B4687" s="350">
        <v>46142</v>
      </c>
      <c r="C4687" s="350">
        <v>46162</v>
      </c>
      <c r="D4687" s="351">
        <v>46143</v>
      </c>
      <c r="E4687" s="340" t="s">
        <v>3171</v>
      </c>
      <c r="F4687" s="340" t="s">
        <v>894</v>
      </c>
      <c r="G4687" s="340" t="s">
        <v>3025</v>
      </c>
      <c r="H4687" s="340"/>
      <c r="I4687" s="340" t="s">
        <v>771</v>
      </c>
      <c r="K4687" s="343">
        <v>0</v>
      </c>
      <c r="L4687" s="343">
        <v>-3.92</v>
      </c>
      <c r="M4687" s="343">
        <v>-913508.25</v>
      </c>
      <c r="O4687" s="343">
        <v>0</v>
      </c>
    </row>
    <row r="4688" spans="1:15" x14ac:dyDescent="0.3">
      <c r="A4688" s="340" t="s">
        <v>891</v>
      </c>
      <c r="B4688" s="350">
        <v>46142</v>
      </c>
      <c r="C4688" s="350">
        <v>46162</v>
      </c>
      <c r="D4688" s="351">
        <v>46143</v>
      </c>
      <c r="E4688" s="340" t="s">
        <v>3171</v>
      </c>
      <c r="F4688" s="340" t="s">
        <v>894</v>
      </c>
      <c r="G4688" s="340" t="s">
        <v>3026</v>
      </c>
      <c r="H4688" s="340"/>
      <c r="I4688" s="340" t="s">
        <v>771</v>
      </c>
      <c r="K4688" s="343">
        <v>0</v>
      </c>
      <c r="L4688" s="343">
        <v>-4.59</v>
      </c>
      <c r="M4688" s="343">
        <v>-913512.84</v>
      </c>
      <c r="O4688" s="343">
        <v>0</v>
      </c>
    </row>
    <row r="4689" spans="1:15" x14ac:dyDescent="0.3">
      <c r="A4689" s="340" t="s">
        <v>891</v>
      </c>
      <c r="B4689" s="350">
        <v>46142</v>
      </c>
      <c r="C4689" s="350">
        <v>46162</v>
      </c>
      <c r="D4689" s="351">
        <v>46143</v>
      </c>
      <c r="E4689" s="340" t="s">
        <v>3171</v>
      </c>
      <c r="F4689" s="340" t="s">
        <v>894</v>
      </c>
      <c r="G4689" s="340" t="s">
        <v>3021</v>
      </c>
      <c r="H4689" s="340"/>
      <c r="I4689" s="340" t="s">
        <v>771</v>
      </c>
      <c r="K4689" s="343">
        <v>0</v>
      </c>
      <c r="L4689" s="343">
        <v>-4.6100000000000003</v>
      </c>
      <c r="M4689" s="343">
        <v>-913517.45</v>
      </c>
      <c r="O4689" s="343">
        <v>0</v>
      </c>
    </row>
    <row r="4690" spans="1:15" x14ac:dyDescent="0.3">
      <c r="A4690" s="340" t="s">
        <v>891</v>
      </c>
      <c r="B4690" s="350">
        <v>46142</v>
      </c>
      <c r="C4690" s="350">
        <v>46162</v>
      </c>
      <c r="D4690" s="351">
        <v>46143</v>
      </c>
      <c r="E4690" s="340" t="s">
        <v>3171</v>
      </c>
      <c r="F4690" s="340" t="s">
        <v>894</v>
      </c>
      <c r="G4690" s="340" t="s">
        <v>3005</v>
      </c>
      <c r="H4690" s="340"/>
      <c r="I4690" s="340" t="s">
        <v>771</v>
      </c>
      <c r="K4690" s="343">
        <v>0</v>
      </c>
      <c r="L4690" s="343">
        <v>-15.7</v>
      </c>
      <c r="M4690" s="343">
        <v>-913533.15</v>
      </c>
      <c r="O4690" s="343">
        <v>0</v>
      </c>
    </row>
    <row r="4691" spans="1:15" x14ac:dyDescent="0.3">
      <c r="A4691" s="340" t="s">
        <v>891</v>
      </c>
      <c r="B4691" s="350">
        <v>46142</v>
      </c>
      <c r="C4691" s="350">
        <v>46162</v>
      </c>
      <c r="D4691" s="351">
        <v>46143</v>
      </c>
      <c r="E4691" s="340" t="s">
        <v>3171</v>
      </c>
      <c r="F4691" s="340" t="s">
        <v>894</v>
      </c>
      <c r="G4691" s="340" t="s">
        <v>3019</v>
      </c>
      <c r="H4691" s="340"/>
      <c r="I4691" s="340" t="s">
        <v>771</v>
      </c>
      <c r="K4691" s="343">
        <v>0</v>
      </c>
      <c r="L4691" s="343">
        <v>-0.01</v>
      </c>
      <c r="M4691" s="343">
        <v>-913533.16</v>
      </c>
      <c r="O4691" s="343">
        <v>0</v>
      </c>
    </row>
    <row r="4692" spans="1:15" x14ac:dyDescent="0.3">
      <c r="A4692" s="340" t="s">
        <v>891</v>
      </c>
      <c r="B4692" s="350">
        <v>46142</v>
      </c>
      <c r="C4692" s="350">
        <v>46162</v>
      </c>
      <c r="D4692" s="351">
        <v>46143</v>
      </c>
      <c r="E4692" s="340" t="s">
        <v>3171</v>
      </c>
      <c r="F4692" s="340" t="s">
        <v>894</v>
      </c>
      <c r="G4692" s="340" t="s">
        <v>3016</v>
      </c>
      <c r="H4692" s="340"/>
      <c r="I4692" s="340" t="s">
        <v>771</v>
      </c>
      <c r="K4692" s="343">
        <v>0</v>
      </c>
      <c r="L4692" s="343">
        <v>-0.02</v>
      </c>
      <c r="M4692" s="343">
        <v>-913533.18</v>
      </c>
      <c r="O4692" s="343">
        <v>0</v>
      </c>
    </row>
    <row r="4693" spans="1:15" x14ac:dyDescent="0.3">
      <c r="A4693" s="340" t="s">
        <v>891</v>
      </c>
      <c r="B4693" s="350">
        <v>46142</v>
      </c>
      <c r="C4693" s="350">
        <v>46162</v>
      </c>
      <c r="D4693" s="351">
        <v>46143</v>
      </c>
      <c r="E4693" s="340" t="s">
        <v>3171</v>
      </c>
      <c r="F4693" s="340" t="s">
        <v>894</v>
      </c>
      <c r="G4693" s="340" t="s">
        <v>3016</v>
      </c>
      <c r="H4693" s="340"/>
      <c r="I4693" s="340" t="s">
        <v>771</v>
      </c>
      <c r="K4693" s="343">
        <v>0</v>
      </c>
      <c r="L4693" s="343">
        <v>-0.02</v>
      </c>
      <c r="M4693" s="343">
        <v>-913533.2</v>
      </c>
      <c r="O4693" s="343">
        <v>0</v>
      </c>
    </row>
    <row r="4694" spans="1:15" x14ac:dyDescent="0.3">
      <c r="A4694" s="340" t="s">
        <v>891</v>
      </c>
      <c r="B4694" s="350">
        <v>46142</v>
      </c>
      <c r="C4694" s="350">
        <v>46162</v>
      </c>
      <c r="D4694" s="351">
        <v>46143</v>
      </c>
      <c r="E4694" s="340" t="s">
        <v>3171</v>
      </c>
      <c r="F4694" s="340" t="s">
        <v>894</v>
      </c>
      <c r="G4694" s="340" t="s">
        <v>3018</v>
      </c>
      <c r="H4694" s="340"/>
      <c r="I4694" s="340" t="s">
        <v>771</v>
      </c>
      <c r="K4694" s="343">
        <v>0</v>
      </c>
      <c r="L4694" s="343">
        <v>-7.0000000000000007E-2</v>
      </c>
      <c r="M4694" s="343">
        <v>-913533.27</v>
      </c>
      <c r="O4694" s="343">
        <v>0</v>
      </c>
    </row>
    <row r="4695" spans="1:15" x14ac:dyDescent="0.3">
      <c r="A4695" s="340" t="s">
        <v>891</v>
      </c>
      <c r="B4695" s="350">
        <v>46142</v>
      </c>
      <c r="C4695" s="350">
        <v>46162</v>
      </c>
      <c r="D4695" s="351">
        <v>46143</v>
      </c>
      <c r="E4695" s="340" t="s">
        <v>3171</v>
      </c>
      <c r="F4695" s="340" t="s">
        <v>894</v>
      </c>
      <c r="G4695" s="340" t="s">
        <v>3020</v>
      </c>
      <c r="H4695" s="340"/>
      <c r="I4695" s="340" t="s">
        <v>771</v>
      </c>
      <c r="K4695" s="343">
        <v>0</v>
      </c>
      <c r="L4695" s="343">
        <v>-0.11</v>
      </c>
      <c r="M4695" s="343">
        <v>-913533.38</v>
      </c>
      <c r="O4695" s="343">
        <v>0</v>
      </c>
    </row>
    <row r="4696" spans="1:15" x14ac:dyDescent="0.3">
      <c r="A4696" s="340" t="s">
        <v>891</v>
      </c>
      <c r="B4696" s="350">
        <v>46142</v>
      </c>
      <c r="C4696" s="350">
        <v>46162</v>
      </c>
      <c r="D4696" s="351">
        <v>46143</v>
      </c>
      <c r="E4696" s="340" t="s">
        <v>3171</v>
      </c>
      <c r="F4696" s="340" t="s">
        <v>894</v>
      </c>
      <c r="G4696" s="340" t="s">
        <v>3020</v>
      </c>
      <c r="H4696" s="340"/>
      <c r="I4696" s="340" t="s">
        <v>771</v>
      </c>
      <c r="K4696" s="343">
        <v>0</v>
      </c>
      <c r="L4696" s="343">
        <v>-0.14000000000000001</v>
      </c>
      <c r="M4696" s="343">
        <v>-913533.52</v>
      </c>
      <c r="O4696" s="343">
        <v>0</v>
      </c>
    </row>
    <row r="4697" spans="1:15" x14ac:dyDescent="0.3">
      <c r="A4697" s="340" t="s">
        <v>891</v>
      </c>
      <c r="B4697" s="350">
        <v>46142</v>
      </c>
      <c r="C4697" s="350">
        <v>46162</v>
      </c>
      <c r="D4697" s="351">
        <v>46143</v>
      </c>
      <c r="E4697" s="340" t="s">
        <v>3171</v>
      </c>
      <c r="F4697" s="340" t="s">
        <v>894</v>
      </c>
      <c r="G4697" s="340" t="s">
        <v>3022</v>
      </c>
      <c r="H4697" s="340"/>
      <c r="I4697" s="340" t="s">
        <v>771</v>
      </c>
      <c r="K4697" s="343">
        <v>0</v>
      </c>
      <c r="L4697" s="343">
        <v>-0.22</v>
      </c>
      <c r="M4697" s="343">
        <v>-913533.74</v>
      </c>
      <c r="O4697" s="343">
        <v>0</v>
      </c>
    </row>
    <row r="4698" spans="1:15" x14ac:dyDescent="0.3">
      <c r="A4698" s="340" t="s">
        <v>891</v>
      </c>
      <c r="B4698" s="350">
        <v>46142</v>
      </c>
      <c r="C4698" s="350">
        <v>46162</v>
      </c>
      <c r="D4698" s="351">
        <v>46143</v>
      </c>
      <c r="E4698" s="340" t="s">
        <v>3171</v>
      </c>
      <c r="F4698" s="340" t="s">
        <v>894</v>
      </c>
      <c r="G4698" s="340" t="s">
        <v>3022</v>
      </c>
      <c r="H4698" s="340"/>
      <c r="I4698" s="340" t="s">
        <v>771</v>
      </c>
      <c r="K4698" s="343">
        <v>0</v>
      </c>
      <c r="L4698" s="343">
        <v>-0.27</v>
      </c>
      <c r="M4698" s="343">
        <v>-913534.01</v>
      </c>
      <c r="O4698" s="343">
        <v>0</v>
      </c>
    </row>
    <row r="4699" spans="1:15" x14ac:dyDescent="0.3">
      <c r="A4699" s="340" t="s">
        <v>891</v>
      </c>
      <c r="B4699" s="350">
        <v>46142</v>
      </c>
      <c r="C4699" s="350">
        <v>46162</v>
      </c>
      <c r="D4699" s="351">
        <v>46143</v>
      </c>
      <c r="E4699" s="340" t="s">
        <v>3171</v>
      </c>
      <c r="F4699" s="340" t="s">
        <v>894</v>
      </c>
      <c r="G4699" s="340" t="s">
        <v>3023</v>
      </c>
      <c r="H4699" s="340"/>
      <c r="I4699" s="340" t="s">
        <v>771</v>
      </c>
      <c r="K4699" s="343">
        <v>0</v>
      </c>
      <c r="L4699" s="343">
        <v>-0.44</v>
      </c>
      <c r="M4699" s="343">
        <v>-913534.45</v>
      </c>
      <c r="O4699" s="343">
        <v>0</v>
      </c>
    </row>
    <row r="4700" spans="1:15" x14ac:dyDescent="0.3">
      <c r="A4700" s="340" t="s">
        <v>891</v>
      </c>
      <c r="B4700" s="350">
        <v>46142</v>
      </c>
      <c r="C4700" s="350">
        <v>46162</v>
      </c>
      <c r="D4700" s="351">
        <v>46143</v>
      </c>
      <c r="E4700" s="340" t="s">
        <v>3171</v>
      </c>
      <c r="F4700" s="340" t="s">
        <v>894</v>
      </c>
      <c r="G4700" s="340" t="s">
        <v>3024</v>
      </c>
      <c r="H4700" s="340"/>
      <c r="I4700" s="340" t="s">
        <v>771</v>
      </c>
      <c r="K4700" s="343">
        <v>0</v>
      </c>
      <c r="L4700" s="343">
        <v>-0.9</v>
      </c>
      <c r="M4700" s="343">
        <v>-913535.35</v>
      </c>
      <c r="O4700" s="343">
        <v>0</v>
      </c>
    </row>
    <row r="4701" spans="1:15" x14ac:dyDescent="0.3">
      <c r="A4701" s="340" t="s">
        <v>891</v>
      </c>
      <c r="B4701" s="350">
        <v>46142</v>
      </c>
      <c r="C4701" s="350">
        <v>46162</v>
      </c>
      <c r="D4701" s="351">
        <v>46143</v>
      </c>
      <c r="E4701" s="340" t="s">
        <v>3171</v>
      </c>
      <c r="F4701" s="340" t="s">
        <v>894</v>
      </c>
      <c r="G4701" s="340" t="s">
        <v>3017</v>
      </c>
      <c r="H4701" s="340"/>
      <c r="I4701" s="340" t="s">
        <v>771</v>
      </c>
      <c r="K4701" s="343">
        <v>0</v>
      </c>
      <c r="L4701" s="343">
        <v>-2.2599999999999998</v>
      </c>
      <c r="M4701" s="343">
        <v>-913537.61</v>
      </c>
      <c r="O4701" s="343">
        <v>0</v>
      </c>
    </row>
    <row r="4702" spans="1:15" x14ac:dyDescent="0.3">
      <c r="A4702" s="340" t="s">
        <v>891</v>
      </c>
      <c r="B4702" s="350">
        <v>46142</v>
      </c>
      <c r="C4702" s="350">
        <v>46162</v>
      </c>
      <c r="D4702" s="351">
        <v>46143</v>
      </c>
      <c r="E4702" s="340" t="s">
        <v>3171</v>
      </c>
      <c r="F4702" s="340" t="s">
        <v>894</v>
      </c>
      <c r="G4702" s="340" t="s">
        <v>3025</v>
      </c>
      <c r="H4702" s="340"/>
      <c r="I4702" s="340" t="s">
        <v>771</v>
      </c>
      <c r="K4702" s="343">
        <v>0</v>
      </c>
      <c r="L4702" s="343">
        <v>-2.54</v>
      </c>
      <c r="M4702" s="343">
        <v>-913540.15</v>
      </c>
      <c r="O4702" s="343">
        <v>0</v>
      </c>
    </row>
    <row r="4703" spans="1:15" x14ac:dyDescent="0.3">
      <c r="A4703" s="340" t="s">
        <v>891</v>
      </c>
      <c r="B4703" s="350">
        <v>46142</v>
      </c>
      <c r="C4703" s="350">
        <v>46162</v>
      </c>
      <c r="D4703" s="351">
        <v>46143</v>
      </c>
      <c r="E4703" s="340" t="s">
        <v>3171</v>
      </c>
      <c r="F4703" s="340" t="s">
        <v>894</v>
      </c>
      <c r="G4703" s="340" t="s">
        <v>3026</v>
      </c>
      <c r="H4703" s="340"/>
      <c r="I4703" s="340" t="s">
        <v>771</v>
      </c>
      <c r="K4703" s="343">
        <v>0</v>
      </c>
      <c r="L4703" s="343">
        <v>-2.98</v>
      </c>
      <c r="M4703" s="343">
        <v>-913543.13</v>
      </c>
      <c r="O4703" s="343">
        <v>0</v>
      </c>
    </row>
    <row r="4704" spans="1:15" x14ac:dyDescent="0.3">
      <c r="A4704" s="340" t="s">
        <v>891</v>
      </c>
      <c r="B4704" s="350">
        <v>46142</v>
      </c>
      <c r="C4704" s="350">
        <v>46162</v>
      </c>
      <c r="D4704" s="351">
        <v>46143</v>
      </c>
      <c r="E4704" s="340" t="s">
        <v>3171</v>
      </c>
      <c r="F4704" s="340" t="s">
        <v>894</v>
      </c>
      <c r="G4704" s="340" t="s">
        <v>3021</v>
      </c>
      <c r="H4704" s="340"/>
      <c r="I4704" s="340" t="s">
        <v>771</v>
      </c>
      <c r="K4704" s="343">
        <v>0</v>
      </c>
      <c r="L4704" s="343">
        <v>-4.6100000000000003</v>
      </c>
      <c r="M4704" s="343">
        <v>-913547.74</v>
      </c>
      <c r="O4704" s="343">
        <v>0</v>
      </c>
    </row>
    <row r="4705" spans="1:15" x14ac:dyDescent="0.3">
      <c r="A4705" s="340" t="s">
        <v>891</v>
      </c>
      <c r="B4705" s="350">
        <v>46142</v>
      </c>
      <c r="C4705" s="350">
        <v>46162</v>
      </c>
      <c r="D4705" s="351">
        <v>46143</v>
      </c>
      <c r="E4705" s="340" t="s">
        <v>3171</v>
      </c>
      <c r="F4705" s="340" t="s">
        <v>894</v>
      </c>
      <c r="G4705" s="340" t="s">
        <v>3005</v>
      </c>
      <c r="H4705" s="340"/>
      <c r="I4705" s="340" t="s">
        <v>771</v>
      </c>
      <c r="K4705" s="343">
        <v>0</v>
      </c>
      <c r="L4705" s="343">
        <v>-10.18</v>
      </c>
      <c r="M4705" s="343">
        <v>-913557.92</v>
      </c>
      <c r="O4705" s="343">
        <v>0</v>
      </c>
    </row>
    <row r="4706" spans="1:15" x14ac:dyDescent="0.3">
      <c r="A4706" s="340" t="s">
        <v>891</v>
      </c>
      <c r="B4706" s="350">
        <v>46142</v>
      </c>
      <c r="C4706" s="350">
        <v>46162</v>
      </c>
      <c r="D4706" s="351">
        <v>46143</v>
      </c>
      <c r="E4706" s="340" t="s">
        <v>3171</v>
      </c>
      <c r="F4706" s="340" t="s">
        <v>894</v>
      </c>
      <c r="G4706" s="340" t="s">
        <v>3016</v>
      </c>
      <c r="H4706" s="340"/>
      <c r="I4706" s="340" t="s">
        <v>771</v>
      </c>
      <c r="K4706" s="343">
        <v>0</v>
      </c>
      <c r="L4706" s="343">
        <v>-0.01</v>
      </c>
      <c r="M4706" s="343">
        <v>-913557.93</v>
      </c>
      <c r="O4706" s="343">
        <v>0</v>
      </c>
    </row>
    <row r="4707" spans="1:15" x14ac:dyDescent="0.3">
      <c r="A4707" s="340" t="s">
        <v>891</v>
      </c>
      <c r="B4707" s="350">
        <v>46142</v>
      </c>
      <c r="C4707" s="350">
        <v>46162</v>
      </c>
      <c r="D4707" s="351">
        <v>46143</v>
      </c>
      <c r="E4707" s="340" t="s">
        <v>3171</v>
      </c>
      <c r="F4707" s="340" t="s">
        <v>894</v>
      </c>
      <c r="G4707" s="340" t="s">
        <v>3016</v>
      </c>
      <c r="H4707" s="340"/>
      <c r="I4707" s="340" t="s">
        <v>771</v>
      </c>
      <c r="K4707" s="343">
        <v>0</v>
      </c>
      <c r="L4707" s="343">
        <v>-0.02</v>
      </c>
      <c r="M4707" s="343">
        <v>-913557.95</v>
      </c>
      <c r="O4707" s="343">
        <v>0</v>
      </c>
    </row>
    <row r="4708" spans="1:15" x14ac:dyDescent="0.3">
      <c r="A4708" s="340" t="s">
        <v>891</v>
      </c>
      <c r="B4708" s="350">
        <v>46142</v>
      </c>
      <c r="C4708" s="350">
        <v>46162</v>
      </c>
      <c r="D4708" s="351">
        <v>46143</v>
      </c>
      <c r="E4708" s="340" t="s">
        <v>3171</v>
      </c>
      <c r="F4708" s="340" t="s">
        <v>894</v>
      </c>
      <c r="G4708" s="340" t="s">
        <v>3018</v>
      </c>
      <c r="H4708" s="340"/>
      <c r="I4708" s="340" t="s">
        <v>771</v>
      </c>
      <c r="K4708" s="343">
        <v>0</v>
      </c>
      <c r="L4708" s="343">
        <v>-0.03</v>
      </c>
      <c r="M4708" s="343">
        <v>-913557.98</v>
      </c>
      <c r="O4708" s="343">
        <v>0</v>
      </c>
    </row>
    <row r="4709" spans="1:15" x14ac:dyDescent="0.3">
      <c r="A4709" s="340" t="s">
        <v>891</v>
      </c>
      <c r="B4709" s="350">
        <v>46142</v>
      </c>
      <c r="C4709" s="350">
        <v>46162</v>
      </c>
      <c r="D4709" s="351">
        <v>46143</v>
      </c>
      <c r="E4709" s="340" t="s">
        <v>3171</v>
      </c>
      <c r="F4709" s="340" t="s">
        <v>894</v>
      </c>
      <c r="G4709" s="340" t="s">
        <v>3020</v>
      </c>
      <c r="H4709" s="340"/>
      <c r="I4709" s="340" t="s">
        <v>771</v>
      </c>
      <c r="K4709" s="343">
        <v>0</v>
      </c>
      <c r="L4709" s="343">
        <v>-0.05</v>
      </c>
      <c r="M4709" s="343">
        <v>-913558.03</v>
      </c>
      <c r="O4709" s="343">
        <v>0</v>
      </c>
    </row>
    <row r="4710" spans="1:15" x14ac:dyDescent="0.3">
      <c r="A4710" s="340" t="s">
        <v>891</v>
      </c>
      <c r="B4710" s="350">
        <v>46142</v>
      </c>
      <c r="C4710" s="350">
        <v>46162</v>
      </c>
      <c r="D4710" s="351">
        <v>46143</v>
      </c>
      <c r="E4710" s="340" t="s">
        <v>3171</v>
      </c>
      <c r="F4710" s="340" t="s">
        <v>894</v>
      </c>
      <c r="G4710" s="340" t="s">
        <v>3020</v>
      </c>
      <c r="H4710" s="340"/>
      <c r="I4710" s="340" t="s">
        <v>771</v>
      </c>
      <c r="K4710" s="343">
        <v>0</v>
      </c>
      <c r="L4710" s="343">
        <v>-0.1</v>
      </c>
      <c r="M4710" s="343">
        <v>-913558.13</v>
      </c>
      <c r="O4710" s="343">
        <v>0</v>
      </c>
    </row>
    <row r="4711" spans="1:15" x14ac:dyDescent="0.3">
      <c r="A4711" s="340" t="s">
        <v>891</v>
      </c>
      <c r="B4711" s="350">
        <v>46142</v>
      </c>
      <c r="C4711" s="350">
        <v>46162</v>
      </c>
      <c r="D4711" s="351">
        <v>46143</v>
      </c>
      <c r="E4711" s="340" t="s">
        <v>3171</v>
      </c>
      <c r="F4711" s="340" t="s">
        <v>894</v>
      </c>
      <c r="G4711" s="340" t="s">
        <v>3022</v>
      </c>
      <c r="H4711" s="340"/>
      <c r="I4711" s="340" t="s">
        <v>771</v>
      </c>
      <c r="K4711" s="343">
        <v>0</v>
      </c>
      <c r="L4711" s="343">
        <v>-0.1</v>
      </c>
      <c r="M4711" s="343">
        <v>-913558.23</v>
      </c>
      <c r="O4711" s="343">
        <v>0</v>
      </c>
    </row>
    <row r="4712" spans="1:15" x14ac:dyDescent="0.3">
      <c r="A4712" s="340" t="s">
        <v>891</v>
      </c>
      <c r="B4712" s="350">
        <v>46142</v>
      </c>
      <c r="C4712" s="350">
        <v>46162</v>
      </c>
      <c r="D4712" s="351">
        <v>46143</v>
      </c>
      <c r="E4712" s="340" t="s">
        <v>3171</v>
      </c>
      <c r="F4712" s="340" t="s">
        <v>894</v>
      </c>
      <c r="G4712" s="340" t="s">
        <v>3023</v>
      </c>
      <c r="H4712" s="340"/>
      <c r="I4712" s="340" t="s">
        <v>771</v>
      </c>
      <c r="K4712" s="343">
        <v>0</v>
      </c>
      <c r="L4712" s="343">
        <v>-0.2</v>
      </c>
      <c r="M4712" s="343">
        <v>-913558.43</v>
      </c>
      <c r="O4712" s="343">
        <v>0</v>
      </c>
    </row>
    <row r="4713" spans="1:15" x14ac:dyDescent="0.3">
      <c r="A4713" s="340" t="s">
        <v>891</v>
      </c>
      <c r="B4713" s="350">
        <v>46142</v>
      </c>
      <c r="C4713" s="350">
        <v>46162</v>
      </c>
      <c r="D4713" s="351">
        <v>46143</v>
      </c>
      <c r="E4713" s="340" t="s">
        <v>3171</v>
      </c>
      <c r="F4713" s="340" t="s">
        <v>894</v>
      </c>
      <c r="G4713" s="340" t="s">
        <v>3022</v>
      </c>
      <c r="H4713" s="340"/>
      <c r="I4713" s="340" t="s">
        <v>771</v>
      </c>
      <c r="K4713" s="343">
        <v>0</v>
      </c>
      <c r="L4713" s="343">
        <v>-0.2</v>
      </c>
      <c r="M4713" s="343">
        <v>-913558.63</v>
      </c>
      <c r="O4713" s="343">
        <v>0</v>
      </c>
    </row>
    <row r="4714" spans="1:15" x14ac:dyDescent="0.3">
      <c r="A4714" s="340" t="s">
        <v>891</v>
      </c>
      <c r="B4714" s="350">
        <v>46142</v>
      </c>
      <c r="C4714" s="350">
        <v>46162</v>
      </c>
      <c r="D4714" s="351">
        <v>46143</v>
      </c>
      <c r="E4714" s="340" t="s">
        <v>3171</v>
      </c>
      <c r="F4714" s="340" t="s">
        <v>894</v>
      </c>
      <c r="G4714" s="340" t="s">
        <v>3024</v>
      </c>
      <c r="H4714" s="340"/>
      <c r="I4714" s="340" t="s">
        <v>771</v>
      </c>
      <c r="K4714" s="343">
        <v>0</v>
      </c>
      <c r="L4714" s="343">
        <v>-0.42</v>
      </c>
      <c r="M4714" s="343">
        <v>-913559.05</v>
      </c>
      <c r="O4714" s="343">
        <v>0</v>
      </c>
    </row>
    <row r="4715" spans="1:15" x14ac:dyDescent="0.3">
      <c r="A4715" s="340" t="s">
        <v>891</v>
      </c>
      <c r="B4715" s="350">
        <v>46142</v>
      </c>
      <c r="C4715" s="350">
        <v>46162</v>
      </c>
      <c r="D4715" s="351">
        <v>46143</v>
      </c>
      <c r="E4715" s="340" t="s">
        <v>3171</v>
      </c>
      <c r="F4715" s="340" t="s">
        <v>894</v>
      </c>
      <c r="G4715" s="340" t="s">
        <v>3025</v>
      </c>
      <c r="H4715" s="340"/>
      <c r="I4715" s="340" t="s">
        <v>771</v>
      </c>
      <c r="K4715" s="343">
        <v>0</v>
      </c>
      <c r="L4715" s="343">
        <v>-1.18</v>
      </c>
      <c r="M4715" s="343">
        <v>-913560.23</v>
      </c>
      <c r="O4715" s="343">
        <v>0</v>
      </c>
    </row>
    <row r="4716" spans="1:15" x14ac:dyDescent="0.3">
      <c r="A4716" s="340" t="s">
        <v>891</v>
      </c>
      <c r="B4716" s="350">
        <v>46142</v>
      </c>
      <c r="C4716" s="350">
        <v>46162</v>
      </c>
      <c r="D4716" s="351">
        <v>46143</v>
      </c>
      <c r="E4716" s="340" t="s">
        <v>3171</v>
      </c>
      <c r="F4716" s="340" t="s">
        <v>894</v>
      </c>
      <c r="G4716" s="340" t="s">
        <v>3026</v>
      </c>
      <c r="H4716" s="340"/>
      <c r="I4716" s="340" t="s">
        <v>771</v>
      </c>
      <c r="K4716" s="343">
        <v>0</v>
      </c>
      <c r="L4716" s="343">
        <v>-1.38</v>
      </c>
      <c r="M4716" s="343">
        <v>-913561.61</v>
      </c>
      <c r="O4716" s="343">
        <v>0</v>
      </c>
    </row>
    <row r="4717" spans="1:15" x14ac:dyDescent="0.3">
      <c r="A4717" s="340" t="s">
        <v>891</v>
      </c>
      <c r="B4717" s="350">
        <v>46142</v>
      </c>
      <c r="C4717" s="350">
        <v>46162</v>
      </c>
      <c r="D4717" s="351">
        <v>46143</v>
      </c>
      <c r="E4717" s="340" t="s">
        <v>3171</v>
      </c>
      <c r="F4717" s="340" t="s">
        <v>894</v>
      </c>
      <c r="G4717" s="340" t="s">
        <v>3017</v>
      </c>
      <c r="H4717" s="340"/>
      <c r="I4717" s="340" t="s">
        <v>771</v>
      </c>
      <c r="K4717" s="343">
        <v>0</v>
      </c>
      <c r="L4717" s="343">
        <v>-2.2599999999999998</v>
      </c>
      <c r="M4717" s="343">
        <v>-913563.87</v>
      </c>
      <c r="O4717" s="343">
        <v>0</v>
      </c>
    </row>
    <row r="4718" spans="1:15" x14ac:dyDescent="0.3">
      <c r="A4718" s="340" t="s">
        <v>891</v>
      </c>
      <c r="B4718" s="350">
        <v>46142</v>
      </c>
      <c r="C4718" s="350">
        <v>46162</v>
      </c>
      <c r="D4718" s="351">
        <v>46143</v>
      </c>
      <c r="E4718" s="340" t="s">
        <v>3171</v>
      </c>
      <c r="F4718" s="340" t="s">
        <v>894</v>
      </c>
      <c r="G4718" s="340" t="s">
        <v>3021</v>
      </c>
      <c r="H4718" s="340"/>
      <c r="I4718" s="340" t="s">
        <v>771</v>
      </c>
      <c r="K4718" s="343">
        <v>0</v>
      </c>
      <c r="L4718" s="343">
        <v>-4.6100000000000003</v>
      </c>
      <c r="M4718" s="343">
        <v>-913568.48</v>
      </c>
      <c r="O4718" s="343">
        <v>0</v>
      </c>
    </row>
    <row r="4719" spans="1:15" x14ac:dyDescent="0.3">
      <c r="A4719" s="340" t="s">
        <v>891</v>
      </c>
      <c r="B4719" s="350">
        <v>46142</v>
      </c>
      <c r="C4719" s="350">
        <v>46162</v>
      </c>
      <c r="D4719" s="351">
        <v>46143</v>
      </c>
      <c r="E4719" s="340" t="s">
        <v>3171</v>
      </c>
      <c r="F4719" s="340" t="s">
        <v>894</v>
      </c>
      <c r="G4719" s="340" t="s">
        <v>3005</v>
      </c>
      <c r="H4719" s="340"/>
      <c r="I4719" s="340" t="s">
        <v>771</v>
      </c>
      <c r="K4719" s="343">
        <v>0</v>
      </c>
      <c r="L4719" s="343">
        <v>-4.7300000000000004</v>
      </c>
      <c r="M4719" s="343">
        <v>-913573.21</v>
      </c>
      <c r="O4719" s="343">
        <v>0</v>
      </c>
    </row>
    <row r="4720" spans="1:15" x14ac:dyDescent="0.3">
      <c r="A4720" s="340" t="s">
        <v>891</v>
      </c>
      <c r="B4720" s="350">
        <v>46142</v>
      </c>
      <c r="C4720" s="350">
        <v>46162</v>
      </c>
      <c r="D4720" s="351">
        <v>46143</v>
      </c>
      <c r="E4720" s="340" t="s">
        <v>3171</v>
      </c>
      <c r="F4720" s="340" t="s">
        <v>894</v>
      </c>
      <c r="G4720" s="340" t="s">
        <v>3019</v>
      </c>
      <c r="H4720" s="340"/>
      <c r="I4720" s="340" t="s">
        <v>771</v>
      </c>
      <c r="K4720" s="343">
        <v>0</v>
      </c>
      <c r="L4720" s="343">
        <v>-0.06</v>
      </c>
      <c r="M4720" s="343">
        <v>-913573.27</v>
      </c>
      <c r="O4720" s="343">
        <v>0</v>
      </c>
    </row>
    <row r="4721" spans="1:15" x14ac:dyDescent="0.3">
      <c r="A4721" s="340" t="s">
        <v>891</v>
      </c>
      <c r="B4721" s="350">
        <v>46142</v>
      </c>
      <c r="C4721" s="350">
        <v>46162</v>
      </c>
      <c r="D4721" s="351">
        <v>46143</v>
      </c>
      <c r="E4721" s="340" t="s">
        <v>3171</v>
      </c>
      <c r="F4721" s="340" t="s">
        <v>894</v>
      </c>
      <c r="G4721" s="340" t="s">
        <v>3016</v>
      </c>
      <c r="H4721" s="340"/>
      <c r="I4721" s="340" t="s">
        <v>771</v>
      </c>
      <c r="K4721" s="343">
        <v>0</v>
      </c>
      <c r="L4721" s="343">
        <v>-0.1</v>
      </c>
      <c r="M4721" s="343">
        <v>-913573.37</v>
      </c>
      <c r="O4721" s="343">
        <v>0</v>
      </c>
    </row>
    <row r="4722" spans="1:15" x14ac:dyDescent="0.3">
      <c r="A4722" s="340" t="s">
        <v>891</v>
      </c>
      <c r="B4722" s="350">
        <v>46142</v>
      </c>
      <c r="C4722" s="350">
        <v>46162</v>
      </c>
      <c r="D4722" s="351">
        <v>46143</v>
      </c>
      <c r="E4722" s="340" t="s">
        <v>3171</v>
      </c>
      <c r="F4722" s="340" t="s">
        <v>894</v>
      </c>
      <c r="G4722" s="340" t="s">
        <v>3016</v>
      </c>
      <c r="H4722" s="340"/>
      <c r="I4722" s="340" t="s">
        <v>771</v>
      </c>
      <c r="K4722" s="343">
        <v>0</v>
      </c>
      <c r="L4722" s="343">
        <v>-0.14000000000000001</v>
      </c>
      <c r="M4722" s="343">
        <v>-913573.51</v>
      </c>
      <c r="O4722" s="343">
        <v>0</v>
      </c>
    </row>
    <row r="4723" spans="1:15" x14ac:dyDescent="0.3">
      <c r="A4723" s="340" t="s">
        <v>891</v>
      </c>
      <c r="B4723" s="350">
        <v>46142</v>
      </c>
      <c r="C4723" s="350">
        <v>46162</v>
      </c>
      <c r="D4723" s="351">
        <v>46143</v>
      </c>
      <c r="E4723" s="340" t="s">
        <v>3171</v>
      </c>
      <c r="F4723" s="340" t="s">
        <v>894</v>
      </c>
      <c r="G4723" s="340" t="s">
        <v>3020</v>
      </c>
      <c r="H4723" s="340"/>
      <c r="I4723" s="340" t="s">
        <v>771</v>
      </c>
      <c r="K4723" s="343">
        <v>0</v>
      </c>
      <c r="L4723" s="343">
        <v>-0.57999999999999996</v>
      </c>
      <c r="M4723" s="343">
        <v>-913574.09</v>
      </c>
      <c r="O4723" s="343">
        <v>0</v>
      </c>
    </row>
    <row r="4724" spans="1:15" x14ac:dyDescent="0.3">
      <c r="A4724" s="340" t="s">
        <v>891</v>
      </c>
      <c r="B4724" s="350">
        <v>46142</v>
      </c>
      <c r="C4724" s="350">
        <v>46162</v>
      </c>
      <c r="D4724" s="351">
        <v>46143</v>
      </c>
      <c r="E4724" s="340" t="s">
        <v>3171</v>
      </c>
      <c r="F4724" s="340" t="s">
        <v>894</v>
      </c>
      <c r="G4724" s="340" t="s">
        <v>3018</v>
      </c>
      <c r="H4724" s="340"/>
      <c r="I4724" s="340" t="s">
        <v>771</v>
      </c>
      <c r="K4724" s="343">
        <v>0</v>
      </c>
      <c r="L4724" s="343">
        <v>-0.59</v>
      </c>
      <c r="M4724" s="343">
        <v>-913574.68</v>
      </c>
      <c r="O4724" s="343">
        <v>0</v>
      </c>
    </row>
    <row r="4725" spans="1:15" x14ac:dyDescent="0.3">
      <c r="A4725" s="340" t="s">
        <v>891</v>
      </c>
      <c r="B4725" s="350">
        <v>46142</v>
      </c>
      <c r="C4725" s="350">
        <v>46162</v>
      </c>
      <c r="D4725" s="351">
        <v>46143</v>
      </c>
      <c r="E4725" s="340" t="s">
        <v>3171</v>
      </c>
      <c r="F4725" s="340" t="s">
        <v>894</v>
      </c>
      <c r="G4725" s="340" t="s">
        <v>3020</v>
      </c>
      <c r="H4725" s="340"/>
      <c r="I4725" s="340" t="s">
        <v>771</v>
      </c>
      <c r="K4725" s="343">
        <v>0</v>
      </c>
      <c r="L4725" s="343">
        <v>-0.86</v>
      </c>
      <c r="M4725" s="343">
        <v>-913575.54</v>
      </c>
      <c r="O4725" s="343">
        <v>0</v>
      </c>
    </row>
    <row r="4726" spans="1:15" x14ac:dyDescent="0.3">
      <c r="A4726" s="340" t="s">
        <v>891</v>
      </c>
      <c r="B4726" s="350">
        <v>46142</v>
      </c>
      <c r="C4726" s="350">
        <v>46162</v>
      </c>
      <c r="D4726" s="351">
        <v>46143</v>
      </c>
      <c r="E4726" s="340" t="s">
        <v>3171</v>
      </c>
      <c r="F4726" s="340" t="s">
        <v>894</v>
      </c>
      <c r="G4726" s="340" t="s">
        <v>3022</v>
      </c>
      <c r="H4726" s="340"/>
      <c r="I4726" s="340" t="s">
        <v>771</v>
      </c>
      <c r="K4726" s="343">
        <v>0</v>
      </c>
      <c r="L4726" s="343">
        <v>-1.1599999999999999</v>
      </c>
      <c r="M4726" s="343">
        <v>-913576.7</v>
      </c>
      <c r="O4726" s="343">
        <v>0</v>
      </c>
    </row>
    <row r="4727" spans="1:15" x14ac:dyDescent="0.3">
      <c r="A4727" s="340" t="s">
        <v>891</v>
      </c>
      <c r="B4727" s="350">
        <v>46142</v>
      </c>
      <c r="C4727" s="350">
        <v>46162</v>
      </c>
      <c r="D4727" s="351">
        <v>46143</v>
      </c>
      <c r="E4727" s="340" t="s">
        <v>3171</v>
      </c>
      <c r="F4727" s="340" t="s">
        <v>894</v>
      </c>
      <c r="G4727" s="340" t="s">
        <v>3022</v>
      </c>
      <c r="H4727" s="340"/>
      <c r="I4727" s="340" t="s">
        <v>771</v>
      </c>
      <c r="K4727" s="343">
        <v>0</v>
      </c>
      <c r="L4727" s="343">
        <v>-1.71</v>
      </c>
      <c r="M4727" s="343">
        <v>-913578.41</v>
      </c>
      <c r="O4727" s="343">
        <v>0</v>
      </c>
    </row>
    <row r="4728" spans="1:15" x14ac:dyDescent="0.3">
      <c r="A4728" s="340" t="s">
        <v>891</v>
      </c>
      <c r="B4728" s="350">
        <v>46142</v>
      </c>
      <c r="C4728" s="350">
        <v>46162</v>
      </c>
      <c r="D4728" s="351">
        <v>46143</v>
      </c>
      <c r="E4728" s="340" t="s">
        <v>3171</v>
      </c>
      <c r="F4728" s="340" t="s">
        <v>894</v>
      </c>
      <c r="G4728" s="340" t="s">
        <v>3017</v>
      </c>
      <c r="H4728" s="340"/>
      <c r="I4728" s="340" t="s">
        <v>771</v>
      </c>
      <c r="K4728" s="343">
        <v>0</v>
      </c>
      <c r="L4728" s="343">
        <v>-2.2599999999999998</v>
      </c>
      <c r="M4728" s="343">
        <v>-913580.67</v>
      </c>
      <c r="O4728" s="343">
        <v>0</v>
      </c>
    </row>
    <row r="4729" spans="1:15" x14ac:dyDescent="0.3">
      <c r="A4729" s="340" t="s">
        <v>891</v>
      </c>
      <c r="B4729" s="350">
        <v>46142</v>
      </c>
      <c r="C4729" s="350">
        <v>46162</v>
      </c>
      <c r="D4729" s="351">
        <v>46143</v>
      </c>
      <c r="E4729" s="340" t="s">
        <v>3171</v>
      </c>
      <c r="F4729" s="340" t="s">
        <v>894</v>
      </c>
      <c r="G4729" s="340" t="s">
        <v>3023</v>
      </c>
      <c r="H4729" s="340"/>
      <c r="I4729" s="340" t="s">
        <v>771</v>
      </c>
      <c r="K4729" s="343">
        <v>0</v>
      </c>
      <c r="L4729" s="343">
        <v>-3.45</v>
      </c>
      <c r="M4729" s="343">
        <v>-913584.12</v>
      </c>
      <c r="O4729" s="343">
        <v>0</v>
      </c>
    </row>
    <row r="4730" spans="1:15" x14ac:dyDescent="0.3">
      <c r="A4730" s="340" t="s">
        <v>891</v>
      </c>
      <c r="B4730" s="350">
        <v>46142</v>
      </c>
      <c r="C4730" s="350">
        <v>46162</v>
      </c>
      <c r="D4730" s="351">
        <v>46143</v>
      </c>
      <c r="E4730" s="340" t="s">
        <v>3171</v>
      </c>
      <c r="F4730" s="340" t="s">
        <v>894</v>
      </c>
      <c r="G4730" s="340" t="s">
        <v>3021</v>
      </c>
      <c r="H4730" s="340"/>
      <c r="I4730" s="340" t="s">
        <v>771</v>
      </c>
      <c r="K4730" s="343">
        <v>0</v>
      </c>
      <c r="L4730" s="343">
        <v>-4.6100000000000003</v>
      </c>
      <c r="M4730" s="343">
        <v>-913588.73</v>
      </c>
      <c r="O4730" s="343">
        <v>0</v>
      </c>
    </row>
    <row r="4731" spans="1:15" x14ac:dyDescent="0.3">
      <c r="A4731" s="340" t="s">
        <v>891</v>
      </c>
      <c r="B4731" s="350">
        <v>46142</v>
      </c>
      <c r="C4731" s="350">
        <v>46162</v>
      </c>
      <c r="D4731" s="351">
        <v>46143</v>
      </c>
      <c r="E4731" s="340" t="s">
        <v>3171</v>
      </c>
      <c r="F4731" s="340" t="s">
        <v>894</v>
      </c>
      <c r="G4731" s="340" t="s">
        <v>3024</v>
      </c>
      <c r="H4731" s="340"/>
      <c r="I4731" s="340" t="s">
        <v>771</v>
      </c>
      <c r="K4731" s="343">
        <v>0</v>
      </c>
      <c r="L4731" s="343">
        <v>-7.03</v>
      </c>
      <c r="M4731" s="343">
        <v>-913595.76</v>
      </c>
      <c r="O4731" s="343">
        <v>0</v>
      </c>
    </row>
    <row r="4732" spans="1:15" x14ac:dyDescent="0.3">
      <c r="A4732" s="340" t="s">
        <v>891</v>
      </c>
      <c r="B4732" s="350">
        <v>46142</v>
      </c>
      <c r="C4732" s="350">
        <v>46162</v>
      </c>
      <c r="D4732" s="351">
        <v>46143</v>
      </c>
      <c r="E4732" s="340" t="s">
        <v>3171</v>
      </c>
      <c r="F4732" s="340" t="s">
        <v>894</v>
      </c>
      <c r="G4732" s="340" t="s">
        <v>3025</v>
      </c>
      <c r="H4732" s="340"/>
      <c r="I4732" s="340" t="s">
        <v>771</v>
      </c>
      <c r="K4732" s="343">
        <v>0</v>
      </c>
      <c r="L4732" s="343">
        <v>-19.899999999999999</v>
      </c>
      <c r="M4732" s="343">
        <v>-913615.66</v>
      </c>
      <c r="O4732" s="343">
        <v>0</v>
      </c>
    </row>
    <row r="4733" spans="1:15" x14ac:dyDescent="0.3">
      <c r="A4733" s="340" t="s">
        <v>891</v>
      </c>
      <c r="B4733" s="350">
        <v>46142</v>
      </c>
      <c r="C4733" s="350">
        <v>46162</v>
      </c>
      <c r="D4733" s="351">
        <v>46143</v>
      </c>
      <c r="E4733" s="340" t="s">
        <v>3171</v>
      </c>
      <c r="F4733" s="340" t="s">
        <v>894</v>
      </c>
      <c r="G4733" s="340" t="s">
        <v>3026</v>
      </c>
      <c r="H4733" s="340"/>
      <c r="I4733" s="340" t="s">
        <v>771</v>
      </c>
      <c r="K4733" s="343">
        <v>0</v>
      </c>
      <c r="L4733" s="343">
        <v>-23.29</v>
      </c>
      <c r="M4733" s="343">
        <v>-913638.95</v>
      </c>
      <c r="O4733" s="343">
        <v>0</v>
      </c>
    </row>
    <row r="4734" spans="1:15" x14ac:dyDescent="0.3">
      <c r="A4734" s="340" t="s">
        <v>891</v>
      </c>
      <c r="B4734" s="350">
        <v>46142</v>
      </c>
      <c r="C4734" s="350">
        <v>46162</v>
      </c>
      <c r="D4734" s="351">
        <v>46143</v>
      </c>
      <c r="E4734" s="340" t="s">
        <v>3171</v>
      </c>
      <c r="F4734" s="340" t="s">
        <v>894</v>
      </c>
      <c r="G4734" s="340" t="s">
        <v>3005</v>
      </c>
      <c r="H4734" s="340"/>
      <c r="I4734" s="340" t="s">
        <v>771</v>
      </c>
      <c r="K4734" s="343">
        <v>0</v>
      </c>
      <c r="L4734" s="343">
        <v>-79.680000000000007</v>
      </c>
      <c r="M4734" s="343">
        <v>-913718.63</v>
      </c>
      <c r="O4734" s="343">
        <v>0</v>
      </c>
    </row>
    <row r="4735" spans="1:15" x14ac:dyDescent="0.3">
      <c r="A4735" s="340" t="s">
        <v>891</v>
      </c>
      <c r="B4735" s="350">
        <v>46142</v>
      </c>
      <c r="C4735" s="350">
        <v>46162</v>
      </c>
      <c r="D4735" s="351">
        <v>46143</v>
      </c>
      <c r="E4735" s="340" t="s">
        <v>3171</v>
      </c>
      <c r="F4735" s="340" t="s">
        <v>894</v>
      </c>
      <c r="G4735" s="340" t="s">
        <v>3016</v>
      </c>
      <c r="H4735" s="340"/>
      <c r="I4735" s="340" t="s">
        <v>771</v>
      </c>
      <c r="K4735" s="343">
        <v>0</v>
      </c>
      <c r="L4735" s="343">
        <v>-0.01</v>
      </c>
      <c r="M4735" s="343">
        <v>-913718.64</v>
      </c>
      <c r="O4735" s="343">
        <v>0</v>
      </c>
    </row>
    <row r="4736" spans="1:15" x14ac:dyDescent="0.3">
      <c r="A4736" s="340" t="s">
        <v>891</v>
      </c>
      <c r="B4736" s="350">
        <v>46142</v>
      </c>
      <c r="C4736" s="350">
        <v>46162</v>
      </c>
      <c r="D4736" s="351">
        <v>46143</v>
      </c>
      <c r="E4736" s="340" t="s">
        <v>3171</v>
      </c>
      <c r="F4736" s="340" t="s">
        <v>894</v>
      </c>
      <c r="G4736" s="340" t="s">
        <v>3016</v>
      </c>
      <c r="H4736" s="340"/>
      <c r="I4736" s="340" t="s">
        <v>771</v>
      </c>
      <c r="K4736" s="343">
        <v>0</v>
      </c>
      <c r="L4736" s="343">
        <v>-0.02</v>
      </c>
      <c r="M4736" s="343">
        <v>-913718.66</v>
      </c>
      <c r="O4736" s="343">
        <v>0</v>
      </c>
    </row>
    <row r="4737" spans="1:15" x14ac:dyDescent="0.3">
      <c r="A4737" s="340" t="s">
        <v>891</v>
      </c>
      <c r="B4737" s="350">
        <v>46142</v>
      </c>
      <c r="C4737" s="350">
        <v>46162</v>
      </c>
      <c r="D4737" s="351">
        <v>46143</v>
      </c>
      <c r="E4737" s="340" t="s">
        <v>3171</v>
      </c>
      <c r="F4737" s="340" t="s">
        <v>894</v>
      </c>
      <c r="G4737" s="340" t="s">
        <v>3018</v>
      </c>
      <c r="H4737" s="340"/>
      <c r="I4737" s="340" t="s">
        <v>771</v>
      </c>
      <c r="K4737" s="343">
        <v>0</v>
      </c>
      <c r="L4737" s="343">
        <v>-0.03</v>
      </c>
      <c r="M4737" s="343">
        <v>-913718.69</v>
      </c>
      <c r="O4737" s="343">
        <v>0</v>
      </c>
    </row>
    <row r="4738" spans="1:15" x14ac:dyDescent="0.3">
      <c r="A4738" s="340" t="s">
        <v>891</v>
      </c>
      <c r="B4738" s="350">
        <v>46142</v>
      </c>
      <c r="C4738" s="350">
        <v>46162</v>
      </c>
      <c r="D4738" s="351">
        <v>46143</v>
      </c>
      <c r="E4738" s="340" t="s">
        <v>3171</v>
      </c>
      <c r="F4738" s="340" t="s">
        <v>894</v>
      </c>
      <c r="G4738" s="340" t="s">
        <v>3020</v>
      </c>
      <c r="H4738" s="340"/>
      <c r="I4738" s="340" t="s">
        <v>771</v>
      </c>
      <c r="K4738" s="343">
        <v>0</v>
      </c>
      <c r="L4738" s="343">
        <v>-0.04</v>
      </c>
      <c r="M4738" s="343">
        <v>-913718.73</v>
      </c>
      <c r="O4738" s="343">
        <v>0</v>
      </c>
    </row>
    <row r="4739" spans="1:15" x14ac:dyDescent="0.3">
      <c r="A4739" s="340" t="s">
        <v>891</v>
      </c>
      <c r="B4739" s="350">
        <v>46142</v>
      </c>
      <c r="C4739" s="350">
        <v>46162</v>
      </c>
      <c r="D4739" s="351">
        <v>46143</v>
      </c>
      <c r="E4739" s="340" t="s">
        <v>3171</v>
      </c>
      <c r="F4739" s="340" t="s">
        <v>894</v>
      </c>
      <c r="G4739" s="340" t="s">
        <v>3022</v>
      </c>
      <c r="H4739" s="340"/>
      <c r="I4739" s="340" t="s">
        <v>771</v>
      </c>
      <c r="K4739" s="343">
        <v>0</v>
      </c>
      <c r="L4739" s="343">
        <v>-0.08</v>
      </c>
      <c r="M4739" s="343">
        <v>-913718.81</v>
      </c>
      <c r="O4739" s="343">
        <v>0</v>
      </c>
    </row>
    <row r="4740" spans="1:15" x14ac:dyDescent="0.3">
      <c r="A4740" s="340" t="s">
        <v>891</v>
      </c>
      <c r="B4740" s="350">
        <v>46142</v>
      </c>
      <c r="C4740" s="350">
        <v>46162</v>
      </c>
      <c r="D4740" s="351">
        <v>46143</v>
      </c>
      <c r="E4740" s="340" t="s">
        <v>3171</v>
      </c>
      <c r="F4740" s="340" t="s">
        <v>894</v>
      </c>
      <c r="G4740" s="340" t="s">
        <v>3020</v>
      </c>
      <c r="H4740" s="340"/>
      <c r="I4740" s="340" t="s">
        <v>771</v>
      </c>
      <c r="K4740" s="343">
        <v>0</v>
      </c>
      <c r="L4740" s="343">
        <v>-0.1</v>
      </c>
      <c r="M4740" s="343">
        <v>-913718.91</v>
      </c>
      <c r="O4740" s="343">
        <v>0</v>
      </c>
    </row>
    <row r="4741" spans="1:15" x14ac:dyDescent="0.3">
      <c r="A4741" s="340" t="s">
        <v>891</v>
      </c>
      <c r="B4741" s="350">
        <v>46142</v>
      </c>
      <c r="C4741" s="350">
        <v>46162</v>
      </c>
      <c r="D4741" s="351">
        <v>46143</v>
      </c>
      <c r="E4741" s="340" t="s">
        <v>3171</v>
      </c>
      <c r="F4741" s="340" t="s">
        <v>894</v>
      </c>
      <c r="G4741" s="340" t="s">
        <v>3023</v>
      </c>
      <c r="H4741" s="340"/>
      <c r="I4741" s="340" t="s">
        <v>771</v>
      </c>
      <c r="K4741" s="343">
        <v>0</v>
      </c>
      <c r="L4741" s="343">
        <v>-0.17</v>
      </c>
      <c r="M4741" s="343">
        <v>-913719.08</v>
      </c>
      <c r="O4741" s="343">
        <v>0</v>
      </c>
    </row>
    <row r="4742" spans="1:15" x14ac:dyDescent="0.3">
      <c r="A4742" s="340" t="s">
        <v>891</v>
      </c>
      <c r="B4742" s="350">
        <v>46142</v>
      </c>
      <c r="C4742" s="350">
        <v>46162</v>
      </c>
      <c r="D4742" s="351">
        <v>46143</v>
      </c>
      <c r="E4742" s="340" t="s">
        <v>3171</v>
      </c>
      <c r="F4742" s="340" t="s">
        <v>894</v>
      </c>
      <c r="G4742" s="340" t="s">
        <v>3022</v>
      </c>
      <c r="H4742" s="340"/>
      <c r="I4742" s="340" t="s">
        <v>771</v>
      </c>
      <c r="K4742" s="343">
        <v>0</v>
      </c>
      <c r="L4742" s="343">
        <v>-0.19</v>
      </c>
      <c r="M4742" s="343">
        <v>-913719.27</v>
      </c>
      <c r="O4742" s="343">
        <v>0</v>
      </c>
    </row>
    <row r="4743" spans="1:15" x14ac:dyDescent="0.3">
      <c r="A4743" s="340" t="s">
        <v>891</v>
      </c>
      <c r="B4743" s="350">
        <v>46142</v>
      </c>
      <c r="C4743" s="350">
        <v>46162</v>
      </c>
      <c r="D4743" s="351">
        <v>46143</v>
      </c>
      <c r="E4743" s="340" t="s">
        <v>3171</v>
      </c>
      <c r="F4743" s="340" t="s">
        <v>894</v>
      </c>
      <c r="G4743" s="340" t="s">
        <v>3024</v>
      </c>
      <c r="H4743" s="340"/>
      <c r="I4743" s="340" t="s">
        <v>771</v>
      </c>
      <c r="K4743" s="343">
        <v>0</v>
      </c>
      <c r="L4743" s="343">
        <v>-0.35</v>
      </c>
      <c r="M4743" s="343">
        <v>-913719.62</v>
      </c>
      <c r="O4743" s="343">
        <v>0</v>
      </c>
    </row>
    <row r="4744" spans="1:15" x14ac:dyDescent="0.3">
      <c r="A4744" s="340" t="s">
        <v>891</v>
      </c>
      <c r="B4744" s="350">
        <v>46142</v>
      </c>
      <c r="C4744" s="350">
        <v>46162</v>
      </c>
      <c r="D4744" s="351">
        <v>46143</v>
      </c>
      <c r="E4744" s="340" t="s">
        <v>3171</v>
      </c>
      <c r="F4744" s="340" t="s">
        <v>894</v>
      </c>
      <c r="G4744" s="340" t="s">
        <v>3025</v>
      </c>
      <c r="H4744" s="340"/>
      <c r="I4744" s="340" t="s">
        <v>771</v>
      </c>
      <c r="K4744" s="343">
        <v>0</v>
      </c>
      <c r="L4744" s="343">
        <v>-0.98</v>
      </c>
      <c r="M4744" s="343">
        <v>-913720.6</v>
      </c>
      <c r="O4744" s="343">
        <v>0</v>
      </c>
    </row>
    <row r="4745" spans="1:15" x14ac:dyDescent="0.3">
      <c r="A4745" s="340" t="s">
        <v>891</v>
      </c>
      <c r="B4745" s="350">
        <v>46142</v>
      </c>
      <c r="C4745" s="350">
        <v>46162</v>
      </c>
      <c r="D4745" s="351">
        <v>46143</v>
      </c>
      <c r="E4745" s="340" t="s">
        <v>3171</v>
      </c>
      <c r="F4745" s="340" t="s">
        <v>894</v>
      </c>
      <c r="G4745" s="340" t="s">
        <v>3026</v>
      </c>
      <c r="H4745" s="340"/>
      <c r="I4745" s="340" t="s">
        <v>771</v>
      </c>
      <c r="K4745" s="343">
        <v>0</v>
      </c>
      <c r="L4745" s="343">
        <v>-1.1499999999999999</v>
      </c>
      <c r="M4745" s="343">
        <v>-913721.75</v>
      </c>
      <c r="O4745" s="343">
        <v>0</v>
      </c>
    </row>
    <row r="4746" spans="1:15" x14ac:dyDescent="0.3">
      <c r="A4746" s="340" t="s">
        <v>891</v>
      </c>
      <c r="B4746" s="350">
        <v>46142</v>
      </c>
      <c r="C4746" s="350">
        <v>46162</v>
      </c>
      <c r="D4746" s="351">
        <v>46143</v>
      </c>
      <c r="E4746" s="340" t="s">
        <v>3171</v>
      </c>
      <c r="F4746" s="340" t="s">
        <v>894</v>
      </c>
      <c r="G4746" s="340" t="s">
        <v>3017</v>
      </c>
      <c r="H4746" s="340"/>
      <c r="I4746" s="340" t="s">
        <v>771</v>
      </c>
      <c r="K4746" s="343">
        <v>0</v>
      </c>
      <c r="L4746" s="343">
        <v>-2.2599999999999998</v>
      </c>
      <c r="M4746" s="343">
        <v>-913724.01</v>
      </c>
      <c r="O4746" s="343">
        <v>0</v>
      </c>
    </row>
    <row r="4747" spans="1:15" x14ac:dyDescent="0.3">
      <c r="A4747" s="340" t="s">
        <v>891</v>
      </c>
      <c r="B4747" s="350">
        <v>46142</v>
      </c>
      <c r="C4747" s="350">
        <v>46162</v>
      </c>
      <c r="D4747" s="351">
        <v>46143</v>
      </c>
      <c r="E4747" s="340" t="s">
        <v>3171</v>
      </c>
      <c r="F4747" s="340" t="s">
        <v>894</v>
      </c>
      <c r="G4747" s="340" t="s">
        <v>3005</v>
      </c>
      <c r="H4747" s="340"/>
      <c r="I4747" s="340" t="s">
        <v>771</v>
      </c>
      <c r="K4747" s="343">
        <v>0</v>
      </c>
      <c r="L4747" s="343">
        <v>-3.93</v>
      </c>
      <c r="M4747" s="343">
        <v>-913727.94</v>
      </c>
      <c r="O4747" s="343">
        <v>0</v>
      </c>
    </row>
    <row r="4748" spans="1:15" x14ac:dyDescent="0.3">
      <c r="A4748" s="340" t="s">
        <v>891</v>
      </c>
      <c r="B4748" s="350">
        <v>46142</v>
      </c>
      <c r="C4748" s="350">
        <v>46162</v>
      </c>
      <c r="D4748" s="351">
        <v>46143</v>
      </c>
      <c r="E4748" s="340" t="s">
        <v>3171</v>
      </c>
      <c r="F4748" s="340" t="s">
        <v>894</v>
      </c>
      <c r="G4748" s="340" t="s">
        <v>3021</v>
      </c>
      <c r="H4748" s="340"/>
      <c r="I4748" s="340" t="s">
        <v>771</v>
      </c>
      <c r="K4748" s="343">
        <v>0</v>
      </c>
      <c r="L4748" s="343">
        <v>-4.6100000000000003</v>
      </c>
      <c r="M4748" s="343">
        <v>-913732.55</v>
      </c>
      <c r="O4748" s="343">
        <v>0</v>
      </c>
    </row>
    <row r="4749" spans="1:15" x14ac:dyDescent="0.3">
      <c r="A4749" s="340" t="s">
        <v>891</v>
      </c>
      <c r="B4749" s="350">
        <v>46142</v>
      </c>
      <c r="C4749" s="350">
        <v>46162</v>
      </c>
      <c r="D4749" s="351">
        <v>46143</v>
      </c>
      <c r="E4749" s="340" t="s">
        <v>3171</v>
      </c>
      <c r="F4749" s="340" t="s">
        <v>894</v>
      </c>
      <c r="G4749" s="340" t="s">
        <v>3016</v>
      </c>
      <c r="H4749" s="340"/>
      <c r="I4749" s="340" t="s">
        <v>771</v>
      </c>
      <c r="K4749" s="343">
        <v>0</v>
      </c>
      <c r="L4749" s="343">
        <v>-0.01</v>
      </c>
      <c r="M4749" s="343">
        <v>-913732.56</v>
      </c>
      <c r="O4749" s="343">
        <v>0</v>
      </c>
    </row>
    <row r="4750" spans="1:15" x14ac:dyDescent="0.3">
      <c r="A4750" s="340" t="s">
        <v>891</v>
      </c>
      <c r="B4750" s="350">
        <v>46142</v>
      </c>
      <c r="C4750" s="350">
        <v>46162</v>
      </c>
      <c r="D4750" s="351">
        <v>46143</v>
      </c>
      <c r="E4750" s="340" t="s">
        <v>3171</v>
      </c>
      <c r="F4750" s="340" t="s">
        <v>894</v>
      </c>
      <c r="G4750" s="340" t="s">
        <v>3016</v>
      </c>
      <c r="H4750" s="340"/>
      <c r="I4750" s="340" t="s">
        <v>771</v>
      </c>
      <c r="K4750" s="343">
        <v>0</v>
      </c>
      <c r="L4750" s="343">
        <v>-0.02</v>
      </c>
      <c r="M4750" s="343">
        <v>-913732.58</v>
      </c>
      <c r="O4750" s="343">
        <v>0</v>
      </c>
    </row>
    <row r="4751" spans="1:15" x14ac:dyDescent="0.3">
      <c r="A4751" s="340" t="s">
        <v>891</v>
      </c>
      <c r="B4751" s="350">
        <v>46142</v>
      </c>
      <c r="C4751" s="350">
        <v>46162</v>
      </c>
      <c r="D4751" s="351">
        <v>46143</v>
      </c>
      <c r="E4751" s="340" t="s">
        <v>3171</v>
      </c>
      <c r="F4751" s="340" t="s">
        <v>894</v>
      </c>
      <c r="G4751" s="340" t="s">
        <v>3018</v>
      </c>
      <c r="H4751" s="340"/>
      <c r="I4751" s="340" t="s">
        <v>771</v>
      </c>
      <c r="K4751" s="343">
        <v>0</v>
      </c>
      <c r="L4751" s="343">
        <v>-0.04</v>
      </c>
      <c r="M4751" s="343">
        <v>-913732.62</v>
      </c>
      <c r="O4751" s="343">
        <v>0</v>
      </c>
    </row>
    <row r="4752" spans="1:15" x14ac:dyDescent="0.3">
      <c r="A4752" s="340" t="s">
        <v>891</v>
      </c>
      <c r="B4752" s="350">
        <v>46142</v>
      </c>
      <c r="C4752" s="350">
        <v>46162</v>
      </c>
      <c r="D4752" s="351">
        <v>46143</v>
      </c>
      <c r="E4752" s="340" t="s">
        <v>3171</v>
      </c>
      <c r="F4752" s="340" t="s">
        <v>894</v>
      </c>
      <c r="G4752" s="340" t="s">
        <v>3020</v>
      </c>
      <c r="H4752" s="340"/>
      <c r="I4752" s="340" t="s">
        <v>771</v>
      </c>
      <c r="K4752" s="343">
        <v>0</v>
      </c>
      <c r="L4752" s="343">
        <v>-0.06</v>
      </c>
      <c r="M4752" s="343">
        <v>-913732.68</v>
      </c>
      <c r="O4752" s="343">
        <v>0</v>
      </c>
    </row>
    <row r="4753" spans="1:15" x14ac:dyDescent="0.3">
      <c r="A4753" s="340" t="s">
        <v>891</v>
      </c>
      <c r="B4753" s="350">
        <v>46142</v>
      </c>
      <c r="C4753" s="350">
        <v>46162</v>
      </c>
      <c r="D4753" s="351">
        <v>46143</v>
      </c>
      <c r="E4753" s="340" t="s">
        <v>3171</v>
      </c>
      <c r="F4753" s="340" t="s">
        <v>894</v>
      </c>
      <c r="G4753" s="340" t="s">
        <v>3020</v>
      </c>
      <c r="H4753" s="340"/>
      <c r="I4753" s="340" t="s">
        <v>771</v>
      </c>
      <c r="K4753" s="343">
        <v>0</v>
      </c>
      <c r="L4753" s="343">
        <v>-0.11</v>
      </c>
      <c r="M4753" s="343">
        <v>-913732.79</v>
      </c>
      <c r="O4753" s="343">
        <v>0</v>
      </c>
    </row>
    <row r="4754" spans="1:15" x14ac:dyDescent="0.3">
      <c r="A4754" s="340" t="s">
        <v>891</v>
      </c>
      <c r="B4754" s="350">
        <v>46142</v>
      </c>
      <c r="C4754" s="350">
        <v>46162</v>
      </c>
      <c r="D4754" s="351">
        <v>46143</v>
      </c>
      <c r="E4754" s="340" t="s">
        <v>3171</v>
      </c>
      <c r="F4754" s="340" t="s">
        <v>894</v>
      </c>
      <c r="G4754" s="340" t="s">
        <v>3022</v>
      </c>
      <c r="H4754" s="340"/>
      <c r="I4754" s="340" t="s">
        <v>771</v>
      </c>
      <c r="K4754" s="343">
        <v>0</v>
      </c>
      <c r="L4754" s="343">
        <v>-0.13</v>
      </c>
      <c r="M4754" s="343">
        <v>-913732.92</v>
      </c>
      <c r="O4754" s="343">
        <v>0</v>
      </c>
    </row>
    <row r="4755" spans="1:15" x14ac:dyDescent="0.3">
      <c r="A4755" s="340" t="s">
        <v>891</v>
      </c>
      <c r="B4755" s="350">
        <v>46142</v>
      </c>
      <c r="C4755" s="350">
        <v>46162</v>
      </c>
      <c r="D4755" s="351">
        <v>46143</v>
      </c>
      <c r="E4755" s="340" t="s">
        <v>3171</v>
      </c>
      <c r="F4755" s="340" t="s">
        <v>894</v>
      </c>
      <c r="G4755" s="340" t="s">
        <v>3022</v>
      </c>
      <c r="H4755" s="340"/>
      <c r="I4755" s="340" t="s">
        <v>771</v>
      </c>
      <c r="K4755" s="343">
        <v>0</v>
      </c>
      <c r="L4755" s="343">
        <v>-0.22</v>
      </c>
      <c r="M4755" s="343">
        <v>-913733.14</v>
      </c>
      <c r="O4755" s="343">
        <v>0</v>
      </c>
    </row>
    <row r="4756" spans="1:15" x14ac:dyDescent="0.3">
      <c r="A4756" s="340" t="s">
        <v>891</v>
      </c>
      <c r="B4756" s="350">
        <v>46142</v>
      </c>
      <c r="C4756" s="350">
        <v>46162</v>
      </c>
      <c r="D4756" s="351">
        <v>46143</v>
      </c>
      <c r="E4756" s="340" t="s">
        <v>3171</v>
      </c>
      <c r="F4756" s="340" t="s">
        <v>894</v>
      </c>
      <c r="G4756" s="340" t="s">
        <v>3023</v>
      </c>
      <c r="H4756" s="340"/>
      <c r="I4756" s="340" t="s">
        <v>771</v>
      </c>
      <c r="K4756" s="343">
        <v>0</v>
      </c>
      <c r="L4756" s="343">
        <v>-0.26</v>
      </c>
      <c r="M4756" s="343">
        <v>-913733.4</v>
      </c>
      <c r="O4756" s="343">
        <v>0</v>
      </c>
    </row>
    <row r="4757" spans="1:15" x14ac:dyDescent="0.3">
      <c r="A4757" s="340" t="s">
        <v>891</v>
      </c>
      <c r="B4757" s="350">
        <v>46142</v>
      </c>
      <c r="C4757" s="350">
        <v>46162</v>
      </c>
      <c r="D4757" s="351">
        <v>46143</v>
      </c>
      <c r="E4757" s="340" t="s">
        <v>3171</v>
      </c>
      <c r="F4757" s="340" t="s">
        <v>894</v>
      </c>
      <c r="G4757" s="340" t="s">
        <v>3024</v>
      </c>
      <c r="H4757" s="340"/>
      <c r="I4757" s="340" t="s">
        <v>771</v>
      </c>
      <c r="K4757" s="343">
        <v>0</v>
      </c>
      <c r="L4757" s="343">
        <v>-0.53</v>
      </c>
      <c r="M4757" s="343">
        <v>-913733.93</v>
      </c>
      <c r="O4757" s="343">
        <v>0</v>
      </c>
    </row>
    <row r="4758" spans="1:15" x14ac:dyDescent="0.3">
      <c r="A4758" s="340" t="s">
        <v>891</v>
      </c>
      <c r="B4758" s="350">
        <v>46142</v>
      </c>
      <c r="C4758" s="350">
        <v>46162</v>
      </c>
      <c r="D4758" s="351">
        <v>46143</v>
      </c>
      <c r="E4758" s="340" t="s">
        <v>3171</v>
      </c>
      <c r="F4758" s="340" t="s">
        <v>894</v>
      </c>
      <c r="G4758" s="340" t="s">
        <v>3025</v>
      </c>
      <c r="H4758" s="340"/>
      <c r="I4758" s="340" t="s">
        <v>771</v>
      </c>
      <c r="K4758" s="343">
        <v>0</v>
      </c>
      <c r="L4758" s="343">
        <v>-1.49</v>
      </c>
      <c r="M4758" s="343">
        <v>-913735.42</v>
      </c>
      <c r="O4758" s="343">
        <v>0</v>
      </c>
    </row>
    <row r="4759" spans="1:15" x14ac:dyDescent="0.3">
      <c r="A4759" s="340" t="s">
        <v>891</v>
      </c>
      <c r="B4759" s="350">
        <v>46142</v>
      </c>
      <c r="C4759" s="350">
        <v>46162</v>
      </c>
      <c r="D4759" s="351">
        <v>46143</v>
      </c>
      <c r="E4759" s="340" t="s">
        <v>3171</v>
      </c>
      <c r="F4759" s="340" t="s">
        <v>894</v>
      </c>
      <c r="G4759" s="340" t="s">
        <v>3026</v>
      </c>
      <c r="H4759" s="340"/>
      <c r="I4759" s="340" t="s">
        <v>771</v>
      </c>
      <c r="K4759" s="343">
        <v>0</v>
      </c>
      <c r="L4759" s="343">
        <v>-1.74</v>
      </c>
      <c r="M4759" s="343">
        <v>-913737.16</v>
      </c>
      <c r="O4759" s="343">
        <v>0</v>
      </c>
    </row>
    <row r="4760" spans="1:15" x14ac:dyDescent="0.3">
      <c r="A4760" s="340" t="s">
        <v>891</v>
      </c>
      <c r="B4760" s="350">
        <v>46142</v>
      </c>
      <c r="C4760" s="350">
        <v>46162</v>
      </c>
      <c r="D4760" s="351">
        <v>46143</v>
      </c>
      <c r="E4760" s="340" t="s">
        <v>3171</v>
      </c>
      <c r="F4760" s="340" t="s">
        <v>894</v>
      </c>
      <c r="G4760" s="340" t="s">
        <v>3017</v>
      </c>
      <c r="H4760" s="340"/>
      <c r="I4760" s="340" t="s">
        <v>771</v>
      </c>
      <c r="K4760" s="343">
        <v>0</v>
      </c>
      <c r="L4760" s="343">
        <v>-2.2599999999999998</v>
      </c>
      <c r="M4760" s="343">
        <v>-913739.42</v>
      </c>
      <c r="O4760" s="343">
        <v>0</v>
      </c>
    </row>
    <row r="4761" spans="1:15" x14ac:dyDescent="0.3">
      <c r="A4761" s="340" t="s">
        <v>891</v>
      </c>
      <c r="B4761" s="350">
        <v>46142</v>
      </c>
      <c r="C4761" s="350">
        <v>46162</v>
      </c>
      <c r="D4761" s="351">
        <v>46143</v>
      </c>
      <c r="E4761" s="340" t="s">
        <v>3171</v>
      </c>
      <c r="F4761" s="340" t="s">
        <v>894</v>
      </c>
      <c r="G4761" s="340" t="s">
        <v>3021</v>
      </c>
      <c r="H4761" s="340"/>
      <c r="I4761" s="340" t="s">
        <v>771</v>
      </c>
      <c r="K4761" s="343">
        <v>0</v>
      </c>
      <c r="L4761" s="343">
        <v>-4.6100000000000003</v>
      </c>
      <c r="M4761" s="343">
        <v>-913744.03</v>
      </c>
      <c r="O4761" s="343">
        <v>0</v>
      </c>
    </row>
    <row r="4762" spans="1:15" x14ac:dyDescent="0.3">
      <c r="A4762" s="340" t="s">
        <v>891</v>
      </c>
      <c r="B4762" s="350">
        <v>46142</v>
      </c>
      <c r="C4762" s="350">
        <v>46162</v>
      </c>
      <c r="D4762" s="351">
        <v>46143</v>
      </c>
      <c r="E4762" s="340" t="s">
        <v>3171</v>
      </c>
      <c r="F4762" s="340" t="s">
        <v>894</v>
      </c>
      <c r="G4762" s="340" t="s">
        <v>3005</v>
      </c>
      <c r="H4762" s="340"/>
      <c r="I4762" s="340" t="s">
        <v>771</v>
      </c>
      <c r="K4762" s="343">
        <v>0</v>
      </c>
      <c r="L4762" s="343">
        <v>-5.96</v>
      </c>
      <c r="M4762" s="343">
        <v>-913749.99</v>
      </c>
      <c r="O4762" s="343">
        <v>0</v>
      </c>
    </row>
    <row r="4763" spans="1:15" x14ac:dyDescent="0.3">
      <c r="A4763" s="340" t="s">
        <v>891</v>
      </c>
      <c r="B4763" s="350">
        <v>46142</v>
      </c>
      <c r="C4763" s="350">
        <v>46162</v>
      </c>
      <c r="D4763" s="351">
        <v>46143</v>
      </c>
      <c r="E4763" s="340" t="s">
        <v>3171</v>
      </c>
      <c r="F4763" s="340" t="s">
        <v>894</v>
      </c>
      <c r="G4763" s="340" t="s">
        <v>3019</v>
      </c>
      <c r="H4763" s="340"/>
      <c r="I4763" s="340" t="s">
        <v>771</v>
      </c>
      <c r="K4763" s="343">
        <v>0</v>
      </c>
      <c r="L4763" s="343">
        <v>-0.01</v>
      </c>
      <c r="M4763" s="343">
        <v>-913750</v>
      </c>
      <c r="O4763" s="343">
        <v>0</v>
      </c>
    </row>
    <row r="4764" spans="1:15" x14ac:dyDescent="0.3">
      <c r="A4764" s="340" t="s">
        <v>891</v>
      </c>
      <c r="B4764" s="350">
        <v>46142</v>
      </c>
      <c r="C4764" s="350">
        <v>46162</v>
      </c>
      <c r="D4764" s="351">
        <v>46143</v>
      </c>
      <c r="E4764" s="340" t="s">
        <v>3171</v>
      </c>
      <c r="F4764" s="340" t="s">
        <v>894</v>
      </c>
      <c r="G4764" s="340" t="s">
        <v>3016</v>
      </c>
      <c r="H4764" s="340"/>
      <c r="I4764" s="340" t="s">
        <v>771</v>
      </c>
      <c r="K4764" s="343">
        <v>0</v>
      </c>
      <c r="L4764" s="343">
        <v>-0.01</v>
      </c>
      <c r="M4764" s="343">
        <v>-913750.01</v>
      </c>
      <c r="O4764" s="343">
        <v>0</v>
      </c>
    </row>
    <row r="4765" spans="1:15" x14ac:dyDescent="0.3">
      <c r="A4765" s="340" t="s">
        <v>891</v>
      </c>
      <c r="B4765" s="350">
        <v>46142</v>
      </c>
      <c r="C4765" s="350">
        <v>46162</v>
      </c>
      <c r="D4765" s="351">
        <v>46143</v>
      </c>
      <c r="E4765" s="340" t="s">
        <v>3171</v>
      </c>
      <c r="F4765" s="340" t="s">
        <v>894</v>
      </c>
      <c r="G4765" s="340" t="s">
        <v>3016</v>
      </c>
      <c r="H4765" s="340"/>
      <c r="I4765" s="340" t="s">
        <v>771</v>
      </c>
      <c r="K4765" s="343">
        <v>0</v>
      </c>
      <c r="L4765" s="343">
        <v>-0.02</v>
      </c>
      <c r="M4765" s="343">
        <v>-913750.03</v>
      </c>
      <c r="O4765" s="343">
        <v>0</v>
      </c>
    </row>
    <row r="4766" spans="1:15" x14ac:dyDescent="0.3">
      <c r="A4766" s="340" t="s">
        <v>891</v>
      </c>
      <c r="B4766" s="350">
        <v>46142</v>
      </c>
      <c r="C4766" s="350">
        <v>46162</v>
      </c>
      <c r="D4766" s="351">
        <v>46143</v>
      </c>
      <c r="E4766" s="340" t="s">
        <v>3171</v>
      </c>
      <c r="F4766" s="340" t="s">
        <v>894</v>
      </c>
      <c r="G4766" s="340" t="s">
        <v>3018</v>
      </c>
      <c r="H4766" s="340"/>
      <c r="I4766" s="340" t="s">
        <v>771</v>
      </c>
      <c r="K4766" s="343">
        <v>0</v>
      </c>
      <c r="L4766" s="343">
        <v>-0.05</v>
      </c>
      <c r="M4766" s="343">
        <v>-913750.08</v>
      </c>
      <c r="O4766" s="343">
        <v>0</v>
      </c>
    </row>
    <row r="4767" spans="1:15" x14ac:dyDescent="0.3">
      <c r="A4767" s="340" t="s">
        <v>891</v>
      </c>
      <c r="B4767" s="350">
        <v>46142</v>
      </c>
      <c r="C4767" s="350">
        <v>46162</v>
      </c>
      <c r="D4767" s="351">
        <v>46143</v>
      </c>
      <c r="E4767" s="340" t="s">
        <v>3171</v>
      </c>
      <c r="F4767" s="340" t="s">
        <v>894</v>
      </c>
      <c r="G4767" s="340" t="s">
        <v>3020</v>
      </c>
      <c r="H4767" s="340"/>
      <c r="I4767" s="340" t="s">
        <v>771</v>
      </c>
      <c r="K4767" s="343">
        <v>0</v>
      </c>
      <c r="L4767" s="343">
        <v>-0.08</v>
      </c>
      <c r="M4767" s="343">
        <v>-913750.16</v>
      </c>
      <c r="O4767" s="343">
        <v>0</v>
      </c>
    </row>
    <row r="4768" spans="1:15" x14ac:dyDescent="0.3">
      <c r="A4768" s="340" t="s">
        <v>891</v>
      </c>
      <c r="B4768" s="350">
        <v>46142</v>
      </c>
      <c r="C4768" s="350">
        <v>46162</v>
      </c>
      <c r="D4768" s="351">
        <v>46143</v>
      </c>
      <c r="E4768" s="340" t="s">
        <v>3171</v>
      </c>
      <c r="F4768" s="340" t="s">
        <v>894</v>
      </c>
      <c r="G4768" s="340" t="s">
        <v>3020</v>
      </c>
      <c r="H4768" s="340"/>
      <c r="I4768" s="340" t="s">
        <v>771</v>
      </c>
      <c r="K4768" s="343">
        <v>0</v>
      </c>
      <c r="L4768" s="343">
        <v>-0.12</v>
      </c>
      <c r="M4768" s="343">
        <v>-913750.28</v>
      </c>
      <c r="O4768" s="343">
        <v>0</v>
      </c>
    </row>
    <row r="4769" spans="1:15" x14ac:dyDescent="0.3">
      <c r="A4769" s="340" t="s">
        <v>891</v>
      </c>
      <c r="B4769" s="350">
        <v>46142</v>
      </c>
      <c r="C4769" s="350">
        <v>46162</v>
      </c>
      <c r="D4769" s="351">
        <v>46143</v>
      </c>
      <c r="E4769" s="340" t="s">
        <v>3171</v>
      </c>
      <c r="F4769" s="340" t="s">
        <v>894</v>
      </c>
      <c r="G4769" s="340" t="s">
        <v>3022</v>
      </c>
      <c r="H4769" s="340"/>
      <c r="I4769" s="340" t="s">
        <v>771</v>
      </c>
      <c r="K4769" s="343">
        <v>0</v>
      </c>
      <c r="L4769" s="343">
        <v>-0.16</v>
      </c>
      <c r="M4769" s="343">
        <v>-913750.44</v>
      </c>
      <c r="O4769" s="343">
        <v>0</v>
      </c>
    </row>
    <row r="4770" spans="1:15" x14ac:dyDescent="0.3">
      <c r="A4770" s="340" t="s">
        <v>891</v>
      </c>
      <c r="B4770" s="350">
        <v>46142</v>
      </c>
      <c r="C4770" s="350">
        <v>46162</v>
      </c>
      <c r="D4770" s="351">
        <v>46143</v>
      </c>
      <c r="E4770" s="340" t="s">
        <v>3171</v>
      </c>
      <c r="F4770" s="340" t="s">
        <v>894</v>
      </c>
      <c r="G4770" s="340" t="s">
        <v>3022</v>
      </c>
      <c r="H4770" s="340"/>
      <c r="I4770" s="340" t="s">
        <v>771</v>
      </c>
      <c r="K4770" s="343">
        <v>0</v>
      </c>
      <c r="L4770" s="343">
        <v>-0.23</v>
      </c>
      <c r="M4770" s="343">
        <v>-913750.67</v>
      </c>
      <c r="O4770" s="343">
        <v>0</v>
      </c>
    </row>
    <row r="4771" spans="1:15" x14ac:dyDescent="0.3">
      <c r="A4771" s="340" t="s">
        <v>891</v>
      </c>
      <c r="B4771" s="350">
        <v>46142</v>
      </c>
      <c r="C4771" s="350">
        <v>46162</v>
      </c>
      <c r="D4771" s="351">
        <v>46143</v>
      </c>
      <c r="E4771" s="340" t="s">
        <v>3171</v>
      </c>
      <c r="F4771" s="340" t="s">
        <v>894</v>
      </c>
      <c r="G4771" s="340" t="s">
        <v>3023</v>
      </c>
      <c r="H4771" s="340"/>
      <c r="I4771" s="340" t="s">
        <v>771</v>
      </c>
      <c r="K4771" s="343">
        <v>0</v>
      </c>
      <c r="L4771" s="343">
        <v>-0.31</v>
      </c>
      <c r="M4771" s="343">
        <v>-913750.98</v>
      </c>
      <c r="O4771" s="343">
        <v>0</v>
      </c>
    </row>
    <row r="4772" spans="1:15" x14ac:dyDescent="0.3">
      <c r="A4772" s="340" t="s">
        <v>891</v>
      </c>
      <c r="B4772" s="350">
        <v>46142</v>
      </c>
      <c r="C4772" s="350">
        <v>46162</v>
      </c>
      <c r="D4772" s="351">
        <v>46143</v>
      </c>
      <c r="E4772" s="340" t="s">
        <v>3171</v>
      </c>
      <c r="F4772" s="340" t="s">
        <v>894</v>
      </c>
      <c r="G4772" s="340" t="s">
        <v>3025</v>
      </c>
      <c r="H4772" s="340"/>
      <c r="I4772" s="340" t="s">
        <v>771</v>
      </c>
      <c r="K4772" s="343">
        <v>0</v>
      </c>
      <c r="L4772" s="343">
        <v>-1.82</v>
      </c>
      <c r="M4772" s="343">
        <v>-913752.8</v>
      </c>
      <c r="O4772" s="343">
        <v>0</v>
      </c>
    </row>
    <row r="4773" spans="1:15" x14ac:dyDescent="0.3">
      <c r="A4773" s="340" t="s">
        <v>891</v>
      </c>
      <c r="B4773" s="350">
        <v>46142</v>
      </c>
      <c r="C4773" s="350">
        <v>46162</v>
      </c>
      <c r="D4773" s="351">
        <v>46143</v>
      </c>
      <c r="E4773" s="340" t="s">
        <v>3171</v>
      </c>
      <c r="F4773" s="340" t="s">
        <v>894</v>
      </c>
      <c r="G4773" s="340" t="s">
        <v>3026</v>
      </c>
      <c r="H4773" s="340"/>
      <c r="I4773" s="340" t="s">
        <v>771</v>
      </c>
      <c r="K4773" s="343">
        <v>0</v>
      </c>
      <c r="L4773" s="343">
        <v>-2.13</v>
      </c>
      <c r="M4773" s="343">
        <v>-913754.93</v>
      </c>
      <c r="O4773" s="343">
        <v>0</v>
      </c>
    </row>
    <row r="4774" spans="1:15" x14ac:dyDescent="0.3">
      <c r="A4774" s="340" t="s">
        <v>891</v>
      </c>
      <c r="B4774" s="350">
        <v>46142</v>
      </c>
      <c r="C4774" s="350">
        <v>46162</v>
      </c>
      <c r="D4774" s="351">
        <v>46143</v>
      </c>
      <c r="E4774" s="340" t="s">
        <v>3171</v>
      </c>
      <c r="F4774" s="340" t="s">
        <v>894</v>
      </c>
      <c r="G4774" s="340" t="s">
        <v>3017</v>
      </c>
      <c r="H4774" s="340"/>
      <c r="I4774" s="340" t="s">
        <v>771</v>
      </c>
      <c r="K4774" s="343">
        <v>0</v>
      </c>
      <c r="L4774" s="343">
        <v>-2.2599999999999998</v>
      </c>
      <c r="M4774" s="343">
        <v>-913757.19</v>
      </c>
      <c r="O4774" s="343">
        <v>0</v>
      </c>
    </row>
    <row r="4775" spans="1:15" x14ac:dyDescent="0.3">
      <c r="A4775" s="340" t="s">
        <v>891</v>
      </c>
      <c r="B4775" s="350">
        <v>46142</v>
      </c>
      <c r="C4775" s="350">
        <v>46162</v>
      </c>
      <c r="D4775" s="351">
        <v>46143</v>
      </c>
      <c r="E4775" s="340" t="s">
        <v>3171</v>
      </c>
      <c r="F4775" s="340" t="s">
        <v>894</v>
      </c>
      <c r="G4775" s="340" t="s">
        <v>3021</v>
      </c>
      <c r="H4775" s="340"/>
      <c r="I4775" s="340" t="s">
        <v>771</v>
      </c>
      <c r="K4775" s="343">
        <v>0</v>
      </c>
      <c r="L4775" s="343">
        <v>-4.6100000000000003</v>
      </c>
      <c r="M4775" s="343">
        <v>-913761.8</v>
      </c>
      <c r="O4775" s="343">
        <v>0</v>
      </c>
    </row>
    <row r="4776" spans="1:15" x14ac:dyDescent="0.3">
      <c r="A4776" s="340" t="s">
        <v>891</v>
      </c>
      <c r="B4776" s="350">
        <v>46142</v>
      </c>
      <c r="C4776" s="350">
        <v>46162</v>
      </c>
      <c r="D4776" s="351">
        <v>46143</v>
      </c>
      <c r="E4776" s="340" t="s">
        <v>3171</v>
      </c>
      <c r="F4776" s="340" t="s">
        <v>894</v>
      </c>
      <c r="G4776" s="340" t="s">
        <v>3005</v>
      </c>
      <c r="H4776" s="340"/>
      <c r="I4776" s="340" t="s">
        <v>771</v>
      </c>
      <c r="K4776" s="343">
        <v>0</v>
      </c>
      <c r="L4776" s="343">
        <v>-7.27</v>
      </c>
      <c r="M4776" s="343">
        <v>-913769.07</v>
      </c>
      <c r="O4776" s="343">
        <v>0</v>
      </c>
    </row>
    <row r="4777" spans="1:15" x14ac:dyDescent="0.3">
      <c r="A4777" s="340" t="s">
        <v>891</v>
      </c>
      <c r="B4777" s="350">
        <v>46142</v>
      </c>
      <c r="C4777" s="350">
        <v>46162</v>
      </c>
      <c r="D4777" s="351">
        <v>46143</v>
      </c>
      <c r="E4777" s="340" t="s">
        <v>3171</v>
      </c>
      <c r="F4777" s="340" t="s">
        <v>894</v>
      </c>
      <c r="G4777" s="340" t="s">
        <v>3016</v>
      </c>
      <c r="H4777" s="340"/>
      <c r="I4777" s="340" t="s">
        <v>771</v>
      </c>
      <c r="K4777" s="343">
        <v>0</v>
      </c>
      <c r="L4777" s="343">
        <v>-0.01</v>
      </c>
      <c r="M4777" s="343">
        <v>-913769.08</v>
      </c>
      <c r="O4777" s="343">
        <v>0</v>
      </c>
    </row>
    <row r="4778" spans="1:15" x14ac:dyDescent="0.3">
      <c r="A4778" s="340" t="s">
        <v>891</v>
      </c>
      <c r="B4778" s="350">
        <v>46142</v>
      </c>
      <c r="C4778" s="350">
        <v>46162</v>
      </c>
      <c r="D4778" s="351">
        <v>46143</v>
      </c>
      <c r="E4778" s="340" t="s">
        <v>3171</v>
      </c>
      <c r="F4778" s="340" t="s">
        <v>894</v>
      </c>
      <c r="G4778" s="340" t="s">
        <v>3016</v>
      </c>
      <c r="H4778" s="340"/>
      <c r="I4778" s="340" t="s">
        <v>771</v>
      </c>
      <c r="K4778" s="343">
        <v>0</v>
      </c>
      <c r="L4778" s="343">
        <v>-0.02</v>
      </c>
      <c r="M4778" s="343">
        <v>-913769.1</v>
      </c>
      <c r="O4778" s="343">
        <v>0</v>
      </c>
    </row>
    <row r="4779" spans="1:15" x14ac:dyDescent="0.3">
      <c r="A4779" s="340" t="s">
        <v>891</v>
      </c>
      <c r="B4779" s="350">
        <v>46142</v>
      </c>
      <c r="C4779" s="350">
        <v>46162</v>
      </c>
      <c r="D4779" s="351">
        <v>46143</v>
      </c>
      <c r="E4779" s="340" t="s">
        <v>3171</v>
      </c>
      <c r="F4779" s="340" t="s">
        <v>894</v>
      </c>
      <c r="G4779" s="340" t="s">
        <v>3018</v>
      </c>
      <c r="H4779" s="340"/>
      <c r="I4779" s="340" t="s">
        <v>771</v>
      </c>
      <c r="K4779" s="343">
        <v>0</v>
      </c>
      <c r="L4779" s="343">
        <v>-0.03</v>
      </c>
      <c r="M4779" s="343">
        <v>-913769.13</v>
      </c>
      <c r="O4779" s="343">
        <v>0</v>
      </c>
    </row>
    <row r="4780" spans="1:15" x14ac:dyDescent="0.3">
      <c r="A4780" s="340" t="s">
        <v>891</v>
      </c>
      <c r="B4780" s="350">
        <v>46142</v>
      </c>
      <c r="C4780" s="350">
        <v>46162</v>
      </c>
      <c r="D4780" s="351">
        <v>46143</v>
      </c>
      <c r="E4780" s="340" t="s">
        <v>3171</v>
      </c>
      <c r="F4780" s="340" t="s">
        <v>894</v>
      </c>
      <c r="G4780" s="340" t="s">
        <v>3020</v>
      </c>
      <c r="H4780" s="340"/>
      <c r="I4780" s="340" t="s">
        <v>771</v>
      </c>
      <c r="K4780" s="343">
        <v>0</v>
      </c>
      <c r="L4780" s="343">
        <v>-0.05</v>
      </c>
      <c r="M4780" s="343">
        <v>-913769.18</v>
      </c>
      <c r="O4780" s="343">
        <v>0</v>
      </c>
    </row>
    <row r="4781" spans="1:15" x14ac:dyDescent="0.3">
      <c r="A4781" s="340" t="s">
        <v>891</v>
      </c>
      <c r="B4781" s="350">
        <v>46142</v>
      </c>
      <c r="C4781" s="350">
        <v>46162</v>
      </c>
      <c r="D4781" s="351">
        <v>46143</v>
      </c>
      <c r="E4781" s="340" t="s">
        <v>3171</v>
      </c>
      <c r="F4781" s="340" t="s">
        <v>894</v>
      </c>
      <c r="G4781" s="340" t="s">
        <v>3022</v>
      </c>
      <c r="H4781" s="340"/>
      <c r="I4781" s="340" t="s">
        <v>771</v>
      </c>
      <c r="K4781" s="343">
        <v>0</v>
      </c>
      <c r="L4781" s="343">
        <v>-0.09</v>
      </c>
      <c r="M4781" s="343">
        <v>-913769.27</v>
      </c>
      <c r="O4781" s="343">
        <v>0</v>
      </c>
    </row>
    <row r="4782" spans="1:15" x14ac:dyDescent="0.3">
      <c r="A4782" s="340" t="s">
        <v>891</v>
      </c>
      <c r="B4782" s="350">
        <v>46142</v>
      </c>
      <c r="C4782" s="350">
        <v>46162</v>
      </c>
      <c r="D4782" s="351">
        <v>46143</v>
      </c>
      <c r="E4782" s="340" t="s">
        <v>3171</v>
      </c>
      <c r="F4782" s="340" t="s">
        <v>894</v>
      </c>
      <c r="G4782" s="340" t="s">
        <v>3020</v>
      </c>
      <c r="H4782" s="340"/>
      <c r="I4782" s="340" t="s">
        <v>771</v>
      </c>
      <c r="K4782" s="343">
        <v>0</v>
      </c>
      <c r="L4782" s="343">
        <v>-0.1</v>
      </c>
      <c r="M4782" s="343">
        <v>-913769.37</v>
      </c>
      <c r="O4782" s="343">
        <v>0</v>
      </c>
    </row>
    <row r="4783" spans="1:15" x14ac:dyDescent="0.3">
      <c r="A4783" s="340" t="s">
        <v>891</v>
      </c>
      <c r="B4783" s="350">
        <v>46142</v>
      </c>
      <c r="C4783" s="350">
        <v>46162</v>
      </c>
      <c r="D4783" s="351">
        <v>46143</v>
      </c>
      <c r="E4783" s="340" t="s">
        <v>3171</v>
      </c>
      <c r="F4783" s="340" t="s">
        <v>894</v>
      </c>
      <c r="G4783" s="340" t="s">
        <v>3023</v>
      </c>
      <c r="H4783" s="340"/>
      <c r="I4783" s="340" t="s">
        <v>771</v>
      </c>
      <c r="K4783" s="343">
        <v>0</v>
      </c>
      <c r="L4783" s="343">
        <v>-0.19</v>
      </c>
      <c r="M4783" s="343">
        <v>-913769.56</v>
      </c>
      <c r="O4783" s="343">
        <v>0</v>
      </c>
    </row>
    <row r="4784" spans="1:15" x14ac:dyDescent="0.3">
      <c r="A4784" s="340" t="s">
        <v>891</v>
      </c>
      <c r="B4784" s="350">
        <v>46142</v>
      </c>
      <c r="C4784" s="350">
        <v>46162</v>
      </c>
      <c r="D4784" s="351">
        <v>46143</v>
      </c>
      <c r="E4784" s="340" t="s">
        <v>3171</v>
      </c>
      <c r="F4784" s="340" t="s">
        <v>894</v>
      </c>
      <c r="G4784" s="340" t="s">
        <v>3022</v>
      </c>
      <c r="H4784" s="340"/>
      <c r="I4784" s="340" t="s">
        <v>771</v>
      </c>
      <c r="K4784" s="343">
        <v>0</v>
      </c>
      <c r="L4784" s="343">
        <v>-0.2</v>
      </c>
      <c r="M4784" s="343">
        <v>-913769.76</v>
      </c>
      <c r="O4784" s="343">
        <v>0</v>
      </c>
    </row>
    <row r="4785" spans="1:15" x14ac:dyDescent="0.3">
      <c r="A4785" s="340" t="s">
        <v>891</v>
      </c>
      <c r="B4785" s="350">
        <v>46142</v>
      </c>
      <c r="C4785" s="350">
        <v>46162</v>
      </c>
      <c r="D4785" s="351">
        <v>46143</v>
      </c>
      <c r="E4785" s="340" t="s">
        <v>3171</v>
      </c>
      <c r="F4785" s="340" t="s">
        <v>894</v>
      </c>
      <c r="G4785" s="340" t="s">
        <v>3024</v>
      </c>
      <c r="H4785" s="340"/>
      <c r="I4785" s="340" t="s">
        <v>771</v>
      </c>
      <c r="K4785" s="343">
        <v>0</v>
      </c>
      <c r="L4785" s="343">
        <v>-0.38</v>
      </c>
      <c r="M4785" s="343">
        <v>-913770.14</v>
      </c>
      <c r="O4785" s="343">
        <v>0</v>
      </c>
    </row>
    <row r="4786" spans="1:15" x14ac:dyDescent="0.3">
      <c r="A4786" s="340" t="s">
        <v>891</v>
      </c>
      <c r="B4786" s="350">
        <v>46142</v>
      </c>
      <c r="C4786" s="350">
        <v>46162</v>
      </c>
      <c r="D4786" s="351">
        <v>46143</v>
      </c>
      <c r="E4786" s="340" t="s">
        <v>3171</v>
      </c>
      <c r="F4786" s="340" t="s">
        <v>894</v>
      </c>
      <c r="G4786" s="340" t="s">
        <v>3025</v>
      </c>
      <c r="H4786" s="340"/>
      <c r="I4786" s="340" t="s">
        <v>771</v>
      </c>
      <c r="K4786" s="343">
        <v>0</v>
      </c>
      <c r="L4786" s="343">
        <v>-1.0900000000000001</v>
      </c>
      <c r="M4786" s="343">
        <v>-913771.23</v>
      </c>
      <c r="O4786" s="343">
        <v>0</v>
      </c>
    </row>
    <row r="4787" spans="1:15" x14ac:dyDescent="0.3">
      <c r="A4787" s="340" t="s">
        <v>891</v>
      </c>
      <c r="B4787" s="350">
        <v>46142</v>
      </c>
      <c r="C4787" s="350">
        <v>46162</v>
      </c>
      <c r="D4787" s="351">
        <v>46143</v>
      </c>
      <c r="E4787" s="340" t="s">
        <v>3171</v>
      </c>
      <c r="F4787" s="340" t="s">
        <v>894</v>
      </c>
      <c r="G4787" s="340" t="s">
        <v>3026</v>
      </c>
      <c r="H4787" s="340"/>
      <c r="I4787" s="340" t="s">
        <v>771</v>
      </c>
      <c r="K4787" s="343">
        <v>0</v>
      </c>
      <c r="L4787" s="343">
        <v>-1.28</v>
      </c>
      <c r="M4787" s="343">
        <v>-913772.51</v>
      </c>
      <c r="O4787" s="343">
        <v>0</v>
      </c>
    </row>
    <row r="4788" spans="1:15" x14ac:dyDescent="0.3">
      <c r="A4788" s="340" t="s">
        <v>891</v>
      </c>
      <c r="B4788" s="350">
        <v>46143</v>
      </c>
      <c r="C4788" s="350">
        <v>46143</v>
      </c>
      <c r="D4788" s="351">
        <v>46113</v>
      </c>
      <c r="E4788" s="340" t="s">
        <v>3172</v>
      </c>
      <c r="F4788" s="340" t="s">
        <v>1078</v>
      </c>
      <c r="G4788" s="340" t="s">
        <v>2780</v>
      </c>
      <c r="H4788" s="340"/>
      <c r="I4788" s="340" t="s">
        <v>742</v>
      </c>
      <c r="K4788" s="343">
        <v>2859.8</v>
      </c>
      <c r="L4788" s="343">
        <v>0</v>
      </c>
      <c r="M4788" s="343">
        <v>-910912.71</v>
      </c>
      <c r="O4788" s="343">
        <v>0</v>
      </c>
    </row>
    <row r="4789" spans="1:15" x14ac:dyDescent="0.3">
      <c r="A4789" s="340" t="s">
        <v>891</v>
      </c>
      <c r="B4789" s="350">
        <v>46143</v>
      </c>
      <c r="C4789" s="350">
        <v>46143</v>
      </c>
      <c r="D4789" s="351">
        <v>46113</v>
      </c>
      <c r="E4789" s="340" t="s">
        <v>3172</v>
      </c>
      <c r="F4789" s="340" t="s">
        <v>1078</v>
      </c>
      <c r="G4789" s="340" t="s">
        <v>2779</v>
      </c>
      <c r="H4789" s="340"/>
      <c r="I4789" s="340" t="s">
        <v>742</v>
      </c>
      <c r="K4789" s="343">
        <v>546.45000000000005</v>
      </c>
      <c r="L4789" s="343">
        <v>0</v>
      </c>
      <c r="M4789" s="343">
        <v>-910366.26</v>
      </c>
      <c r="O4789" s="343">
        <v>0</v>
      </c>
    </row>
    <row r="4790" spans="1:15" x14ac:dyDescent="0.3">
      <c r="A4790" s="340" t="s">
        <v>891</v>
      </c>
      <c r="B4790" s="350">
        <v>46143</v>
      </c>
      <c r="C4790" s="350">
        <v>46143</v>
      </c>
      <c r="D4790" s="351">
        <v>46113</v>
      </c>
      <c r="E4790" s="340" t="s">
        <v>3172</v>
      </c>
      <c r="F4790" s="340" t="s">
        <v>1078</v>
      </c>
      <c r="G4790" s="340" t="s">
        <v>2778</v>
      </c>
      <c r="H4790" s="340"/>
      <c r="I4790" s="340" t="s">
        <v>742</v>
      </c>
      <c r="K4790" s="343">
        <v>170.75</v>
      </c>
      <c r="L4790" s="343">
        <v>0</v>
      </c>
      <c r="M4790" s="343">
        <v>-910195.51</v>
      </c>
      <c r="O4790" s="343">
        <v>0</v>
      </c>
    </row>
    <row r="4791" spans="1:15" x14ac:dyDescent="0.3">
      <c r="A4791" s="340" t="s">
        <v>891</v>
      </c>
      <c r="B4791" s="350">
        <v>46143</v>
      </c>
      <c r="C4791" s="350">
        <v>46143</v>
      </c>
      <c r="D4791" s="351">
        <v>46113</v>
      </c>
      <c r="E4791" s="340" t="s">
        <v>3172</v>
      </c>
      <c r="F4791" s="340" t="s">
        <v>1078</v>
      </c>
      <c r="G4791" s="340" t="s">
        <v>2772</v>
      </c>
      <c r="H4791" s="340"/>
      <c r="I4791" s="340" t="s">
        <v>742</v>
      </c>
      <c r="K4791" s="343">
        <v>88.01</v>
      </c>
      <c r="L4791" s="343">
        <v>0</v>
      </c>
      <c r="M4791" s="343">
        <v>-910107.5</v>
      </c>
      <c r="O4791" s="343">
        <v>0</v>
      </c>
    </row>
    <row r="4792" spans="1:15" x14ac:dyDescent="0.3">
      <c r="A4792" s="340" t="s">
        <v>891</v>
      </c>
      <c r="B4792" s="350">
        <v>46143</v>
      </c>
      <c r="C4792" s="350">
        <v>46143</v>
      </c>
      <c r="D4792" s="351">
        <v>46113</v>
      </c>
      <c r="E4792" s="340" t="s">
        <v>3172</v>
      </c>
      <c r="F4792" s="340" t="s">
        <v>1078</v>
      </c>
      <c r="G4792" s="340" t="s">
        <v>2777</v>
      </c>
      <c r="H4792" s="340"/>
      <c r="I4792" s="340" t="s">
        <v>742</v>
      </c>
      <c r="K4792" s="343">
        <v>74.81</v>
      </c>
      <c r="L4792" s="343">
        <v>0</v>
      </c>
      <c r="M4792" s="343">
        <v>-910032.69</v>
      </c>
      <c r="O4792" s="343">
        <v>0</v>
      </c>
    </row>
    <row r="4793" spans="1:15" x14ac:dyDescent="0.3">
      <c r="A4793" s="340" t="s">
        <v>891</v>
      </c>
      <c r="B4793" s="350">
        <v>46143</v>
      </c>
      <c r="C4793" s="350">
        <v>46143</v>
      </c>
      <c r="D4793" s="351">
        <v>46113</v>
      </c>
      <c r="E4793" s="340" t="s">
        <v>3172</v>
      </c>
      <c r="F4793" s="340" t="s">
        <v>1078</v>
      </c>
      <c r="G4793" s="340" t="s">
        <v>2776</v>
      </c>
      <c r="H4793" s="340"/>
      <c r="I4793" s="340" t="s">
        <v>742</v>
      </c>
      <c r="K4793" s="343">
        <v>68.180000000000007</v>
      </c>
      <c r="L4793" s="343">
        <v>0</v>
      </c>
      <c r="M4793" s="343">
        <v>-909964.51</v>
      </c>
      <c r="O4793" s="343">
        <v>0</v>
      </c>
    </row>
    <row r="4794" spans="1:15" x14ac:dyDescent="0.3">
      <c r="A4794" s="340" t="s">
        <v>891</v>
      </c>
      <c r="B4794" s="350">
        <v>46143</v>
      </c>
      <c r="C4794" s="350">
        <v>46143</v>
      </c>
      <c r="D4794" s="351">
        <v>46113</v>
      </c>
      <c r="E4794" s="340" t="s">
        <v>3172</v>
      </c>
      <c r="F4794" s="340" t="s">
        <v>1078</v>
      </c>
      <c r="G4794" s="340" t="s">
        <v>2775</v>
      </c>
      <c r="H4794" s="340"/>
      <c r="I4794" s="340" t="s">
        <v>742</v>
      </c>
      <c r="K4794" s="343">
        <v>34.15</v>
      </c>
      <c r="L4794" s="343">
        <v>0</v>
      </c>
      <c r="M4794" s="343">
        <v>-909930.36</v>
      </c>
      <c r="O4794" s="343">
        <v>0</v>
      </c>
    </row>
    <row r="4795" spans="1:15" x14ac:dyDescent="0.3">
      <c r="A4795" s="340" t="s">
        <v>891</v>
      </c>
      <c r="B4795" s="350">
        <v>46143</v>
      </c>
      <c r="C4795" s="350">
        <v>46143</v>
      </c>
      <c r="D4795" s="351">
        <v>46113</v>
      </c>
      <c r="E4795" s="340" t="s">
        <v>3172</v>
      </c>
      <c r="F4795" s="340" t="s">
        <v>1078</v>
      </c>
      <c r="G4795" s="340" t="s">
        <v>2774</v>
      </c>
      <c r="H4795" s="340"/>
      <c r="I4795" s="340" t="s">
        <v>742</v>
      </c>
      <c r="K4795" s="343">
        <v>1.02</v>
      </c>
      <c r="L4795" s="343">
        <v>0</v>
      </c>
      <c r="M4795" s="343">
        <v>-909929.34</v>
      </c>
      <c r="O4795" s="343">
        <v>0</v>
      </c>
    </row>
    <row r="4796" spans="1:15" x14ac:dyDescent="0.3">
      <c r="A4796" s="340" t="s">
        <v>891</v>
      </c>
      <c r="B4796" s="350">
        <v>46143</v>
      </c>
      <c r="C4796" s="350">
        <v>46143</v>
      </c>
      <c r="D4796" s="351">
        <v>46113</v>
      </c>
      <c r="E4796" s="340" t="s">
        <v>3172</v>
      </c>
      <c r="F4796" s="340" t="s">
        <v>1078</v>
      </c>
      <c r="G4796" s="340" t="s">
        <v>2773</v>
      </c>
      <c r="H4796" s="340"/>
      <c r="I4796" s="340" t="s">
        <v>742</v>
      </c>
      <c r="K4796" s="343">
        <v>0.02</v>
      </c>
      <c r="L4796" s="343">
        <v>0</v>
      </c>
      <c r="M4796" s="343">
        <v>-909929.32</v>
      </c>
      <c r="O4796" s="343">
        <v>0</v>
      </c>
    </row>
    <row r="4797" spans="1:15" x14ac:dyDescent="0.3">
      <c r="A4797" s="340" t="s">
        <v>891</v>
      </c>
      <c r="B4797" s="350">
        <v>46143</v>
      </c>
      <c r="C4797" s="350">
        <v>46143</v>
      </c>
      <c r="D4797" s="351">
        <v>46113</v>
      </c>
      <c r="E4797" s="340" t="s">
        <v>3172</v>
      </c>
      <c r="F4797" s="340" t="s">
        <v>1078</v>
      </c>
      <c r="G4797" s="340" t="s">
        <v>2882</v>
      </c>
      <c r="H4797" s="340"/>
      <c r="I4797" s="340" t="s">
        <v>742</v>
      </c>
      <c r="K4797" s="343">
        <v>1.02</v>
      </c>
      <c r="L4797" s="343">
        <v>0</v>
      </c>
      <c r="M4797" s="343">
        <v>-909928.3</v>
      </c>
      <c r="O4797" s="343">
        <v>0</v>
      </c>
    </row>
    <row r="4798" spans="1:15" x14ac:dyDescent="0.3">
      <c r="A4798" s="340" t="s">
        <v>891</v>
      </c>
      <c r="B4798" s="350">
        <v>46143</v>
      </c>
      <c r="C4798" s="350">
        <v>46143</v>
      </c>
      <c r="D4798" s="351">
        <v>46113</v>
      </c>
      <c r="E4798" s="340" t="s">
        <v>3172</v>
      </c>
      <c r="F4798" s="340" t="s">
        <v>1078</v>
      </c>
      <c r="G4798" s="340" t="s">
        <v>2881</v>
      </c>
      <c r="H4798" s="340"/>
      <c r="I4798" s="340" t="s">
        <v>742</v>
      </c>
      <c r="K4798" s="343">
        <v>845.78</v>
      </c>
      <c r="L4798" s="343">
        <v>0</v>
      </c>
      <c r="M4798" s="343">
        <v>-909082.52</v>
      </c>
      <c r="O4798" s="343">
        <v>0</v>
      </c>
    </row>
    <row r="4799" spans="1:15" x14ac:dyDescent="0.3">
      <c r="A4799" s="340" t="s">
        <v>891</v>
      </c>
      <c r="B4799" s="350">
        <v>46143</v>
      </c>
      <c r="C4799" s="350">
        <v>46143</v>
      </c>
      <c r="D4799" s="351">
        <v>46113</v>
      </c>
      <c r="E4799" s="340" t="s">
        <v>3172</v>
      </c>
      <c r="F4799" s="340" t="s">
        <v>1078</v>
      </c>
      <c r="G4799" s="340" t="s">
        <v>2880</v>
      </c>
      <c r="H4799" s="340"/>
      <c r="I4799" s="340" t="s">
        <v>742</v>
      </c>
      <c r="K4799" s="343">
        <v>355.67</v>
      </c>
      <c r="L4799" s="343">
        <v>0</v>
      </c>
      <c r="M4799" s="343">
        <v>-908726.85</v>
      </c>
      <c r="O4799" s="343">
        <v>0</v>
      </c>
    </row>
    <row r="4800" spans="1:15" x14ac:dyDescent="0.3">
      <c r="A4800" s="340" t="s">
        <v>891</v>
      </c>
      <c r="B4800" s="350">
        <v>46143</v>
      </c>
      <c r="C4800" s="350">
        <v>46143</v>
      </c>
      <c r="D4800" s="351">
        <v>46113</v>
      </c>
      <c r="E4800" s="340" t="s">
        <v>3172</v>
      </c>
      <c r="F4800" s="340" t="s">
        <v>1078</v>
      </c>
      <c r="G4800" s="340" t="s">
        <v>2879</v>
      </c>
      <c r="H4800" s="340"/>
      <c r="I4800" s="340" t="s">
        <v>742</v>
      </c>
      <c r="K4800" s="343">
        <v>113.24</v>
      </c>
      <c r="L4800" s="343">
        <v>0</v>
      </c>
      <c r="M4800" s="343">
        <v>-908613.61</v>
      </c>
      <c r="O4800" s="343">
        <v>0</v>
      </c>
    </row>
    <row r="4801" spans="1:15" x14ac:dyDescent="0.3">
      <c r="A4801" s="340" t="s">
        <v>891</v>
      </c>
      <c r="B4801" s="350">
        <v>46143</v>
      </c>
      <c r="C4801" s="350">
        <v>46143</v>
      </c>
      <c r="D4801" s="351">
        <v>46113</v>
      </c>
      <c r="E4801" s="340" t="s">
        <v>3172</v>
      </c>
      <c r="F4801" s="340" t="s">
        <v>1078</v>
      </c>
      <c r="G4801" s="340" t="s">
        <v>2878</v>
      </c>
      <c r="H4801" s="340"/>
      <c r="I4801" s="340" t="s">
        <v>742</v>
      </c>
      <c r="K4801" s="343">
        <v>88.01</v>
      </c>
      <c r="L4801" s="343">
        <v>0</v>
      </c>
      <c r="M4801" s="343">
        <v>-908525.6</v>
      </c>
      <c r="O4801" s="343">
        <v>0</v>
      </c>
    </row>
    <row r="4802" spans="1:15" x14ac:dyDescent="0.3">
      <c r="A4802" s="340" t="s">
        <v>891</v>
      </c>
      <c r="B4802" s="350">
        <v>46143</v>
      </c>
      <c r="C4802" s="350">
        <v>46143</v>
      </c>
      <c r="D4802" s="351">
        <v>46113</v>
      </c>
      <c r="E4802" s="340" t="s">
        <v>3172</v>
      </c>
      <c r="F4802" s="340" t="s">
        <v>1078</v>
      </c>
      <c r="G4802" s="340" t="s">
        <v>2877</v>
      </c>
      <c r="H4802" s="340"/>
      <c r="I4802" s="340" t="s">
        <v>742</v>
      </c>
      <c r="K4802" s="343">
        <v>57.23</v>
      </c>
      <c r="L4802" s="343">
        <v>0</v>
      </c>
      <c r="M4802" s="343">
        <v>-908468.37</v>
      </c>
      <c r="O4802" s="343">
        <v>0</v>
      </c>
    </row>
    <row r="4803" spans="1:15" x14ac:dyDescent="0.3">
      <c r="A4803" s="340" t="s">
        <v>891</v>
      </c>
      <c r="B4803" s="350">
        <v>46143</v>
      </c>
      <c r="C4803" s="350">
        <v>46143</v>
      </c>
      <c r="D4803" s="351">
        <v>46113</v>
      </c>
      <c r="E4803" s="340" t="s">
        <v>3172</v>
      </c>
      <c r="F4803" s="340" t="s">
        <v>1078</v>
      </c>
      <c r="G4803" s="340" t="s">
        <v>2876</v>
      </c>
      <c r="H4803" s="340"/>
      <c r="I4803" s="340" t="s">
        <v>742</v>
      </c>
      <c r="K4803" s="343">
        <v>45.21</v>
      </c>
      <c r="L4803" s="343">
        <v>0</v>
      </c>
      <c r="M4803" s="343">
        <v>-908423.16</v>
      </c>
      <c r="O4803" s="343">
        <v>0</v>
      </c>
    </row>
    <row r="4804" spans="1:15" x14ac:dyDescent="0.3">
      <c r="A4804" s="340" t="s">
        <v>891</v>
      </c>
      <c r="B4804" s="350">
        <v>46143</v>
      </c>
      <c r="C4804" s="350">
        <v>46143</v>
      </c>
      <c r="D4804" s="351">
        <v>46113</v>
      </c>
      <c r="E4804" s="340" t="s">
        <v>3172</v>
      </c>
      <c r="F4804" s="340" t="s">
        <v>1078</v>
      </c>
      <c r="G4804" s="340" t="s">
        <v>2875</v>
      </c>
      <c r="H4804" s="340"/>
      <c r="I4804" s="340" t="s">
        <v>742</v>
      </c>
      <c r="K4804" s="343">
        <v>21.89</v>
      </c>
      <c r="L4804" s="343">
        <v>0</v>
      </c>
      <c r="M4804" s="343">
        <v>-908401.27</v>
      </c>
      <c r="O4804" s="343">
        <v>0</v>
      </c>
    </row>
    <row r="4805" spans="1:15" x14ac:dyDescent="0.3">
      <c r="A4805" s="340" t="s">
        <v>891</v>
      </c>
      <c r="B4805" s="350">
        <v>46143</v>
      </c>
      <c r="C4805" s="350">
        <v>46143</v>
      </c>
      <c r="D4805" s="351">
        <v>46113</v>
      </c>
      <c r="E4805" s="340" t="s">
        <v>3173</v>
      </c>
      <c r="F4805" s="340" t="s">
        <v>1078</v>
      </c>
      <c r="G4805" s="340" t="s">
        <v>2875</v>
      </c>
      <c r="H4805" s="340"/>
      <c r="I4805" s="340" t="s">
        <v>742</v>
      </c>
      <c r="K4805" s="343">
        <v>0.39</v>
      </c>
      <c r="L4805" s="343">
        <v>0</v>
      </c>
      <c r="M4805" s="343">
        <v>-908400.88</v>
      </c>
      <c r="O4805" s="343">
        <v>0</v>
      </c>
    </row>
    <row r="4806" spans="1:15" x14ac:dyDescent="0.3">
      <c r="A4806" s="340" t="s">
        <v>891</v>
      </c>
      <c r="B4806" s="350">
        <v>46143</v>
      </c>
      <c r="C4806" s="350">
        <v>46143</v>
      </c>
      <c r="D4806" s="351">
        <v>46113</v>
      </c>
      <c r="E4806" s="340" t="s">
        <v>3174</v>
      </c>
      <c r="F4806" s="340" t="s">
        <v>1078</v>
      </c>
      <c r="G4806" s="340" t="s">
        <v>2875</v>
      </c>
      <c r="H4806" s="340"/>
      <c r="I4806" s="340" t="s">
        <v>742</v>
      </c>
      <c r="K4806" s="343">
        <v>0.37</v>
      </c>
      <c r="L4806" s="343">
        <v>0</v>
      </c>
      <c r="M4806" s="343">
        <v>-908400.51</v>
      </c>
      <c r="O4806" s="343">
        <v>0</v>
      </c>
    </row>
    <row r="4807" spans="1:15" x14ac:dyDescent="0.3">
      <c r="A4807" s="340" t="s">
        <v>891</v>
      </c>
      <c r="B4807" s="350">
        <v>46143</v>
      </c>
      <c r="C4807" s="350">
        <v>46143</v>
      </c>
      <c r="D4807" s="351">
        <v>46113</v>
      </c>
      <c r="E4807" s="340" t="s">
        <v>3174</v>
      </c>
      <c r="F4807" s="340" t="s">
        <v>1078</v>
      </c>
      <c r="G4807" s="340" t="s">
        <v>2874</v>
      </c>
      <c r="H4807" s="340"/>
      <c r="I4807" s="340" t="s">
        <v>742</v>
      </c>
      <c r="K4807" s="343">
        <v>0.02</v>
      </c>
      <c r="L4807" s="343">
        <v>0</v>
      </c>
      <c r="M4807" s="343">
        <v>-908400.49</v>
      </c>
      <c r="O4807" s="343">
        <v>0</v>
      </c>
    </row>
    <row r="4808" spans="1:15" x14ac:dyDescent="0.3">
      <c r="A4808" s="340" t="s">
        <v>891</v>
      </c>
      <c r="B4808" s="350">
        <v>46143</v>
      </c>
      <c r="C4808" s="350">
        <v>46143</v>
      </c>
      <c r="D4808" s="351">
        <v>46113</v>
      </c>
      <c r="E4808" s="340" t="s">
        <v>3173</v>
      </c>
      <c r="F4808" s="340" t="s">
        <v>1078</v>
      </c>
      <c r="G4808" s="340" t="s">
        <v>2875</v>
      </c>
      <c r="H4808" s="340"/>
      <c r="I4808" s="340" t="s">
        <v>742</v>
      </c>
      <c r="K4808" s="343">
        <v>0</v>
      </c>
      <c r="L4808" s="343">
        <v>-0.39</v>
      </c>
      <c r="M4808" s="343">
        <v>-908400.88</v>
      </c>
      <c r="O4808" s="343">
        <v>0</v>
      </c>
    </row>
    <row r="4809" spans="1:15" x14ac:dyDescent="0.3">
      <c r="A4809" s="340" t="s">
        <v>891</v>
      </c>
      <c r="B4809" s="350">
        <v>46143</v>
      </c>
      <c r="C4809" s="350">
        <v>46143</v>
      </c>
      <c r="D4809" s="351">
        <v>46113</v>
      </c>
      <c r="E4809" s="340" t="s">
        <v>3174</v>
      </c>
      <c r="F4809" s="340" t="s">
        <v>1078</v>
      </c>
      <c r="G4809" s="340" t="s">
        <v>2875</v>
      </c>
      <c r="H4809" s="340"/>
      <c r="I4809" s="340" t="s">
        <v>742</v>
      </c>
      <c r="K4809" s="343">
        <v>0</v>
      </c>
      <c r="L4809" s="343">
        <v>-0.37</v>
      </c>
      <c r="M4809" s="343">
        <v>-908401.25</v>
      </c>
      <c r="O4809" s="343">
        <v>0</v>
      </c>
    </row>
    <row r="4810" spans="1:15" x14ac:dyDescent="0.3">
      <c r="A4810" s="340" t="s">
        <v>891</v>
      </c>
      <c r="B4810" s="350">
        <v>46143</v>
      </c>
      <c r="C4810" s="350">
        <v>46143</v>
      </c>
      <c r="D4810" s="351">
        <v>46113</v>
      </c>
      <c r="E4810" s="340" t="s">
        <v>3174</v>
      </c>
      <c r="F4810" s="340" t="s">
        <v>1078</v>
      </c>
      <c r="G4810" s="340" t="s">
        <v>2874</v>
      </c>
      <c r="H4810" s="340"/>
      <c r="I4810" s="340" t="s">
        <v>742</v>
      </c>
      <c r="K4810" s="343">
        <v>0</v>
      </c>
      <c r="L4810" s="343">
        <v>-0.02</v>
      </c>
      <c r="M4810" s="343">
        <v>-908401.27</v>
      </c>
      <c r="O4810" s="343">
        <v>0</v>
      </c>
    </row>
    <row r="4811" spans="1:15" x14ac:dyDescent="0.3">
      <c r="A4811" s="340" t="s">
        <v>891</v>
      </c>
      <c r="B4811" s="350">
        <v>46143</v>
      </c>
      <c r="C4811" s="350">
        <v>46143</v>
      </c>
      <c r="D4811" s="351">
        <v>46113</v>
      </c>
      <c r="E4811" s="340" t="s">
        <v>3172</v>
      </c>
      <c r="F4811" s="340" t="s">
        <v>1078</v>
      </c>
      <c r="G4811" s="340" t="s">
        <v>2780</v>
      </c>
      <c r="H4811" s="340"/>
      <c r="I4811" s="340" t="s">
        <v>742</v>
      </c>
      <c r="K4811" s="343">
        <v>2693.68</v>
      </c>
      <c r="L4811" s="343">
        <v>0</v>
      </c>
      <c r="M4811" s="343">
        <v>-905707.59</v>
      </c>
      <c r="O4811" s="343">
        <v>0</v>
      </c>
    </row>
    <row r="4812" spans="1:15" x14ac:dyDescent="0.3">
      <c r="A4812" s="340" t="s">
        <v>891</v>
      </c>
      <c r="B4812" s="350">
        <v>46143</v>
      </c>
      <c r="C4812" s="350">
        <v>46143</v>
      </c>
      <c r="D4812" s="351">
        <v>46113</v>
      </c>
      <c r="E4812" s="340" t="s">
        <v>3172</v>
      </c>
      <c r="F4812" s="340" t="s">
        <v>1078</v>
      </c>
      <c r="G4812" s="340" t="s">
        <v>2779</v>
      </c>
      <c r="H4812" s="340"/>
      <c r="I4812" s="340" t="s">
        <v>742</v>
      </c>
      <c r="K4812" s="343">
        <v>514.71</v>
      </c>
      <c r="L4812" s="343">
        <v>0</v>
      </c>
      <c r="M4812" s="343">
        <v>-905192.88</v>
      </c>
      <c r="O4812" s="343">
        <v>0</v>
      </c>
    </row>
    <row r="4813" spans="1:15" x14ac:dyDescent="0.3">
      <c r="A4813" s="340" t="s">
        <v>891</v>
      </c>
      <c r="B4813" s="350">
        <v>46143</v>
      </c>
      <c r="C4813" s="350">
        <v>46143</v>
      </c>
      <c r="D4813" s="351">
        <v>46113</v>
      </c>
      <c r="E4813" s="340" t="s">
        <v>3172</v>
      </c>
      <c r="F4813" s="340" t="s">
        <v>1078</v>
      </c>
      <c r="G4813" s="340" t="s">
        <v>2783</v>
      </c>
      <c r="H4813" s="340"/>
      <c r="I4813" s="340" t="s">
        <v>742</v>
      </c>
      <c r="K4813" s="343">
        <v>201.39</v>
      </c>
      <c r="L4813" s="343">
        <v>0</v>
      </c>
      <c r="M4813" s="343">
        <v>-904991.49</v>
      </c>
      <c r="O4813" s="343">
        <v>0</v>
      </c>
    </row>
    <row r="4814" spans="1:15" x14ac:dyDescent="0.3">
      <c r="A4814" s="340" t="s">
        <v>891</v>
      </c>
      <c r="B4814" s="350">
        <v>46143</v>
      </c>
      <c r="C4814" s="350">
        <v>46143</v>
      </c>
      <c r="D4814" s="351">
        <v>46113</v>
      </c>
      <c r="E4814" s="340" t="s">
        <v>3172</v>
      </c>
      <c r="F4814" s="340" t="s">
        <v>1078</v>
      </c>
      <c r="G4814" s="340" t="s">
        <v>2778</v>
      </c>
      <c r="H4814" s="340"/>
      <c r="I4814" s="340" t="s">
        <v>742</v>
      </c>
      <c r="K4814" s="343">
        <v>161.11000000000001</v>
      </c>
      <c r="L4814" s="343">
        <v>0</v>
      </c>
      <c r="M4814" s="343">
        <v>-904830.38</v>
      </c>
      <c r="O4814" s="343">
        <v>0</v>
      </c>
    </row>
    <row r="4815" spans="1:15" x14ac:dyDescent="0.3">
      <c r="A4815" s="340" t="s">
        <v>891</v>
      </c>
      <c r="B4815" s="350">
        <v>46143</v>
      </c>
      <c r="C4815" s="350">
        <v>46143</v>
      </c>
      <c r="D4815" s="351">
        <v>46113</v>
      </c>
      <c r="E4815" s="340" t="s">
        <v>3172</v>
      </c>
      <c r="F4815" s="340" t="s">
        <v>1078</v>
      </c>
      <c r="G4815" s="340" t="s">
        <v>2772</v>
      </c>
      <c r="H4815" s="340"/>
      <c r="I4815" s="340" t="s">
        <v>742</v>
      </c>
      <c r="K4815" s="343">
        <v>88.01</v>
      </c>
      <c r="L4815" s="343">
        <v>0</v>
      </c>
      <c r="M4815" s="343">
        <v>-904742.37</v>
      </c>
      <c r="O4815" s="343">
        <v>0</v>
      </c>
    </row>
    <row r="4816" spans="1:15" x14ac:dyDescent="0.3">
      <c r="A4816" s="340" t="s">
        <v>891</v>
      </c>
      <c r="B4816" s="350">
        <v>46143</v>
      </c>
      <c r="C4816" s="350">
        <v>46143</v>
      </c>
      <c r="D4816" s="351">
        <v>46113</v>
      </c>
      <c r="E4816" s="340" t="s">
        <v>3172</v>
      </c>
      <c r="F4816" s="340" t="s">
        <v>1078</v>
      </c>
      <c r="G4816" s="340" t="s">
        <v>2777</v>
      </c>
      <c r="H4816" s="340"/>
      <c r="I4816" s="340" t="s">
        <v>742</v>
      </c>
      <c r="K4816" s="343">
        <v>70.459999999999994</v>
      </c>
      <c r="L4816" s="343">
        <v>0</v>
      </c>
      <c r="M4816" s="343">
        <v>-904671.91</v>
      </c>
      <c r="O4816" s="343">
        <v>0</v>
      </c>
    </row>
    <row r="4817" spans="1:15" x14ac:dyDescent="0.3">
      <c r="A4817" s="340" t="s">
        <v>891</v>
      </c>
      <c r="B4817" s="350">
        <v>46143</v>
      </c>
      <c r="C4817" s="350">
        <v>46143</v>
      </c>
      <c r="D4817" s="351">
        <v>46113</v>
      </c>
      <c r="E4817" s="340" t="s">
        <v>3172</v>
      </c>
      <c r="F4817" s="340" t="s">
        <v>1078</v>
      </c>
      <c r="G4817" s="340" t="s">
        <v>2776</v>
      </c>
      <c r="H4817" s="340"/>
      <c r="I4817" s="340" t="s">
        <v>742</v>
      </c>
      <c r="K4817" s="343">
        <v>64.33</v>
      </c>
      <c r="L4817" s="343">
        <v>0</v>
      </c>
      <c r="M4817" s="343">
        <v>-904607.58</v>
      </c>
      <c r="O4817" s="343">
        <v>0</v>
      </c>
    </row>
    <row r="4818" spans="1:15" x14ac:dyDescent="0.3">
      <c r="A4818" s="340" t="s">
        <v>891</v>
      </c>
      <c r="B4818" s="350">
        <v>46143</v>
      </c>
      <c r="C4818" s="350">
        <v>46143</v>
      </c>
      <c r="D4818" s="351">
        <v>46113</v>
      </c>
      <c r="E4818" s="340" t="s">
        <v>3172</v>
      </c>
      <c r="F4818" s="340" t="s">
        <v>1078</v>
      </c>
      <c r="G4818" s="340" t="s">
        <v>2775</v>
      </c>
      <c r="H4818" s="340"/>
      <c r="I4818" s="340" t="s">
        <v>742</v>
      </c>
      <c r="K4818" s="343">
        <v>32.22</v>
      </c>
      <c r="L4818" s="343">
        <v>0</v>
      </c>
      <c r="M4818" s="343">
        <v>-904575.36</v>
      </c>
      <c r="O4818" s="343">
        <v>0</v>
      </c>
    </row>
    <row r="4819" spans="1:15" x14ac:dyDescent="0.3">
      <c r="A4819" s="340" t="s">
        <v>891</v>
      </c>
      <c r="B4819" s="350">
        <v>46143</v>
      </c>
      <c r="C4819" s="350">
        <v>46143</v>
      </c>
      <c r="D4819" s="351">
        <v>46113</v>
      </c>
      <c r="E4819" s="340" t="s">
        <v>3172</v>
      </c>
      <c r="F4819" s="340" t="s">
        <v>1078</v>
      </c>
      <c r="G4819" s="340" t="s">
        <v>2782</v>
      </c>
      <c r="H4819" s="340"/>
      <c r="I4819" s="340" t="s">
        <v>742</v>
      </c>
      <c r="K4819" s="343">
        <v>32.22</v>
      </c>
      <c r="L4819" s="343">
        <v>0</v>
      </c>
      <c r="M4819" s="343">
        <v>-904543.14</v>
      </c>
      <c r="O4819" s="343">
        <v>0</v>
      </c>
    </row>
    <row r="4820" spans="1:15" x14ac:dyDescent="0.3">
      <c r="A4820" s="340" t="s">
        <v>891</v>
      </c>
      <c r="B4820" s="350">
        <v>46143</v>
      </c>
      <c r="C4820" s="350">
        <v>46143</v>
      </c>
      <c r="D4820" s="351">
        <v>46113</v>
      </c>
      <c r="E4820" s="340" t="s">
        <v>3172</v>
      </c>
      <c r="F4820" s="340" t="s">
        <v>1078</v>
      </c>
      <c r="G4820" s="340" t="s">
        <v>2774</v>
      </c>
      <c r="H4820" s="340"/>
      <c r="I4820" s="340" t="s">
        <v>742</v>
      </c>
      <c r="K4820" s="343">
        <v>0.65</v>
      </c>
      <c r="L4820" s="343">
        <v>0</v>
      </c>
      <c r="M4820" s="343">
        <v>-904542.49</v>
      </c>
      <c r="O4820" s="343">
        <v>0</v>
      </c>
    </row>
    <row r="4821" spans="1:15" x14ac:dyDescent="0.3">
      <c r="A4821" s="340" t="s">
        <v>891</v>
      </c>
      <c r="B4821" s="350">
        <v>46143</v>
      </c>
      <c r="C4821" s="350">
        <v>46143</v>
      </c>
      <c r="D4821" s="351">
        <v>46113</v>
      </c>
      <c r="E4821" s="340" t="s">
        <v>3175</v>
      </c>
      <c r="F4821" s="340" t="s">
        <v>1078</v>
      </c>
      <c r="G4821" s="340" t="s">
        <v>2774</v>
      </c>
      <c r="H4821" s="340"/>
      <c r="I4821" s="340" t="s">
        <v>742</v>
      </c>
      <c r="K4821" s="343">
        <v>0.37</v>
      </c>
      <c r="L4821" s="343">
        <v>0</v>
      </c>
      <c r="M4821" s="343">
        <v>-904542.12</v>
      </c>
      <c r="O4821" s="343">
        <v>0</v>
      </c>
    </row>
    <row r="4822" spans="1:15" x14ac:dyDescent="0.3">
      <c r="A4822" s="340" t="s">
        <v>891</v>
      </c>
      <c r="B4822" s="350">
        <v>46143</v>
      </c>
      <c r="C4822" s="350">
        <v>46143</v>
      </c>
      <c r="D4822" s="351">
        <v>46113</v>
      </c>
      <c r="E4822" s="340" t="s">
        <v>3175</v>
      </c>
      <c r="F4822" s="340" t="s">
        <v>1078</v>
      </c>
      <c r="G4822" s="340" t="s">
        <v>2773</v>
      </c>
      <c r="H4822" s="340"/>
      <c r="I4822" s="340" t="s">
        <v>742</v>
      </c>
      <c r="K4822" s="343">
        <v>0.02</v>
      </c>
      <c r="L4822" s="343">
        <v>0</v>
      </c>
      <c r="M4822" s="343">
        <v>-904542.1</v>
      </c>
      <c r="O4822" s="343">
        <v>0</v>
      </c>
    </row>
    <row r="4823" spans="1:15" x14ac:dyDescent="0.3">
      <c r="A4823" s="340" t="s">
        <v>891</v>
      </c>
      <c r="B4823" s="350">
        <v>46143</v>
      </c>
      <c r="C4823" s="350">
        <v>46143</v>
      </c>
      <c r="D4823" s="351">
        <v>46113</v>
      </c>
      <c r="E4823" s="340" t="s">
        <v>3175</v>
      </c>
      <c r="F4823" s="340" t="s">
        <v>1078</v>
      </c>
      <c r="G4823" s="340" t="s">
        <v>2774</v>
      </c>
      <c r="H4823" s="340"/>
      <c r="I4823" s="340" t="s">
        <v>742</v>
      </c>
      <c r="K4823" s="343">
        <v>0</v>
      </c>
      <c r="L4823" s="343">
        <v>-0.37</v>
      </c>
      <c r="M4823" s="343">
        <v>-904542.47</v>
      </c>
      <c r="O4823" s="343">
        <v>0</v>
      </c>
    </row>
    <row r="4824" spans="1:15" x14ac:dyDescent="0.3">
      <c r="A4824" s="340" t="s">
        <v>891</v>
      </c>
      <c r="B4824" s="350">
        <v>46143</v>
      </c>
      <c r="C4824" s="350">
        <v>46143</v>
      </c>
      <c r="D4824" s="351">
        <v>46113</v>
      </c>
      <c r="E4824" s="340" t="s">
        <v>3175</v>
      </c>
      <c r="F4824" s="340" t="s">
        <v>1078</v>
      </c>
      <c r="G4824" s="340" t="s">
        <v>2773</v>
      </c>
      <c r="H4824" s="340"/>
      <c r="I4824" s="340" t="s">
        <v>742</v>
      </c>
      <c r="K4824" s="343">
        <v>0</v>
      </c>
      <c r="L4824" s="343">
        <v>-0.02</v>
      </c>
      <c r="M4824" s="343">
        <v>-904542.49</v>
      </c>
      <c r="O4824" s="343">
        <v>0</v>
      </c>
    </row>
    <row r="4825" spans="1:15" x14ac:dyDescent="0.3">
      <c r="A4825" s="340" t="s">
        <v>891</v>
      </c>
      <c r="B4825" s="350">
        <v>46143</v>
      </c>
      <c r="C4825" s="350">
        <v>46146</v>
      </c>
      <c r="D4825" s="351">
        <v>46143</v>
      </c>
      <c r="E4825" s="340" t="s">
        <v>3176</v>
      </c>
      <c r="F4825" s="340" t="s">
        <v>894</v>
      </c>
      <c r="G4825" s="340" t="s">
        <v>3177</v>
      </c>
      <c r="H4825" s="340"/>
      <c r="I4825" s="340" t="s">
        <v>757</v>
      </c>
      <c r="K4825" s="343">
        <v>0</v>
      </c>
      <c r="L4825" s="343">
        <v>-324.19</v>
      </c>
      <c r="M4825" s="343">
        <v>-904866.68</v>
      </c>
      <c r="O4825" s="343">
        <v>0</v>
      </c>
    </row>
    <row r="4826" spans="1:15" x14ac:dyDescent="0.3">
      <c r="A4826" s="340" t="s">
        <v>891</v>
      </c>
      <c r="B4826" s="350">
        <v>46143</v>
      </c>
      <c r="C4826" s="350">
        <v>46146</v>
      </c>
      <c r="D4826" s="351">
        <v>46143</v>
      </c>
      <c r="E4826" s="340" t="s">
        <v>3178</v>
      </c>
      <c r="F4826" s="340" t="s">
        <v>894</v>
      </c>
      <c r="G4826" s="340" t="s">
        <v>3179</v>
      </c>
      <c r="H4826" s="340"/>
      <c r="I4826" s="340" t="s">
        <v>753</v>
      </c>
      <c r="K4826" s="343">
        <v>0</v>
      </c>
      <c r="L4826" s="343">
        <v>-487.13</v>
      </c>
      <c r="M4826" s="343">
        <v>-905353.81</v>
      </c>
      <c r="O4826" s="343">
        <v>0</v>
      </c>
    </row>
    <row r="4827" spans="1:15" x14ac:dyDescent="0.3">
      <c r="A4827" s="340" t="s">
        <v>891</v>
      </c>
      <c r="B4827" s="350">
        <v>46143</v>
      </c>
      <c r="C4827" s="350">
        <v>46146</v>
      </c>
      <c r="D4827" s="351">
        <v>46143</v>
      </c>
      <c r="E4827" s="340" t="s">
        <v>3180</v>
      </c>
      <c r="F4827" s="340" t="s">
        <v>894</v>
      </c>
      <c r="G4827" s="340" t="s">
        <v>3181</v>
      </c>
      <c r="H4827" s="340"/>
      <c r="I4827" s="340" t="s">
        <v>757</v>
      </c>
      <c r="K4827" s="343">
        <v>0</v>
      </c>
      <c r="L4827" s="343">
        <v>-37.340000000000003</v>
      </c>
      <c r="M4827" s="343">
        <v>-905391.15</v>
      </c>
      <c r="O4827" s="343">
        <v>0</v>
      </c>
    </row>
    <row r="4828" spans="1:15" x14ac:dyDescent="0.3">
      <c r="A4828" s="340" t="s">
        <v>891</v>
      </c>
      <c r="B4828" s="350">
        <v>46143</v>
      </c>
      <c r="C4828" s="350">
        <v>46146</v>
      </c>
      <c r="D4828" s="351">
        <v>46143</v>
      </c>
      <c r="E4828" s="340" t="s">
        <v>3180</v>
      </c>
      <c r="F4828" s="340" t="s">
        <v>894</v>
      </c>
      <c r="G4828" s="340" t="s">
        <v>3182</v>
      </c>
      <c r="H4828" s="340"/>
      <c r="I4828" s="340" t="s">
        <v>757</v>
      </c>
      <c r="K4828" s="343">
        <v>0</v>
      </c>
      <c r="L4828" s="343">
        <v>-292.58999999999997</v>
      </c>
      <c r="M4828" s="343">
        <v>-905683.74</v>
      </c>
      <c r="O4828" s="343">
        <v>0</v>
      </c>
    </row>
    <row r="4829" spans="1:15" x14ac:dyDescent="0.3">
      <c r="A4829" s="340" t="s">
        <v>891</v>
      </c>
      <c r="B4829" s="350">
        <v>46143</v>
      </c>
      <c r="C4829" s="350">
        <v>46146</v>
      </c>
      <c r="D4829" s="351">
        <v>46143</v>
      </c>
      <c r="E4829" s="340" t="s">
        <v>3180</v>
      </c>
      <c r="F4829" s="340" t="s">
        <v>894</v>
      </c>
      <c r="G4829" s="340" t="s">
        <v>3183</v>
      </c>
      <c r="H4829" s="340"/>
      <c r="I4829" s="340" t="s">
        <v>757</v>
      </c>
      <c r="K4829" s="343">
        <v>0</v>
      </c>
      <c r="L4829" s="343">
        <v>-49.79</v>
      </c>
      <c r="M4829" s="343">
        <v>-905733.53</v>
      </c>
      <c r="O4829" s="343">
        <v>0</v>
      </c>
    </row>
    <row r="4830" spans="1:15" x14ac:dyDescent="0.3">
      <c r="A4830" s="340" t="s">
        <v>891</v>
      </c>
      <c r="B4830" s="350">
        <v>46143</v>
      </c>
      <c r="C4830" s="350">
        <v>46146</v>
      </c>
      <c r="D4830" s="351">
        <v>46143</v>
      </c>
      <c r="E4830" s="340" t="s">
        <v>3180</v>
      </c>
      <c r="F4830" s="340" t="s">
        <v>894</v>
      </c>
      <c r="G4830" s="340" t="s">
        <v>3184</v>
      </c>
      <c r="H4830" s="340"/>
      <c r="I4830" s="340" t="s">
        <v>757</v>
      </c>
      <c r="K4830" s="343">
        <v>0</v>
      </c>
      <c r="L4830" s="343">
        <v>-95.56</v>
      </c>
      <c r="M4830" s="343">
        <v>-905829.09</v>
      </c>
      <c r="O4830" s="343">
        <v>0</v>
      </c>
    </row>
    <row r="4831" spans="1:15" x14ac:dyDescent="0.3">
      <c r="A4831" s="340" t="s">
        <v>891</v>
      </c>
      <c r="B4831" s="350">
        <v>46143</v>
      </c>
      <c r="C4831" s="350">
        <v>46146</v>
      </c>
      <c r="D4831" s="351">
        <v>46143</v>
      </c>
      <c r="E4831" s="340" t="s">
        <v>3180</v>
      </c>
      <c r="F4831" s="340" t="s">
        <v>894</v>
      </c>
      <c r="G4831" s="340" t="s">
        <v>3185</v>
      </c>
      <c r="H4831" s="340"/>
      <c r="I4831" s="340" t="s">
        <v>757</v>
      </c>
      <c r="K4831" s="343">
        <v>0</v>
      </c>
      <c r="L4831" s="343">
        <v>-270.5</v>
      </c>
      <c r="M4831" s="343">
        <v>-906099.59</v>
      </c>
      <c r="O4831" s="343">
        <v>0</v>
      </c>
    </row>
    <row r="4832" spans="1:15" x14ac:dyDescent="0.3">
      <c r="A4832" s="340" t="s">
        <v>891</v>
      </c>
      <c r="B4832" s="350">
        <v>46143</v>
      </c>
      <c r="C4832" s="350">
        <v>46146</v>
      </c>
      <c r="D4832" s="351">
        <v>46143</v>
      </c>
      <c r="E4832" s="340" t="s">
        <v>3180</v>
      </c>
      <c r="F4832" s="340" t="s">
        <v>894</v>
      </c>
      <c r="G4832" s="340" t="s">
        <v>3186</v>
      </c>
      <c r="H4832" s="340"/>
      <c r="I4832" s="340" t="s">
        <v>757</v>
      </c>
      <c r="K4832" s="343">
        <v>0</v>
      </c>
      <c r="L4832" s="343">
        <v>-49.82</v>
      </c>
      <c r="M4832" s="343">
        <v>-906149.41</v>
      </c>
      <c r="O4832" s="343">
        <v>0</v>
      </c>
    </row>
    <row r="4833" spans="1:15" x14ac:dyDescent="0.3">
      <c r="A4833" s="340" t="s">
        <v>891</v>
      </c>
      <c r="B4833" s="350">
        <v>46143</v>
      </c>
      <c r="C4833" s="350">
        <v>46146</v>
      </c>
      <c r="D4833" s="351">
        <v>46143</v>
      </c>
      <c r="E4833" s="340" t="s">
        <v>3180</v>
      </c>
      <c r="F4833" s="340" t="s">
        <v>894</v>
      </c>
      <c r="G4833" s="340" t="s">
        <v>3187</v>
      </c>
      <c r="H4833" s="340"/>
      <c r="I4833" s="340" t="s">
        <v>757</v>
      </c>
      <c r="K4833" s="343">
        <v>0</v>
      </c>
      <c r="L4833" s="343">
        <v>-62.29</v>
      </c>
      <c r="M4833" s="343">
        <v>-906211.7</v>
      </c>
      <c r="O4833" s="343">
        <v>0</v>
      </c>
    </row>
    <row r="4834" spans="1:15" x14ac:dyDescent="0.3">
      <c r="A4834" s="340" t="s">
        <v>891</v>
      </c>
      <c r="B4834" s="350">
        <v>46143</v>
      </c>
      <c r="C4834" s="350">
        <v>46146</v>
      </c>
      <c r="D4834" s="351">
        <v>46143</v>
      </c>
      <c r="E4834" s="340" t="s">
        <v>3180</v>
      </c>
      <c r="F4834" s="340" t="s">
        <v>894</v>
      </c>
      <c r="G4834" s="340" t="s">
        <v>3188</v>
      </c>
      <c r="H4834" s="340"/>
      <c r="I4834" s="340" t="s">
        <v>757</v>
      </c>
      <c r="K4834" s="343">
        <v>0</v>
      </c>
      <c r="L4834" s="343">
        <v>-217.9</v>
      </c>
      <c r="M4834" s="343">
        <v>-906429.6</v>
      </c>
      <c r="O4834" s="343">
        <v>0</v>
      </c>
    </row>
    <row r="4835" spans="1:15" x14ac:dyDescent="0.3">
      <c r="A4835" s="340" t="s">
        <v>891</v>
      </c>
      <c r="B4835" s="350">
        <v>46143</v>
      </c>
      <c r="C4835" s="350">
        <v>46146</v>
      </c>
      <c r="D4835" s="351">
        <v>46143</v>
      </c>
      <c r="E4835" s="340" t="s">
        <v>3180</v>
      </c>
      <c r="F4835" s="340" t="s">
        <v>894</v>
      </c>
      <c r="G4835" s="340" t="s">
        <v>3189</v>
      </c>
      <c r="H4835" s="340"/>
      <c r="I4835" s="340" t="s">
        <v>757</v>
      </c>
      <c r="K4835" s="343">
        <v>0</v>
      </c>
      <c r="L4835" s="343">
        <v>-28.64</v>
      </c>
      <c r="M4835" s="343">
        <v>-906458.24</v>
      </c>
      <c r="O4835" s="343">
        <v>0</v>
      </c>
    </row>
    <row r="4836" spans="1:15" x14ac:dyDescent="0.3">
      <c r="A4836" s="340" t="s">
        <v>891</v>
      </c>
      <c r="B4836" s="350">
        <v>46143</v>
      </c>
      <c r="C4836" s="350">
        <v>46146</v>
      </c>
      <c r="D4836" s="351">
        <v>46143</v>
      </c>
      <c r="E4836" s="340" t="s">
        <v>3180</v>
      </c>
      <c r="F4836" s="340" t="s">
        <v>894</v>
      </c>
      <c r="G4836" s="340" t="s">
        <v>3190</v>
      </c>
      <c r="H4836" s="340"/>
      <c r="I4836" s="340" t="s">
        <v>757</v>
      </c>
      <c r="K4836" s="343">
        <v>0</v>
      </c>
      <c r="L4836" s="343">
        <v>-120.52</v>
      </c>
      <c r="M4836" s="343">
        <v>-906578.76</v>
      </c>
      <c r="O4836" s="343">
        <v>0</v>
      </c>
    </row>
    <row r="4837" spans="1:15" x14ac:dyDescent="0.3">
      <c r="A4837" s="340" t="s">
        <v>891</v>
      </c>
      <c r="B4837" s="350">
        <v>46143</v>
      </c>
      <c r="C4837" s="350">
        <v>46146</v>
      </c>
      <c r="D4837" s="351">
        <v>46143</v>
      </c>
      <c r="E4837" s="340" t="s">
        <v>3180</v>
      </c>
      <c r="F4837" s="340" t="s">
        <v>894</v>
      </c>
      <c r="G4837" s="340" t="s">
        <v>3191</v>
      </c>
      <c r="H4837" s="340"/>
      <c r="I4837" s="340" t="s">
        <v>757</v>
      </c>
      <c r="K4837" s="343">
        <v>0</v>
      </c>
      <c r="L4837" s="343">
        <v>-155.69</v>
      </c>
      <c r="M4837" s="343">
        <v>-906734.45</v>
      </c>
      <c r="O4837" s="343">
        <v>0</v>
      </c>
    </row>
    <row r="4838" spans="1:15" x14ac:dyDescent="0.3">
      <c r="A4838" s="340" t="s">
        <v>891</v>
      </c>
      <c r="B4838" s="350">
        <v>46143</v>
      </c>
      <c r="C4838" s="350">
        <v>46146</v>
      </c>
      <c r="D4838" s="351">
        <v>46143</v>
      </c>
      <c r="E4838" s="340" t="s">
        <v>3180</v>
      </c>
      <c r="F4838" s="340" t="s">
        <v>894</v>
      </c>
      <c r="G4838" s="340" t="s">
        <v>3192</v>
      </c>
      <c r="H4838" s="340"/>
      <c r="I4838" s="340" t="s">
        <v>757</v>
      </c>
      <c r="K4838" s="343">
        <v>0</v>
      </c>
      <c r="L4838" s="343">
        <v>-25.7</v>
      </c>
      <c r="M4838" s="343">
        <v>-906760.15</v>
      </c>
      <c r="O4838" s="343">
        <v>0</v>
      </c>
    </row>
    <row r="4839" spans="1:15" x14ac:dyDescent="0.3">
      <c r="A4839" s="340" t="s">
        <v>891</v>
      </c>
      <c r="B4839" s="350">
        <v>46143</v>
      </c>
      <c r="C4839" s="350">
        <v>46146</v>
      </c>
      <c r="D4839" s="351">
        <v>46143</v>
      </c>
      <c r="E4839" s="340" t="s">
        <v>3180</v>
      </c>
      <c r="F4839" s="340" t="s">
        <v>894</v>
      </c>
      <c r="G4839" s="340" t="s">
        <v>3193</v>
      </c>
      <c r="H4839" s="340"/>
      <c r="I4839" s="340" t="s">
        <v>757</v>
      </c>
      <c r="K4839" s="343">
        <v>0</v>
      </c>
      <c r="L4839" s="343">
        <v>-562.89</v>
      </c>
      <c r="M4839" s="343">
        <v>-907323.04</v>
      </c>
      <c r="O4839" s="343">
        <v>0</v>
      </c>
    </row>
    <row r="4840" spans="1:15" x14ac:dyDescent="0.3">
      <c r="A4840" s="340" t="s">
        <v>891</v>
      </c>
      <c r="B4840" s="350">
        <v>46143</v>
      </c>
      <c r="C4840" s="350">
        <v>46146</v>
      </c>
      <c r="D4840" s="351">
        <v>46143</v>
      </c>
      <c r="E4840" s="340" t="s">
        <v>3180</v>
      </c>
      <c r="F4840" s="340" t="s">
        <v>894</v>
      </c>
      <c r="G4840" s="340" t="s">
        <v>3194</v>
      </c>
      <c r="H4840" s="340"/>
      <c r="I4840" s="340" t="s">
        <v>757</v>
      </c>
      <c r="K4840" s="343">
        <v>0</v>
      </c>
      <c r="L4840" s="343">
        <v>-1385.51</v>
      </c>
      <c r="M4840" s="343">
        <v>-908708.55</v>
      </c>
      <c r="O4840" s="343">
        <v>0</v>
      </c>
    </row>
    <row r="4841" spans="1:15" x14ac:dyDescent="0.3">
      <c r="A4841" s="340" t="s">
        <v>891</v>
      </c>
      <c r="B4841" s="350">
        <v>46143</v>
      </c>
      <c r="C4841" s="350">
        <v>46146</v>
      </c>
      <c r="D4841" s="351">
        <v>46143</v>
      </c>
      <c r="E4841" s="340" t="s">
        <v>3180</v>
      </c>
      <c r="F4841" s="340" t="s">
        <v>894</v>
      </c>
      <c r="G4841" s="340" t="s">
        <v>3195</v>
      </c>
      <c r="H4841" s="340"/>
      <c r="I4841" s="340" t="s">
        <v>757</v>
      </c>
      <c r="K4841" s="343">
        <v>0</v>
      </c>
      <c r="L4841" s="343">
        <v>-338</v>
      </c>
      <c r="M4841" s="343">
        <v>-909046.55</v>
      </c>
      <c r="O4841" s="343">
        <v>0</v>
      </c>
    </row>
    <row r="4842" spans="1:15" x14ac:dyDescent="0.3">
      <c r="A4842" s="340" t="s">
        <v>891</v>
      </c>
      <c r="B4842" s="350">
        <v>46143</v>
      </c>
      <c r="C4842" s="350">
        <v>46154</v>
      </c>
      <c r="D4842" s="351">
        <v>46143</v>
      </c>
      <c r="E4842" s="340" t="s">
        <v>3196</v>
      </c>
      <c r="F4842" s="340" t="s">
        <v>894</v>
      </c>
      <c r="G4842" s="340" t="s">
        <v>1004</v>
      </c>
      <c r="H4842" s="340"/>
      <c r="I4842" s="340" t="s">
        <v>1005</v>
      </c>
      <c r="K4842" s="343">
        <v>0</v>
      </c>
      <c r="L4842" s="343">
        <v>-5197</v>
      </c>
      <c r="M4842" s="343">
        <v>-914243.55</v>
      </c>
      <c r="O4842" s="343">
        <v>0</v>
      </c>
    </row>
    <row r="4843" spans="1:15" x14ac:dyDescent="0.3">
      <c r="A4843" s="340" t="s">
        <v>891</v>
      </c>
      <c r="B4843" s="350">
        <v>46143</v>
      </c>
      <c r="C4843" s="350">
        <v>46154</v>
      </c>
      <c r="D4843" s="351">
        <v>46143</v>
      </c>
      <c r="E4843" s="340" t="s">
        <v>3196</v>
      </c>
      <c r="F4843" s="340" t="s">
        <v>894</v>
      </c>
      <c r="G4843" s="340" t="s">
        <v>1007</v>
      </c>
      <c r="H4843" s="340"/>
      <c r="I4843" s="340" t="s">
        <v>1005</v>
      </c>
      <c r="K4843" s="343">
        <v>0</v>
      </c>
      <c r="L4843" s="343">
        <v>-2057.3000000000002</v>
      </c>
      <c r="M4843" s="343">
        <v>-916300.85</v>
      </c>
      <c r="O4843" s="343">
        <v>0</v>
      </c>
    </row>
    <row r="4844" spans="1:15" x14ac:dyDescent="0.3">
      <c r="A4844" s="340" t="s">
        <v>891</v>
      </c>
      <c r="B4844" s="350">
        <v>46143</v>
      </c>
      <c r="C4844" s="350">
        <v>46154</v>
      </c>
      <c r="D4844" s="351">
        <v>46143</v>
      </c>
      <c r="E4844" s="340" t="s">
        <v>3196</v>
      </c>
      <c r="F4844" s="340" t="s">
        <v>894</v>
      </c>
      <c r="G4844" s="340" t="s">
        <v>2562</v>
      </c>
      <c r="H4844" s="340"/>
      <c r="I4844" s="340" t="s">
        <v>1005</v>
      </c>
      <c r="K4844" s="343">
        <v>0</v>
      </c>
      <c r="L4844" s="343">
        <v>-3549.78</v>
      </c>
      <c r="M4844" s="343">
        <v>-919850.63</v>
      </c>
      <c r="O4844" s="343">
        <v>0</v>
      </c>
    </row>
    <row r="4845" spans="1:15" x14ac:dyDescent="0.3">
      <c r="A4845" s="340" t="s">
        <v>891</v>
      </c>
      <c r="B4845" s="350">
        <v>46143</v>
      </c>
      <c r="C4845" s="350">
        <v>46154</v>
      </c>
      <c r="D4845" s="351">
        <v>46143</v>
      </c>
      <c r="E4845" s="340" t="s">
        <v>3197</v>
      </c>
      <c r="F4845" s="340" t="s">
        <v>894</v>
      </c>
      <c r="G4845" s="340" t="s">
        <v>1941</v>
      </c>
      <c r="H4845" s="340"/>
      <c r="I4845" s="340" t="s">
        <v>768</v>
      </c>
      <c r="K4845" s="343">
        <v>0</v>
      </c>
      <c r="L4845" s="343">
        <v>-7082.12</v>
      </c>
      <c r="M4845" s="343">
        <v>-926932.75</v>
      </c>
      <c r="O4845" s="343">
        <v>0</v>
      </c>
    </row>
    <row r="4846" spans="1:15" x14ac:dyDescent="0.3">
      <c r="A4846" s="340" t="s">
        <v>891</v>
      </c>
      <c r="B4846" s="350">
        <v>46143</v>
      </c>
      <c r="C4846" s="350">
        <v>46156</v>
      </c>
      <c r="D4846" s="351">
        <v>46143</v>
      </c>
      <c r="E4846" s="340" t="s">
        <v>3198</v>
      </c>
      <c r="F4846" s="340" t="s">
        <v>894</v>
      </c>
      <c r="G4846" s="340" t="s">
        <v>1015</v>
      </c>
      <c r="H4846" s="340"/>
      <c r="I4846" s="340" t="s">
        <v>751</v>
      </c>
      <c r="K4846" s="343">
        <v>0</v>
      </c>
      <c r="L4846" s="343">
        <v>-64.95</v>
      </c>
      <c r="M4846" s="343">
        <v>-926997.7</v>
      </c>
      <c r="O4846" s="343">
        <v>0</v>
      </c>
    </row>
    <row r="4847" spans="1:15" x14ac:dyDescent="0.3">
      <c r="A4847" s="340" t="s">
        <v>891</v>
      </c>
      <c r="B4847" s="350">
        <v>46143</v>
      </c>
      <c r="C4847" s="350">
        <v>46159</v>
      </c>
      <c r="D4847" s="351">
        <v>46143</v>
      </c>
      <c r="E4847" s="340" t="s">
        <v>3199</v>
      </c>
      <c r="F4847" s="340" t="s">
        <v>894</v>
      </c>
      <c r="G4847" s="340" t="s">
        <v>1945</v>
      </c>
      <c r="H4847" s="340"/>
      <c r="I4847" s="340" t="s">
        <v>773</v>
      </c>
      <c r="K4847" s="343">
        <v>0</v>
      </c>
      <c r="L4847" s="343">
        <v>-4330</v>
      </c>
      <c r="M4847" s="343">
        <v>-931327.7</v>
      </c>
      <c r="O4847" s="343">
        <v>0</v>
      </c>
    </row>
    <row r="4848" spans="1:15" x14ac:dyDescent="0.3">
      <c r="A4848" s="340" t="s">
        <v>891</v>
      </c>
      <c r="B4848" s="350">
        <v>46143</v>
      </c>
      <c r="C4848" s="350">
        <v>46160</v>
      </c>
      <c r="D4848" s="351">
        <v>46143</v>
      </c>
      <c r="E4848" s="340" t="s">
        <v>3200</v>
      </c>
      <c r="F4848" s="340" t="s">
        <v>894</v>
      </c>
      <c r="G4848" s="340" t="s">
        <v>3028</v>
      </c>
      <c r="H4848" s="340"/>
      <c r="I4848" s="340" t="s">
        <v>1861</v>
      </c>
      <c r="K4848" s="343">
        <v>0</v>
      </c>
      <c r="L4848" s="343">
        <v>-4261.76</v>
      </c>
      <c r="M4848" s="343">
        <v>-935589.46</v>
      </c>
      <c r="O4848" s="343">
        <v>0</v>
      </c>
    </row>
    <row r="4849" spans="1:15" x14ac:dyDescent="0.3">
      <c r="A4849" s="340" t="s">
        <v>891</v>
      </c>
      <c r="B4849" s="350">
        <v>46143</v>
      </c>
      <c r="C4849" s="350">
        <v>46160</v>
      </c>
      <c r="D4849" s="351">
        <v>46143</v>
      </c>
      <c r="E4849" s="340" t="s">
        <v>3201</v>
      </c>
      <c r="F4849" s="340" t="s">
        <v>894</v>
      </c>
      <c r="G4849" s="340" t="s">
        <v>3028</v>
      </c>
      <c r="H4849" s="340"/>
      <c r="I4849" s="340" t="s">
        <v>1861</v>
      </c>
      <c r="K4849" s="343">
        <v>0</v>
      </c>
      <c r="L4849" s="343">
        <v>-4380</v>
      </c>
      <c r="M4849" s="343">
        <v>-939969.46</v>
      </c>
      <c r="O4849" s="343">
        <v>0</v>
      </c>
    </row>
    <row r="4850" spans="1:15" x14ac:dyDescent="0.3">
      <c r="A4850" s="340" t="s">
        <v>891</v>
      </c>
      <c r="B4850" s="350">
        <v>46143</v>
      </c>
      <c r="C4850" s="350">
        <v>46160</v>
      </c>
      <c r="D4850" s="351">
        <v>46143</v>
      </c>
      <c r="E4850" s="340" t="s">
        <v>3202</v>
      </c>
      <c r="F4850" s="340" t="s">
        <v>894</v>
      </c>
      <c r="G4850" s="340" t="s">
        <v>3028</v>
      </c>
      <c r="H4850" s="340"/>
      <c r="I4850" s="340" t="s">
        <v>1861</v>
      </c>
      <c r="K4850" s="343">
        <v>0</v>
      </c>
      <c r="L4850" s="343">
        <v>-15166.62</v>
      </c>
      <c r="M4850" s="343">
        <v>-955136.08</v>
      </c>
      <c r="O4850" s="343">
        <v>0</v>
      </c>
    </row>
    <row r="4851" spans="1:15" x14ac:dyDescent="0.3">
      <c r="A4851" s="340" t="s">
        <v>891</v>
      </c>
      <c r="B4851" s="350">
        <v>46143</v>
      </c>
      <c r="C4851" s="350">
        <v>46160</v>
      </c>
      <c r="D4851" s="351">
        <v>46143</v>
      </c>
      <c r="E4851" s="340" t="s">
        <v>3203</v>
      </c>
      <c r="F4851" s="340" t="s">
        <v>894</v>
      </c>
      <c r="G4851" s="340" t="s">
        <v>3028</v>
      </c>
      <c r="H4851" s="340"/>
      <c r="I4851" s="340" t="s">
        <v>1861</v>
      </c>
      <c r="K4851" s="343">
        <v>0</v>
      </c>
      <c r="L4851" s="343">
        <v>-8751.73</v>
      </c>
      <c r="M4851" s="343">
        <v>-963887.81</v>
      </c>
      <c r="O4851" s="343">
        <v>0</v>
      </c>
    </row>
    <row r="4852" spans="1:15" x14ac:dyDescent="0.3">
      <c r="A4852" s="340" t="s">
        <v>891</v>
      </c>
      <c r="B4852" s="350">
        <v>46144</v>
      </c>
      <c r="C4852" s="350">
        <v>46148</v>
      </c>
      <c r="D4852" s="351">
        <v>46143</v>
      </c>
      <c r="E4852" s="340" t="s">
        <v>3204</v>
      </c>
      <c r="F4852" s="340" t="s">
        <v>894</v>
      </c>
      <c r="G4852" s="340" t="s">
        <v>3017</v>
      </c>
      <c r="H4852" s="340"/>
      <c r="I4852" s="340" t="s">
        <v>771</v>
      </c>
      <c r="K4852" s="343">
        <v>0</v>
      </c>
      <c r="L4852" s="343">
        <v>-2.2599999999999998</v>
      </c>
      <c r="M4852" s="343">
        <v>-963890.07</v>
      </c>
      <c r="O4852" s="343">
        <v>0</v>
      </c>
    </row>
    <row r="4853" spans="1:15" x14ac:dyDescent="0.3">
      <c r="A4853" s="340" t="s">
        <v>891</v>
      </c>
      <c r="B4853" s="350">
        <v>46144</v>
      </c>
      <c r="C4853" s="350">
        <v>46148</v>
      </c>
      <c r="D4853" s="351">
        <v>46143</v>
      </c>
      <c r="E4853" s="340" t="s">
        <v>3204</v>
      </c>
      <c r="F4853" s="340" t="s">
        <v>894</v>
      </c>
      <c r="G4853" s="340" t="s">
        <v>3016</v>
      </c>
      <c r="H4853" s="340"/>
      <c r="I4853" s="340" t="s">
        <v>771</v>
      </c>
      <c r="K4853" s="343">
        <v>0</v>
      </c>
      <c r="L4853" s="343">
        <v>-0.02</v>
      </c>
      <c r="M4853" s="343">
        <v>-963890.09</v>
      </c>
      <c r="O4853" s="343">
        <v>0</v>
      </c>
    </row>
    <row r="4854" spans="1:15" x14ac:dyDescent="0.3">
      <c r="A4854" s="340" t="s">
        <v>891</v>
      </c>
      <c r="B4854" s="350">
        <v>46144</v>
      </c>
      <c r="C4854" s="350">
        <v>46148</v>
      </c>
      <c r="D4854" s="351">
        <v>46143</v>
      </c>
      <c r="E4854" s="340" t="s">
        <v>3204</v>
      </c>
      <c r="F4854" s="340" t="s">
        <v>894</v>
      </c>
      <c r="G4854" s="340" t="s">
        <v>3016</v>
      </c>
      <c r="H4854" s="340"/>
      <c r="I4854" s="340" t="s">
        <v>771</v>
      </c>
      <c r="K4854" s="343">
        <v>0</v>
      </c>
      <c r="L4854" s="343">
        <v>-0.01</v>
      </c>
      <c r="M4854" s="343">
        <v>-963890.1</v>
      </c>
      <c r="O4854" s="343">
        <v>0</v>
      </c>
    </row>
    <row r="4855" spans="1:15" x14ac:dyDescent="0.3">
      <c r="A4855" s="340" t="s">
        <v>891</v>
      </c>
      <c r="B4855" s="350">
        <v>46144</v>
      </c>
      <c r="C4855" s="350">
        <v>46148</v>
      </c>
      <c r="D4855" s="351">
        <v>46143</v>
      </c>
      <c r="E4855" s="340" t="s">
        <v>3204</v>
      </c>
      <c r="F4855" s="340" t="s">
        <v>894</v>
      </c>
      <c r="G4855" s="340" t="s">
        <v>3020</v>
      </c>
      <c r="H4855" s="340"/>
      <c r="I4855" s="340" t="s">
        <v>771</v>
      </c>
      <c r="K4855" s="343">
        <v>0</v>
      </c>
      <c r="L4855" s="343">
        <v>-0.09</v>
      </c>
      <c r="M4855" s="343">
        <v>-963890.19</v>
      </c>
      <c r="O4855" s="343">
        <v>0</v>
      </c>
    </row>
    <row r="4856" spans="1:15" x14ac:dyDescent="0.3">
      <c r="A4856" s="340" t="s">
        <v>891</v>
      </c>
      <c r="B4856" s="350">
        <v>46144</v>
      </c>
      <c r="C4856" s="350">
        <v>46148</v>
      </c>
      <c r="D4856" s="351">
        <v>46143</v>
      </c>
      <c r="E4856" s="340" t="s">
        <v>3204</v>
      </c>
      <c r="F4856" s="340" t="s">
        <v>894</v>
      </c>
      <c r="G4856" s="340" t="s">
        <v>3019</v>
      </c>
      <c r="H4856" s="340"/>
      <c r="I4856" s="340" t="s">
        <v>771</v>
      </c>
      <c r="K4856" s="343">
        <v>0</v>
      </c>
      <c r="L4856" s="343">
        <v>-0.01</v>
      </c>
      <c r="M4856" s="343">
        <v>-963890.2</v>
      </c>
      <c r="O4856" s="343">
        <v>0</v>
      </c>
    </row>
    <row r="4857" spans="1:15" x14ac:dyDescent="0.3">
      <c r="A4857" s="340" t="s">
        <v>891</v>
      </c>
      <c r="B4857" s="350">
        <v>46144</v>
      </c>
      <c r="C4857" s="350">
        <v>46148</v>
      </c>
      <c r="D4857" s="351">
        <v>46143</v>
      </c>
      <c r="E4857" s="340" t="s">
        <v>3204</v>
      </c>
      <c r="F4857" s="340" t="s">
        <v>894</v>
      </c>
      <c r="G4857" s="340" t="s">
        <v>3005</v>
      </c>
      <c r="H4857" s="340"/>
      <c r="I4857" s="340" t="s">
        <v>771</v>
      </c>
      <c r="K4857" s="343">
        <v>0</v>
      </c>
      <c r="L4857" s="343">
        <v>-10.61</v>
      </c>
      <c r="M4857" s="343">
        <v>-963900.81</v>
      </c>
      <c r="O4857" s="343">
        <v>0</v>
      </c>
    </row>
    <row r="4858" spans="1:15" x14ac:dyDescent="0.3">
      <c r="A4858" s="340" t="s">
        <v>891</v>
      </c>
      <c r="B4858" s="350">
        <v>46144</v>
      </c>
      <c r="C4858" s="350">
        <v>46148</v>
      </c>
      <c r="D4858" s="351">
        <v>46143</v>
      </c>
      <c r="E4858" s="340" t="s">
        <v>3204</v>
      </c>
      <c r="F4858" s="340" t="s">
        <v>894</v>
      </c>
      <c r="G4858" s="340" t="s">
        <v>3023</v>
      </c>
      <c r="H4858" s="340"/>
      <c r="I4858" s="340" t="s">
        <v>771</v>
      </c>
      <c r="K4858" s="343">
        <v>0</v>
      </c>
      <c r="L4858" s="343">
        <v>-0.46</v>
      </c>
      <c r="M4858" s="343">
        <v>-963901.27</v>
      </c>
      <c r="O4858" s="343">
        <v>0</v>
      </c>
    </row>
    <row r="4859" spans="1:15" x14ac:dyDescent="0.3">
      <c r="A4859" s="340" t="s">
        <v>891</v>
      </c>
      <c r="B4859" s="350">
        <v>46144</v>
      </c>
      <c r="C4859" s="350">
        <v>46148</v>
      </c>
      <c r="D4859" s="351">
        <v>46143</v>
      </c>
      <c r="E4859" s="340" t="s">
        <v>3204</v>
      </c>
      <c r="F4859" s="340" t="s">
        <v>894</v>
      </c>
      <c r="G4859" s="340" t="s">
        <v>3018</v>
      </c>
      <c r="H4859" s="340"/>
      <c r="I4859" s="340" t="s">
        <v>771</v>
      </c>
      <c r="K4859" s="343">
        <v>0</v>
      </c>
      <c r="L4859" s="343">
        <v>-0.08</v>
      </c>
      <c r="M4859" s="343">
        <v>-963901.35</v>
      </c>
      <c r="O4859" s="343">
        <v>0</v>
      </c>
    </row>
    <row r="4860" spans="1:15" x14ac:dyDescent="0.3">
      <c r="A4860" s="340" t="s">
        <v>891</v>
      </c>
      <c r="B4860" s="350">
        <v>46144</v>
      </c>
      <c r="C4860" s="350">
        <v>46148</v>
      </c>
      <c r="D4860" s="351">
        <v>46143</v>
      </c>
      <c r="E4860" s="340" t="s">
        <v>3204</v>
      </c>
      <c r="F4860" s="340" t="s">
        <v>894</v>
      </c>
      <c r="G4860" s="340" t="s">
        <v>3016</v>
      </c>
      <c r="H4860" s="340"/>
      <c r="I4860" s="340" t="s">
        <v>771</v>
      </c>
      <c r="K4860" s="343">
        <v>0</v>
      </c>
      <c r="L4860" s="343">
        <v>-0.02</v>
      </c>
      <c r="M4860" s="343">
        <v>-963901.37</v>
      </c>
      <c r="O4860" s="343">
        <v>0</v>
      </c>
    </row>
    <row r="4861" spans="1:15" x14ac:dyDescent="0.3">
      <c r="A4861" s="340" t="s">
        <v>891</v>
      </c>
      <c r="B4861" s="350">
        <v>46144</v>
      </c>
      <c r="C4861" s="350">
        <v>46148</v>
      </c>
      <c r="D4861" s="351">
        <v>46143</v>
      </c>
      <c r="E4861" s="340" t="s">
        <v>3204</v>
      </c>
      <c r="F4861" s="340" t="s">
        <v>894</v>
      </c>
      <c r="G4861" s="340" t="s">
        <v>3026</v>
      </c>
      <c r="H4861" s="340"/>
      <c r="I4861" s="340" t="s">
        <v>771</v>
      </c>
      <c r="K4861" s="343">
        <v>0</v>
      </c>
      <c r="L4861" s="343">
        <v>-2.4900000000000002</v>
      </c>
      <c r="M4861" s="343">
        <v>-963903.86</v>
      </c>
      <c r="O4861" s="343">
        <v>0</v>
      </c>
    </row>
    <row r="4862" spans="1:15" x14ac:dyDescent="0.3">
      <c r="A4862" s="340" t="s">
        <v>891</v>
      </c>
      <c r="B4862" s="350">
        <v>46144</v>
      </c>
      <c r="C4862" s="350">
        <v>46148</v>
      </c>
      <c r="D4862" s="351">
        <v>46143</v>
      </c>
      <c r="E4862" s="340" t="s">
        <v>3204</v>
      </c>
      <c r="F4862" s="340" t="s">
        <v>894</v>
      </c>
      <c r="G4862" s="340" t="s">
        <v>3021</v>
      </c>
      <c r="H4862" s="340"/>
      <c r="I4862" s="340" t="s">
        <v>771</v>
      </c>
      <c r="K4862" s="343">
        <v>0</v>
      </c>
      <c r="L4862" s="343">
        <v>-4.6100000000000003</v>
      </c>
      <c r="M4862" s="343">
        <v>-963908.47</v>
      </c>
      <c r="O4862" s="343">
        <v>0</v>
      </c>
    </row>
    <row r="4863" spans="1:15" x14ac:dyDescent="0.3">
      <c r="A4863" s="340" t="s">
        <v>891</v>
      </c>
      <c r="B4863" s="350">
        <v>46144</v>
      </c>
      <c r="C4863" s="350">
        <v>46148</v>
      </c>
      <c r="D4863" s="351">
        <v>46143</v>
      </c>
      <c r="E4863" s="340" t="s">
        <v>3204</v>
      </c>
      <c r="F4863" s="340" t="s">
        <v>894</v>
      </c>
      <c r="G4863" s="340" t="s">
        <v>3005</v>
      </c>
      <c r="H4863" s="340"/>
      <c r="I4863" s="340" t="s">
        <v>771</v>
      </c>
      <c r="K4863" s="343">
        <v>0</v>
      </c>
      <c r="L4863" s="343">
        <v>-13.09</v>
      </c>
      <c r="M4863" s="343">
        <v>-963921.56</v>
      </c>
      <c r="O4863" s="343">
        <v>0</v>
      </c>
    </row>
    <row r="4864" spans="1:15" x14ac:dyDescent="0.3">
      <c r="A4864" s="340" t="s">
        <v>891</v>
      </c>
      <c r="B4864" s="350">
        <v>46144</v>
      </c>
      <c r="C4864" s="350">
        <v>46148</v>
      </c>
      <c r="D4864" s="351">
        <v>46143</v>
      </c>
      <c r="E4864" s="340" t="s">
        <v>3204</v>
      </c>
      <c r="F4864" s="340" t="s">
        <v>894</v>
      </c>
      <c r="G4864" s="340" t="s">
        <v>3020</v>
      </c>
      <c r="H4864" s="340"/>
      <c r="I4864" s="340" t="s">
        <v>771</v>
      </c>
      <c r="K4864" s="343">
        <v>0</v>
      </c>
      <c r="L4864" s="343">
        <v>-0.05</v>
      </c>
      <c r="M4864" s="343">
        <v>-963921.61</v>
      </c>
      <c r="O4864" s="343">
        <v>0</v>
      </c>
    </row>
    <row r="4865" spans="1:15" x14ac:dyDescent="0.3">
      <c r="A4865" s="340" t="s">
        <v>891</v>
      </c>
      <c r="B4865" s="350">
        <v>46144</v>
      </c>
      <c r="C4865" s="350">
        <v>46148</v>
      </c>
      <c r="D4865" s="351">
        <v>46143</v>
      </c>
      <c r="E4865" s="340" t="s">
        <v>3204</v>
      </c>
      <c r="F4865" s="340" t="s">
        <v>894</v>
      </c>
      <c r="G4865" s="340" t="s">
        <v>3020</v>
      </c>
      <c r="H4865" s="340"/>
      <c r="I4865" s="340" t="s">
        <v>771</v>
      </c>
      <c r="K4865" s="343">
        <v>0</v>
      </c>
      <c r="L4865" s="343">
        <v>-0.1</v>
      </c>
      <c r="M4865" s="343">
        <v>-963921.71</v>
      </c>
      <c r="O4865" s="343">
        <v>0</v>
      </c>
    </row>
    <row r="4866" spans="1:15" x14ac:dyDescent="0.3">
      <c r="A4866" s="340" t="s">
        <v>891</v>
      </c>
      <c r="B4866" s="350">
        <v>46144</v>
      </c>
      <c r="C4866" s="350">
        <v>46148</v>
      </c>
      <c r="D4866" s="351">
        <v>46143</v>
      </c>
      <c r="E4866" s="340" t="s">
        <v>3204</v>
      </c>
      <c r="F4866" s="340" t="s">
        <v>894</v>
      </c>
      <c r="G4866" s="340" t="s">
        <v>3022</v>
      </c>
      <c r="H4866" s="340"/>
      <c r="I4866" s="340" t="s">
        <v>771</v>
      </c>
      <c r="K4866" s="343">
        <v>0</v>
      </c>
      <c r="L4866" s="343">
        <v>-0.1</v>
      </c>
      <c r="M4866" s="343">
        <v>-963921.81</v>
      </c>
      <c r="O4866" s="343">
        <v>0</v>
      </c>
    </row>
    <row r="4867" spans="1:15" x14ac:dyDescent="0.3">
      <c r="A4867" s="340" t="s">
        <v>891</v>
      </c>
      <c r="B4867" s="350">
        <v>46144</v>
      </c>
      <c r="C4867" s="350">
        <v>46148</v>
      </c>
      <c r="D4867" s="351">
        <v>46143</v>
      </c>
      <c r="E4867" s="340" t="s">
        <v>3204</v>
      </c>
      <c r="F4867" s="340" t="s">
        <v>894</v>
      </c>
      <c r="G4867" s="340" t="s">
        <v>3023</v>
      </c>
      <c r="H4867" s="340"/>
      <c r="I4867" s="340" t="s">
        <v>771</v>
      </c>
      <c r="K4867" s="343">
        <v>0</v>
      </c>
      <c r="L4867" s="343">
        <v>-0.2</v>
      </c>
      <c r="M4867" s="343">
        <v>-963922.01</v>
      </c>
      <c r="O4867" s="343">
        <v>0</v>
      </c>
    </row>
    <row r="4868" spans="1:15" x14ac:dyDescent="0.3">
      <c r="A4868" s="340" t="s">
        <v>891</v>
      </c>
      <c r="B4868" s="350">
        <v>46144</v>
      </c>
      <c r="C4868" s="350">
        <v>46148</v>
      </c>
      <c r="D4868" s="351">
        <v>46143</v>
      </c>
      <c r="E4868" s="340" t="s">
        <v>3204</v>
      </c>
      <c r="F4868" s="340" t="s">
        <v>894</v>
      </c>
      <c r="G4868" s="340" t="s">
        <v>3022</v>
      </c>
      <c r="H4868" s="340"/>
      <c r="I4868" s="340" t="s">
        <v>771</v>
      </c>
      <c r="K4868" s="343">
        <v>0</v>
      </c>
      <c r="L4868" s="343">
        <v>-0.2</v>
      </c>
      <c r="M4868" s="343">
        <v>-963922.21</v>
      </c>
      <c r="O4868" s="343">
        <v>0</v>
      </c>
    </row>
    <row r="4869" spans="1:15" x14ac:dyDescent="0.3">
      <c r="A4869" s="340" t="s">
        <v>891</v>
      </c>
      <c r="B4869" s="350">
        <v>46144</v>
      </c>
      <c r="C4869" s="350">
        <v>46148</v>
      </c>
      <c r="D4869" s="351">
        <v>46143</v>
      </c>
      <c r="E4869" s="340" t="s">
        <v>3204</v>
      </c>
      <c r="F4869" s="340" t="s">
        <v>894</v>
      </c>
      <c r="G4869" s="340" t="s">
        <v>3016</v>
      </c>
      <c r="H4869" s="340"/>
      <c r="I4869" s="340" t="s">
        <v>771</v>
      </c>
      <c r="K4869" s="343">
        <v>0</v>
      </c>
      <c r="L4869" s="343">
        <v>-0.01</v>
      </c>
      <c r="M4869" s="343">
        <v>-963922.22</v>
      </c>
      <c r="O4869" s="343">
        <v>0</v>
      </c>
    </row>
    <row r="4870" spans="1:15" x14ac:dyDescent="0.3">
      <c r="A4870" s="340" t="s">
        <v>891</v>
      </c>
      <c r="B4870" s="350">
        <v>46144</v>
      </c>
      <c r="C4870" s="350">
        <v>46148</v>
      </c>
      <c r="D4870" s="351">
        <v>46143</v>
      </c>
      <c r="E4870" s="340" t="s">
        <v>3204</v>
      </c>
      <c r="F4870" s="340" t="s">
        <v>894</v>
      </c>
      <c r="G4870" s="340" t="s">
        <v>3016</v>
      </c>
      <c r="H4870" s="340"/>
      <c r="I4870" s="340" t="s">
        <v>771</v>
      </c>
      <c r="K4870" s="343">
        <v>0</v>
      </c>
      <c r="L4870" s="343">
        <v>-0.02</v>
      </c>
      <c r="M4870" s="343">
        <v>-963922.24</v>
      </c>
      <c r="O4870" s="343">
        <v>0</v>
      </c>
    </row>
    <row r="4871" spans="1:15" x14ac:dyDescent="0.3">
      <c r="A4871" s="340" t="s">
        <v>891</v>
      </c>
      <c r="B4871" s="350">
        <v>46144</v>
      </c>
      <c r="C4871" s="350">
        <v>46148</v>
      </c>
      <c r="D4871" s="351">
        <v>46143</v>
      </c>
      <c r="E4871" s="340" t="s">
        <v>3204</v>
      </c>
      <c r="F4871" s="340" t="s">
        <v>894</v>
      </c>
      <c r="G4871" s="340" t="s">
        <v>3018</v>
      </c>
      <c r="H4871" s="340"/>
      <c r="I4871" s="340" t="s">
        <v>771</v>
      </c>
      <c r="K4871" s="343">
        <v>0</v>
      </c>
      <c r="L4871" s="343">
        <v>-0.06</v>
      </c>
      <c r="M4871" s="343">
        <v>-963922.3</v>
      </c>
      <c r="O4871" s="343">
        <v>0</v>
      </c>
    </row>
    <row r="4872" spans="1:15" x14ac:dyDescent="0.3">
      <c r="A4872" s="340" t="s">
        <v>891</v>
      </c>
      <c r="B4872" s="350">
        <v>46144</v>
      </c>
      <c r="C4872" s="350">
        <v>46148</v>
      </c>
      <c r="D4872" s="351">
        <v>46143</v>
      </c>
      <c r="E4872" s="340" t="s">
        <v>3204</v>
      </c>
      <c r="F4872" s="340" t="s">
        <v>894</v>
      </c>
      <c r="G4872" s="340" t="s">
        <v>3020</v>
      </c>
      <c r="H4872" s="340"/>
      <c r="I4872" s="340" t="s">
        <v>771</v>
      </c>
      <c r="K4872" s="343">
        <v>0</v>
      </c>
      <c r="L4872" s="343">
        <v>-0.09</v>
      </c>
      <c r="M4872" s="343">
        <v>-963922.39</v>
      </c>
      <c r="O4872" s="343">
        <v>0</v>
      </c>
    </row>
    <row r="4873" spans="1:15" x14ac:dyDescent="0.3">
      <c r="A4873" s="340" t="s">
        <v>891</v>
      </c>
      <c r="B4873" s="350">
        <v>46144</v>
      </c>
      <c r="C4873" s="350">
        <v>46148</v>
      </c>
      <c r="D4873" s="351">
        <v>46143</v>
      </c>
      <c r="E4873" s="340" t="s">
        <v>3204</v>
      </c>
      <c r="F4873" s="340" t="s">
        <v>894</v>
      </c>
      <c r="G4873" s="340" t="s">
        <v>3020</v>
      </c>
      <c r="H4873" s="340"/>
      <c r="I4873" s="340" t="s">
        <v>771</v>
      </c>
      <c r="K4873" s="343">
        <v>0</v>
      </c>
      <c r="L4873" s="343">
        <v>-0.12</v>
      </c>
      <c r="M4873" s="343">
        <v>-963922.51</v>
      </c>
      <c r="O4873" s="343">
        <v>0</v>
      </c>
    </row>
    <row r="4874" spans="1:15" x14ac:dyDescent="0.3">
      <c r="A4874" s="340" t="s">
        <v>891</v>
      </c>
      <c r="B4874" s="350">
        <v>46144</v>
      </c>
      <c r="C4874" s="350">
        <v>46148</v>
      </c>
      <c r="D4874" s="351">
        <v>46143</v>
      </c>
      <c r="E4874" s="340" t="s">
        <v>3204</v>
      </c>
      <c r="F4874" s="340" t="s">
        <v>894</v>
      </c>
      <c r="G4874" s="340" t="s">
        <v>3022</v>
      </c>
      <c r="H4874" s="340"/>
      <c r="I4874" s="340" t="s">
        <v>771</v>
      </c>
      <c r="K4874" s="343">
        <v>0</v>
      </c>
      <c r="L4874" s="343">
        <v>-0.18</v>
      </c>
      <c r="M4874" s="343">
        <v>-963922.69</v>
      </c>
      <c r="O4874" s="343">
        <v>0</v>
      </c>
    </row>
    <row r="4875" spans="1:15" x14ac:dyDescent="0.3">
      <c r="A4875" s="340" t="s">
        <v>891</v>
      </c>
      <c r="B4875" s="350">
        <v>46144</v>
      </c>
      <c r="C4875" s="350">
        <v>46148</v>
      </c>
      <c r="D4875" s="351">
        <v>46143</v>
      </c>
      <c r="E4875" s="340" t="s">
        <v>3204</v>
      </c>
      <c r="F4875" s="340" t="s">
        <v>894</v>
      </c>
      <c r="G4875" s="340" t="s">
        <v>3023</v>
      </c>
      <c r="H4875" s="340"/>
      <c r="I4875" s="340" t="s">
        <v>771</v>
      </c>
      <c r="K4875" s="343">
        <v>0</v>
      </c>
      <c r="L4875" s="343">
        <v>-0.36</v>
      </c>
      <c r="M4875" s="343">
        <v>-963923.05</v>
      </c>
      <c r="O4875" s="343">
        <v>0</v>
      </c>
    </row>
    <row r="4876" spans="1:15" x14ac:dyDescent="0.3">
      <c r="A4876" s="340" t="s">
        <v>891</v>
      </c>
      <c r="B4876" s="350">
        <v>46144</v>
      </c>
      <c r="C4876" s="350">
        <v>46148</v>
      </c>
      <c r="D4876" s="351">
        <v>46143</v>
      </c>
      <c r="E4876" s="340" t="s">
        <v>3204</v>
      </c>
      <c r="F4876" s="340" t="s">
        <v>894</v>
      </c>
      <c r="G4876" s="340" t="s">
        <v>3023</v>
      </c>
      <c r="H4876" s="340"/>
      <c r="I4876" s="340" t="s">
        <v>771</v>
      </c>
      <c r="K4876" s="343">
        <v>0</v>
      </c>
      <c r="L4876" s="343">
        <v>-0.3</v>
      </c>
      <c r="M4876" s="343">
        <v>-963923.35</v>
      </c>
      <c r="O4876" s="343">
        <v>0</v>
      </c>
    </row>
    <row r="4877" spans="1:15" x14ac:dyDescent="0.3">
      <c r="A4877" s="340" t="s">
        <v>891</v>
      </c>
      <c r="B4877" s="350">
        <v>46144</v>
      </c>
      <c r="C4877" s="350">
        <v>46148</v>
      </c>
      <c r="D4877" s="351">
        <v>46143</v>
      </c>
      <c r="E4877" s="340" t="s">
        <v>3204</v>
      </c>
      <c r="F4877" s="340" t="s">
        <v>894</v>
      </c>
      <c r="G4877" s="340" t="s">
        <v>3024</v>
      </c>
      <c r="H4877" s="340"/>
      <c r="I4877" s="340" t="s">
        <v>771</v>
      </c>
      <c r="K4877" s="343">
        <v>0</v>
      </c>
      <c r="L4877" s="343">
        <v>-0.62</v>
      </c>
      <c r="M4877" s="343">
        <v>-963923.97</v>
      </c>
      <c r="O4877" s="343">
        <v>0</v>
      </c>
    </row>
    <row r="4878" spans="1:15" x14ac:dyDescent="0.3">
      <c r="A4878" s="340" t="s">
        <v>891</v>
      </c>
      <c r="B4878" s="350">
        <v>46144</v>
      </c>
      <c r="C4878" s="350">
        <v>46148</v>
      </c>
      <c r="D4878" s="351">
        <v>46143</v>
      </c>
      <c r="E4878" s="340" t="s">
        <v>3204</v>
      </c>
      <c r="F4878" s="340" t="s">
        <v>894</v>
      </c>
      <c r="G4878" s="340" t="s">
        <v>3005</v>
      </c>
      <c r="H4878" s="340"/>
      <c r="I4878" s="340" t="s">
        <v>771</v>
      </c>
      <c r="K4878" s="343">
        <v>0</v>
      </c>
      <c r="L4878" s="343">
        <v>-6.98</v>
      </c>
      <c r="M4878" s="343">
        <v>-963930.95</v>
      </c>
      <c r="O4878" s="343">
        <v>0</v>
      </c>
    </row>
    <row r="4879" spans="1:15" x14ac:dyDescent="0.3">
      <c r="A4879" s="340" t="s">
        <v>891</v>
      </c>
      <c r="B4879" s="350">
        <v>46144</v>
      </c>
      <c r="C4879" s="350">
        <v>46148</v>
      </c>
      <c r="D4879" s="351">
        <v>46143</v>
      </c>
      <c r="E4879" s="340" t="s">
        <v>3204</v>
      </c>
      <c r="F4879" s="340" t="s">
        <v>894</v>
      </c>
      <c r="G4879" s="340" t="s">
        <v>3025</v>
      </c>
      <c r="H4879" s="340"/>
      <c r="I4879" s="340" t="s">
        <v>771</v>
      </c>
      <c r="K4879" s="343">
        <v>0</v>
      </c>
      <c r="L4879" s="343">
        <v>-1.74</v>
      </c>
      <c r="M4879" s="343">
        <v>-963932.69</v>
      </c>
      <c r="O4879" s="343">
        <v>0</v>
      </c>
    </row>
    <row r="4880" spans="1:15" x14ac:dyDescent="0.3">
      <c r="A4880" s="340" t="s">
        <v>891</v>
      </c>
      <c r="B4880" s="350">
        <v>46144</v>
      </c>
      <c r="C4880" s="350">
        <v>46148</v>
      </c>
      <c r="D4880" s="351">
        <v>46143</v>
      </c>
      <c r="E4880" s="340" t="s">
        <v>3204</v>
      </c>
      <c r="F4880" s="340" t="s">
        <v>894</v>
      </c>
      <c r="G4880" s="340" t="s">
        <v>3026</v>
      </c>
      <c r="H4880" s="340"/>
      <c r="I4880" s="340" t="s">
        <v>771</v>
      </c>
      <c r="K4880" s="343">
        <v>0</v>
      </c>
      <c r="L4880" s="343">
        <v>-2.04</v>
      </c>
      <c r="M4880" s="343">
        <v>-963934.73</v>
      </c>
      <c r="O4880" s="343">
        <v>0</v>
      </c>
    </row>
    <row r="4881" spans="1:15" x14ac:dyDescent="0.3">
      <c r="A4881" s="340" t="s">
        <v>891</v>
      </c>
      <c r="B4881" s="350">
        <v>46144</v>
      </c>
      <c r="C4881" s="350">
        <v>46148</v>
      </c>
      <c r="D4881" s="351">
        <v>46143</v>
      </c>
      <c r="E4881" s="340" t="s">
        <v>3204</v>
      </c>
      <c r="F4881" s="340" t="s">
        <v>894</v>
      </c>
      <c r="G4881" s="340" t="s">
        <v>3019</v>
      </c>
      <c r="H4881" s="340"/>
      <c r="I4881" s="340" t="s">
        <v>771</v>
      </c>
      <c r="K4881" s="343">
        <v>0</v>
      </c>
      <c r="L4881" s="343">
        <v>-0.02</v>
      </c>
      <c r="M4881" s="343">
        <v>-963934.75</v>
      </c>
      <c r="O4881" s="343">
        <v>0</v>
      </c>
    </row>
    <row r="4882" spans="1:15" x14ac:dyDescent="0.3">
      <c r="A4882" s="340" t="s">
        <v>891</v>
      </c>
      <c r="B4882" s="350">
        <v>46144</v>
      </c>
      <c r="C4882" s="350">
        <v>46148</v>
      </c>
      <c r="D4882" s="351">
        <v>46143</v>
      </c>
      <c r="E4882" s="340" t="s">
        <v>3204</v>
      </c>
      <c r="F4882" s="340" t="s">
        <v>894</v>
      </c>
      <c r="G4882" s="340" t="s">
        <v>3016</v>
      </c>
      <c r="H4882" s="340"/>
      <c r="I4882" s="340" t="s">
        <v>771</v>
      </c>
      <c r="K4882" s="343">
        <v>0</v>
      </c>
      <c r="L4882" s="343">
        <v>-0.03</v>
      </c>
      <c r="M4882" s="343">
        <v>-963934.78</v>
      </c>
      <c r="O4882" s="343">
        <v>0</v>
      </c>
    </row>
    <row r="4883" spans="1:15" x14ac:dyDescent="0.3">
      <c r="A4883" s="340" t="s">
        <v>891</v>
      </c>
      <c r="B4883" s="350">
        <v>46144</v>
      </c>
      <c r="C4883" s="350">
        <v>46148</v>
      </c>
      <c r="D4883" s="351">
        <v>46143</v>
      </c>
      <c r="E4883" s="340" t="s">
        <v>3204</v>
      </c>
      <c r="F4883" s="340" t="s">
        <v>894</v>
      </c>
      <c r="G4883" s="340" t="s">
        <v>3016</v>
      </c>
      <c r="H4883" s="340"/>
      <c r="I4883" s="340" t="s">
        <v>771</v>
      </c>
      <c r="K4883" s="343">
        <v>0</v>
      </c>
      <c r="L4883" s="343">
        <v>-0.04</v>
      </c>
      <c r="M4883" s="343">
        <v>-963934.82</v>
      </c>
      <c r="O4883" s="343">
        <v>0</v>
      </c>
    </row>
    <row r="4884" spans="1:15" x14ac:dyDescent="0.3">
      <c r="A4884" s="340" t="s">
        <v>891</v>
      </c>
      <c r="B4884" s="350">
        <v>46144</v>
      </c>
      <c r="C4884" s="350">
        <v>46148</v>
      </c>
      <c r="D4884" s="351">
        <v>46143</v>
      </c>
      <c r="E4884" s="340" t="s">
        <v>3204</v>
      </c>
      <c r="F4884" s="340" t="s">
        <v>894</v>
      </c>
      <c r="G4884" s="340" t="s">
        <v>3018</v>
      </c>
      <c r="H4884" s="340"/>
      <c r="I4884" s="340" t="s">
        <v>771</v>
      </c>
      <c r="K4884" s="343">
        <v>0</v>
      </c>
      <c r="L4884" s="343">
        <v>-0.15</v>
      </c>
      <c r="M4884" s="343">
        <v>-963934.97</v>
      </c>
      <c r="O4884" s="343">
        <v>0</v>
      </c>
    </row>
    <row r="4885" spans="1:15" x14ac:dyDescent="0.3">
      <c r="A4885" s="340" t="s">
        <v>891</v>
      </c>
      <c r="B4885" s="350">
        <v>46144</v>
      </c>
      <c r="C4885" s="350">
        <v>46148</v>
      </c>
      <c r="D4885" s="351">
        <v>46143</v>
      </c>
      <c r="E4885" s="340" t="s">
        <v>3204</v>
      </c>
      <c r="F4885" s="340" t="s">
        <v>894</v>
      </c>
      <c r="G4885" s="340" t="s">
        <v>3020</v>
      </c>
      <c r="H4885" s="340"/>
      <c r="I4885" s="340" t="s">
        <v>771</v>
      </c>
      <c r="K4885" s="343">
        <v>0</v>
      </c>
      <c r="L4885" s="343">
        <v>-0.21</v>
      </c>
      <c r="M4885" s="343">
        <v>-963935.18</v>
      </c>
      <c r="O4885" s="343">
        <v>0</v>
      </c>
    </row>
    <row r="4886" spans="1:15" x14ac:dyDescent="0.3">
      <c r="A4886" s="340" t="s">
        <v>891</v>
      </c>
      <c r="B4886" s="350">
        <v>46144</v>
      </c>
      <c r="C4886" s="350">
        <v>46148</v>
      </c>
      <c r="D4886" s="351">
        <v>46143</v>
      </c>
      <c r="E4886" s="340" t="s">
        <v>3204</v>
      </c>
      <c r="F4886" s="340" t="s">
        <v>894</v>
      </c>
      <c r="G4886" s="340" t="s">
        <v>3020</v>
      </c>
      <c r="H4886" s="340"/>
      <c r="I4886" s="340" t="s">
        <v>771</v>
      </c>
      <c r="K4886" s="343">
        <v>0</v>
      </c>
      <c r="L4886" s="343">
        <v>-0.22</v>
      </c>
      <c r="M4886" s="343">
        <v>-963935.4</v>
      </c>
      <c r="O4886" s="343">
        <v>0</v>
      </c>
    </row>
    <row r="4887" spans="1:15" x14ac:dyDescent="0.3">
      <c r="A4887" s="340" t="s">
        <v>891</v>
      </c>
      <c r="B4887" s="350">
        <v>46144</v>
      </c>
      <c r="C4887" s="350">
        <v>46148</v>
      </c>
      <c r="D4887" s="351">
        <v>46143</v>
      </c>
      <c r="E4887" s="340" t="s">
        <v>3204</v>
      </c>
      <c r="F4887" s="340" t="s">
        <v>894</v>
      </c>
      <c r="G4887" s="340" t="s">
        <v>3022</v>
      </c>
      <c r="H4887" s="340"/>
      <c r="I4887" s="340" t="s">
        <v>771</v>
      </c>
      <c r="K4887" s="343">
        <v>0</v>
      </c>
      <c r="L4887" s="343">
        <v>-0.41</v>
      </c>
      <c r="M4887" s="343">
        <v>-963935.81</v>
      </c>
      <c r="O4887" s="343">
        <v>0</v>
      </c>
    </row>
    <row r="4888" spans="1:15" x14ac:dyDescent="0.3">
      <c r="A4888" s="340" t="s">
        <v>891</v>
      </c>
      <c r="B4888" s="350">
        <v>46144</v>
      </c>
      <c r="C4888" s="350">
        <v>46148</v>
      </c>
      <c r="D4888" s="351">
        <v>46143</v>
      </c>
      <c r="E4888" s="340" t="s">
        <v>3204</v>
      </c>
      <c r="F4888" s="340" t="s">
        <v>894</v>
      </c>
      <c r="G4888" s="340" t="s">
        <v>3023</v>
      </c>
      <c r="H4888" s="340"/>
      <c r="I4888" s="340" t="s">
        <v>771</v>
      </c>
      <c r="K4888" s="343">
        <v>0</v>
      </c>
      <c r="L4888" s="343">
        <v>-0.91</v>
      </c>
      <c r="M4888" s="343">
        <v>-963936.72</v>
      </c>
      <c r="O4888" s="343">
        <v>0</v>
      </c>
    </row>
    <row r="4889" spans="1:15" x14ac:dyDescent="0.3">
      <c r="A4889" s="340" t="s">
        <v>891</v>
      </c>
      <c r="B4889" s="350">
        <v>46144</v>
      </c>
      <c r="C4889" s="350">
        <v>46148</v>
      </c>
      <c r="D4889" s="351">
        <v>46143</v>
      </c>
      <c r="E4889" s="340" t="s">
        <v>3204</v>
      </c>
      <c r="F4889" s="340" t="s">
        <v>894</v>
      </c>
      <c r="G4889" s="340" t="s">
        <v>3022</v>
      </c>
      <c r="H4889" s="340"/>
      <c r="I4889" s="340" t="s">
        <v>771</v>
      </c>
      <c r="K4889" s="343">
        <v>0</v>
      </c>
      <c r="L4889" s="343">
        <v>-0.28999999999999998</v>
      </c>
      <c r="M4889" s="343">
        <v>-963937.01</v>
      </c>
      <c r="O4889" s="343">
        <v>0</v>
      </c>
    </row>
    <row r="4890" spans="1:15" x14ac:dyDescent="0.3">
      <c r="A4890" s="340" t="s">
        <v>891</v>
      </c>
      <c r="B4890" s="350">
        <v>46144</v>
      </c>
      <c r="C4890" s="350">
        <v>46148</v>
      </c>
      <c r="D4890" s="351">
        <v>46143</v>
      </c>
      <c r="E4890" s="340" t="s">
        <v>3204</v>
      </c>
      <c r="F4890" s="340" t="s">
        <v>894</v>
      </c>
      <c r="G4890" s="340" t="s">
        <v>3022</v>
      </c>
      <c r="H4890" s="340"/>
      <c r="I4890" s="340" t="s">
        <v>771</v>
      </c>
      <c r="K4890" s="343">
        <v>0</v>
      </c>
      <c r="L4890" s="343">
        <v>-0.32</v>
      </c>
      <c r="M4890" s="343">
        <v>-963937.33</v>
      </c>
      <c r="O4890" s="343">
        <v>0</v>
      </c>
    </row>
    <row r="4891" spans="1:15" x14ac:dyDescent="0.3">
      <c r="A4891" s="340" t="s">
        <v>891</v>
      </c>
      <c r="B4891" s="350">
        <v>46144</v>
      </c>
      <c r="C4891" s="350">
        <v>46148</v>
      </c>
      <c r="D4891" s="351">
        <v>46143</v>
      </c>
      <c r="E4891" s="340" t="s">
        <v>3204</v>
      </c>
      <c r="F4891" s="340" t="s">
        <v>894</v>
      </c>
      <c r="G4891" s="340" t="s">
        <v>3026</v>
      </c>
      <c r="H4891" s="340"/>
      <c r="I4891" s="340" t="s">
        <v>771</v>
      </c>
      <c r="K4891" s="343">
        <v>0</v>
      </c>
      <c r="L4891" s="343">
        <v>-4.0199999999999996</v>
      </c>
      <c r="M4891" s="343">
        <v>-963941.35</v>
      </c>
      <c r="O4891" s="343">
        <v>0</v>
      </c>
    </row>
    <row r="4892" spans="1:15" x14ac:dyDescent="0.3">
      <c r="A4892" s="340" t="s">
        <v>891</v>
      </c>
      <c r="B4892" s="350">
        <v>46144</v>
      </c>
      <c r="C4892" s="350">
        <v>46148</v>
      </c>
      <c r="D4892" s="351">
        <v>46143</v>
      </c>
      <c r="E4892" s="340" t="s">
        <v>3204</v>
      </c>
      <c r="F4892" s="340" t="s">
        <v>894</v>
      </c>
      <c r="G4892" s="340" t="s">
        <v>3025</v>
      </c>
      <c r="H4892" s="340"/>
      <c r="I4892" s="340" t="s">
        <v>771</v>
      </c>
      <c r="K4892" s="343">
        <v>0</v>
      </c>
      <c r="L4892" s="343">
        <v>-3.78</v>
      </c>
      <c r="M4892" s="343">
        <v>-963945.13</v>
      </c>
      <c r="O4892" s="343">
        <v>0</v>
      </c>
    </row>
    <row r="4893" spans="1:15" x14ac:dyDescent="0.3">
      <c r="A4893" s="340" t="s">
        <v>891</v>
      </c>
      <c r="B4893" s="350">
        <v>46144</v>
      </c>
      <c r="C4893" s="350">
        <v>46148</v>
      </c>
      <c r="D4893" s="351">
        <v>46143</v>
      </c>
      <c r="E4893" s="340" t="s">
        <v>3204</v>
      </c>
      <c r="F4893" s="340" t="s">
        <v>894</v>
      </c>
      <c r="G4893" s="340" t="s">
        <v>3026</v>
      </c>
      <c r="H4893" s="340"/>
      <c r="I4893" s="340" t="s">
        <v>771</v>
      </c>
      <c r="K4893" s="343">
        <v>0</v>
      </c>
      <c r="L4893" s="343">
        <v>-4.42</v>
      </c>
      <c r="M4893" s="343">
        <v>-963949.55</v>
      </c>
      <c r="O4893" s="343">
        <v>0</v>
      </c>
    </row>
    <row r="4894" spans="1:15" x14ac:dyDescent="0.3">
      <c r="A4894" s="340" t="s">
        <v>891</v>
      </c>
      <c r="B4894" s="350">
        <v>46144</v>
      </c>
      <c r="C4894" s="350">
        <v>46148</v>
      </c>
      <c r="D4894" s="351">
        <v>46143</v>
      </c>
      <c r="E4894" s="340" t="s">
        <v>3204</v>
      </c>
      <c r="F4894" s="340" t="s">
        <v>894</v>
      </c>
      <c r="G4894" s="340" t="s">
        <v>3020</v>
      </c>
      <c r="H4894" s="340"/>
      <c r="I4894" s="340" t="s">
        <v>771</v>
      </c>
      <c r="K4894" s="343">
        <v>0</v>
      </c>
      <c r="L4894" s="343">
        <v>-0.16</v>
      </c>
      <c r="M4894" s="343">
        <v>-963949.71</v>
      </c>
      <c r="O4894" s="343">
        <v>0</v>
      </c>
    </row>
    <row r="4895" spans="1:15" x14ac:dyDescent="0.3">
      <c r="A4895" s="340" t="s">
        <v>891</v>
      </c>
      <c r="B4895" s="350">
        <v>46144</v>
      </c>
      <c r="C4895" s="350">
        <v>46148</v>
      </c>
      <c r="D4895" s="351">
        <v>46143</v>
      </c>
      <c r="E4895" s="340" t="s">
        <v>3204</v>
      </c>
      <c r="F4895" s="340" t="s">
        <v>894</v>
      </c>
      <c r="G4895" s="340" t="s">
        <v>3020</v>
      </c>
      <c r="H4895" s="340"/>
      <c r="I4895" s="340" t="s">
        <v>771</v>
      </c>
      <c r="K4895" s="343">
        <v>0</v>
      </c>
      <c r="L4895" s="343">
        <v>-0.17</v>
      </c>
      <c r="M4895" s="343">
        <v>-963949.88</v>
      </c>
      <c r="O4895" s="343">
        <v>0</v>
      </c>
    </row>
    <row r="4896" spans="1:15" x14ac:dyDescent="0.3">
      <c r="A4896" s="340" t="s">
        <v>891</v>
      </c>
      <c r="B4896" s="350">
        <v>46144</v>
      </c>
      <c r="C4896" s="350">
        <v>46148</v>
      </c>
      <c r="D4896" s="351">
        <v>46143</v>
      </c>
      <c r="E4896" s="340" t="s">
        <v>3204</v>
      </c>
      <c r="F4896" s="340" t="s">
        <v>894</v>
      </c>
      <c r="G4896" s="340" t="s">
        <v>3022</v>
      </c>
      <c r="H4896" s="340"/>
      <c r="I4896" s="340" t="s">
        <v>771</v>
      </c>
      <c r="K4896" s="343">
        <v>0</v>
      </c>
      <c r="L4896" s="343">
        <v>-0.32</v>
      </c>
      <c r="M4896" s="343">
        <v>-963950.2</v>
      </c>
      <c r="O4896" s="343">
        <v>0</v>
      </c>
    </row>
    <row r="4897" spans="1:15" x14ac:dyDescent="0.3">
      <c r="A4897" s="340" t="s">
        <v>891</v>
      </c>
      <c r="B4897" s="350">
        <v>46144</v>
      </c>
      <c r="C4897" s="350">
        <v>46148</v>
      </c>
      <c r="D4897" s="351">
        <v>46143</v>
      </c>
      <c r="E4897" s="340" t="s">
        <v>3204</v>
      </c>
      <c r="F4897" s="340" t="s">
        <v>894</v>
      </c>
      <c r="G4897" s="340" t="s">
        <v>3022</v>
      </c>
      <c r="H4897" s="340"/>
      <c r="I4897" s="340" t="s">
        <v>771</v>
      </c>
      <c r="K4897" s="343">
        <v>0</v>
      </c>
      <c r="L4897" s="343">
        <v>-0.33</v>
      </c>
      <c r="M4897" s="343">
        <v>-963950.53</v>
      </c>
      <c r="O4897" s="343">
        <v>0</v>
      </c>
    </row>
    <row r="4898" spans="1:15" x14ac:dyDescent="0.3">
      <c r="A4898" s="340" t="s">
        <v>891</v>
      </c>
      <c r="B4898" s="350">
        <v>46144</v>
      </c>
      <c r="C4898" s="350">
        <v>46148</v>
      </c>
      <c r="D4898" s="351">
        <v>46143</v>
      </c>
      <c r="E4898" s="340" t="s">
        <v>3204</v>
      </c>
      <c r="F4898" s="340" t="s">
        <v>894</v>
      </c>
      <c r="G4898" s="340" t="s">
        <v>3023</v>
      </c>
      <c r="H4898" s="340"/>
      <c r="I4898" s="340" t="s">
        <v>771</v>
      </c>
      <c r="K4898" s="343">
        <v>0</v>
      </c>
      <c r="L4898" s="343">
        <v>-0.65</v>
      </c>
      <c r="M4898" s="343">
        <v>-963951.18</v>
      </c>
      <c r="O4898" s="343">
        <v>0</v>
      </c>
    </row>
    <row r="4899" spans="1:15" x14ac:dyDescent="0.3">
      <c r="A4899" s="340" t="s">
        <v>891</v>
      </c>
      <c r="B4899" s="350">
        <v>46144</v>
      </c>
      <c r="C4899" s="350">
        <v>46148</v>
      </c>
      <c r="D4899" s="351">
        <v>46143</v>
      </c>
      <c r="E4899" s="340" t="s">
        <v>3204</v>
      </c>
      <c r="F4899" s="340" t="s">
        <v>894</v>
      </c>
      <c r="G4899" s="340" t="s">
        <v>3024</v>
      </c>
      <c r="H4899" s="340"/>
      <c r="I4899" s="340" t="s">
        <v>771</v>
      </c>
      <c r="K4899" s="343">
        <v>0</v>
      </c>
      <c r="L4899" s="343">
        <v>-1.33</v>
      </c>
      <c r="M4899" s="343">
        <v>-963952.51</v>
      </c>
      <c r="O4899" s="343">
        <v>0</v>
      </c>
    </row>
    <row r="4900" spans="1:15" x14ac:dyDescent="0.3">
      <c r="A4900" s="340" t="s">
        <v>891</v>
      </c>
      <c r="B4900" s="350">
        <v>46144</v>
      </c>
      <c r="C4900" s="350">
        <v>46148</v>
      </c>
      <c r="D4900" s="351">
        <v>46143</v>
      </c>
      <c r="E4900" s="340" t="s">
        <v>3204</v>
      </c>
      <c r="F4900" s="340" t="s">
        <v>894</v>
      </c>
      <c r="G4900" s="340" t="s">
        <v>3022</v>
      </c>
      <c r="H4900" s="340"/>
      <c r="I4900" s="340" t="s">
        <v>771</v>
      </c>
      <c r="K4900" s="343">
        <v>0</v>
      </c>
      <c r="L4900" s="343">
        <v>-0.18</v>
      </c>
      <c r="M4900" s="343">
        <v>-963952.69</v>
      </c>
      <c r="O4900" s="343">
        <v>0</v>
      </c>
    </row>
    <row r="4901" spans="1:15" x14ac:dyDescent="0.3">
      <c r="A4901" s="340" t="s">
        <v>891</v>
      </c>
      <c r="B4901" s="350">
        <v>46144</v>
      </c>
      <c r="C4901" s="350">
        <v>46148</v>
      </c>
      <c r="D4901" s="351">
        <v>46143</v>
      </c>
      <c r="E4901" s="340" t="s">
        <v>3204</v>
      </c>
      <c r="F4901" s="340" t="s">
        <v>894</v>
      </c>
      <c r="G4901" s="340" t="s">
        <v>3022</v>
      </c>
      <c r="H4901" s="340"/>
      <c r="I4901" s="340" t="s">
        <v>771</v>
      </c>
      <c r="K4901" s="343">
        <v>0</v>
      </c>
      <c r="L4901" s="343">
        <v>-0.25</v>
      </c>
      <c r="M4901" s="343">
        <v>-963952.94</v>
      </c>
      <c r="O4901" s="343">
        <v>0</v>
      </c>
    </row>
    <row r="4902" spans="1:15" x14ac:dyDescent="0.3">
      <c r="A4902" s="340" t="s">
        <v>891</v>
      </c>
      <c r="B4902" s="350">
        <v>46144</v>
      </c>
      <c r="C4902" s="350">
        <v>46148</v>
      </c>
      <c r="D4902" s="351">
        <v>46143</v>
      </c>
      <c r="E4902" s="340" t="s">
        <v>3204</v>
      </c>
      <c r="F4902" s="340" t="s">
        <v>894</v>
      </c>
      <c r="G4902" s="340" t="s">
        <v>3023</v>
      </c>
      <c r="H4902" s="340"/>
      <c r="I4902" s="340" t="s">
        <v>771</v>
      </c>
      <c r="K4902" s="343">
        <v>0</v>
      </c>
      <c r="L4902" s="343">
        <v>-0.37</v>
      </c>
      <c r="M4902" s="343">
        <v>-963953.31</v>
      </c>
      <c r="O4902" s="343">
        <v>0</v>
      </c>
    </row>
    <row r="4903" spans="1:15" x14ac:dyDescent="0.3">
      <c r="A4903" s="340" t="s">
        <v>891</v>
      </c>
      <c r="B4903" s="350">
        <v>46144</v>
      </c>
      <c r="C4903" s="350">
        <v>46148</v>
      </c>
      <c r="D4903" s="351">
        <v>46143</v>
      </c>
      <c r="E4903" s="340" t="s">
        <v>3204</v>
      </c>
      <c r="F4903" s="340" t="s">
        <v>894</v>
      </c>
      <c r="G4903" s="340" t="s">
        <v>3024</v>
      </c>
      <c r="H4903" s="340"/>
      <c r="I4903" s="340" t="s">
        <v>771</v>
      </c>
      <c r="K4903" s="343">
        <v>0</v>
      </c>
      <c r="L4903" s="343">
        <v>-0.75</v>
      </c>
      <c r="M4903" s="343">
        <v>-963954.06</v>
      </c>
      <c r="O4903" s="343">
        <v>0</v>
      </c>
    </row>
    <row r="4904" spans="1:15" x14ac:dyDescent="0.3">
      <c r="A4904" s="340" t="s">
        <v>891</v>
      </c>
      <c r="B4904" s="350">
        <v>46144</v>
      </c>
      <c r="C4904" s="350">
        <v>46148</v>
      </c>
      <c r="D4904" s="351">
        <v>46143</v>
      </c>
      <c r="E4904" s="340" t="s">
        <v>3204</v>
      </c>
      <c r="F4904" s="340" t="s">
        <v>894</v>
      </c>
      <c r="G4904" s="340" t="s">
        <v>3025</v>
      </c>
      <c r="H4904" s="340"/>
      <c r="I4904" s="340" t="s">
        <v>771</v>
      </c>
      <c r="K4904" s="343">
        <v>0</v>
      </c>
      <c r="L4904" s="343">
        <v>-2.12</v>
      </c>
      <c r="M4904" s="343">
        <v>-963956.18</v>
      </c>
      <c r="O4904" s="343">
        <v>0</v>
      </c>
    </row>
    <row r="4905" spans="1:15" x14ac:dyDescent="0.3">
      <c r="A4905" s="340" t="s">
        <v>891</v>
      </c>
      <c r="B4905" s="350">
        <v>46144</v>
      </c>
      <c r="C4905" s="350">
        <v>46148</v>
      </c>
      <c r="D4905" s="351">
        <v>46143</v>
      </c>
      <c r="E4905" s="340" t="s">
        <v>3204</v>
      </c>
      <c r="F4905" s="340" t="s">
        <v>894</v>
      </c>
      <c r="G4905" s="340" t="s">
        <v>3005</v>
      </c>
      <c r="H4905" s="340"/>
      <c r="I4905" s="340" t="s">
        <v>771</v>
      </c>
      <c r="K4905" s="343">
        <v>0</v>
      </c>
      <c r="L4905" s="343">
        <v>-8.51</v>
      </c>
      <c r="M4905" s="343">
        <v>-963964.69</v>
      </c>
      <c r="O4905" s="343">
        <v>0</v>
      </c>
    </row>
    <row r="4906" spans="1:15" x14ac:dyDescent="0.3">
      <c r="A4906" s="340" t="s">
        <v>891</v>
      </c>
      <c r="B4906" s="350">
        <v>46144</v>
      </c>
      <c r="C4906" s="350">
        <v>46148</v>
      </c>
      <c r="D4906" s="351">
        <v>46143</v>
      </c>
      <c r="E4906" s="340" t="s">
        <v>3204</v>
      </c>
      <c r="F4906" s="340" t="s">
        <v>894</v>
      </c>
      <c r="G4906" s="340" t="s">
        <v>3018</v>
      </c>
      <c r="H4906" s="340"/>
      <c r="I4906" s="340" t="s">
        <v>771</v>
      </c>
      <c r="K4906" s="343">
        <v>0</v>
      </c>
      <c r="L4906" s="343">
        <v>-0.06</v>
      </c>
      <c r="M4906" s="343">
        <v>-963964.75</v>
      </c>
      <c r="O4906" s="343">
        <v>0</v>
      </c>
    </row>
    <row r="4907" spans="1:15" x14ac:dyDescent="0.3">
      <c r="A4907" s="340" t="s">
        <v>891</v>
      </c>
      <c r="B4907" s="350">
        <v>46144</v>
      </c>
      <c r="C4907" s="350">
        <v>46148</v>
      </c>
      <c r="D4907" s="351">
        <v>46143</v>
      </c>
      <c r="E4907" s="340" t="s">
        <v>3204</v>
      </c>
      <c r="F4907" s="340" t="s">
        <v>894</v>
      </c>
      <c r="G4907" s="340" t="s">
        <v>3016</v>
      </c>
      <c r="H4907" s="340"/>
      <c r="I4907" s="340" t="s">
        <v>771</v>
      </c>
      <c r="K4907" s="343">
        <v>0</v>
      </c>
      <c r="L4907" s="343">
        <v>-0.02</v>
      </c>
      <c r="M4907" s="343">
        <v>-963964.77</v>
      </c>
      <c r="O4907" s="343">
        <v>0</v>
      </c>
    </row>
    <row r="4908" spans="1:15" x14ac:dyDescent="0.3">
      <c r="A4908" s="340" t="s">
        <v>891</v>
      </c>
      <c r="B4908" s="350">
        <v>46144</v>
      </c>
      <c r="C4908" s="350">
        <v>46148</v>
      </c>
      <c r="D4908" s="351">
        <v>46143</v>
      </c>
      <c r="E4908" s="340" t="s">
        <v>3204</v>
      </c>
      <c r="F4908" s="340" t="s">
        <v>894</v>
      </c>
      <c r="G4908" s="340" t="s">
        <v>3020</v>
      </c>
      <c r="H4908" s="340"/>
      <c r="I4908" s="340" t="s">
        <v>771</v>
      </c>
      <c r="K4908" s="343">
        <v>0</v>
      </c>
      <c r="L4908" s="343">
        <v>-0.13</v>
      </c>
      <c r="M4908" s="343">
        <v>-963964.9</v>
      </c>
      <c r="O4908" s="343">
        <v>0</v>
      </c>
    </row>
    <row r="4909" spans="1:15" x14ac:dyDescent="0.3">
      <c r="A4909" s="340" t="s">
        <v>891</v>
      </c>
      <c r="B4909" s="350">
        <v>46144</v>
      </c>
      <c r="C4909" s="350">
        <v>46148</v>
      </c>
      <c r="D4909" s="351">
        <v>46143</v>
      </c>
      <c r="E4909" s="340" t="s">
        <v>3204</v>
      </c>
      <c r="F4909" s="340" t="s">
        <v>894</v>
      </c>
      <c r="G4909" s="340" t="s">
        <v>3019</v>
      </c>
      <c r="H4909" s="340"/>
      <c r="I4909" s="340" t="s">
        <v>771</v>
      </c>
      <c r="K4909" s="343">
        <v>0</v>
      </c>
      <c r="L4909" s="343">
        <v>-0.01</v>
      </c>
      <c r="M4909" s="343">
        <v>-963964.91</v>
      </c>
      <c r="O4909" s="343">
        <v>0</v>
      </c>
    </row>
    <row r="4910" spans="1:15" x14ac:dyDescent="0.3">
      <c r="A4910" s="340" t="s">
        <v>891</v>
      </c>
      <c r="B4910" s="350">
        <v>46144</v>
      </c>
      <c r="C4910" s="350">
        <v>46148</v>
      </c>
      <c r="D4910" s="351">
        <v>46143</v>
      </c>
      <c r="E4910" s="340" t="s">
        <v>3204</v>
      </c>
      <c r="F4910" s="340" t="s">
        <v>894</v>
      </c>
      <c r="G4910" s="340" t="s">
        <v>3016</v>
      </c>
      <c r="H4910" s="340"/>
      <c r="I4910" s="340" t="s">
        <v>771</v>
      </c>
      <c r="K4910" s="343">
        <v>0</v>
      </c>
      <c r="L4910" s="343">
        <v>-0.03</v>
      </c>
      <c r="M4910" s="343">
        <v>-963964.94</v>
      </c>
      <c r="O4910" s="343">
        <v>0</v>
      </c>
    </row>
    <row r="4911" spans="1:15" x14ac:dyDescent="0.3">
      <c r="A4911" s="340" t="s">
        <v>891</v>
      </c>
      <c r="B4911" s="350">
        <v>46144</v>
      </c>
      <c r="C4911" s="350">
        <v>46148</v>
      </c>
      <c r="D4911" s="351">
        <v>46143</v>
      </c>
      <c r="E4911" s="340" t="s">
        <v>3204</v>
      </c>
      <c r="F4911" s="340" t="s">
        <v>894</v>
      </c>
      <c r="G4911" s="340" t="s">
        <v>3020</v>
      </c>
      <c r="H4911" s="340"/>
      <c r="I4911" s="340" t="s">
        <v>771</v>
      </c>
      <c r="K4911" s="343">
        <v>0</v>
      </c>
      <c r="L4911" s="343">
        <v>-0.15</v>
      </c>
      <c r="M4911" s="343">
        <v>-963965.09</v>
      </c>
      <c r="O4911" s="343">
        <v>0</v>
      </c>
    </row>
    <row r="4912" spans="1:15" x14ac:dyDescent="0.3">
      <c r="A4912" s="340" t="s">
        <v>891</v>
      </c>
      <c r="B4912" s="350">
        <v>46144</v>
      </c>
      <c r="C4912" s="350">
        <v>46148</v>
      </c>
      <c r="D4912" s="351">
        <v>46143</v>
      </c>
      <c r="E4912" s="340" t="s">
        <v>3204</v>
      </c>
      <c r="F4912" s="340" t="s">
        <v>894</v>
      </c>
      <c r="G4912" s="340" t="s">
        <v>3022</v>
      </c>
      <c r="H4912" s="340"/>
      <c r="I4912" s="340" t="s">
        <v>771</v>
      </c>
      <c r="K4912" s="343">
        <v>0</v>
      </c>
      <c r="L4912" s="343">
        <v>-0.31</v>
      </c>
      <c r="M4912" s="343">
        <v>-963965.4</v>
      </c>
      <c r="O4912" s="343">
        <v>0</v>
      </c>
    </row>
    <row r="4913" spans="1:15" x14ac:dyDescent="0.3">
      <c r="A4913" s="340" t="s">
        <v>891</v>
      </c>
      <c r="B4913" s="350">
        <v>46144</v>
      </c>
      <c r="C4913" s="350">
        <v>46148</v>
      </c>
      <c r="D4913" s="351">
        <v>46143</v>
      </c>
      <c r="E4913" s="340" t="s">
        <v>3204</v>
      </c>
      <c r="F4913" s="340" t="s">
        <v>894</v>
      </c>
      <c r="G4913" s="340" t="s">
        <v>3023</v>
      </c>
      <c r="H4913" s="340"/>
      <c r="I4913" s="340" t="s">
        <v>771</v>
      </c>
      <c r="K4913" s="343">
        <v>0</v>
      </c>
      <c r="L4913" s="343">
        <v>-0.56999999999999995</v>
      </c>
      <c r="M4913" s="343">
        <v>-963965.97</v>
      </c>
      <c r="O4913" s="343">
        <v>0</v>
      </c>
    </row>
    <row r="4914" spans="1:15" x14ac:dyDescent="0.3">
      <c r="A4914" s="340" t="s">
        <v>891</v>
      </c>
      <c r="B4914" s="350">
        <v>46144</v>
      </c>
      <c r="C4914" s="350">
        <v>46148</v>
      </c>
      <c r="D4914" s="351">
        <v>46143</v>
      </c>
      <c r="E4914" s="340" t="s">
        <v>3204</v>
      </c>
      <c r="F4914" s="340" t="s">
        <v>894</v>
      </c>
      <c r="G4914" s="340" t="s">
        <v>3024</v>
      </c>
      <c r="H4914" s="340"/>
      <c r="I4914" s="340" t="s">
        <v>771</v>
      </c>
      <c r="K4914" s="343">
        <v>0</v>
      </c>
      <c r="L4914" s="343">
        <v>-1.1499999999999999</v>
      </c>
      <c r="M4914" s="343">
        <v>-963967.12</v>
      </c>
      <c r="O4914" s="343">
        <v>0</v>
      </c>
    </row>
    <row r="4915" spans="1:15" x14ac:dyDescent="0.3">
      <c r="A4915" s="340" t="s">
        <v>891</v>
      </c>
      <c r="B4915" s="350">
        <v>46144</v>
      </c>
      <c r="C4915" s="350">
        <v>46148</v>
      </c>
      <c r="D4915" s="351">
        <v>46143</v>
      </c>
      <c r="E4915" s="340" t="s">
        <v>3204</v>
      </c>
      <c r="F4915" s="340" t="s">
        <v>894</v>
      </c>
      <c r="G4915" s="340" t="s">
        <v>3017</v>
      </c>
      <c r="H4915" s="340"/>
      <c r="I4915" s="340" t="s">
        <v>771</v>
      </c>
      <c r="K4915" s="343">
        <v>0</v>
      </c>
      <c r="L4915" s="343">
        <v>-2.2599999999999998</v>
      </c>
      <c r="M4915" s="343">
        <v>-963969.38</v>
      </c>
      <c r="O4915" s="343">
        <v>0</v>
      </c>
    </row>
    <row r="4916" spans="1:15" x14ac:dyDescent="0.3">
      <c r="A4916" s="340" t="s">
        <v>891</v>
      </c>
      <c r="B4916" s="350">
        <v>46144</v>
      </c>
      <c r="C4916" s="350">
        <v>46148</v>
      </c>
      <c r="D4916" s="351">
        <v>46143</v>
      </c>
      <c r="E4916" s="340" t="s">
        <v>3204</v>
      </c>
      <c r="F4916" s="340" t="s">
        <v>894</v>
      </c>
      <c r="G4916" s="340" t="s">
        <v>3025</v>
      </c>
      <c r="H4916" s="340"/>
      <c r="I4916" s="340" t="s">
        <v>771</v>
      </c>
      <c r="K4916" s="343">
        <v>0</v>
      </c>
      <c r="L4916" s="343">
        <v>-3.27</v>
      </c>
      <c r="M4916" s="343">
        <v>-963972.65</v>
      </c>
      <c r="O4916" s="343">
        <v>0</v>
      </c>
    </row>
    <row r="4917" spans="1:15" x14ac:dyDescent="0.3">
      <c r="A4917" s="340" t="s">
        <v>891</v>
      </c>
      <c r="B4917" s="350">
        <v>46144</v>
      </c>
      <c r="C4917" s="350">
        <v>46148</v>
      </c>
      <c r="D4917" s="351">
        <v>46143</v>
      </c>
      <c r="E4917" s="340" t="s">
        <v>3204</v>
      </c>
      <c r="F4917" s="340" t="s">
        <v>894</v>
      </c>
      <c r="G4917" s="340" t="s">
        <v>3026</v>
      </c>
      <c r="H4917" s="340"/>
      <c r="I4917" s="340" t="s">
        <v>771</v>
      </c>
      <c r="K4917" s="343">
        <v>0</v>
      </c>
      <c r="L4917" s="343">
        <v>-3.83</v>
      </c>
      <c r="M4917" s="343">
        <v>-963976.48</v>
      </c>
      <c r="O4917" s="343">
        <v>0</v>
      </c>
    </row>
    <row r="4918" spans="1:15" x14ac:dyDescent="0.3">
      <c r="A4918" s="340" t="s">
        <v>891</v>
      </c>
      <c r="B4918" s="350">
        <v>46144</v>
      </c>
      <c r="C4918" s="350">
        <v>46148</v>
      </c>
      <c r="D4918" s="351">
        <v>46143</v>
      </c>
      <c r="E4918" s="340" t="s">
        <v>3204</v>
      </c>
      <c r="F4918" s="340" t="s">
        <v>894</v>
      </c>
      <c r="G4918" s="340" t="s">
        <v>3021</v>
      </c>
      <c r="H4918" s="340"/>
      <c r="I4918" s="340" t="s">
        <v>771</v>
      </c>
      <c r="K4918" s="343">
        <v>0</v>
      </c>
      <c r="L4918" s="343">
        <v>-4.6100000000000003</v>
      </c>
      <c r="M4918" s="343">
        <v>-963981.09</v>
      </c>
      <c r="O4918" s="343">
        <v>0</v>
      </c>
    </row>
    <row r="4919" spans="1:15" x14ac:dyDescent="0.3">
      <c r="A4919" s="340" t="s">
        <v>891</v>
      </c>
      <c r="B4919" s="350">
        <v>46144</v>
      </c>
      <c r="C4919" s="350">
        <v>46148</v>
      </c>
      <c r="D4919" s="351">
        <v>46143</v>
      </c>
      <c r="E4919" s="340" t="s">
        <v>3204</v>
      </c>
      <c r="F4919" s="340" t="s">
        <v>894</v>
      </c>
      <c r="G4919" s="340" t="s">
        <v>3018</v>
      </c>
      <c r="H4919" s="340"/>
      <c r="I4919" s="340" t="s">
        <v>771</v>
      </c>
      <c r="K4919" s="343">
        <v>0</v>
      </c>
      <c r="L4919" s="343">
        <v>-0.09</v>
      </c>
      <c r="M4919" s="343">
        <v>-963981.18</v>
      </c>
      <c r="O4919" s="343">
        <v>0</v>
      </c>
    </row>
    <row r="4920" spans="1:15" x14ac:dyDescent="0.3">
      <c r="A4920" s="340" t="s">
        <v>891</v>
      </c>
      <c r="B4920" s="350">
        <v>46144</v>
      </c>
      <c r="C4920" s="350">
        <v>46148</v>
      </c>
      <c r="D4920" s="351">
        <v>46143</v>
      </c>
      <c r="E4920" s="340" t="s">
        <v>3204</v>
      </c>
      <c r="F4920" s="340" t="s">
        <v>894</v>
      </c>
      <c r="G4920" s="340" t="s">
        <v>3016</v>
      </c>
      <c r="H4920" s="340"/>
      <c r="I4920" s="340" t="s">
        <v>771</v>
      </c>
      <c r="K4920" s="343">
        <v>0</v>
      </c>
      <c r="L4920" s="343">
        <v>-0.02</v>
      </c>
      <c r="M4920" s="343">
        <v>-963981.2</v>
      </c>
      <c r="O4920" s="343">
        <v>0</v>
      </c>
    </row>
    <row r="4921" spans="1:15" x14ac:dyDescent="0.3">
      <c r="A4921" s="340" t="s">
        <v>891</v>
      </c>
      <c r="B4921" s="350">
        <v>46144</v>
      </c>
      <c r="C4921" s="350">
        <v>46148</v>
      </c>
      <c r="D4921" s="351">
        <v>46143</v>
      </c>
      <c r="E4921" s="340" t="s">
        <v>3204</v>
      </c>
      <c r="F4921" s="340" t="s">
        <v>894</v>
      </c>
      <c r="G4921" s="340" t="s">
        <v>3022</v>
      </c>
      <c r="H4921" s="340"/>
      <c r="I4921" s="340" t="s">
        <v>771</v>
      </c>
      <c r="K4921" s="343">
        <v>0</v>
      </c>
      <c r="L4921" s="343">
        <v>-0.28000000000000003</v>
      </c>
      <c r="M4921" s="343">
        <v>-963981.48</v>
      </c>
      <c r="O4921" s="343">
        <v>0</v>
      </c>
    </row>
    <row r="4922" spans="1:15" x14ac:dyDescent="0.3">
      <c r="A4922" s="340" t="s">
        <v>891</v>
      </c>
      <c r="B4922" s="350">
        <v>46144</v>
      </c>
      <c r="C4922" s="350">
        <v>46148</v>
      </c>
      <c r="D4922" s="351">
        <v>46143</v>
      </c>
      <c r="E4922" s="340" t="s">
        <v>3204</v>
      </c>
      <c r="F4922" s="340" t="s">
        <v>894</v>
      </c>
      <c r="G4922" s="340" t="s">
        <v>3020</v>
      </c>
      <c r="H4922" s="340"/>
      <c r="I4922" s="340" t="s">
        <v>771</v>
      </c>
      <c r="K4922" s="343">
        <v>0</v>
      </c>
      <c r="L4922" s="343">
        <v>-0.14000000000000001</v>
      </c>
      <c r="M4922" s="343">
        <v>-963981.62</v>
      </c>
      <c r="O4922" s="343">
        <v>0</v>
      </c>
    </row>
    <row r="4923" spans="1:15" x14ac:dyDescent="0.3">
      <c r="A4923" s="340" t="s">
        <v>891</v>
      </c>
      <c r="B4923" s="350">
        <v>46144</v>
      </c>
      <c r="C4923" s="350">
        <v>46148</v>
      </c>
      <c r="D4923" s="351">
        <v>46143</v>
      </c>
      <c r="E4923" s="340" t="s">
        <v>3204</v>
      </c>
      <c r="F4923" s="340" t="s">
        <v>894</v>
      </c>
      <c r="G4923" s="340" t="s">
        <v>3018</v>
      </c>
      <c r="H4923" s="340"/>
      <c r="I4923" s="340" t="s">
        <v>771</v>
      </c>
      <c r="K4923" s="343">
        <v>0</v>
      </c>
      <c r="L4923" s="343">
        <v>-0.03</v>
      </c>
      <c r="M4923" s="343">
        <v>-963981.65</v>
      </c>
      <c r="O4923" s="343">
        <v>0</v>
      </c>
    </row>
    <row r="4924" spans="1:15" x14ac:dyDescent="0.3">
      <c r="A4924" s="340" t="s">
        <v>891</v>
      </c>
      <c r="B4924" s="350">
        <v>46144</v>
      </c>
      <c r="C4924" s="350">
        <v>46148</v>
      </c>
      <c r="D4924" s="351">
        <v>46143</v>
      </c>
      <c r="E4924" s="340" t="s">
        <v>3204</v>
      </c>
      <c r="F4924" s="340" t="s">
        <v>894</v>
      </c>
      <c r="G4924" s="340" t="s">
        <v>3016</v>
      </c>
      <c r="H4924" s="340"/>
      <c r="I4924" s="340" t="s">
        <v>771</v>
      </c>
      <c r="K4924" s="343">
        <v>0</v>
      </c>
      <c r="L4924" s="343">
        <v>-0.01</v>
      </c>
      <c r="M4924" s="343">
        <v>-963981.66</v>
      </c>
      <c r="O4924" s="343">
        <v>0</v>
      </c>
    </row>
    <row r="4925" spans="1:15" x14ac:dyDescent="0.3">
      <c r="A4925" s="340" t="s">
        <v>891</v>
      </c>
      <c r="B4925" s="350">
        <v>46144</v>
      </c>
      <c r="C4925" s="350">
        <v>46148</v>
      </c>
      <c r="D4925" s="351">
        <v>46143</v>
      </c>
      <c r="E4925" s="340" t="s">
        <v>3204</v>
      </c>
      <c r="F4925" s="340" t="s">
        <v>894</v>
      </c>
      <c r="G4925" s="340" t="s">
        <v>3016</v>
      </c>
      <c r="H4925" s="340"/>
      <c r="I4925" s="340" t="s">
        <v>771</v>
      </c>
      <c r="K4925" s="343">
        <v>0</v>
      </c>
      <c r="L4925" s="343">
        <v>-0.02</v>
      </c>
      <c r="M4925" s="343">
        <v>-963981.68</v>
      </c>
      <c r="O4925" s="343">
        <v>0</v>
      </c>
    </row>
    <row r="4926" spans="1:15" x14ac:dyDescent="0.3">
      <c r="A4926" s="340" t="s">
        <v>891</v>
      </c>
      <c r="B4926" s="350">
        <v>46144</v>
      </c>
      <c r="C4926" s="350">
        <v>46148</v>
      </c>
      <c r="D4926" s="351">
        <v>46143</v>
      </c>
      <c r="E4926" s="340" t="s">
        <v>3204</v>
      </c>
      <c r="F4926" s="340" t="s">
        <v>894</v>
      </c>
      <c r="G4926" s="340" t="s">
        <v>3024</v>
      </c>
      <c r="H4926" s="340"/>
      <c r="I4926" s="340" t="s">
        <v>771</v>
      </c>
      <c r="K4926" s="343">
        <v>0</v>
      </c>
      <c r="L4926" s="343">
        <v>-0.41</v>
      </c>
      <c r="M4926" s="343">
        <v>-963982.09</v>
      </c>
      <c r="O4926" s="343">
        <v>0</v>
      </c>
    </row>
    <row r="4927" spans="1:15" x14ac:dyDescent="0.3">
      <c r="A4927" s="340" t="s">
        <v>891</v>
      </c>
      <c r="B4927" s="350">
        <v>46144</v>
      </c>
      <c r="C4927" s="350">
        <v>46148</v>
      </c>
      <c r="D4927" s="351">
        <v>46143</v>
      </c>
      <c r="E4927" s="340" t="s">
        <v>3204</v>
      </c>
      <c r="F4927" s="340" t="s">
        <v>894</v>
      </c>
      <c r="G4927" s="340" t="s">
        <v>3025</v>
      </c>
      <c r="H4927" s="340"/>
      <c r="I4927" s="340" t="s">
        <v>771</v>
      </c>
      <c r="K4927" s="343">
        <v>0</v>
      </c>
      <c r="L4927" s="343">
        <v>-1.1599999999999999</v>
      </c>
      <c r="M4927" s="343">
        <v>-963983.25</v>
      </c>
      <c r="O4927" s="343">
        <v>0</v>
      </c>
    </row>
    <row r="4928" spans="1:15" x14ac:dyDescent="0.3">
      <c r="A4928" s="340" t="s">
        <v>891</v>
      </c>
      <c r="B4928" s="350">
        <v>46144</v>
      </c>
      <c r="C4928" s="350">
        <v>46148</v>
      </c>
      <c r="D4928" s="351">
        <v>46143</v>
      </c>
      <c r="E4928" s="340" t="s">
        <v>3204</v>
      </c>
      <c r="F4928" s="340" t="s">
        <v>894</v>
      </c>
      <c r="G4928" s="340" t="s">
        <v>3026</v>
      </c>
      <c r="H4928" s="340"/>
      <c r="I4928" s="340" t="s">
        <v>771</v>
      </c>
      <c r="K4928" s="343">
        <v>0</v>
      </c>
      <c r="L4928" s="343">
        <v>-1.36</v>
      </c>
      <c r="M4928" s="343">
        <v>-963984.61</v>
      </c>
      <c r="O4928" s="343">
        <v>0</v>
      </c>
    </row>
    <row r="4929" spans="1:15" x14ac:dyDescent="0.3">
      <c r="A4929" s="340" t="s">
        <v>891</v>
      </c>
      <c r="B4929" s="350">
        <v>46144</v>
      </c>
      <c r="C4929" s="350">
        <v>46148</v>
      </c>
      <c r="D4929" s="351">
        <v>46143</v>
      </c>
      <c r="E4929" s="340" t="s">
        <v>3204</v>
      </c>
      <c r="F4929" s="340" t="s">
        <v>894</v>
      </c>
      <c r="G4929" s="340" t="s">
        <v>3017</v>
      </c>
      <c r="H4929" s="340"/>
      <c r="I4929" s="340" t="s">
        <v>771</v>
      </c>
      <c r="K4929" s="343">
        <v>0</v>
      </c>
      <c r="L4929" s="343">
        <v>-2.2599999999999998</v>
      </c>
      <c r="M4929" s="343">
        <v>-963986.87</v>
      </c>
      <c r="O4929" s="343">
        <v>0</v>
      </c>
    </row>
    <row r="4930" spans="1:15" x14ac:dyDescent="0.3">
      <c r="A4930" s="340" t="s">
        <v>891</v>
      </c>
      <c r="B4930" s="350">
        <v>46144</v>
      </c>
      <c r="C4930" s="350">
        <v>46148</v>
      </c>
      <c r="D4930" s="351">
        <v>46143</v>
      </c>
      <c r="E4930" s="340" t="s">
        <v>3204</v>
      </c>
      <c r="F4930" s="340" t="s">
        <v>894</v>
      </c>
      <c r="G4930" s="340" t="s">
        <v>3021</v>
      </c>
      <c r="H4930" s="340"/>
      <c r="I4930" s="340" t="s">
        <v>771</v>
      </c>
      <c r="K4930" s="343">
        <v>0</v>
      </c>
      <c r="L4930" s="343">
        <v>-4.6100000000000003</v>
      </c>
      <c r="M4930" s="343">
        <v>-963991.48</v>
      </c>
      <c r="O4930" s="343">
        <v>0</v>
      </c>
    </row>
    <row r="4931" spans="1:15" x14ac:dyDescent="0.3">
      <c r="A4931" s="340" t="s">
        <v>891</v>
      </c>
      <c r="B4931" s="350">
        <v>46144</v>
      </c>
      <c r="C4931" s="350">
        <v>46148</v>
      </c>
      <c r="D4931" s="351">
        <v>46143</v>
      </c>
      <c r="E4931" s="340" t="s">
        <v>3204</v>
      </c>
      <c r="F4931" s="340" t="s">
        <v>894</v>
      </c>
      <c r="G4931" s="340" t="s">
        <v>3005</v>
      </c>
      <c r="H4931" s="340"/>
      <c r="I4931" s="340" t="s">
        <v>771</v>
      </c>
      <c r="K4931" s="343">
        <v>0</v>
      </c>
      <c r="L4931" s="343">
        <v>-4.6500000000000004</v>
      </c>
      <c r="M4931" s="343">
        <v>-963996.13</v>
      </c>
      <c r="O4931" s="343">
        <v>0</v>
      </c>
    </row>
    <row r="4932" spans="1:15" x14ac:dyDescent="0.3">
      <c r="A4932" s="340" t="s">
        <v>891</v>
      </c>
      <c r="B4932" s="350">
        <v>46144</v>
      </c>
      <c r="C4932" s="350">
        <v>46148</v>
      </c>
      <c r="D4932" s="351">
        <v>46143</v>
      </c>
      <c r="E4932" s="340" t="s">
        <v>3204</v>
      </c>
      <c r="F4932" s="340" t="s">
        <v>894</v>
      </c>
      <c r="G4932" s="340" t="s">
        <v>3019</v>
      </c>
      <c r="H4932" s="340"/>
      <c r="I4932" s="340" t="s">
        <v>771</v>
      </c>
      <c r="K4932" s="343">
        <v>0</v>
      </c>
      <c r="L4932" s="343">
        <v>-0.01</v>
      </c>
      <c r="M4932" s="343">
        <v>-963996.14</v>
      </c>
      <c r="O4932" s="343">
        <v>0</v>
      </c>
    </row>
    <row r="4933" spans="1:15" x14ac:dyDescent="0.3">
      <c r="A4933" s="340" t="s">
        <v>891</v>
      </c>
      <c r="B4933" s="350">
        <v>46144</v>
      </c>
      <c r="C4933" s="350">
        <v>46148</v>
      </c>
      <c r="D4933" s="351">
        <v>46143</v>
      </c>
      <c r="E4933" s="340" t="s">
        <v>3204</v>
      </c>
      <c r="F4933" s="340" t="s">
        <v>894</v>
      </c>
      <c r="G4933" s="340" t="s">
        <v>3024</v>
      </c>
      <c r="H4933" s="340"/>
      <c r="I4933" s="340" t="s">
        <v>771</v>
      </c>
      <c r="K4933" s="343">
        <v>0</v>
      </c>
      <c r="L4933" s="343">
        <v>-0.74</v>
      </c>
      <c r="M4933" s="343">
        <v>-963996.88</v>
      </c>
      <c r="O4933" s="343">
        <v>0</v>
      </c>
    </row>
    <row r="4934" spans="1:15" x14ac:dyDescent="0.3">
      <c r="A4934" s="340" t="s">
        <v>891</v>
      </c>
      <c r="B4934" s="350">
        <v>46144</v>
      </c>
      <c r="C4934" s="350">
        <v>46148</v>
      </c>
      <c r="D4934" s="351">
        <v>46143</v>
      </c>
      <c r="E4934" s="340" t="s">
        <v>3204</v>
      </c>
      <c r="F4934" s="340" t="s">
        <v>894</v>
      </c>
      <c r="G4934" s="340" t="s">
        <v>3025</v>
      </c>
      <c r="H4934" s="340"/>
      <c r="I4934" s="340" t="s">
        <v>771</v>
      </c>
      <c r="K4934" s="343">
        <v>0</v>
      </c>
      <c r="L4934" s="343">
        <v>-2.11</v>
      </c>
      <c r="M4934" s="343">
        <v>-963998.99</v>
      </c>
      <c r="O4934" s="343">
        <v>0</v>
      </c>
    </row>
    <row r="4935" spans="1:15" x14ac:dyDescent="0.3">
      <c r="A4935" s="340" t="s">
        <v>891</v>
      </c>
      <c r="B4935" s="350">
        <v>46144</v>
      </c>
      <c r="C4935" s="350">
        <v>46148</v>
      </c>
      <c r="D4935" s="351">
        <v>46143</v>
      </c>
      <c r="E4935" s="340" t="s">
        <v>3204</v>
      </c>
      <c r="F4935" s="340" t="s">
        <v>894</v>
      </c>
      <c r="G4935" s="340" t="s">
        <v>3017</v>
      </c>
      <c r="H4935" s="340"/>
      <c r="I4935" s="340" t="s">
        <v>771</v>
      </c>
      <c r="K4935" s="343">
        <v>0</v>
      </c>
      <c r="L4935" s="343">
        <v>-2.2599999999999998</v>
      </c>
      <c r="M4935" s="343">
        <v>-964001.25</v>
      </c>
      <c r="O4935" s="343">
        <v>0</v>
      </c>
    </row>
    <row r="4936" spans="1:15" x14ac:dyDescent="0.3">
      <c r="A4936" s="340" t="s">
        <v>891</v>
      </c>
      <c r="B4936" s="350">
        <v>46144</v>
      </c>
      <c r="C4936" s="350">
        <v>46148</v>
      </c>
      <c r="D4936" s="351">
        <v>46143</v>
      </c>
      <c r="E4936" s="340" t="s">
        <v>3204</v>
      </c>
      <c r="F4936" s="340" t="s">
        <v>894</v>
      </c>
      <c r="G4936" s="340" t="s">
        <v>3026</v>
      </c>
      <c r="H4936" s="340"/>
      <c r="I4936" s="340" t="s">
        <v>771</v>
      </c>
      <c r="K4936" s="343">
        <v>0</v>
      </c>
      <c r="L4936" s="343">
        <v>-2.4700000000000002</v>
      </c>
      <c r="M4936" s="343">
        <v>-964003.72</v>
      </c>
      <c r="O4936" s="343">
        <v>0</v>
      </c>
    </row>
    <row r="4937" spans="1:15" x14ac:dyDescent="0.3">
      <c r="A4937" s="340" t="s">
        <v>891</v>
      </c>
      <c r="B4937" s="350">
        <v>46144</v>
      </c>
      <c r="C4937" s="350">
        <v>46148</v>
      </c>
      <c r="D4937" s="351">
        <v>46143</v>
      </c>
      <c r="E4937" s="340" t="s">
        <v>3204</v>
      </c>
      <c r="F4937" s="340" t="s">
        <v>894</v>
      </c>
      <c r="G4937" s="340" t="s">
        <v>3021</v>
      </c>
      <c r="H4937" s="340"/>
      <c r="I4937" s="340" t="s">
        <v>771</v>
      </c>
      <c r="K4937" s="343">
        <v>0</v>
      </c>
      <c r="L4937" s="343">
        <v>-4.6100000000000003</v>
      </c>
      <c r="M4937" s="343">
        <v>-964008.33</v>
      </c>
      <c r="O4937" s="343">
        <v>0</v>
      </c>
    </row>
    <row r="4938" spans="1:15" x14ac:dyDescent="0.3">
      <c r="A4938" s="340" t="s">
        <v>891</v>
      </c>
      <c r="B4938" s="350">
        <v>46144</v>
      </c>
      <c r="C4938" s="350">
        <v>46148</v>
      </c>
      <c r="D4938" s="351">
        <v>46143</v>
      </c>
      <c r="E4938" s="340" t="s">
        <v>3204</v>
      </c>
      <c r="F4938" s="340" t="s">
        <v>894</v>
      </c>
      <c r="G4938" s="340" t="s">
        <v>3005</v>
      </c>
      <c r="H4938" s="340"/>
      <c r="I4938" s="340" t="s">
        <v>771</v>
      </c>
      <c r="K4938" s="343">
        <v>0</v>
      </c>
      <c r="L4938" s="343">
        <v>-8.43</v>
      </c>
      <c r="M4938" s="343">
        <v>-964016.76</v>
      </c>
      <c r="O4938" s="343">
        <v>0</v>
      </c>
    </row>
    <row r="4939" spans="1:15" x14ac:dyDescent="0.3">
      <c r="A4939" s="340" t="s">
        <v>891</v>
      </c>
      <c r="B4939" s="350">
        <v>46144</v>
      </c>
      <c r="C4939" s="350">
        <v>46148</v>
      </c>
      <c r="D4939" s="351">
        <v>46143</v>
      </c>
      <c r="E4939" s="340" t="s">
        <v>3204</v>
      </c>
      <c r="F4939" s="340" t="s">
        <v>894</v>
      </c>
      <c r="G4939" s="340" t="s">
        <v>3022</v>
      </c>
      <c r="H4939" s="340"/>
      <c r="I4939" s="340" t="s">
        <v>771</v>
      </c>
      <c r="K4939" s="343">
        <v>0</v>
      </c>
      <c r="L4939" s="343">
        <v>-0.25</v>
      </c>
      <c r="M4939" s="343">
        <v>-964017.01</v>
      </c>
      <c r="O4939" s="343">
        <v>0</v>
      </c>
    </row>
    <row r="4940" spans="1:15" x14ac:dyDescent="0.3">
      <c r="A4940" s="340" t="s">
        <v>891</v>
      </c>
      <c r="B4940" s="350">
        <v>46144</v>
      </c>
      <c r="C4940" s="350">
        <v>46148</v>
      </c>
      <c r="D4940" s="351">
        <v>46143</v>
      </c>
      <c r="E4940" s="340" t="s">
        <v>3204</v>
      </c>
      <c r="F4940" s="340" t="s">
        <v>894</v>
      </c>
      <c r="G4940" s="340" t="s">
        <v>3019</v>
      </c>
      <c r="H4940" s="340"/>
      <c r="I4940" s="340" t="s">
        <v>771</v>
      </c>
      <c r="K4940" s="343">
        <v>0</v>
      </c>
      <c r="L4940" s="343">
        <v>-0.01</v>
      </c>
      <c r="M4940" s="343">
        <v>-964017.02</v>
      </c>
      <c r="O4940" s="343">
        <v>0</v>
      </c>
    </row>
    <row r="4941" spans="1:15" x14ac:dyDescent="0.3">
      <c r="A4941" s="340" t="s">
        <v>891</v>
      </c>
      <c r="B4941" s="350">
        <v>46144</v>
      </c>
      <c r="C4941" s="350">
        <v>46148</v>
      </c>
      <c r="D4941" s="351">
        <v>46143</v>
      </c>
      <c r="E4941" s="340" t="s">
        <v>3204</v>
      </c>
      <c r="F4941" s="340" t="s">
        <v>894</v>
      </c>
      <c r="G4941" s="340" t="s">
        <v>3016</v>
      </c>
      <c r="H4941" s="340"/>
      <c r="I4941" s="340" t="s">
        <v>771</v>
      </c>
      <c r="K4941" s="343">
        <v>0</v>
      </c>
      <c r="L4941" s="343">
        <v>-0.01</v>
      </c>
      <c r="M4941" s="343">
        <v>-964017.03</v>
      </c>
      <c r="O4941" s="343">
        <v>0</v>
      </c>
    </row>
    <row r="4942" spans="1:15" x14ac:dyDescent="0.3">
      <c r="A4942" s="340" t="s">
        <v>891</v>
      </c>
      <c r="B4942" s="350">
        <v>46144</v>
      </c>
      <c r="C4942" s="350">
        <v>46148</v>
      </c>
      <c r="D4942" s="351">
        <v>46143</v>
      </c>
      <c r="E4942" s="340" t="s">
        <v>3204</v>
      </c>
      <c r="F4942" s="340" t="s">
        <v>894</v>
      </c>
      <c r="G4942" s="340" t="s">
        <v>3016</v>
      </c>
      <c r="H4942" s="340"/>
      <c r="I4942" s="340" t="s">
        <v>771</v>
      </c>
      <c r="K4942" s="343">
        <v>0</v>
      </c>
      <c r="L4942" s="343">
        <v>-0.02</v>
      </c>
      <c r="M4942" s="343">
        <v>-964017.05</v>
      </c>
      <c r="O4942" s="343">
        <v>0</v>
      </c>
    </row>
    <row r="4943" spans="1:15" x14ac:dyDescent="0.3">
      <c r="A4943" s="340" t="s">
        <v>891</v>
      </c>
      <c r="B4943" s="350">
        <v>46144</v>
      </c>
      <c r="C4943" s="350">
        <v>46148</v>
      </c>
      <c r="D4943" s="351">
        <v>46143</v>
      </c>
      <c r="E4943" s="340" t="s">
        <v>3204</v>
      </c>
      <c r="F4943" s="340" t="s">
        <v>894</v>
      </c>
      <c r="G4943" s="340" t="s">
        <v>3018</v>
      </c>
      <c r="H4943" s="340"/>
      <c r="I4943" s="340" t="s">
        <v>771</v>
      </c>
      <c r="K4943" s="343">
        <v>0</v>
      </c>
      <c r="L4943" s="343">
        <v>-0.05</v>
      </c>
      <c r="M4943" s="343">
        <v>-964017.1</v>
      </c>
      <c r="O4943" s="343">
        <v>0</v>
      </c>
    </row>
    <row r="4944" spans="1:15" x14ac:dyDescent="0.3">
      <c r="A4944" s="340" t="s">
        <v>891</v>
      </c>
      <c r="B4944" s="350">
        <v>46144</v>
      </c>
      <c r="C4944" s="350">
        <v>46148</v>
      </c>
      <c r="D4944" s="351">
        <v>46143</v>
      </c>
      <c r="E4944" s="340" t="s">
        <v>3204</v>
      </c>
      <c r="F4944" s="340" t="s">
        <v>894</v>
      </c>
      <c r="G4944" s="340" t="s">
        <v>3020</v>
      </c>
      <c r="H4944" s="340"/>
      <c r="I4944" s="340" t="s">
        <v>771</v>
      </c>
      <c r="K4944" s="343">
        <v>0</v>
      </c>
      <c r="L4944" s="343">
        <v>-0.08</v>
      </c>
      <c r="M4944" s="343">
        <v>-964017.18</v>
      </c>
      <c r="O4944" s="343">
        <v>0</v>
      </c>
    </row>
    <row r="4945" spans="1:15" x14ac:dyDescent="0.3">
      <c r="A4945" s="340" t="s">
        <v>891</v>
      </c>
      <c r="B4945" s="350">
        <v>46144</v>
      </c>
      <c r="C4945" s="350">
        <v>46148</v>
      </c>
      <c r="D4945" s="351">
        <v>46143</v>
      </c>
      <c r="E4945" s="340" t="s">
        <v>3204</v>
      </c>
      <c r="F4945" s="340" t="s">
        <v>894</v>
      </c>
      <c r="G4945" s="340" t="s">
        <v>3020</v>
      </c>
      <c r="H4945" s="340"/>
      <c r="I4945" s="340" t="s">
        <v>771</v>
      </c>
      <c r="K4945" s="343">
        <v>0</v>
      </c>
      <c r="L4945" s="343">
        <v>-0.12</v>
      </c>
      <c r="M4945" s="343">
        <v>-964017.3</v>
      </c>
      <c r="O4945" s="343">
        <v>0</v>
      </c>
    </row>
    <row r="4946" spans="1:15" x14ac:dyDescent="0.3">
      <c r="A4946" s="340" t="s">
        <v>891</v>
      </c>
      <c r="B4946" s="350">
        <v>46144</v>
      </c>
      <c r="C4946" s="350">
        <v>46148</v>
      </c>
      <c r="D4946" s="351">
        <v>46143</v>
      </c>
      <c r="E4946" s="340" t="s">
        <v>3204</v>
      </c>
      <c r="F4946" s="340" t="s">
        <v>894</v>
      </c>
      <c r="G4946" s="340" t="s">
        <v>3022</v>
      </c>
      <c r="H4946" s="340"/>
      <c r="I4946" s="340" t="s">
        <v>771</v>
      </c>
      <c r="K4946" s="343">
        <v>0</v>
      </c>
      <c r="L4946" s="343">
        <v>-0.15</v>
      </c>
      <c r="M4946" s="343">
        <v>-964017.45</v>
      </c>
      <c r="O4946" s="343">
        <v>0</v>
      </c>
    </row>
    <row r="4947" spans="1:15" x14ac:dyDescent="0.3">
      <c r="A4947" s="340" t="s">
        <v>891</v>
      </c>
      <c r="B4947" s="350">
        <v>46144</v>
      </c>
      <c r="C4947" s="350">
        <v>46148</v>
      </c>
      <c r="D4947" s="351">
        <v>46143</v>
      </c>
      <c r="E4947" s="340" t="s">
        <v>3204</v>
      </c>
      <c r="F4947" s="340" t="s">
        <v>894</v>
      </c>
      <c r="G4947" s="340" t="s">
        <v>3022</v>
      </c>
      <c r="H4947" s="340"/>
      <c r="I4947" s="340" t="s">
        <v>771</v>
      </c>
      <c r="K4947" s="343">
        <v>0</v>
      </c>
      <c r="L4947" s="343">
        <v>-0.23</v>
      </c>
      <c r="M4947" s="343">
        <v>-964017.68</v>
      </c>
      <c r="O4947" s="343">
        <v>0</v>
      </c>
    </row>
    <row r="4948" spans="1:15" x14ac:dyDescent="0.3">
      <c r="A4948" s="340" t="s">
        <v>891</v>
      </c>
      <c r="B4948" s="350">
        <v>46144</v>
      </c>
      <c r="C4948" s="350">
        <v>46148</v>
      </c>
      <c r="D4948" s="351">
        <v>46143</v>
      </c>
      <c r="E4948" s="340" t="s">
        <v>3204</v>
      </c>
      <c r="F4948" s="340" t="s">
        <v>894</v>
      </c>
      <c r="G4948" s="340" t="s">
        <v>3023</v>
      </c>
      <c r="H4948" s="340"/>
      <c r="I4948" s="340" t="s">
        <v>771</v>
      </c>
      <c r="K4948" s="343">
        <v>0</v>
      </c>
      <c r="L4948" s="343">
        <v>-0.31</v>
      </c>
      <c r="M4948" s="343">
        <v>-964017.99</v>
      </c>
      <c r="O4948" s="343">
        <v>0</v>
      </c>
    </row>
    <row r="4949" spans="1:15" x14ac:dyDescent="0.3">
      <c r="A4949" s="340" t="s">
        <v>891</v>
      </c>
      <c r="B4949" s="350">
        <v>46144</v>
      </c>
      <c r="C4949" s="350">
        <v>46148</v>
      </c>
      <c r="D4949" s="351">
        <v>46143</v>
      </c>
      <c r="E4949" s="340" t="s">
        <v>3204</v>
      </c>
      <c r="F4949" s="340" t="s">
        <v>894</v>
      </c>
      <c r="G4949" s="340" t="s">
        <v>3024</v>
      </c>
      <c r="H4949" s="340"/>
      <c r="I4949" s="340" t="s">
        <v>771</v>
      </c>
      <c r="K4949" s="343">
        <v>0</v>
      </c>
      <c r="L4949" s="343">
        <v>-0.63</v>
      </c>
      <c r="M4949" s="343">
        <v>-964018.62</v>
      </c>
      <c r="O4949" s="343">
        <v>0</v>
      </c>
    </row>
    <row r="4950" spans="1:15" x14ac:dyDescent="0.3">
      <c r="A4950" s="340" t="s">
        <v>891</v>
      </c>
      <c r="B4950" s="350">
        <v>46144</v>
      </c>
      <c r="C4950" s="350">
        <v>46148</v>
      </c>
      <c r="D4950" s="351">
        <v>46143</v>
      </c>
      <c r="E4950" s="340" t="s">
        <v>3204</v>
      </c>
      <c r="F4950" s="340" t="s">
        <v>894</v>
      </c>
      <c r="G4950" s="340" t="s">
        <v>3025</v>
      </c>
      <c r="H4950" s="340"/>
      <c r="I4950" s="340" t="s">
        <v>771</v>
      </c>
      <c r="K4950" s="343">
        <v>0</v>
      </c>
      <c r="L4950" s="343">
        <v>-1.8</v>
      </c>
      <c r="M4950" s="343">
        <v>-964020.42</v>
      </c>
      <c r="O4950" s="343">
        <v>0</v>
      </c>
    </row>
    <row r="4951" spans="1:15" x14ac:dyDescent="0.3">
      <c r="A4951" s="340" t="s">
        <v>891</v>
      </c>
      <c r="B4951" s="350">
        <v>46144</v>
      </c>
      <c r="C4951" s="350">
        <v>46148</v>
      </c>
      <c r="D4951" s="351">
        <v>46143</v>
      </c>
      <c r="E4951" s="340" t="s">
        <v>3204</v>
      </c>
      <c r="F4951" s="340" t="s">
        <v>894</v>
      </c>
      <c r="G4951" s="340" t="s">
        <v>3026</v>
      </c>
      <c r="H4951" s="340"/>
      <c r="I4951" s="340" t="s">
        <v>771</v>
      </c>
      <c r="K4951" s="343">
        <v>0</v>
      </c>
      <c r="L4951" s="343">
        <v>-2.1</v>
      </c>
      <c r="M4951" s="343">
        <v>-964022.52</v>
      </c>
      <c r="O4951" s="343">
        <v>0</v>
      </c>
    </row>
    <row r="4952" spans="1:15" x14ac:dyDescent="0.3">
      <c r="A4952" s="340" t="s">
        <v>891</v>
      </c>
      <c r="B4952" s="350">
        <v>46144</v>
      </c>
      <c r="C4952" s="350">
        <v>46148</v>
      </c>
      <c r="D4952" s="351">
        <v>46143</v>
      </c>
      <c r="E4952" s="340" t="s">
        <v>3204</v>
      </c>
      <c r="F4952" s="340" t="s">
        <v>894</v>
      </c>
      <c r="G4952" s="340" t="s">
        <v>3017</v>
      </c>
      <c r="H4952" s="340"/>
      <c r="I4952" s="340" t="s">
        <v>771</v>
      </c>
      <c r="K4952" s="343">
        <v>0</v>
      </c>
      <c r="L4952" s="343">
        <v>-2.2599999999999998</v>
      </c>
      <c r="M4952" s="343">
        <v>-964024.78</v>
      </c>
      <c r="O4952" s="343">
        <v>0</v>
      </c>
    </row>
    <row r="4953" spans="1:15" x14ac:dyDescent="0.3">
      <c r="A4953" s="340" t="s">
        <v>891</v>
      </c>
      <c r="B4953" s="350">
        <v>46144</v>
      </c>
      <c r="C4953" s="350">
        <v>46148</v>
      </c>
      <c r="D4953" s="351">
        <v>46143</v>
      </c>
      <c r="E4953" s="340" t="s">
        <v>3204</v>
      </c>
      <c r="F4953" s="340" t="s">
        <v>894</v>
      </c>
      <c r="G4953" s="340" t="s">
        <v>3021</v>
      </c>
      <c r="H4953" s="340"/>
      <c r="I4953" s="340" t="s">
        <v>771</v>
      </c>
      <c r="K4953" s="343">
        <v>0</v>
      </c>
      <c r="L4953" s="343">
        <v>-4.6100000000000003</v>
      </c>
      <c r="M4953" s="343">
        <v>-964029.39</v>
      </c>
      <c r="O4953" s="343">
        <v>0</v>
      </c>
    </row>
    <row r="4954" spans="1:15" x14ac:dyDescent="0.3">
      <c r="A4954" s="340" t="s">
        <v>891</v>
      </c>
      <c r="B4954" s="350">
        <v>46144</v>
      </c>
      <c r="C4954" s="350">
        <v>46148</v>
      </c>
      <c r="D4954" s="351">
        <v>46143</v>
      </c>
      <c r="E4954" s="340" t="s">
        <v>3204</v>
      </c>
      <c r="F4954" s="340" t="s">
        <v>894</v>
      </c>
      <c r="G4954" s="340" t="s">
        <v>3005</v>
      </c>
      <c r="H4954" s="340"/>
      <c r="I4954" s="340" t="s">
        <v>771</v>
      </c>
      <c r="K4954" s="343">
        <v>0</v>
      </c>
      <c r="L4954" s="343">
        <v>-7.2</v>
      </c>
      <c r="M4954" s="343">
        <v>-964036.59</v>
      </c>
      <c r="O4954" s="343">
        <v>0</v>
      </c>
    </row>
    <row r="4955" spans="1:15" x14ac:dyDescent="0.3">
      <c r="A4955" s="340" t="s">
        <v>891</v>
      </c>
      <c r="B4955" s="350">
        <v>46144</v>
      </c>
      <c r="C4955" s="350">
        <v>46148</v>
      </c>
      <c r="D4955" s="351">
        <v>46143</v>
      </c>
      <c r="E4955" s="340" t="s">
        <v>3204</v>
      </c>
      <c r="F4955" s="340" t="s">
        <v>894</v>
      </c>
      <c r="G4955" s="340" t="s">
        <v>3019</v>
      </c>
      <c r="H4955" s="340"/>
      <c r="I4955" s="340" t="s">
        <v>771</v>
      </c>
      <c r="K4955" s="343">
        <v>0</v>
      </c>
      <c r="L4955" s="343">
        <v>-0.09</v>
      </c>
      <c r="M4955" s="343">
        <v>-964036.68</v>
      </c>
      <c r="O4955" s="343">
        <v>0</v>
      </c>
    </row>
    <row r="4956" spans="1:15" x14ac:dyDescent="0.3">
      <c r="A4956" s="340" t="s">
        <v>891</v>
      </c>
      <c r="B4956" s="350">
        <v>46144</v>
      </c>
      <c r="C4956" s="350">
        <v>46148</v>
      </c>
      <c r="D4956" s="351">
        <v>46143</v>
      </c>
      <c r="E4956" s="340" t="s">
        <v>3204</v>
      </c>
      <c r="F4956" s="340" t="s">
        <v>894</v>
      </c>
      <c r="G4956" s="340" t="s">
        <v>3016</v>
      </c>
      <c r="H4956" s="340"/>
      <c r="I4956" s="340" t="s">
        <v>771</v>
      </c>
      <c r="K4956" s="343">
        <v>0</v>
      </c>
      <c r="L4956" s="343">
        <v>-0.14000000000000001</v>
      </c>
      <c r="M4956" s="343">
        <v>-964036.82</v>
      </c>
      <c r="O4956" s="343">
        <v>0</v>
      </c>
    </row>
    <row r="4957" spans="1:15" x14ac:dyDescent="0.3">
      <c r="A4957" s="340" t="s">
        <v>891</v>
      </c>
      <c r="B4957" s="350">
        <v>46144</v>
      </c>
      <c r="C4957" s="350">
        <v>46148</v>
      </c>
      <c r="D4957" s="351">
        <v>46143</v>
      </c>
      <c r="E4957" s="340" t="s">
        <v>3204</v>
      </c>
      <c r="F4957" s="340" t="s">
        <v>894</v>
      </c>
      <c r="G4957" s="340" t="s">
        <v>3016</v>
      </c>
      <c r="H4957" s="340"/>
      <c r="I4957" s="340" t="s">
        <v>771</v>
      </c>
      <c r="K4957" s="343">
        <v>0</v>
      </c>
      <c r="L4957" s="343">
        <v>-0.21</v>
      </c>
      <c r="M4957" s="343">
        <v>-964037.03</v>
      </c>
      <c r="O4957" s="343">
        <v>0</v>
      </c>
    </row>
    <row r="4958" spans="1:15" x14ac:dyDescent="0.3">
      <c r="A4958" s="340" t="s">
        <v>891</v>
      </c>
      <c r="B4958" s="350">
        <v>46144</v>
      </c>
      <c r="C4958" s="350">
        <v>46148</v>
      </c>
      <c r="D4958" s="351">
        <v>46143</v>
      </c>
      <c r="E4958" s="340" t="s">
        <v>3204</v>
      </c>
      <c r="F4958" s="340" t="s">
        <v>894</v>
      </c>
      <c r="G4958" s="340" t="s">
        <v>3020</v>
      </c>
      <c r="H4958" s="340"/>
      <c r="I4958" s="340" t="s">
        <v>771</v>
      </c>
      <c r="K4958" s="343">
        <v>0</v>
      </c>
      <c r="L4958" s="343">
        <v>-0.83</v>
      </c>
      <c r="M4958" s="343">
        <v>-964037.86</v>
      </c>
      <c r="O4958" s="343">
        <v>0</v>
      </c>
    </row>
    <row r="4959" spans="1:15" x14ac:dyDescent="0.3">
      <c r="A4959" s="340" t="s">
        <v>891</v>
      </c>
      <c r="B4959" s="350">
        <v>46144</v>
      </c>
      <c r="C4959" s="350">
        <v>46148</v>
      </c>
      <c r="D4959" s="351">
        <v>46143</v>
      </c>
      <c r="E4959" s="340" t="s">
        <v>3204</v>
      </c>
      <c r="F4959" s="340" t="s">
        <v>894</v>
      </c>
      <c r="G4959" s="340" t="s">
        <v>3018</v>
      </c>
      <c r="H4959" s="340"/>
      <c r="I4959" s="340" t="s">
        <v>771</v>
      </c>
      <c r="K4959" s="343">
        <v>0</v>
      </c>
      <c r="L4959" s="343">
        <v>-0.87</v>
      </c>
      <c r="M4959" s="343">
        <v>-964038.73</v>
      </c>
      <c r="O4959" s="343">
        <v>0</v>
      </c>
    </row>
    <row r="4960" spans="1:15" x14ac:dyDescent="0.3">
      <c r="A4960" s="340" t="s">
        <v>891</v>
      </c>
      <c r="B4960" s="350">
        <v>46144</v>
      </c>
      <c r="C4960" s="350">
        <v>46148</v>
      </c>
      <c r="D4960" s="351">
        <v>46143</v>
      </c>
      <c r="E4960" s="340" t="s">
        <v>3204</v>
      </c>
      <c r="F4960" s="340" t="s">
        <v>894</v>
      </c>
      <c r="G4960" s="340" t="s">
        <v>3020</v>
      </c>
      <c r="H4960" s="340"/>
      <c r="I4960" s="340" t="s">
        <v>771</v>
      </c>
      <c r="K4960" s="343">
        <v>0</v>
      </c>
      <c r="L4960" s="343">
        <v>-1.26</v>
      </c>
      <c r="M4960" s="343">
        <v>-964039.99</v>
      </c>
      <c r="O4960" s="343">
        <v>0</v>
      </c>
    </row>
    <row r="4961" spans="1:15" x14ac:dyDescent="0.3">
      <c r="A4961" s="340" t="s">
        <v>891</v>
      </c>
      <c r="B4961" s="350">
        <v>46144</v>
      </c>
      <c r="C4961" s="350">
        <v>46148</v>
      </c>
      <c r="D4961" s="351">
        <v>46143</v>
      </c>
      <c r="E4961" s="340" t="s">
        <v>3204</v>
      </c>
      <c r="F4961" s="340" t="s">
        <v>894</v>
      </c>
      <c r="G4961" s="340" t="s">
        <v>3022</v>
      </c>
      <c r="H4961" s="340"/>
      <c r="I4961" s="340" t="s">
        <v>771</v>
      </c>
      <c r="K4961" s="343">
        <v>0</v>
      </c>
      <c r="L4961" s="343">
        <v>-1.65</v>
      </c>
      <c r="M4961" s="343">
        <v>-964041.64</v>
      </c>
      <c r="O4961" s="343">
        <v>0</v>
      </c>
    </row>
    <row r="4962" spans="1:15" x14ac:dyDescent="0.3">
      <c r="A4962" s="340" t="s">
        <v>891</v>
      </c>
      <c r="B4962" s="350">
        <v>46144</v>
      </c>
      <c r="C4962" s="350">
        <v>46148</v>
      </c>
      <c r="D4962" s="351">
        <v>46143</v>
      </c>
      <c r="E4962" s="340" t="s">
        <v>3204</v>
      </c>
      <c r="F4962" s="340" t="s">
        <v>894</v>
      </c>
      <c r="G4962" s="340" t="s">
        <v>3017</v>
      </c>
      <c r="H4962" s="340"/>
      <c r="I4962" s="340" t="s">
        <v>771</v>
      </c>
      <c r="K4962" s="343">
        <v>0</v>
      </c>
      <c r="L4962" s="343">
        <v>-2.2599999999999998</v>
      </c>
      <c r="M4962" s="343">
        <v>-964043.9</v>
      </c>
      <c r="O4962" s="343">
        <v>0</v>
      </c>
    </row>
    <row r="4963" spans="1:15" x14ac:dyDescent="0.3">
      <c r="A4963" s="340" t="s">
        <v>891</v>
      </c>
      <c r="B4963" s="350">
        <v>46144</v>
      </c>
      <c r="C4963" s="350">
        <v>46148</v>
      </c>
      <c r="D4963" s="351">
        <v>46143</v>
      </c>
      <c r="E4963" s="340" t="s">
        <v>3204</v>
      </c>
      <c r="F4963" s="340" t="s">
        <v>894</v>
      </c>
      <c r="G4963" s="340" t="s">
        <v>3023</v>
      </c>
      <c r="H4963" s="340"/>
      <c r="I4963" s="340" t="s">
        <v>771</v>
      </c>
      <c r="K4963" s="343">
        <v>0</v>
      </c>
      <c r="L4963" s="343">
        <v>-5.09</v>
      </c>
      <c r="M4963" s="343">
        <v>-964048.99</v>
      </c>
      <c r="O4963" s="343">
        <v>0</v>
      </c>
    </row>
    <row r="4964" spans="1:15" x14ac:dyDescent="0.3">
      <c r="A4964" s="340" t="s">
        <v>891</v>
      </c>
      <c r="B4964" s="350">
        <v>46144</v>
      </c>
      <c r="C4964" s="350">
        <v>46148</v>
      </c>
      <c r="D4964" s="351">
        <v>46143</v>
      </c>
      <c r="E4964" s="340" t="s">
        <v>3204</v>
      </c>
      <c r="F4964" s="340" t="s">
        <v>894</v>
      </c>
      <c r="G4964" s="340" t="s">
        <v>3024</v>
      </c>
      <c r="H4964" s="340"/>
      <c r="I4964" s="340" t="s">
        <v>771</v>
      </c>
      <c r="K4964" s="343">
        <v>0</v>
      </c>
      <c r="L4964" s="343">
        <v>-10.39</v>
      </c>
      <c r="M4964" s="343">
        <v>-964059.38</v>
      </c>
      <c r="O4964" s="343">
        <v>0</v>
      </c>
    </row>
    <row r="4965" spans="1:15" x14ac:dyDescent="0.3">
      <c r="A4965" s="340" t="s">
        <v>891</v>
      </c>
      <c r="B4965" s="350">
        <v>46144</v>
      </c>
      <c r="C4965" s="350">
        <v>46148</v>
      </c>
      <c r="D4965" s="351">
        <v>46143</v>
      </c>
      <c r="E4965" s="340" t="s">
        <v>3204</v>
      </c>
      <c r="F4965" s="340" t="s">
        <v>894</v>
      </c>
      <c r="G4965" s="340" t="s">
        <v>3025</v>
      </c>
      <c r="H4965" s="340"/>
      <c r="I4965" s="340" t="s">
        <v>771</v>
      </c>
      <c r="K4965" s="343">
        <v>0</v>
      </c>
      <c r="L4965" s="343">
        <v>-29.41</v>
      </c>
      <c r="M4965" s="343">
        <v>-964088.79</v>
      </c>
      <c r="O4965" s="343">
        <v>0</v>
      </c>
    </row>
    <row r="4966" spans="1:15" x14ac:dyDescent="0.3">
      <c r="A4966" s="340" t="s">
        <v>891</v>
      </c>
      <c r="B4966" s="350">
        <v>46144</v>
      </c>
      <c r="C4966" s="350">
        <v>46148</v>
      </c>
      <c r="D4966" s="351">
        <v>46143</v>
      </c>
      <c r="E4966" s="340" t="s">
        <v>3204</v>
      </c>
      <c r="F4966" s="340" t="s">
        <v>894</v>
      </c>
      <c r="G4966" s="340" t="s">
        <v>3026</v>
      </c>
      <c r="H4966" s="340"/>
      <c r="I4966" s="340" t="s">
        <v>771</v>
      </c>
      <c r="K4966" s="343">
        <v>0</v>
      </c>
      <c r="L4966" s="343">
        <v>-34.43</v>
      </c>
      <c r="M4966" s="343">
        <v>-964123.22</v>
      </c>
      <c r="O4966" s="343">
        <v>0</v>
      </c>
    </row>
    <row r="4967" spans="1:15" x14ac:dyDescent="0.3">
      <c r="A4967" s="340" t="s">
        <v>891</v>
      </c>
      <c r="B4967" s="350">
        <v>46144</v>
      </c>
      <c r="C4967" s="350">
        <v>46148</v>
      </c>
      <c r="D4967" s="351">
        <v>46143</v>
      </c>
      <c r="E4967" s="340" t="s">
        <v>3204</v>
      </c>
      <c r="F4967" s="340" t="s">
        <v>894</v>
      </c>
      <c r="G4967" s="340" t="s">
        <v>3005</v>
      </c>
      <c r="H4967" s="340"/>
      <c r="I4967" s="340" t="s">
        <v>771</v>
      </c>
      <c r="K4967" s="343">
        <v>0</v>
      </c>
      <c r="L4967" s="343">
        <v>-117.77</v>
      </c>
      <c r="M4967" s="343">
        <v>-964240.99</v>
      </c>
      <c r="O4967" s="343">
        <v>0</v>
      </c>
    </row>
    <row r="4968" spans="1:15" x14ac:dyDescent="0.3">
      <c r="A4968" s="340" t="s">
        <v>891</v>
      </c>
      <c r="B4968" s="350">
        <v>46144</v>
      </c>
      <c r="C4968" s="350">
        <v>46148</v>
      </c>
      <c r="D4968" s="351">
        <v>46143</v>
      </c>
      <c r="E4968" s="340" t="s">
        <v>3204</v>
      </c>
      <c r="F4968" s="340" t="s">
        <v>894</v>
      </c>
      <c r="G4968" s="340" t="s">
        <v>3022</v>
      </c>
      <c r="H4968" s="340"/>
      <c r="I4968" s="340" t="s">
        <v>771</v>
      </c>
      <c r="K4968" s="343">
        <v>0</v>
      </c>
      <c r="L4968" s="343">
        <v>-2.52</v>
      </c>
      <c r="M4968" s="343">
        <v>-964243.51</v>
      </c>
      <c r="O4968" s="343">
        <v>0</v>
      </c>
    </row>
    <row r="4969" spans="1:15" x14ac:dyDescent="0.3">
      <c r="A4969" s="340" t="s">
        <v>891</v>
      </c>
      <c r="B4969" s="350">
        <v>46144</v>
      </c>
      <c r="C4969" s="350">
        <v>46148</v>
      </c>
      <c r="D4969" s="351">
        <v>46143</v>
      </c>
      <c r="E4969" s="340" t="s">
        <v>3204</v>
      </c>
      <c r="F4969" s="340" t="s">
        <v>894</v>
      </c>
      <c r="G4969" s="340" t="s">
        <v>3021</v>
      </c>
      <c r="H4969" s="340"/>
      <c r="I4969" s="340" t="s">
        <v>771</v>
      </c>
      <c r="K4969" s="343">
        <v>0</v>
      </c>
      <c r="L4969" s="343">
        <v>-4.6100000000000003</v>
      </c>
      <c r="M4969" s="343">
        <v>-964248.12</v>
      </c>
      <c r="O4969" s="343">
        <v>0</v>
      </c>
    </row>
    <row r="4970" spans="1:15" x14ac:dyDescent="0.3">
      <c r="A4970" s="340" t="s">
        <v>891</v>
      </c>
      <c r="B4970" s="350">
        <v>46144</v>
      </c>
      <c r="C4970" s="350">
        <v>46148</v>
      </c>
      <c r="D4970" s="351">
        <v>46143</v>
      </c>
      <c r="E4970" s="340" t="s">
        <v>3204</v>
      </c>
      <c r="F4970" s="340" t="s">
        <v>894</v>
      </c>
      <c r="G4970" s="340" t="s">
        <v>3019</v>
      </c>
      <c r="H4970" s="340"/>
      <c r="I4970" s="340" t="s">
        <v>771</v>
      </c>
      <c r="K4970" s="343">
        <v>0</v>
      </c>
      <c r="L4970" s="343">
        <v>-0.01</v>
      </c>
      <c r="M4970" s="343">
        <v>-964248.13</v>
      </c>
      <c r="O4970" s="343">
        <v>0</v>
      </c>
    </row>
    <row r="4971" spans="1:15" x14ac:dyDescent="0.3">
      <c r="A4971" s="340" t="s">
        <v>891</v>
      </c>
      <c r="B4971" s="350">
        <v>46144</v>
      </c>
      <c r="C4971" s="350">
        <v>46148</v>
      </c>
      <c r="D4971" s="351">
        <v>46143</v>
      </c>
      <c r="E4971" s="340" t="s">
        <v>3204</v>
      </c>
      <c r="F4971" s="340" t="s">
        <v>894</v>
      </c>
      <c r="G4971" s="340" t="s">
        <v>3016</v>
      </c>
      <c r="H4971" s="340"/>
      <c r="I4971" s="340" t="s">
        <v>771</v>
      </c>
      <c r="K4971" s="343">
        <v>0</v>
      </c>
      <c r="L4971" s="343">
        <v>-0.01</v>
      </c>
      <c r="M4971" s="343">
        <v>-964248.14</v>
      </c>
      <c r="O4971" s="343">
        <v>0</v>
      </c>
    </row>
    <row r="4972" spans="1:15" x14ac:dyDescent="0.3">
      <c r="A4972" s="340" t="s">
        <v>891</v>
      </c>
      <c r="B4972" s="350">
        <v>46144</v>
      </c>
      <c r="C4972" s="350">
        <v>46148</v>
      </c>
      <c r="D4972" s="351">
        <v>46143</v>
      </c>
      <c r="E4972" s="340" t="s">
        <v>3204</v>
      </c>
      <c r="F4972" s="340" t="s">
        <v>894</v>
      </c>
      <c r="G4972" s="340" t="s">
        <v>3016</v>
      </c>
      <c r="H4972" s="340"/>
      <c r="I4972" s="340" t="s">
        <v>771</v>
      </c>
      <c r="K4972" s="343">
        <v>0</v>
      </c>
      <c r="L4972" s="343">
        <v>-0.02</v>
      </c>
      <c r="M4972" s="343">
        <v>-964248.16</v>
      </c>
      <c r="O4972" s="343">
        <v>0</v>
      </c>
    </row>
    <row r="4973" spans="1:15" x14ac:dyDescent="0.3">
      <c r="A4973" s="340" t="s">
        <v>891</v>
      </c>
      <c r="B4973" s="350">
        <v>46144</v>
      </c>
      <c r="C4973" s="350">
        <v>46148</v>
      </c>
      <c r="D4973" s="351">
        <v>46143</v>
      </c>
      <c r="E4973" s="340" t="s">
        <v>3204</v>
      </c>
      <c r="F4973" s="340" t="s">
        <v>894</v>
      </c>
      <c r="G4973" s="340" t="s">
        <v>3018</v>
      </c>
      <c r="H4973" s="340"/>
      <c r="I4973" s="340" t="s">
        <v>771</v>
      </c>
      <c r="K4973" s="343">
        <v>0</v>
      </c>
      <c r="L4973" s="343">
        <v>-0.05</v>
      </c>
      <c r="M4973" s="343">
        <v>-964248.21</v>
      </c>
      <c r="O4973" s="343">
        <v>0</v>
      </c>
    </row>
    <row r="4974" spans="1:15" x14ac:dyDescent="0.3">
      <c r="A4974" s="340" t="s">
        <v>891</v>
      </c>
      <c r="B4974" s="350">
        <v>46144</v>
      </c>
      <c r="C4974" s="350">
        <v>46148</v>
      </c>
      <c r="D4974" s="351">
        <v>46143</v>
      </c>
      <c r="E4974" s="340" t="s">
        <v>3204</v>
      </c>
      <c r="F4974" s="340" t="s">
        <v>894</v>
      </c>
      <c r="G4974" s="340" t="s">
        <v>3020</v>
      </c>
      <c r="H4974" s="340"/>
      <c r="I4974" s="340" t="s">
        <v>771</v>
      </c>
      <c r="K4974" s="343">
        <v>0</v>
      </c>
      <c r="L4974" s="343">
        <v>-7.0000000000000007E-2</v>
      </c>
      <c r="M4974" s="343">
        <v>-964248.28</v>
      </c>
      <c r="O4974" s="343">
        <v>0</v>
      </c>
    </row>
    <row r="4975" spans="1:15" x14ac:dyDescent="0.3">
      <c r="A4975" s="340" t="s">
        <v>891</v>
      </c>
      <c r="B4975" s="350">
        <v>46144</v>
      </c>
      <c r="C4975" s="350">
        <v>46148</v>
      </c>
      <c r="D4975" s="351">
        <v>46143</v>
      </c>
      <c r="E4975" s="340" t="s">
        <v>3204</v>
      </c>
      <c r="F4975" s="340" t="s">
        <v>894</v>
      </c>
      <c r="G4975" s="340" t="s">
        <v>3020</v>
      </c>
      <c r="H4975" s="340"/>
      <c r="I4975" s="340" t="s">
        <v>771</v>
      </c>
      <c r="K4975" s="343">
        <v>0</v>
      </c>
      <c r="L4975" s="343">
        <v>-0.12</v>
      </c>
      <c r="M4975" s="343">
        <v>-964248.4</v>
      </c>
      <c r="O4975" s="343">
        <v>0</v>
      </c>
    </row>
    <row r="4976" spans="1:15" x14ac:dyDescent="0.3">
      <c r="A4976" s="340" t="s">
        <v>891</v>
      </c>
      <c r="B4976" s="350">
        <v>46144</v>
      </c>
      <c r="C4976" s="350">
        <v>46148</v>
      </c>
      <c r="D4976" s="351">
        <v>46143</v>
      </c>
      <c r="E4976" s="340" t="s">
        <v>3204</v>
      </c>
      <c r="F4976" s="340" t="s">
        <v>894</v>
      </c>
      <c r="G4976" s="340" t="s">
        <v>3022</v>
      </c>
      <c r="H4976" s="340"/>
      <c r="I4976" s="340" t="s">
        <v>771</v>
      </c>
      <c r="K4976" s="343">
        <v>0</v>
      </c>
      <c r="L4976" s="343">
        <v>-0.15</v>
      </c>
      <c r="M4976" s="343">
        <v>-964248.55</v>
      </c>
      <c r="O4976" s="343">
        <v>0</v>
      </c>
    </row>
    <row r="4977" spans="1:15" x14ac:dyDescent="0.3">
      <c r="A4977" s="340" t="s">
        <v>891</v>
      </c>
      <c r="B4977" s="350">
        <v>46144</v>
      </c>
      <c r="C4977" s="350">
        <v>46148</v>
      </c>
      <c r="D4977" s="351">
        <v>46143</v>
      </c>
      <c r="E4977" s="340" t="s">
        <v>3204</v>
      </c>
      <c r="F4977" s="340" t="s">
        <v>894</v>
      </c>
      <c r="G4977" s="340" t="s">
        <v>3022</v>
      </c>
      <c r="H4977" s="340"/>
      <c r="I4977" s="340" t="s">
        <v>771</v>
      </c>
      <c r="K4977" s="343">
        <v>0</v>
      </c>
      <c r="L4977" s="343">
        <v>-0.23</v>
      </c>
      <c r="M4977" s="343">
        <v>-964248.78</v>
      </c>
      <c r="O4977" s="343">
        <v>0</v>
      </c>
    </row>
    <row r="4978" spans="1:15" x14ac:dyDescent="0.3">
      <c r="A4978" s="340" t="s">
        <v>891</v>
      </c>
      <c r="B4978" s="350">
        <v>46144</v>
      </c>
      <c r="C4978" s="350">
        <v>46148</v>
      </c>
      <c r="D4978" s="351">
        <v>46143</v>
      </c>
      <c r="E4978" s="340" t="s">
        <v>3204</v>
      </c>
      <c r="F4978" s="340" t="s">
        <v>894</v>
      </c>
      <c r="G4978" s="340" t="s">
        <v>3017</v>
      </c>
      <c r="H4978" s="340"/>
      <c r="I4978" s="340" t="s">
        <v>771</v>
      </c>
      <c r="K4978" s="343">
        <v>0</v>
      </c>
      <c r="L4978" s="343">
        <v>-2.2599999999999998</v>
      </c>
      <c r="M4978" s="343">
        <v>-964251.04</v>
      </c>
      <c r="O4978" s="343">
        <v>0</v>
      </c>
    </row>
    <row r="4979" spans="1:15" x14ac:dyDescent="0.3">
      <c r="A4979" s="340" t="s">
        <v>891</v>
      </c>
      <c r="B4979" s="350">
        <v>46144</v>
      </c>
      <c r="C4979" s="350">
        <v>46148</v>
      </c>
      <c r="D4979" s="351">
        <v>46143</v>
      </c>
      <c r="E4979" s="340" t="s">
        <v>3204</v>
      </c>
      <c r="F4979" s="340" t="s">
        <v>894</v>
      </c>
      <c r="G4979" s="340" t="s">
        <v>3021</v>
      </c>
      <c r="H4979" s="340"/>
      <c r="I4979" s="340" t="s">
        <v>771</v>
      </c>
      <c r="K4979" s="343">
        <v>0</v>
      </c>
      <c r="L4979" s="343">
        <v>-4.6100000000000003</v>
      </c>
      <c r="M4979" s="343">
        <v>-964255.65</v>
      </c>
      <c r="O4979" s="343">
        <v>0</v>
      </c>
    </row>
    <row r="4980" spans="1:15" x14ac:dyDescent="0.3">
      <c r="A4980" s="340" t="s">
        <v>891</v>
      </c>
      <c r="B4980" s="350">
        <v>46144</v>
      </c>
      <c r="C4980" s="350">
        <v>46148</v>
      </c>
      <c r="D4980" s="351">
        <v>46143</v>
      </c>
      <c r="E4980" s="340" t="s">
        <v>3204</v>
      </c>
      <c r="F4980" s="340" t="s">
        <v>894</v>
      </c>
      <c r="G4980" s="340" t="s">
        <v>3022</v>
      </c>
      <c r="H4980" s="340"/>
      <c r="I4980" s="340" t="s">
        <v>771</v>
      </c>
      <c r="K4980" s="343">
        <v>0</v>
      </c>
      <c r="L4980" s="343">
        <v>-0.45</v>
      </c>
      <c r="M4980" s="343">
        <v>-964256.1</v>
      </c>
      <c r="O4980" s="343">
        <v>0</v>
      </c>
    </row>
    <row r="4981" spans="1:15" x14ac:dyDescent="0.3">
      <c r="A4981" s="340" t="s">
        <v>891</v>
      </c>
      <c r="B4981" s="350">
        <v>46144</v>
      </c>
      <c r="C4981" s="350">
        <v>46148</v>
      </c>
      <c r="D4981" s="351">
        <v>46143</v>
      </c>
      <c r="E4981" s="340" t="s">
        <v>3204</v>
      </c>
      <c r="F4981" s="340" t="s">
        <v>894</v>
      </c>
      <c r="G4981" s="340" t="s">
        <v>3024</v>
      </c>
      <c r="H4981" s="340"/>
      <c r="I4981" s="340" t="s">
        <v>771</v>
      </c>
      <c r="K4981" s="343">
        <v>0</v>
      </c>
      <c r="L4981" s="343">
        <v>-1.85</v>
      </c>
      <c r="M4981" s="343">
        <v>-964257.95</v>
      </c>
      <c r="O4981" s="343">
        <v>0</v>
      </c>
    </row>
    <row r="4982" spans="1:15" x14ac:dyDescent="0.3">
      <c r="A4982" s="340" t="s">
        <v>891</v>
      </c>
      <c r="B4982" s="350">
        <v>46144</v>
      </c>
      <c r="C4982" s="350">
        <v>46148</v>
      </c>
      <c r="D4982" s="351">
        <v>46143</v>
      </c>
      <c r="E4982" s="340" t="s">
        <v>3204</v>
      </c>
      <c r="F4982" s="340" t="s">
        <v>894</v>
      </c>
      <c r="G4982" s="340" t="s">
        <v>3017</v>
      </c>
      <c r="H4982" s="340"/>
      <c r="I4982" s="340" t="s">
        <v>771</v>
      </c>
      <c r="K4982" s="343">
        <v>0</v>
      </c>
      <c r="L4982" s="343">
        <v>-2.2599999999999998</v>
      </c>
      <c r="M4982" s="343">
        <v>-964260.21</v>
      </c>
      <c r="O4982" s="343">
        <v>0</v>
      </c>
    </row>
    <row r="4983" spans="1:15" x14ac:dyDescent="0.3">
      <c r="A4983" s="340" t="s">
        <v>891</v>
      </c>
      <c r="B4983" s="350">
        <v>46144</v>
      </c>
      <c r="C4983" s="350">
        <v>46148</v>
      </c>
      <c r="D4983" s="351">
        <v>46143</v>
      </c>
      <c r="E4983" s="340" t="s">
        <v>3204</v>
      </c>
      <c r="F4983" s="340" t="s">
        <v>894</v>
      </c>
      <c r="G4983" s="340" t="s">
        <v>3021</v>
      </c>
      <c r="H4983" s="340"/>
      <c r="I4983" s="340" t="s">
        <v>771</v>
      </c>
      <c r="K4983" s="343">
        <v>0</v>
      </c>
      <c r="L4983" s="343">
        <v>-4.6100000000000003</v>
      </c>
      <c r="M4983" s="343">
        <v>-964264.82</v>
      </c>
      <c r="O4983" s="343">
        <v>0</v>
      </c>
    </row>
    <row r="4984" spans="1:15" x14ac:dyDescent="0.3">
      <c r="A4984" s="340" t="s">
        <v>891</v>
      </c>
      <c r="B4984" s="350">
        <v>46144</v>
      </c>
      <c r="C4984" s="350">
        <v>46148</v>
      </c>
      <c r="D4984" s="351">
        <v>46143</v>
      </c>
      <c r="E4984" s="340" t="s">
        <v>3204</v>
      </c>
      <c r="F4984" s="340" t="s">
        <v>894</v>
      </c>
      <c r="G4984" s="340" t="s">
        <v>3025</v>
      </c>
      <c r="H4984" s="340"/>
      <c r="I4984" s="340" t="s">
        <v>771</v>
      </c>
      <c r="K4984" s="343">
        <v>0</v>
      </c>
      <c r="L4984" s="343">
        <v>-5.23</v>
      </c>
      <c r="M4984" s="343">
        <v>-964270.05</v>
      </c>
      <c r="O4984" s="343">
        <v>0</v>
      </c>
    </row>
    <row r="4985" spans="1:15" x14ac:dyDescent="0.3">
      <c r="A4985" s="340" t="s">
        <v>891</v>
      </c>
      <c r="B4985" s="350">
        <v>46144</v>
      </c>
      <c r="C4985" s="350">
        <v>46148</v>
      </c>
      <c r="D4985" s="351">
        <v>46143</v>
      </c>
      <c r="E4985" s="340" t="s">
        <v>3204</v>
      </c>
      <c r="F4985" s="340" t="s">
        <v>894</v>
      </c>
      <c r="G4985" s="340" t="s">
        <v>3026</v>
      </c>
      <c r="H4985" s="340"/>
      <c r="I4985" s="340" t="s">
        <v>771</v>
      </c>
      <c r="K4985" s="343">
        <v>0</v>
      </c>
      <c r="L4985" s="343">
        <v>-6.12</v>
      </c>
      <c r="M4985" s="343">
        <v>-964276.17</v>
      </c>
      <c r="O4985" s="343">
        <v>0</v>
      </c>
    </row>
    <row r="4986" spans="1:15" x14ac:dyDescent="0.3">
      <c r="A4986" s="340" t="s">
        <v>891</v>
      </c>
      <c r="B4986" s="350">
        <v>46144</v>
      </c>
      <c r="C4986" s="350">
        <v>46148</v>
      </c>
      <c r="D4986" s="351">
        <v>46143</v>
      </c>
      <c r="E4986" s="340" t="s">
        <v>3204</v>
      </c>
      <c r="F4986" s="340" t="s">
        <v>894</v>
      </c>
      <c r="G4986" s="340" t="s">
        <v>3005</v>
      </c>
      <c r="H4986" s="340"/>
      <c r="I4986" s="340" t="s">
        <v>771</v>
      </c>
      <c r="K4986" s="343">
        <v>0</v>
      </c>
      <c r="L4986" s="343">
        <v>-20.94</v>
      </c>
      <c r="M4986" s="343">
        <v>-964297.11</v>
      </c>
      <c r="O4986" s="343">
        <v>0</v>
      </c>
    </row>
    <row r="4987" spans="1:15" x14ac:dyDescent="0.3">
      <c r="A4987" s="340" t="s">
        <v>891</v>
      </c>
      <c r="B4987" s="350">
        <v>46144</v>
      </c>
      <c r="C4987" s="350">
        <v>46148</v>
      </c>
      <c r="D4987" s="351">
        <v>46143</v>
      </c>
      <c r="E4987" s="340" t="s">
        <v>3204</v>
      </c>
      <c r="F4987" s="340" t="s">
        <v>894</v>
      </c>
      <c r="G4987" s="340" t="s">
        <v>3019</v>
      </c>
      <c r="H4987" s="340"/>
      <c r="I4987" s="340" t="s">
        <v>771</v>
      </c>
      <c r="K4987" s="343">
        <v>0</v>
      </c>
      <c r="L4987" s="343">
        <v>-0.01</v>
      </c>
      <c r="M4987" s="343">
        <v>-964297.12</v>
      </c>
      <c r="O4987" s="343">
        <v>0</v>
      </c>
    </row>
    <row r="4988" spans="1:15" x14ac:dyDescent="0.3">
      <c r="A4988" s="340" t="s">
        <v>891</v>
      </c>
      <c r="B4988" s="350">
        <v>46144</v>
      </c>
      <c r="C4988" s="350">
        <v>46148</v>
      </c>
      <c r="D4988" s="351">
        <v>46143</v>
      </c>
      <c r="E4988" s="340" t="s">
        <v>3204</v>
      </c>
      <c r="F4988" s="340" t="s">
        <v>894</v>
      </c>
      <c r="G4988" s="340" t="s">
        <v>3016</v>
      </c>
      <c r="H4988" s="340"/>
      <c r="I4988" s="340" t="s">
        <v>771</v>
      </c>
      <c r="K4988" s="343">
        <v>0</v>
      </c>
      <c r="L4988" s="343">
        <v>-0.01</v>
      </c>
      <c r="M4988" s="343">
        <v>-964297.13</v>
      </c>
      <c r="O4988" s="343">
        <v>0</v>
      </c>
    </row>
    <row r="4989" spans="1:15" x14ac:dyDescent="0.3">
      <c r="A4989" s="340" t="s">
        <v>891</v>
      </c>
      <c r="B4989" s="350">
        <v>46144</v>
      </c>
      <c r="C4989" s="350">
        <v>46148</v>
      </c>
      <c r="D4989" s="351">
        <v>46143</v>
      </c>
      <c r="E4989" s="340" t="s">
        <v>3204</v>
      </c>
      <c r="F4989" s="340" t="s">
        <v>894</v>
      </c>
      <c r="G4989" s="340" t="s">
        <v>3016</v>
      </c>
      <c r="H4989" s="340"/>
      <c r="I4989" s="340" t="s">
        <v>771</v>
      </c>
      <c r="K4989" s="343">
        <v>0</v>
      </c>
      <c r="L4989" s="343">
        <v>-0.02</v>
      </c>
      <c r="M4989" s="343">
        <v>-964297.15</v>
      </c>
      <c r="O4989" s="343">
        <v>0</v>
      </c>
    </row>
    <row r="4990" spans="1:15" x14ac:dyDescent="0.3">
      <c r="A4990" s="340" t="s">
        <v>891</v>
      </c>
      <c r="B4990" s="350">
        <v>46144</v>
      </c>
      <c r="C4990" s="350">
        <v>46148</v>
      </c>
      <c r="D4990" s="351">
        <v>46143</v>
      </c>
      <c r="E4990" s="340" t="s">
        <v>3204</v>
      </c>
      <c r="F4990" s="340" t="s">
        <v>894</v>
      </c>
      <c r="G4990" s="340" t="s">
        <v>3018</v>
      </c>
      <c r="H4990" s="340"/>
      <c r="I4990" s="340" t="s">
        <v>771</v>
      </c>
      <c r="K4990" s="343">
        <v>0</v>
      </c>
      <c r="L4990" s="343">
        <v>-0.05</v>
      </c>
      <c r="M4990" s="343">
        <v>-964297.2</v>
      </c>
      <c r="O4990" s="343">
        <v>0</v>
      </c>
    </row>
    <row r="4991" spans="1:15" x14ac:dyDescent="0.3">
      <c r="A4991" s="340" t="s">
        <v>891</v>
      </c>
      <c r="B4991" s="350">
        <v>46144</v>
      </c>
      <c r="C4991" s="350">
        <v>46148</v>
      </c>
      <c r="D4991" s="351">
        <v>46143</v>
      </c>
      <c r="E4991" s="340" t="s">
        <v>3204</v>
      </c>
      <c r="F4991" s="340" t="s">
        <v>894</v>
      </c>
      <c r="G4991" s="340" t="s">
        <v>3020</v>
      </c>
      <c r="H4991" s="340"/>
      <c r="I4991" s="340" t="s">
        <v>771</v>
      </c>
      <c r="K4991" s="343">
        <v>0</v>
      </c>
      <c r="L4991" s="343">
        <v>-0.08</v>
      </c>
      <c r="M4991" s="343">
        <v>-964297.28</v>
      </c>
      <c r="O4991" s="343">
        <v>0</v>
      </c>
    </row>
    <row r="4992" spans="1:15" x14ac:dyDescent="0.3">
      <c r="A4992" s="340" t="s">
        <v>891</v>
      </c>
      <c r="B4992" s="350">
        <v>46144</v>
      </c>
      <c r="C4992" s="350">
        <v>46148</v>
      </c>
      <c r="D4992" s="351">
        <v>46143</v>
      </c>
      <c r="E4992" s="340" t="s">
        <v>3204</v>
      </c>
      <c r="F4992" s="340" t="s">
        <v>894</v>
      </c>
      <c r="G4992" s="340" t="s">
        <v>3020</v>
      </c>
      <c r="H4992" s="340"/>
      <c r="I4992" s="340" t="s">
        <v>771</v>
      </c>
      <c r="K4992" s="343">
        <v>0</v>
      </c>
      <c r="L4992" s="343">
        <v>-0.12</v>
      </c>
      <c r="M4992" s="343">
        <v>-964297.4</v>
      </c>
      <c r="O4992" s="343">
        <v>0</v>
      </c>
    </row>
    <row r="4993" spans="1:15" x14ac:dyDescent="0.3">
      <c r="A4993" s="340" t="s">
        <v>891</v>
      </c>
      <c r="B4993" s="350">
        <v>46144</v>
      </c>
      <c r="C4993" s="350">
        <v>46148</v>
      </c>
      <c r="D4993" s="351">
        <v>46143</v>
      </c>
      <c r="E4993" s="340" t="s">
        <v>3204</v>
      </c>
      <c r="F4993" s="340" t="s">
        <v>894</v>
      </c>
      <c r="G4993" s="340" t="s">
        <v>3022</v>
      </c>
      <c r="H4993" s="340"/>
      <c r="I4993" s="340" t="s">
        <v>771</v>
      </c>
      <c r="K4993" s="343">
        <v>0</v>
      </c>
      <c r="L4993" s="343">
        <v>-0.15</v>
      </c>
      <c r="M4993" s="343">
        <v>-964297.55</v>
      </c>
      <c r="O4993" s="343">
        <v>0</v>
      </c>
    </row>
    <row r="4994" spans="1:15" x14ac:dyDescent="0.3">
      <c r="A4994" s="340" t="s">
        <v>891</v>
      </c>
      <c r="B4994" s="350">
        <v>46144</v>
      </c>
      <c r="C4994" s="350">
        <v>46148</v>
      </c>
      <c r="D4994" s="351">
        <v>46143</v>
      </c>
      <c r="E4994" s="340" t="s">
        <v>3204</v>
      </c>
      <c r="F4994" s="340" t="s">
        <v>894</v>
      </c>
      <c r="G4994" s="340" t="s">
        <v>3022</v>
      </c>
      <c r="H4994" s="340"/>
      <c r="I4994" s="340" t="s">
        <v>771</v>
      </c>
      <c r="K4994" s="343">
        <v>0</v>
      </c>
      <c r="L4994" s="343">
        <v>-0.23</v>
      </c>
      <c r="M4994" s="343">
        <v>-964297.78</v>
      </c>
      <c r="O4994" s="343">
        <v>0</v>
      </c>
    </row>
    <row r="4995" spans="1:15" x14ac:dyDescent="0.3">
      <c r="A4995" s="340" t="s">
        <v>891</v>
      </c>
      <c r="B4995" s="350">
        <v>46144</v>
      </c>
      <c r="C4995" s="350">
        <v>46148</v>
      </c>
      <c r="D4995" s="351">
        <v>46143</v>
      </c>
      <c r="E4995" s="340" t="s">
        <v>3204</v>
      </c>
      <c r="F4995" s="340" t="s">
        <v>894</v>
      </c>
      <c r="G4995" s="340" t="s">
        <v>3023</v>
      </c>
      <c r="H4995" s="340"/>
      <c r="I4995" s="340" t="s">
        <v>771</v>
      </c>
      <c r="K4995" s="343">
        <v>0</v>
      </c>
      <c r="L4995" s="343">
        <v>-0.31</v>
      </c>
      <c r="M4995" s="343">
        <v>-964298.09</v>
      </c>
      <c r="O4995" s="343">
        <v>0</v>
      </c>
    </row>
    <row r="4996" spans="1:15" x14ac:dyDescent="0.3">
      <c r="A4996" s="340" t="s">
        <v>891</v>
      </c>
      <c r="B4996" s="350">
        <v>46144</v>
      </c>
      <c r="C4996" s="350">
        <v>46148</v>
      </c>
      <c r="D4996" s="351">
        <v>46143</v>
      </c>
      <c r="E4996" s="340" t="s">
        <v>3204</v>
      </c>
      <c r="F4996" s="340" t="s">
        <v>894</v>
      </c>
      <c r="G4996" s="340" t="s">
        <v>3024</v>
      </c>
      <c r="H4996" s="340"/>
      <c r="I4996" s="340" t="s">
        <v>771</v>
      </c>
      <c r="K4996" s="343">
        <v>0</v>
      </c>
      <c r="L4996" s="343">
        <v>-0.63</v>
      </c>
      <c r="M4996" s="343">
        <v>-964298.72</v>
      </c>
      <c r="O4996" s="343">
        <v>0</v>
      </c>
    </row>
    <row r="4997" spans="1:15" x14ac:dyDescent="0.3">
      <c r="A4997" s="340" t="s">
        <v>891</v>
      </c>
      <c r="B4997" s="350">
        <v>46144</v>
      </c>
      <c r="C4997" s="350">
        <v>46148</v>
      </c>
      <c r="D4997" s="351">
        <v>46143</v>
      </c>
      <c r="E4997" s="340" t="s">
        <v>3204</v>
      </c>
      <c r="F4997" s="340" t="s">
        <v>894</v>
      </c>
      <c r="G4997" s="340" t="s">
        <v>3025</v>
      </c>
      <c r="H4997" s="340"/>
      <c r="I4997" s="340" t="s">
        <v>771</v>
      </c>
      <c r="K4997" s="343">
        <v>0</v>
      </c>
      <c r="L4997" s="343">
        <v>-1.8</v>
      </c>
      <c r="M4997" s="343">
        <v>-964300.52</v>
      </c>
      <c r="O4997" s="343">
        <v>0</v>
      </c>
    </row>
    <row r="4998" spans="1:15" x14ac:dyDescent="0.3">
      <c r="A4998" s="340" t="s">
        <v>891</v>
      </c>
      <c r="B4998" s="350">
        <v>46144</v>
      </c>
      <c r="C4998" s="350">
        <v>46148</v>
      </c>
      <c r="D4998" s="351">
        <v>46143</v>
      </c>
      <c r="E4998" s="340" t="s">
        <v>3204</v>
      </c>
      <c r="F4998" s="340" t="s">
        <v>894</v>
      </c>
      <c r="G4998" s="340" t="s">
        <v>3026</v>
      </c>
      <c r="H4998" s="340"/>
      <c r="I4998" s="340" t="s">
        <v>771</v>
      </c>
      <c r="K4998" s="343">
        <v>0</v>
      </c>
      <c r="L4998" s="343">
        <v>-2.1</v>
      </c>
      <c r="M4998" s="343">
        <v>-964302.62</v>
      </c>
      <c r="O4998" s="343">
        <v>0</v>
      </c>
    </row>
    <row r="4999" spans="1:15" x14ac:dyDescent="0.3">
      <c r="A4999" s="340" t="s">
        <v>891</v>
      </c>
      <c r="B4999" s="350">
        <v>46144</v>
      </c>
      <c r="C4999" s="350">
        <v>46148</v>
      </c>
      <c r="D4999" s="351">
        <v>46143</v>
      </c>
      <c r="E4999" s="340" t="s">
        <v>3204</v>
      </c>
      <c r="F4999" s="340" t="s">
        <v>894</v>
      </c>
      <c r="G4999" s="340" t="s">
        <v>3017</v>
      </c>
      <c r="H4999" s="340"/>
      <c r="I4999" s="340" t="s">
        <v>771</v>
      </c>
      <c r="K4999" s="343">
        <v>0</v>
      </c>
      <c r="L4999" s="343">
        <v>-2.2599999999999998</v>
      </c>
      <c r="M4999" s="343">
        <v>-964304.88</v>
      </c>
      <c r="O4999" s="343">
        <v>0</v>
      </c>
    </row>
    <row r="5000" spans="1:15" x14ac:dyDescent="0.3">
      <c r="A5000" s="340" t="s">
        <v>891</v>
      </c>
      <c r="B5000" s="350">
        <v>46144</v>
      </c>
      <c r="C5000" s="350">
        <v>46148</v>
      </c>
      <c r="D5000" s="351">
        <v>46143</v>
      </c>
      <c r="E5000" s="340" t="s">
        <v>3204</v>
      </c>
      <c r="F5000" s="340" t="s">
        <v>894</v>
      </c>
      <c r="G5000" s="340" t="s">
        <v>3021</v>
      </c>
      <c r="H5000" s="340"/>
      <c r="I5000" s="340" t="s">
        <v>771</v>
      </c>
      <c r="K5000" s="343">
        <v>0</v>
      </c>
      <c r="L5000" s="343">
        <v>-4.6100000000000003</v>
      </c>
      <c r="M5000" s="343">
        <v>-964309.49</v>
      </c>
      <c r="O5000" s="343">
        <v>0</v>
      </c>
    </row>
    <row r="5001" spans="1:15" x14ac:dyDescent="0.3">
      <c r="A5001" s="340" t="s">
        <v>891</v>
      </c>
      <c r="B5001" s="350">
        <v>46144</v>
      </c>
      <c r="C5001" s="350">
        <v>46148</v>
      </c>
      <c r="D5001" s="351">
        <v>46143</v>
      </c>
      <c r="E5001" s="340" t="s">
        <v>3204</v>
      </c>
      <c r="F5001" s="340" t="s">
        <v>894</v>
      </c>
      <c r="G5001" s="340" t="s">
        <v>3005</v>
      </c>
      <c r="H5001" s="340"/>
      <c r="I5001" s="340" t="s">
        <v>771</v>
      </c>
      <c r="K5001" s="343">
        <v>0</v>
      </c>
      <c r="L5001" s="343">
        <v>-7.2</v>
      </c>
      <c r="M5001" s="343">
        <v>-964316.69</v>
      </c>
      <c r="O5001" s="343">
        <v>0</v>
      </c>
    </row>
    <row r="5002" spans="1:15" x14ac:dyDescent="0.3">
      <c r="A5002" s="340" t="s">
        <v>891</v>
      </c>
      <c r="B5002" s="350">
        <v>46144</v>
      </c>
      <c r="C5002" s="350">
        <v>46148</v>
      </c>
      <c r="D5002" s="351">
        <v>46143</v>
      </c>
      <c r="E5002" s="340" t="s">
        <v>3204</v>
      </c>
      <c r="F5002" s="340" t="s">
        <v>894</v>
      </c>
      <c r="G5002" s="340" t="s">
        <v>3005</v>
      </c>
      <c r="H5002" s="340"/>
      <c r="I5002" s="340" t="s">
        <v>771</v>
      </c>
      <c r="K5002" s="343">
        <v>0</v>
      </c>
      <c r="L5002" s="343">
        <v>-9.81</v>
      </c>
      <c r="M5002" s="343">
        <v>-964326.5</v>
      </c>
      <c r="O5002" s="343">
        <v>0</v>
      </c>
    </row>
    <row r="5003" spans="1:15" x14ac:dyDescent="0.3">
      <c r="A5003" s="340" t="s">
        <v>891</v>
      </c>
      <c r="B5003" s="350">
        <v>46144</v>
      </c>
      <c r="C5003" s="350">
        <v>46148</v>
      </c>
      <c r="D5003" s="351">
        <v>46143</v>
      </c>
      <c r="E5003" s="340" t="s">
        <v>3204</v>
      </c>
      <c r="F5003" s="340" t="s">
        <v>894</v>
      </c>
      <c r="G5003" s="340" t="s">
        <v>3023</v>
      </c>
      <c r="H5003" s="340"/>
      <c r="I5003" s="340" t="s">
        <v>771</v>
      </c>
      <c r="K5003" s="343">
        <v>0</v>
      </c>
      <c r="L5003" s="343">
        <v>-0.42</v>
      </c>
      <c r="M5003" s="343">
        <v>-964326.92</v>
      </c>
      <c r="O5003" s="343">
        <v>0</v>
      </c>
    </row>
    <row r="5004" spans="1:15" x14ac:dyDescent="0.3">
      <c r="A5004" s="340" t="s">
        <v>891</v>
      </c>
      <c r="B5004" s="350">
        <v>46144</v>
      </c>
      <c r="C5004" s="350">
        <v>46148</v>
      </c>
      <c r="D5004" s="351">
        <v>46143</v>
      </c>
      <c r="E5004" s="340" t="s">
        <v>3204</v>
      </c>
      <c r="F5004" s="340" t="s">
        <v>894</v>
      </c>
      <c r="G5004" s="340" t="s">
        <v>3018</v>
      </c>
      <c r="H5004" s="340"/>
      <c r="I5004" s="340" t="s">
        <v>771</v>
      </c>
      <c r="K5004" s="343">
        <v>0</v>
      </c>
      <c r="L5004" s="343">
        <v>-7.0000000000000007E-2</v>
      </c>
      <c r="M5004" s="343">
        <v>-964326.99</v>
      </c>
      <c r="O5004" s="343">
        <v>0</v>
      </c>
    </row>
    <row r="5005" spans="1:15" x14ac:dyDescent="0.3">
      <c r="A5005" s="340" t="s">
        <v>891</v>
      </c>
      <c r="B5005" s="350">
        <v>46144</v>
      </c>
      <c r="C5005" s="350">
        <v>46148</v>
      </c>
      <c r="D5005" s="351">
        <v>46143</v>
      </c>
      <c r="E5005" s="340" t="s">
        <v>3204</v>
      </c>
      <c r="F5005" s="340" t="s">
        <v>894</v>
      </c>
      <c r="G5005" s="340" t="s">
        <v>3022</v>
      </c>
      <c r="H5005" s="340"/>
      <c r="I5005" s="340" t="s">
        <v>771</v>
      </c>
      <c r="K5005" s="343">
        <v>0</v>
      </c>
      <c r="L5005" s="343">
        <v>-0.21</v>
      </c>
      <c r="M5005" s="343">
        <v>-964327.2</v>
      </c>
      <c r="O5005" s="343">
        <v>0</v>
      </c>
    </row>
    <row r="5006" spans="1:15" x14ac:dyDescent="0.3">
      <c r="A5006" s="340" t="s">
        <v>891</v>
      </c>
      <c r="B5006" s="350">
        <v>46144</v>
      </c>
      <c r="C5006" s="350">
        <v>46148</v>
      </c>
      <c r="D5006" s="351">
        <v>46143</v>
      </c>
      <c r="E5006" s="340" t="s">
        <v>3204</v>
      </c>
      <c r="F5006" s="340" t="s">
        <v>894</v>
      </c>
      <c r="G5006" s="340" t="s">
        <v>3019</v>
      </c>
      <c r="H5006" s="340"/>
      <c r="I5006" s="340" t="s">
        <v>771</v>
      </c>
      <c r="K5006" s="343">
        <v>0</v>
      </c>
      <c r="L5006" s="343">
        <v>-0.01</v>
      </c>
      <c r="M5006" s="343">
        <v>-964327.21</v>
      </c>
      <c r="O5006" s="343">
        <v>0</v>
      </c>
    </row>
    <row r="5007" spans="1:15" x14ac:dyDescent="0.3">
      <c r="A5007" s="340" t="s">
        <v>891</v>
      </c>
      <c r="B5007" s="350">
        <v>46144</v>
      </c>
      <c r="C5007" s="350">
        <v>46148</v>
      </c>
      <c r="D5007" s="351">
        <v>46143</v>
      </c>
      <c r="E5007" s="340" t="s">
        <v>3204</v>
      </c>
      <c r="F5007" s="340" t="s">
        <v>894</v>
      </c>
      <c r="G5007" s="340" t="s">
        <v>3016</v>
      </c>
      <c r="H5007" s="340"/>
      <c r="I5007" s="340" t="s">
        <v>771</v>
      </c>
      <c r="K5007" s="343">
        <v>0</v>
      </c>
      <c r="L5007" s="343">
        <v>-0.02</v>
      </c>
      <c r="M5007" s="343">
        <v>-964327.23</v>
      </c>
      <c r="O5007" s="343">
        <v>0</v>
      </c>
    </row>
    <row r="5008" spans="1:15" x14ac:dyDescent="0.3">
      <c r="A5008" s="340" t="s">
        <v>891</v>
      </c>
      <c r="B5008" s="350">
        <v>46144</v>
      </c>
      <c r="C5008" s="350">
        <v>46148</v>
      </c>
      <c r="D5008" s="351">
        <v>46143</v>
      </c>
      <c r="E5008" s="340" t="s">
        <v>3204</v>
      </c>
      <c r="F5008" s="340" t="s">
        <v>894</v>
      </c>
      <c r="G5008" s="340" t="s">
        <v>3020</v>
      </c>
      <c r="H5008" s="340"/>
      <c r="I5008" s="340" t="s">
        <v>771</v>
      </c>
      <c r="K5008" s="343">
        <v>0</v>
      </c>
      <c r="L5008" s="343">
        <v>-0.11</v>
      </c>
      <c r="M5008" s="343">
        <v>-964327.34</v>
      </c>
      <c r="O5008" s="343">
        <v>0</v>
      </c>
    </row>
    <row r="5009" spans="1:15" x14ac:dyDescent="0.3">
      <c r="A5009" s="340" t="s">
        <v>891</v>
      </c>
      <c r="B5009" s="350">
        <v>46144</v>
      </c>
      <c r="C5009" s="350">
        <v>46148</v>
      </c>
      <c r="D5009" s="351">
        <v>46143</v>
      </c>
      <c r="E5009" s="340" t="s">
        <v>3204</v>
      </c>
      <c r="F5009" s="340" t="s">
        <v>894</v>
      </c>
      <c r="G5009" s="340" t="s">
        <v>3020</v>
      </c>
      <c r="H5009" s="340"/>
      <c r="I5009" s="340" t="s">
        <v>771</v>
      </c>
      <c r="K5009" s="343">
        <v>0</v>
      </c>
      <c r="L5009" s="343">
        <v>-0.13</v>
      </c>
      <c r="M5009" s="343">
        <v>-964327.47</v>
      </c>
      <c r="O5009" s="343">
        <v>0</v>
      </c>
    </row>
    <row r="5010" spans="1:15" x14ac:dyDescent="0.3">
      <c r="A5010" s="340" t="s">
        <v>891</v>
      </c>
      <c r="B5010" s="350">
        <v>46144</v>
      </c>
      <c r="C5010" s="350">
        <v>46148</v>
      </c>
      <c r="D5010" s="351">
        <v>46143</v>
      </c>
      <c r="E5010" s="340" t="s">
        <v>3204</v>
      </c>
      <c r="F5010" s="340" t="s">
        <v>894</v>
      </c>
      <c r="G5010" s="340" t="s">
        <v>3022</v>
      </c>
      <c r="H5010" s="340"/>
      <c r="I5010" s="340" t="s">
        <v>771</v>
      </c>
      <c r="K5010" s="343">
        <v>0</v>
      </c>
      <c r="L5010" s="343">
        <v>-0.27</v>
      </c>
      <c r="M5010" s="343">
        <v>-964327.74</v>
      </c>
      <c r="O5010" s="343">
        <v>0</v>
      </c>
    </row>
    <row r="5011" spans="1:15" x14ac:dyDescent="0.3">
      <c r="A5011" s="340" t="s">
        <v>891</v>
      </c>
      <c r="B5011" s="350">
        <v>46144</v>
      </c>
      <c r="C5011" s="350">
        <v>46148</v>
      </c>
      <c r="D5011" s="351">
        <v>46143</v>
      </c>
      <c r="E5011" s="340" t="s">
        <v>3204</v>
      </c>
      <c r="F5011" s="340" t="s">
        <v>894</v>
      </c>
      <c r="G5011" s="340" t="s">
        <v>3024</v>
      </c>
      <c r="H5011" s="340"/>
      <c r="I5011" s="340" t="s">
        <v>771</v>
      </c>
      <c r="K5011" s="343">
        <v>0</v>
      </c>
      <c r="L5011" s="343">
        <v>-0.87</v>
      </c>
      <c r="M5011" s="343">
        <v>-964328.61</v>
      </c>
      <c r="O5011" s="343">
        <v>0</v>
      </c>
    </row>
    <row r="5012" spans="1:15" x14ac:dyDescent="0.3">
      <c r="A5012" s="340" t="s">
        <v>891</v>
      </c>
      <c r="B5012" s="350">
        <v>46144</v>
      </c>
      <c r="C5012" s="350">
        <v>46148</v>
      </c>
      <c r="D5012" s="351">
        <v>46143</v>
      </c>
      <c r="E5012" s="340" t="s">
        <v>3204</v>
      </c>
      <c r="F5012" s="340" t="s">
        <v>894</v>
      </c>
      <c r="G5012" s="340" t="s">
        <v>3017</v>
      </c>
      <c r="H5012" s="340"/>
      <c r="I5012" s="340" t="s">
        <v>771</v>
      </c>
      <c r="K5012" s="343">
        <v>0</v>
      </c>
      <c r="L5012" s="343">
        <v>-2.2599999999999998</v>
      </c>
      <c r="M5012" s="343">
        <v>-964330.87</v>
      </c>
      <c r="O5012" s="343">
        <v>0</v>
      </c>
    </row>
    <row r="5013" spans="1:15" x14ac:dyDescent="0.3">
      <c r="A5013" s="340" t="s">
        <v>891</v>
      </c>
      <c r="B5013" s="350">
        <v>46144</v>
      </c>
      <c r="C5013" s="350">
        <v>46148</v>
      </c>
      <c r="D5013" s="351">
        <v>46143</v>
      </c>
      <c r="E5013" s="340" t="s">
        <v>3204</v>
      </c>
      <c r="F5013" s="340" t="s">
        <v>894</v>
      </c>
      <c r="G5013" s="340" t="s">
        <v>3025</v>
      </c>
      <c r="H5013" s="340"/>
      <c r="I5013" s="340" t="s">
        <v>771</v>
      </c>
      <c r="K5013" s="343">
        <v>0</v>
      </c>
      <c r="L5013" s="343">
        <v>-2.4500000000000002</v>
      </c>
      <c r="M5013" s="343">
        <v>-964333.32</v>
      </c>
      <c r="O5013" s="343">
        <v>0</v>
      </c>
    </row>
    <row r="5014" spans="1:15" x14ac:dyDescent="0.3">
      <c r="A5014" s="340" t="s">
        <v>891</v>
      </c>
      <c r="B5014" s="350">
        <v>46144</v>
      </c>
      <c r="C5014" s="350">
        <v>46148</v>
      </c>
      <c r="D5014" s="351">
        <v>46143</v>
      </c>
      <c r="E5014" s="340" t="s">
        <v>3204</v>
      </c>
      <c r="F5014" s="340" t="s">
        <v>894</v>
      </c>
      <c r="G5014" s="340" t="s">
        <v>3026</v>
      </c>
      <c r="H5014" s="340"/>
      <c r="I5014" s="340" t="s">
        <v>771</v>
      </c>
      <c r="K5014" s="343">
        <v>0</v>
      </c>
      <c r="L5014" s="343">
        <v>-2.87</v>
      </c>
      <c r="M5014" s="343">
        <v>-964336.19</v>
      </c>
      <c r="O5014" s="343">
        <v>0</v>
      </c>
    </row>
    <row r="5015" spans="1:15" x14ac:dyDescent="0.3">
      <c r="A5015" s="340" t="s">
        <v>891</v>
      </c>
      <c r="B5015" s="350">
        <v>46144</v>
      </c>
      <c r="C5015" s="350">
        <v>46148</v>
      </c>
      <c r="D5015" s="351">
        <v>46143</v>
      </c>
      <c r="E5015" s="340" t="s">
        <v>3204</v>
      </c>
      <c r="F5015" s="340" t="s">
        <v>894</v>
      </c>
      <c r="G5015" s="340" t="s">
        <v>3021</v>
      </c>
      <c r="H5015" s="340"/>
      <c r="I5015" s="340" t="s">
        <v>771</v>
      </c>
      <c r="K5015" s="343">
        <v>0</v>
      </c>
      <c r="L5015" s="343">
        <v>-4.6100000000000003</v>
      </c>
      <c r="M5015" s="343">
        <v>-964340.8</v>
      </c>
      <c r="O5015" s="343">
        <v>0</v>
      </c>
    </row>
    <row r="5016" spans="1:15" x14ac:dyDescent="0.3">
      <c r="A5016" s="340" t="s">
        <v>891</v>
      </c>
      <c r="B5016" s="350">
        <v>46144</v>
      </c>
      <c r="C5016" s="350">
        <v>46148</v>
      </c>
      <c r="D5016" s="351">
        <v>46143</v>
      </c>
      <c r="E5016" s="340" t="s">
        <v>3204</v>
      </c>
      <c r="F5016" s="340" t="s">
        <v>894</v>
      </c>
      <c r="G5016" s="340" t="s">
        <v>3018</v>
      </c>
      <c r="H5016" s="340"/>
      <c r="I5016" s="340" t="s">
        <v>771</v>
      </c>
      <c r="K5016" s="343">
        <v>0</v>
      </c>
      <c r="L5016" s="343">
        <v>-7.0000000000000007E-2</v>
      </c>
      <c r="M5016" s="343">
        <v>-964340.87</v>
      </c>
      <c r="O5016" s="343">
        <v>0</v>
      </c>
    </row>
    <row r="5017" spans="1:15" x14ac:dyDescent="0.3">
      <c r="A5017" s="340" t="s">
        <v>891</v>
      </c>
      <c r="B5017" s="350">
        <v>46144</v>
      </c>
      <c r="C5017" s="350">
        <v>46148</v>
      </c>
      <c r="D5017" s="351">
        <v>46143</v>
      </c>
      <c r="E5017" s="340" t="s">
        <v>3204</v>
      </c>
      <c r="F5017" s="340" t="s">
        <v>894</v>
      </c>
      <c r="G5017" s="340" t="s">
        <v>3020</v>
      </c>
      <c r="H5017" s="340"/>
      <c r="I5017" s="340" t="s">
        <v>771</v>
      </c>
      <c r="K5017" s="343">
        <v>0</v>
      </c>
      <c r="L5017" s="343">
        <v>-0.1</v>
      </c>
      <c r="M5017" s="343">
        <v>-964340.97</v>
      </c>
      <c r="O5017" s="343">
        <v>0</v>
      </c>
    </row>
    <row r="5018" spans="1:15" x14ac:dyDescent="0.3">
      <c r="A5018" s="340" t="s">
        <v>891</v>
      </c>
      <c r="B5018" s="350">
        <v>46144</v>
      </c>
      <c r="C5018" s="350">
        <v>46148</v>
      </c>
      <c r="D5018" s="351">
        <v>46143</v>
      </c>
      <c r="E5018" s="340" t="s">
        <v>3204</v>
      </c>
      <c r="F5018" s="340" t="s">
        <v>894</v>
      </c>
      <c r="G5018" s="340" t="s">
        <v>3022</v>
      </c>
      <c r="H5018" s="340"/>
      <c r="I5018" s="340" t="s">
        <v>771</v>
      </c>
      <c r="K5018" s="343">
        <v>0</v>
      </c>
      <c r="L5018" s="343">
        <v>-0.19</v>
      </c>
      <c r="M5018" s="343">
        <v>-964341.16</v>
      </c>
      <c r="O5018" s="343">
        <v>0</v>
      </c>
    </row>
    <row r="5019" spans="1:15" x14ac:dyDescent="0.3">
      <c r="A5019" s="340" t="s">
        <v>891</v>
      </c>
      <c r="B5019" s="350">
        <v>46144</v>
      </c>
      <c r="C5019" s="350">
        <v>46148</v>
      </c>
      <c r="D5019" s="351">
        <v>46143</v>
      </c>
      <c r="E5019" s="340" t="s">
        <v>3204</v>
      </c>
      <c r="F5019" s="340" t="s">
        <v>894</v>
      </c>
      <c r="G5019" s="340" t="s">
        <v>3023</v>
      </c>
      <c r="H5019" s="340"/>
      <c r="I5019" s="340" t="s">
        <v>771</v>
      </c>
      <c r="K5019" s="343">
        <v>0</v>
      </c>
      <c r="L5019" s="343">
        <v>-0.39</v>
      </c>
      <c r="M5019" s="343">
        <v>-964341.55</v>
      </c>
      <c r="O5019" s="343">
        <v>0</v>
      </c>
    </row>
    <row r="5020" spans="1:15" x14ac:dyDescent="0.3">
      <c r="A5020" s="340" t="s">
        <v>891</v>
      </c>
      <c r="B5020" s="350">
        <v>46144</v>
      </c>
      <c r="C5020" s="350">
        <v>46148</v>
      </c>
      <c r="D5020" s="351">
        <v>46143</v>
      </c>
      <c r="E5020" s="340" t="s">
        <v>3204</v>
      </c>
      <c r="F5020" s="340" t="s">
        <v>894</v>
      </c>
      <c r="G5020" s="340" t="s">
        <v>3024</v>
      </c>
      <c r="H5020" s="340"/>
      <c r="I5020" s="340" t="s">
        <v>771</v>
      </c>
      <c r="K5020" s="343">
        <v>0</v>
      </c>
      <c r="L5020" s="343">
        <v>-0.79</v>
      </c>
      <c r="M5020" s="343">
        <v>-964342.34</v>
      </c>
      <c r="O5020" s="343">
        <v>0</v>
      </c>
    </row>
    <row r="5021" spans="1:15" x14ac:dyDescent="0.3">
      <c r="A5021" s="340" t="s">
        <v>891</v>
      </c>
      <c r="B5021" s="350">
        <v>46144</v>
      </c>
      <c r="C5021" s="350">
        <v>46148</v>
      </c>
      <c r="D5021" s="351">
        <v>46143</v>
      </c>
      <c r="E5021" s="340" t="s">
        <v>3204</v>
      </c>
      <c r="F5021" s="340" t="s">
        <v>894</v>
      </c>
      <c r="G5021" s="340" t="s">
        <v>3025</v>
      </c>
      <c r="H5021" s="340"/>
      <c r="I5021" s="340" t="s">
        <v>771</v>
      </c>
      <c r="K5021" s="343">
        <v>0</v>
      </c>
      <c r="L5021" s="343">
        <v>-2.25</v>
      </c>
      <c r="M5021" s="343">
        <v>-964344.59</v>
      </c>
      <c r="O5021" s="343">
        <v>0</v>
      </c>
    </row>
    <row r="5022" spans="1:15" x14ac:dyDescent="0.3">
      <c r="A5022" s="340" t="s">
        <v>891</v>
      </c>
      <c r="B5022" s="350">
        <v>46144</v>
      </c>
      <c r="C5022" s="350">
        <v>46148</v>
      </c>
      <c r="D5022" s="351">
        <v>46143</v>
      </c>
      <c r="E5022" s="340" t="s">
        <v>3204</v>
      </c>
      <c r="F5022" s="340" t="s">
        <v>894</v>
      </c>
      <c r="G5022" s="340" t="s">
        <v>3017</v>
      </c>
      <c r="H5022" s="340"/>
      <c r="I5022" s="340" t="s">
        <v>771</v>
      </c>
      <c r="K5022" s="343">
        <v>0</v>
      </c>
      <c r="L5022" s="343">
        <v>-2.2599999999999998</v>
      </c>
      <c r="M5022" s="343">
        <v>-964346.85</v>
      </c>
      <c r="O5022" s="343">
        <v>0</v>
      </c>
    </row>
    <row r="5023" spans="1:15" x14ac:dyDescent="0.3">
      <c r="A5023" s="340" t="s">
        <v>891</v>
      </c>
      <c r="B5023" s="350">
        <v>46144</v>
      </c>
      <c r="C5023" s="350">
        <v>46148</v>
      </c>
      <c r="D5023" s="351">
        <v>46143</v>
      </c>
      <c r="E5023" s="340" t="s">
        <v>3204</v>
      </c>
      <c r="F5023" s="340" t="s">
        <v>894</v>
      </c>
      <c r="G5023" s="340" t="s">
        <v>3026</v>
      </c>
      <c r="H5023" s="340"/>
      <c r="I5023" s="340" t="s">
        <v>771</v>
      </c>
      <c r="K5023" s="343">
        <v>0</v>
      </c>
      <c r="L5023" s="343">
        <v>-2.64</v>
      </c>
      <c r="M5023" s="343">
        <v>-964349.49</v>
      </c>
      <c r="O5023" s="343">
        <v>0</v>
      </c>
    </row>
    <row r="5024" spans="1:15" x14ac:dyDescent="0.3">
      <c r="A5024" s="340" t="s">
        <v>891</v>
      </c>
      <c r="B5024" s="350">
        <v>46144</v>
      </c>
      <c r="C5024" s="350">
        <v>46148</v>
      </c>
      <c r="D5024" s="351">
        <v>46143</v>
      </c>
      <c r="E5024" s="340" t="s">
        <v>3204</v>
      </c>
      <c r="F5024" s="340" t="s">
        <v>894</v>
      </c>
      <c r="G5024" s="340" t="s">
        <v>3021</v>
      </c>
      <c r="H5024" s="340"/>
      <c r="I5024" s="340" t="s">
        <v>771</v>
      </c>
      <c r="K5024" s="343">
        <v>0</v>
      </c>
      <c r="L5024" s="343">
        <v>-4.6100000000000003</v>
      </c>
      <c r="M5024" s="343">
        <v>-964354.1</v>
      </c>
      <c r="O5024" s="343">
        <v>0</v>
      </c>
    </row>
    <row r="5025" spans="1:15" x14ac:dyDescent="0.3">
      <c r="A5025" s="340" t="s">
        <v>891</v>
      </c>
      <c r="B5025" s="350">
        <v>46144</v>
      </c>
      <c r="C5025" s="350">
        <v>46148</v>
      </c>
      <c r="D5025" s="351">
        <v>46143</v>
      </c>
      <c r="E5025" s="340" t="s">
        <v>3204</v>
      </c>
      <c r="F5025" s="340" t="s">
        <v>894</v>
      </c>
      <c r="G5025" s="340" t="s">
        <v>3005</v>
      </c>
      <c r="H5025" s="340"/>
      <c r="I5025" s="340" t="s">
        <v>771</v>
      </c>
      <c r="K5025" s="343">
        <v>0</v>
      </c>
      <c r="L5025" s="343">
        <v>-9.01</v>
      </c>
      <c r="M5025" s="343">
        <v>-964363.11</v>
      </c>
      <c r="O5025" s="343">
        <v>0</v>
      </c>
    </row>
    <row r="5026" spans="1:15" x14ac:dyDescent="0.3">
      <c r="A5026" s="340" t="s">
        <v>891</v>
      </c>
      <c r="B5026" s="350">
        <v>46144</v>
      </c>
      <c r="C5026" s="350">
        <v>46148</v>
      </c>
      <c r="D5026" s="351">
        <v>46143</v>
      </c>
      <c r="E5026" s="340" t="s">
        <v>3204</v>
      </c>
      <c r="F5026" s="340" t="s">
        <v>894</v>
      </c>
      <c r="G5026" s="340" t="s">
        <v>3016</v>
      </c>
      <c r="H5026" s="340"/>
      <c r="I5026" s="340" t="s">
        <v>771</v>
      </c>
      <c r="K5026" s="343">
        <v>0</v>
      </c>
      <c r="L5026" s="343">
        <v>-0.02</v>
      </c>
      <c r="M5026" s="343">
        <v>-964363.13</v>
      </c>
      <c r="O5026" s="343">
        <v>0</v>
      </c>
    </row>
    <row r="5027" spans="1:15" x14ac:dyDescent="0.3">
      <c r="A5027" s="340" t="s">
        <v>891</v>
      </c>
      <c r="B5027" s="350">
        <v>46144</v>
      </c>
      <c r="C5027" s="350">
        <v>46148</v>
      </c>
      <c r="D5027" s="351">
        <v>46143</v>
      </c>
      <c r="E5027" s="340" t="s">
        <v>3204</v>
      </c>
      <c r="F5027" s="340" t="s">
        <v>894</v>
      </c>
      <c r="G5027" s="340" t="s">
        <v>3019</v>
      </c>
      <c r="H5027" s="340"/>
      <c r="I5027" s="340" t="s">
        <v>771</v>
      </c>
      <c r="K5027" s="343">
        <v>0</v>
      </c>
      <c r="L5027" s="343">
        <v>-0.01</v>
      </c>
      <c r="M5027" s="343">
        <v>-964363.14</v>
      </c>
      <c r="O5027" s="343">
        <v>0</v>
      </c>
    </row>
    <row r="5028" spans="1:15" x14ac:dyDescent="0.3">
      <c r="A5028" s="340" t="s">
        <v>891</v>
      </c>
      <c r="B5028" s="350">
        <v>46144</v>
      </c>
      <c r="C5028" s="350">
        <v>46148</v>
      </c>
      <c r="D5028" s="351">
        <v>46143</v>
      </c>
      <c r="E5028" s="340" t="s">
        <v>3204</v>
      </c>
      <c r="F5028" s="340" t="s">
        <v>894</v>
      </c>
      <c r="G5028" s="340" t="s">
        <v>3016</v>
      </c>
      <c r="H5028" s="340"/>
      <c r="I5028" s="340" t="s">
        <v>771</v>
      </c>
      <c r="K5028" s="343">
        <v>0</v>
      </c>
      <c r="L5028" s="343">
        <v>-0.02</v>
      </c>
      <c r="M5028" s="343">
        <v>-964363.16</v>
      </c>
      <c r="O5028" s="343">
        <v>0</v>
      </c>
    </row>
    <row r="5029" spans="1:15" x14ac:dyDescent="0.3">
      <c r="A5029" s="340" t="s">
        <v>891</v>
      </c>
      <c r="B5029" s="350">
        <v>46144</v>
      </c>
      <c r="C5029" s="350">
        <v>46148</v>
      </c>
      <c r="D5029" s="351">
        <v>46143</v>
      </c>
      <c r="E5029" s="340" t="s">
        <v>3204</v>
      </c>
      <c r="F5029" s="340" t="s">
        <v>894</v>
      </c>
      <c r="G5029" s="340" t="s">
        <v>3022</v>
      </c>
      <c r="H5029" s="340"/>
      <c r="I5029" s="340" t="s">
        <v>771</v>
      </c>
      <c r="K5029" s="343">
        <v>0</v>
      </c>
      <c r="L5029" s="343">
        <v>-0.26</v>
      </c>
      <c r="M5029" s="343">
        <v>-964363.42</v>
      </c>
      <c r="O5029" s="343">
        <v>0</v>
      </c>
    </row>
    <row r="5030" spans="1:15" x14ac:dyDescent="0.3">
      <c r="A5030" s="340" t="s">
        <v>891</v>
      </c>
      <c r="B5030" s="350">
        <v>46144</v>
      </c>
      <c r="C5030" s="350">
        <v>46148</v>
      </c>
      <c r="D5030" s="351">
        <v>46143</v>
      </c>
      <c r="E5030" s="340" t="s">
        <v>3204</v>
      </c>
      <c r="F5030" s="340" t="s">
        <v>894</v>
      </c>
      <c r="G5030" s="340" t="s">
        <v>3020</v>
      </c>
      <c r="H5030" s="340"/>
      <c r="I5030" s="340" t="s">
        <v>771</v>
      </c>
      <c r="K5030" s="343">
        <v>0</v>
      </c>
      <c r="L5030" s="343">
        <v>-0.13</v>
      </c>
      <c r="M5030" s="343">
        <v>-964363.55</v>
      </c>
      <c r="O5030" s="343">
        <v>0</v>
      </c>
    </row>
    <row r="5031" spans="1:15" x14ac:dyDescent="0.3">
      <c r="A5031" s="340" t="s">
        <v>891</v>
      </c>
      <c r="B5031" s="350">
        <v>46144</v>
      </c>
      <c r="C5031" s="350">
        <v>46148</v>
      </c>
      <c r="D5031" s="351">
        <v>46143</v>
      </c>
      <c r="E5031" s="340" t="s">
        <v>3204</v>
      </c>
      <c r="F5031" s="340" t="s">
        <v>894</v>
      </c>
      <c r="G5031" s="340" t="s">
        <v>3016</v>
      </c>
      <c r="H5031" s="340"/>
      <c r="I5031" s="340" t="s">
        <v>771</v>
      </c>
      <c r="K5031" s="343">
        <v>0</v>
      </c>
      <c r="L5031" s="343">
        <v>-0.15</v>
      </c>
      <c r="M5031" s="343">
        <v>-964363.7</v>
      </c>
      <c r="O5031" s="343">
        <v>0</v>
      </c>
    </row>
    <row r="5032" spans="1:15" x14ac:dyDescent="0.3">
      <c r="A5032" s="340" t="s">
        <v>891</v>
      </c>
      <c r="B5032" s="350">
        <v>46144</v>
      </c>
      <c r="C5032" s="350">
        <v>46148</v>
      </c>
      <c r="D5032" s="351">
        <v>46143</v>
      </c>
      <c r="E5032" s="340" t="s">
        <v>3204</v>
      </c>
      <c r="F5032" s="340" t="s">
        <v>894</v>
      </c>
      <c r="G5032" s="340" t="s">
        <v>3016</v>
      </c>
      <c r="H5032" s="340"/>
      <c r="I5032" s="340" t="s">
        <v>771</v>
      </c>
      <c r="K5032" s="343">
        <v>0</v>
      </c>
      <c r="L5032" s="343">
        <v>-0.19</v>
      </c>
      <c r="M5032" s="343">
        <v>-964363.89</v>
      </c>
      <c r="O5032" s="343">
        <v>0</v>
      </c>
    </row>
    <row r="5033" spans="1:15" x14ac:dyDescent="0.3">
      <c r="A5033" s="340" t="s">
        <v>891</v>
      </c>
      <c r="B5033" s="350">
        <v>46144</v>
      </c>
      <c r="C5033" s="350">
        <v>46148</v>
      </c>
      <c r="D5033" s="351">
        <v>46143</v>
      </c>
      <c r="E5033" s="340" t="s">
        <v>3204</v>
      </c>
      <c r="F5033" s="340" t="s">
        <v>894</v>
      </c>
      <c r="G5033" s="340" t="s">
        <v>3018</v>
      </c>
      <c r="H5033" s="340"/>
      <c r="I5033" s="340" t="s">
        <v>771</v>
      </c>
      <c r="K5033" s="343">
        <v>0</v>
      </c>
      <c r="L5033" s="343">
        <v>-0.82</v>
      </c>
      <c r="M5033" s="343">
        <v>-964364.71</v>
      </c>
      <c r="O5033" s="343">
        <v>0</v>
      </c>
    </row>
    <row r="5034" spans="1:15" x14ac:dyDescent="0.3">
      <c r="A5034" s="340" t="s">
        <v>891</v>
      </c>
      <c r="B5034" s="350">
        <v>46144</v>
      </c>
      <c r="C5034" s="350">
        <v>46148</v>
      </c>
      <c r="D5034" s="351">
        <v>46143</v>
      </c>
      <c r="E5034" s="340" t="s">
        <v>3204</v>
      </c>
      <c r="F5034" s="340" t="s">
        <v>894</v>
      </c>
      <c r="G5034" s="340" t="s">
        <v>3019</v>
      </c>
      <c r="H5034" s="340"/>
      <c r="I5034" s="340" t="s">
        <v>771</v>
      </c>
      <c r="K5034" s="343">
        <v>0</v>
      </c>
      <c r="L5034" s="343">
        <v>-0.83</v>
      </c>
      <c r="M5034" s="343">
        <v>-964365.54</v>
      </c>
      <c r="O5034" s="343">
        <v>0</v>
      </c>
    </row>
    <row r="5035" spans="1:15" x14ac:dyDescent="0.3">
      <c r="A5035" s="340" t="s">
        <v>891</v>
      </c>
      <c r="B5035" s="350">
        <v>46144</v>
      </c>
      <c r="C5035" s="350">
        <v>46148</v>
      </c>
      <c r="D5035" s="351">
        <v>46143</v>
      </c>
      <c r="E5035" s="340" t="s">
        <v>3204</v>
      </c>
      <c r="F5035" s="340" t="s">
        <v>894</v>
      </c>
      <c r="G5035" s="340" t="s">
        <v>3020</v>
      </c>
      <c r="H5035" s="340"/>
      <c r="I5035" s="340" t="s">
        <v>771</v>
      </c>
      <c r="K5035" s="343">
        <v>0</v>
      </c>
      <c r="L5035" s="343">
        <v>-1.19</v>
      </c>
      <c r="M5035" s="343">
        <v>-964366.73</v>
      </c>
      <c r="O5035" s="343">
        <v>0</v>
      </c>
    </row>
    <row r="5036" spans="1:15" x14ac:dyDescent="0.3">
      <c r="A5036" s="340" t="s">
        <v>891</v>
      </c>
      <c r="B5036" s="350">
        <v>46144</v>
      </c>
      <c r="C5036" s="350">
        <v>46148</v>
      </c>
      <c r="D5036" s="351">
        <v>46143</v>
      </c>
      <c r="E5036" s="340" t="s">
        <v>3204</v>
      </c>
      <c r="F5036" s="340" t="s">
        <v>894</v>
      </c>
      <c r="G5036" s="340" t="s">
        <v>3016</v>
      </c>
      <c r="H5036" s="340"/>
      <c r="I5036" s="340" t="s">
        <v>771</v>
      </c>
      <c r="K5036" s="343">
        <v>0</v>
      </c>
      <c r="L5036" s="343">
        <v>-0.02</v>
      </c>
      <c r="M5036" s="343">
        <v>-964366.75</v>
      </c>
      <c r="O5036" s="343">
        <v>0</v>
      </c>
    </row>
    <row r="5037" spans="1:15" x14ac:dyDescent="0.3">
      <c r="A5037" s="340" t="s">
        <v>891</v>
      </c>
      <c r="B5037" s="350">
        <v>46144</v>
      </c>
      <c r="C5037" s="350">
        <v>46148</v>
      </c>
      <c r="D5037" s="351">
        <v>46143</v>
      </c>
      <c r="E5037" s="340" t="s">
        <v>3204</v>
      </c>
      <c r="F5037" s="340" t="s">
        <v>894</v>
      </c>
      <c r="G5037" s="340" t="s">
        <v>3022</v>
      </c>
      <c r="H5037" s="340"/>
      <c r="I5037" s="340" t="s">
        <v>771</v>
      </c>
      <c r="K5037" s="343">
        <v>0</v>
      </c>
      <c r="L5037" s="343">
        <v>-2.37</v>
      </c>
      <c r="M5037" s="343">
        <v>-964369.12</v>
      </c>
      <c r="O5037" s="343">
        <v>0</v>
      </c>
    </row>
    <row r="5038" spans="1:15" x14ac:dyDescent="0.3">
      <c r="A5038" s="340" t="s">
        <v>891</v>
      </c>
      <c r="B5038" s="350">
        <v>46144</v>
      </c>
      <c r="C5038" s="350">
        <v>46148</v>
      </c>
      <c r="D5038" s="351">
        <v>46143</v>
      </c>
      <c r="E5038" s="340" t="s">
        <v>3204</v>
      </c>
      <c r="F5038" s="340" t="s">
        <v>894</v>
      </c>
      <c r="G5038" s="340" t="s">
        <v>3023</v>
      </c>
      <c r="H5038" s="340"/>
      <c r="I5038" s="340" t="s">
        <v>771</v>
      </c>
      <c r="K5038" s="343">
        <v>0</v>
      </c>
      <c r="L5038" s="343">
        <v>-4.95</v>
      </c>
      <c r="M5038" s="343">
        <v>-964374.07</v>
      </c>
      <c r="O5038" s="343">
        <v>0</v>
      </c>
    </row>
    <row r="5039" spans="1:15" x14ac:dyDescent="0.3">
      <c r="A5039" s="340" t="s">
        <v>891</v>
      </c>
      <c r="B5039" s="350">
        <v>46144</v>
      </c>
      <c r="C5039" s="350">
        <v>46148</v>
      </c>
      <c r="D5039" s="351">
        <v>46143</v>
      </c>
      <c r="E5039" s="340" t="s">
        <v>3204</v>
      </c>
      <c r="F5039" s="340" t="s">
        <v>894</v>
      </c>
      <c r="G5039" s="340" t="s">
        <v>3024</v>
      </c>
      <c r="H5039" s="340"/>
      <c r="I5039" s="340" t="s">
        <v>771</v>
      </c>
      <c r="K5039" s="343">
        <v>0</v>
      </c>
      <c r="L5039" s="343">
        <v>-5.18</v>
      </c>
      <c r="M5039" s="343">
        <v>-964379.25</v>
      </c>
      <c r="O5039" s="343">
        <v>0</v>
      </c>
    </row>
    <row r="5040" spans="1:15" x14ac:dyDescent="0.3">
      <c r="A5040" s="340" t="s">
        <v>891</v>
      </c>
      <c r="B5040" s="350">
        <v>46144</v>
      </c>
      <c r="C5040" s="350">
        <v>46148</v>
      </c>
      <c r="D5040" s="351">
        <v>46143</v>
      </c>
      <c r="E5040" s="340" t="s">
        <v>3204</v>
      </c>
      <c r="F5040" s="340" t="s">
        <v>894</v>
      </c>
      <c r="G5040" s="340" t="s">
        <v>3021</v>
      </c>
      <c r="H5040" s="340"/>
      <c r="I5040" s="340" t="s">
        <v>771</v>
      </c>
      <c r="K5040" s="343">
        <v>0</v>
      </c>
      <c r="L5040" s="343">
        <v>-21.3</v>
      </c>
      <c r="M5040" s="343">
        <v>-964400.55</v>
      </c>
      <c r="O5040" s="343">
        <v>0</v>
      </c>
    </row>
    <row r="5041" spans="1:15" x14ac:dyDescent="0.3">
      <c r="A5041" s="340" t="s">
        <v>891</v>
      </c>
      <c r="B5041" s="350">
        <v>46144</v>
      </c>
      <c r="C5041" s="350">
        <v>46148</v>
      </c>
      <c r="D5041" s="351">
        <v>46143</v>
      </c>
      <c r="E5041" s="340" t="s">
        <v>3204</v>
      </c>
      <c r="F5041" s="340" t="s">
        <v>894</v>
      </c>
      <c r="G5041" s="340" t="s">
        <v>3025</v>
      </c>
      <c r="H5041" s="340"/>
      <c r="I5041" s="340" t="s">
        <v>771</v>
      </c>
      <c r="K5041" s="343">
        <v>0</v>
      </c>
      <c r="L5041" s="343">
        <v>-25.57</v>
      </c>
      <c r="M5041" s="343">
        <v>-964426.12</v>
      </c>
      <c r="O5041" s="343">
        <v>0</v>
      </c>
    </row>
    <row r="5042" spans="1:15" x14ac:dyDescent="0.3">
      <c r="A5042" s="340" t="s">
        <v>891</v>
      </c>
      <c r="B5042" s="350">
        <v>46144</v>
      </c>
      <c r="C5042" s="350">
        <v>46148</v>
      </c>
      <c r="D5042" s="351">
        <v>46143</v>
      </c>
      <c r="E5042" s="340" t="s">
        <v>3204</v>
      </c>
      <c r="F5042" s="340" t="s">
        <v>894</v>
      </c>
      <c r="G5042" s="340" t="s">
        <v>3026</v>
      </c>
      <c r="H5042" s="340"/>
      <c r="I5042" s="340" t="s">
        <v>771</v>
      </c>
      <c r="K5042" s="343">
        <v>0</v>
      </c>
      <c r="L5042" s="343">
        <v>-25.61</v>
      </c>
      <c r="M5042" s="343">
        <v>-964451.73</v>
      </c>
      <c r="O5042" s="343">
        <v>0</v>
      </c>
    </row>
    <row r="5043" spans="1:15" x14ac:dyDescent="0.3">
      <c r="A5043" s="340" t="s">
        <v>891</v>
      </c>
      <c r="B5043" s="350">
        <v>46144</v>
      </c>
      <c r="C5043" s="350">
        <v>46148</v>
      </c>
      <c r="D5043" s="351">
        <v>46143</v>
      </c>
      <c r="E5043" s="340" t="s">
        <v>3204</v>
      </c>
      <c r="F5043" s="340" t="s">
        <v>894</v>
      </c>
      <c r="G5043" s="340" t="s">
        <v>3005</v>
      </c>
      <c r="H5043" s="340"/>
      <c r="I5043" s="340" t="s">
        <v>771</v>
      </c>
      <c r="K5043" s="343">
        <v>0</v>
      </c>
      <c r="L5043" s="343">
        <v>-110.5</v>
      </c>
      <c r="M5043" s="343">
        <v>-964562.23</v>
      </c>
      <c r="O5043" s="343">
        <v>0</v>
      </c>
    </row>
    <row r="5044" spans="1:15" x14ac:dyDescent="0.3">
      <c r="A5044" s="340" t="s">
        <v>891</v>
      </c>
      <c r="B5044" s="350">
        <v>46144</v>
      </c>
      <c r="C5044" s="350">
        <v>46148</v>
      </c>
      <c r="D5044" s="351">
        <v>46143</v>
      </c>
      <c r="E5044" s="340" t="s">
        <v>3204</v>
      </c>
      <c r="F5044" s="340" t="s">
        <v>894</v>
      </c>
      <c r="G5044" s="340" t="s">
        <v>3017</v>
      </c>
      <c r="H5044" s="340"/>
      <c r="I5044" s="340" t="s">
        <v>771</v>
      </c>
      <c r="K5044" s="343">
        <v>0</v>
      </c>
      <c r="L5044" s="343">
        <v>-11.13</v>
      </c>
      <c r="M5044" s="343">
        <v>-964573.36</v>
      </c>
      <c r="O5044" s="343">
        <v>0</v>
      </c>
    </row>
    <row r="5045" spans="1:15" x14ac:dyDescent="0.3">
      <c r="A5045" s="340" t="s">
        <v>891</v>
      </c>
      <c r="B5045" s="350">
        <v>46144</v>
      </c>
      <c r="C5045" s="350">
        <v>46148</v>
      </c>
      <c r="D5045" s="351">
        <v>46143</v>
      </c>
      <c r="E5045" s="340" t="s">
        <v>3204</v>
      </c>
      <c r="F5045" s="340" t="s">
        <v>894</v>
      </c>
      <c r="G5045" s="340" t="s">
        <v>3022</v>
      </c>
      <c r="H5045" s="340"/>
      <c r="I5045" s="340" t="s">
        <v>771</v>
      </c>
      <c r="K5045" s="343">
        <v>0</v>
      </c>
      <c r="L5045" s="343">
        <v>-1.83</v>
      </c>
      <c r="M5045" s="343">
        <v>-964575.19</v>
      </c>
      <c r="O5045" s="343">
        <v>0</v>
      </c>
    </row>
    <row r="5046" spans="1:15" x14ac:dyDescent="0.3">
      <c r="A5046" s="340" t="s">
        <v>891</v>
      </c>
      <c r="B5046" s="350">
        <v>46144</v>
      </c>
      <c r="C5046" s="350">
        <v>46148</v>
      </c>
      <c r="D5046" s="351">
        <v>46143</v>
      </c>
      <c r="E5046" s="340" t="s">
        <v>3204</v>
      </c>
      <c r="F5046" s="340" t="s">
        <v>894</v>
      </c>
      <c r="G5046" s="340" t="s">
        <v>3020</v>
      </c>
      <c r="H5046" s="340"/>
      <c r="I5046" s="340" t="s">
        <v>771</v>
      </c>
      <c r="K5046" s="343">
        <v>0</v>
      </c>
      <c r="L5046" s="343">
        <v>-0.92</v>
      </c>
      <c r="M5046" s="343">
        <v>-964576.11</v>
      </c>
      <c r="O5046" s="343">
        <v>0</v>
      </c>
    </row>
    <row r="5047" spans="1:15" x14ac:dyDescent="0.3">
      <c r="A5047" s="340" t="s">
        <v>891</v>
      </c>
      <c r="B5047" s="350">
        <v>46144</v>
      </c>
      <c r="C5047" s="350">
        <v>46148</v>
      </c>
      <c r="D5047" s="351">
        <v>46143</v>
      </c>
      <c r="E5047" s="340" t="s">
        <v>3204</v>
      </c>
      <c r="F5047" s="340" t="s">
        <v>894</v>
      </c>
      <c r="G5047" s="340" t="s">
        <v>3022</v>
      </c>
      <c r="H5047" s="340"/>
      <c r="I5047" s="340" t="s">
        <v>771</v>
      </c>
      <c r="K5047" s="343">
        <v>0</v>
      </c>
      <c r="L5047" s="343">
        <v>-0.14000000000000001</v>
      </c>
      <c r="M5047" s="343">
        <v>-964576.25</v>
      </c>
      <c r="O5047" s="343">
        <v>0</v>
      </c>
    </row>
    <row r="5048" spans="1:15" x14ac:dyDescent="0.3">
      <c r="A5048" s="340" t="s">
        <v>891</v>
      </c>
      <c r="B5048" s="350">
        <v>46144</v>
      </c>
      <c r="C5048" s="350">
        <v>46148</v>
      </c>
      <c r="D5048" s="351">
        <v>46143</v>
      </c>
      <c r="E5048" s="340" t="s">
        <v>3204</v>
      </c>
      <c r="F5048" s="340" t="s">
        <v>894</v>
      </c>
      <c r="G5048" s="340" t="s">
        <v>3017</v>
      </c>
      <c r="H5048" s="340"/>
      <c r="I5048" s="340" t="s">
        <v>771</v>
      </c>
      <c r="K5048" s="343">
        <v>0</v>
      </c>
      <c r="L5048" s="343">
        <v>-2.2599999999999998</v>
      </c>
      <c r="M5048" s="343">
        <v>-964578.51</v>
      </c>
      <c r="O5048" s="343">
        <v>0</v>
      </c>
    </row>
    <row r="5049" spans="1:15" x14ac:dyDescent="0.3">
      <c r="A5049" s="340" t="s">
        <v>891</v>
      </c>
      <c r="B5049" s="350">
        <v>46144</v>
      </c>
      <c r="C5049" s="350">
        <v>46148</v>
      </c>
      <c r="D5049" s="351">
        <v>46143</v>
      </c>
      <c r="E5049" s="340" t="s">
        <v>3204</v>
      </c>
      <c r="F5049" s="340" t="s">
        <v>894</v>
      </c>
      <c r="G5049" s="340" t="s">
        <v>3021</v>
      </c>
      <c r="H5049" s="340"/>
      <c r="I5049" s="340" t="s">
        <v>771</v>
      </c>
      <c r="K5049" s="343">
        <v>0</v>
      </c>
      <c r="L5049" s="343">
        <v>-4.6100000000000003</v>
      </c>
      <c r="M5049" s="343">
        <v>-964583.12</v>
      </c>
      <c r="O5049" s="343">
        <v>0</v>
      </c>
    </row>
    <row r="5050" spans="1:15" x14ac:dyDescent="0.3">
      <c r="A5050" s="340" t="s">
        <v>891</v>
      </c>
      <c r="B5050" s="350">
        <v>46144</v>
      </c>
      <c r="C5050" s="350">
        <v>46148</v>
      </c>
      <c r="D5050" s="351">
        <v>46143</v>
      </c>
      <c r="E5050" s="340" t="s">
        <v>3204</v>
      </c>
      <c r="F5050" s="340" t="s">
        <v>894</v>
      </c>
      <c r="G5050" s="340" t="s">
        <v>3020</v>
      </c>
      <c r="H5050" s="340"/>
      <c r="I5050" s="340" t="s">
        <v>771</v>
      </c>
      <c r="K5050" s="343">
        <v>0</v>
      </c>
      <c r="L5050" s="343">
        <v>-7.0000000000000007E-2</v>
      </c>
      <c r="M5050" s="343">
        <v>-964583.19</v>
      </c>
      <c r="O5050" s="343">
        <v>0</v>
      </c>
    </row>
    <row r="5051" spans="1:15" x14ac:dyDescent="0.3">
      <c r="A5051" s="340" t="s">
        <v>891</v>
      </c>
      <c r="B5051" s="350">
        <v>46144</v>
      </c>
      <c r="C5051" s="350">
        <v>46148</v>
      </c>
      <c r="D5051" s="351">
        <v>46143</v>
      </c>
      <c r="E5051" s="340" t="s">
        <v>3204</v>
      </c>
      <c r="F5051" s="340" t="s">
        <v>894</v>
      </c>
      <c r="G5051" s="340" t="s">
        <v>3016</v>
      </c>
      <c r="H5051" s="340"/>
      <c r="I5051" s="340" t="s">
        <v>771</v>
      </c>
      <c r="K5051" s="343">
        <v>0</v>
      </c>
      <c r="L5051" s="343">
        <v>-0.01</v>
      </c>
      <c r="M5051" s="343">
        <v>-964583.2</v>
      </c>
      <c r="O5051" s="343">
        <v>0</v>
      </c>
    </row>
    <row r="5052" spans="1:15" x14ac:dyDescent="0.3">
      <c r="A5052" s="340" t="s">
        <v>891</v>
      </c>
      <c r="B5052" s="350">
        <v>46144</v>
      </c>
      <c r="C5052" s="350">
        <v>46148</v>
      </c>
      <c r="D5052" s="351">
        <v>46143</v>
      </c>
      <c r="E5052" s="340" t="s">
        <v>3204</v>
      </c>
      <c r="F5052" s="340" t="s">
        <v>894</v>
      </c>
      <c r="G5052" s="340" t="s">
        <v>3005</v>
      </c>
      <c r="H5052" s="340"/>
      <c r="I5052" s="340" t="s">
        <v>771</v>
      </c>
      <c r="K5052" s="343">
        <v>0</v>
      </c>
      <c r="L5052" s="343">
        <v>-11.34</v>
      </c>
      <c r="M5052" s="343">
        <v>-964594.54</v>
      </c>
      <c r="O5052" s="343">
        <v>0</v>
      </c>
    </row>
    <row r="5053" spans="1:15" x14ac:dyDescent="0.3">
      <c r="A5053" s="340" t="s">
        <v>891</v>
      </c>
      <c r="B5053" s="350">
        <v>46144</v>
      </c>
      <c r="C5053" s="350">
        <v>46148</v>
      </c>
      <c r="D5053" s="351">
        <v>46143</v>
      </c>
      <c r="E5053" s="340" t="s">
        <v>3204</v>
      </c>
      <c r="F5053" s="340" t="s">
        <v>894</v>
      </c>
      <c r="G5053" s="340" t="s">
        <v>3023</v>
      </c>
      <c r="H5053" s="340"/>
      <c r="I5053" s="340" t="s">
        <v>771</v>
      </c>
      <c r="K5053" s="343">
        <v>0</v>
      </c>
      <c r="L5053" s="343">
        <v>-0.49</v>
      </c>
      <c r="M5053" s="343">
        <v>-964595.03</v>
      </c>
      <c r="O5053" s="343">
        <v>0</v>
      </c>
    </row>
    <row r="5054" spans="1:15" x14ac:dyDescent="0.3">
      <c r="A5054" s="340" t="s">
        <v>891</v>
      </c>
      <c r="B5054" s="350">
        <v>46144</v>
      </c>
      <c r="C5054" s="350">
        <v>46148</v>
      </c>
      <c r="D5054" s="351">
        <v>46143</v>
      </c>
      <c r="E5054" s="340" t="s">
        <v>3204</v>
      </c>
      <c r="F5054" s="340" t="s">
        <v>894</v>
      </c>
      <c r="G5054" s="340" t="s">
        <v>3018</v>
      </c>
      <c r="H5054" s="340"/>
      <c r="I5054" s="340" t="s">
        <v>771</v>
      </c>
      <c r="K5054" s="343">
        <v>0</v>
      </c>
      <c r="L5054" s="343">
        <v>-0.08</v>
      </c>
      <c r="M5054" s="343">
        <v>-964595.11</v>
      </c>
      <c r="O5054" s="343">
        <v>0</v>
      </c>
    </row>
    <row r="5055" spans="1:15" x14ac:dyDescent="0.3">
      <c r="A5055" s="340" t="s">
        <v>891</v>
      </c>
      <c r="B5055" s="350">
        <v>46144</v>
      </c>
      <c r="C5055" s="350">
        <v>46148</v>
      </c>
      <c r="D5055" s="351">
        <v>46143</v>
      </c>
      <c r="E5055" s="340" t="s">
        <v>3204</v>
      </c>
      <c r="F5055" s="340" t="s">
        <v>894</v>
      </c>
      <c r="G5055" s="340" t="s">
        <v>3025</v>
      </c>
      <c r="H5055" s="340"/>
      <c r="I5055" s="340" t="s">
        <v>771</v>
      </c>
      <c r="K5055" s="343">
        <v>0</v>
      </c>
      <c r="L5055" s="343">
        <v>-2.83</v>
      </c>
      <c r="M5055" s="343">
        <v>-964597.94</v>
      </c>
      <c r="O5055" s="343">
        <v>0</v>
      </c>
    </row>
    <row r="5056" spans="1:15" x14ac:dyDescent="0.3">
      <c r="A5056" s="340" t="s">
        <v>891</v>
      </c>
      <c r="B5056" s="350">
        <v>46144</v>
      </c>
      <c r="C5056" s="350">
        <v>46148</v>
      </c>
      <c r="D5056" s="351">
        <v>46143</v>
      </c>
      <c r="E5056" s="340" t="s">
        <v>3204</v>
      </c>
      <c r="F5056" s="340" t="s">
        <v>894</v>
      </c>
      <c r="G5056" s="340" t="s">
        <v>3024</v>
      </c>
      <c r="H5056" s="340"/>
      <c r="I5056" s="340" t="s">
        <v>771</v>
      </c>
      <c r="K5056" s="343">
        <v>0</v>
      </c>
      <c r="L5056" s="343">
        <v>-1</v>
      </c>
      <c r="M5056" s="343">
        <v>-964598.94</v>
      </c>
      <c r="O5056" s="343">
        <v>0</v>
      </c>
    </row>
    <row r="5057" spans="1:15" x14ac:dyDescent="0.3">
      <c r="A5057" s="340" t="s">
        <v>891</v>
      </c>
      <c r="B5057" s="350">
        <v>46144</v>
      </c>
      <c r="C5057" s="350">
        <v>46148</v>
      </c>
      <c r="D5057" s="351">
        <v>46143</v>
      </c>
      <c r="E5057" s="340" t="s">
        <v>3204</v>
      </c>
      <c r="F5057" s="340" t="s">
        <v>894</v>
      </c>
      <c r="G5057" s="340" t="s">
        <v>3019</v>
      </c>
      <c r="H5057" s="340"/>
      <c r="I5057" s="340" t="s">
        <v>771</v>
      </c>
      <c r="K5057" s="343">
        <v>0</v>
      </c>
      <c r="L5057" s="343">
        <v>-0.01</v>
      </c>
      <c r="M5057" s="343">
        <v>-964598.95</v>
      </c>
      <c r="O5057" s="343">
        <v>0</v>
      </c>
    </row>
    <row r="5058" spans="1:15" x14ac:dyDescent="0.3">
      <c r="A5058" s="340" t="s">
        <v>891</v>
      </c>
      <c r="B5058" s="350">
        <v>46144</v>
      </c>
      <c r="C5058" s="350">
        <v>46148</v>
      </c>
      <c r="D5058" s="351">
        <v>46143</v>
      </c>
      <c r="E5058" s="340" t="s">
        <v>3204</v>
      </c>
      <c r="F5058" s="340" t="s">
        <v>894</v>
      </c>
      <c r="G5058" s="340" t="s">
        <v>3016</v>
      </c>
      <c r="H5058" s="340"/>
      <c r="I5058" s="340" t="s">
        <v>771</v>
      </c>
      <c r="K5058" s="343">
        <v>0</v>
      </c>
      <c r="L5058" s="343">
        <v>-0.02</v>
      </c>
      <c r="M5058" s="343">
        <v>-964598.97</v>
      </c>
      <c r="O5058" s="343">
        <v>0</v>
      </c>
    </row>
    <row r="5059" spans="1:15" x14ac:dyDescent="0.3">
      <c r="A5059" s="340" t="s">
        <v>891</v>
      </c>
      <c r="B5059" s="350">
        <v>46144</v>
      </c>
      <c r="C5059" s="350">
        <v>46148</v>
      </c>
      <c r="D5059" s="351">
        <v>46143</v>
      </c>
      <c r="E5059" s="340" t="s">
        <v>3204</v>
      </c>
      <c r="F5059" s="340" t="s">
        <v>894</v>
      </c>
      <c r="G5059" s="340" t="s">
        <v>3022</v>
      </c>
      <c r="H5059" s="340"/>
      <c r="I5059" s="340" t="s">
        <v>771</v>
      </c>
      <c r="K5059" s="343">
        <v>0</v>
      </c>
      <c r="L5059" s="343">
        <v>-0.28999999999999998</v>
      </c>
      <c r="M5059" s="343">
        <v>-964599.26</v>
      </c>
      <c r="O5059" s="343">
        <v>0</v>
      </c>
    </row>
    <row r="5060" spans="1:15" x14ac:dyDescent="0.3">
      <c r="A5060" s="340" t="s">
        <v>891</v>
      </c>
      <c r="B5060" s="350">
        <v>46144</v>
      </c>
      <c r="C5060" s="350">
        <v>46148</v>
      </c>
      <c r="D5060" s="351">
        <v>46143</v>
      </c>
      <c r="E5060" s="340" t="s">
        <v>3204</v>
      </c>
      <c r="F5060" s="340" t="s">
        <v>894</v>
      </c>
      <c r="G5060" s="340" t="s">
        <v>3020</v>
      </c>
      <c r="H5060" s="340"/>
      <c r="I5060" s="340" t="s">
        <v>771</v>
      </c>
      <c r="K5060" s="343">
        <v>0</v>
      </c>
      <c r="L5060" s="343">
        <v>-0.14000000000000001</v>
      </c>
      <c r="M5060" s="343">
        <v>-964599.4</v>
      </c>
      <c r="O5060" s="343">
        <v>0</v>
      </c>
    </row>
    <row r="5061" spans="1:15" x14ac:dyDescent="0.3">
      <c r="A5061" s="340" t="s">
        <v>891</v>
      </c>
      <c r="B5061" s="350">
        <v>46144</v>
      </c>
      <c r="C5061" s="350">
        <v>46148</v>
      </c>
      <c r="D5061" s="351">
        <v>46143</v>
      </c>
      <c r="E5061" s="340" t="s">
        <v>3204</v>
      </c>
      <c r="F5061" s="340" t="s">
        <v>894</v>
      </c>
      <c r="G5061" s="340" t="s">
        <v>3020</v>
      </c>
      <c r="H5061" s="340"/>
      <c r="I5061" s="340" t="s">
        <v>771</v>
      </c>
      <c r="K5061" s="343">
        <v>0</v>
      </c>
      <c r="L5061" s="343">
        <v>-0.12</v>
      </c>
      <c r="M5061" s="343">
        <v>-964599.52</v>
      </c>
      <c r="O5061" s="343">
        <v>0</v>
      </c>
    </row>
    <row r="5062" spans="1:15" x14ac:dyDescent="0.3">
      <c r="A5062" s="340" t="s">
        <v>891</v>
      </c>
      <c r="B5062" s="350">
        <v>46144</v>
      </c>
      <c r="C5062" s="350">
        <v>46148</v>
      </c>
      <c r="D5062" s="351">
        <v>46143</v>
      </c>
      <c r="E5062" s="340" t="s">
        <v>3204</v>
      </c>
      <c r="F5062" s="340" t="s">
        <v>894</v>
      </c>
      <c r="G5062" s="340" t="s">
        <v>3022</v>
      </c>
      <c r="H5062" s="340"/>
      <c r="I5062" s="340" t="s">
        <v>771</v>
      </c>
      <c r="K5062" s="343">
        <v>0</v>
      </c>
      <c r="L5062" s="343">
        <v>-0.24</v>
      </c>
      <c r="M5062" s="343">
        <v>-964599.76</v>
      </c>
      <c r="O5062" s="343">
        <v>0</v>
      </c>
    </row>
    <row r="5063" spans="1:15" x14ac:dyDescent="0.3">
      <c r="A5063" s="340" t="s">
        <v>891</v>
      </c>
      <c r="B5063" s="350">
        <v>46144</v>
      </c>
      <c r="C5063" s="350">
        <v>46148</v>
      </c>
      <c r="D5063" s="351">
        <v>46143</v>
      </c>
      <c r="E5063" s="340" t="s">
        <v>3204</v>
      </c>
      <c r="F5063" s="340" t="s">
        <v>894</v>
      </c>
      <c r="G5063" s="340" t="s">
        <v>3017</v>
      </c>
      <c r="H5063" s="340"/>
      <c r="I5063" s="340" t="s">
        <v>771</v>
      </c>
      <c r="K5063" s="343">
        <v>0</v>
      </c>
      <c r="L5063" s="343">
        <v>-2.2599999999999998</v>
      </c>
      <c r="M5063" s="343">
        <v>-964602.02</v>
      </c>
      <c r="O5063" s="343">
        <v>0</v>
      </c>
    </row>
    <row r="5064" spans="1:15" x14ac:dyDescent="0.3">
      <c r="A5064" s="340" t="s">
        <v>891</v>
      </c>
      <c r="B5064" s="350">
        <v>46144</v>
      </c>
      <c r="C5064" s="350">
        <v>46148</v>
      </c>
      <c r="D5064" s="351">
        <v>46143</v>
      </c>
      <c r="E5064" s="340" t="s">
        <v>3204</v>
      </c>
      <c r="F5064" s="340" t="s">
        <v>894</v>
      </c>
      <c r="G5064" s="340" t="s">
        <v>3026</v>
      </c>
      <c r="H5064" s="340"/>
      <c r="I5064" s="340" t="s">
        <v>771</v>
      </c>
      <c r="K5064" s="343">
        <v>0</v>
      </c>
      <c r="L5064" s="343">
        <v>-3.32</v>
      </c>
      <c r="M5064" s="343">
        <v>-964605.34</v>
      </c>
      <c r="O5064" s="343">
        <v>0</v>
      </c>
    </row>
    <row r="5065" spans="1:15" x14ac:dyDescent="0.3">
      <c r="A5065" s="340" t="s">
        <v>891</v>
      </c>
      <c r="B5065" s="350">
        <v>46144</v>
      </c>
      <c r="C5065" s="350">
        <v>46148</v>
      </c>
      <c r="D5065" s="351">
        <v>46143</v>
      </c>
      <c r="E5065" s="340" t="s">
        <v>3204</v>
      </c>
      <c r="F5065" s="340" t="s">
        <v>894</v>
      </c>
      <c r="G5065" s="340" t="s">
        <v>3021</v>
      </c>
      <c r="H5065" s="340"/>
      <c r="I5065" s="340" t="s">
        <v>771</v>
      </c>
      <c r="K5065" s="343">
        <v>0</v>
      </c>
      <c r="L5065" s="343">
        <v>-4.6100000000000003</v>
      </c>
      <c r="M5065" s="343">
        <v>-964609.95</v>
      </c>
      <c r="O5065" s="343">
        <v>0</v>
      </c>
    </row>
    <row r="5066" spans="1:15" x14ac:dyDescent="0.3">
      <c r="A5066" s="340" t="s">
        <v>891</v>
      </c>
      <c r="B5066" s="350">
        <v>46144</v>
      </c>
      <c r="C5066" s="350">
        <v>46148</v>
      </c>
      <c r="D5066" s="351">
        <v>46143</v>
      </c>
      <c r="E5066" s="340" t="s">
        <v>3204</v>
      </c>
      <c r="F5066" s="340" t="s">
        <v>894</v>
      </c>
      <c r="G5066" s="340" t="s">
        <v>3019</v>
      </c>
      <c r="H5066" s="340"/>
      <c r="I5066" s="340" t="s">
        <v>771</v>
      </c>
      <c r="K5066" s="343">
        <v>0</v>
      </c>
      <c r="L5066" s="343">
        <v>-0.01</v>
      </c>
      <c r="M5066" s="343">
        <v>-964609.96</v>
      </c>
      <c r="O5066" s="343">
        <v>0</v>
      </c>
    </row>
    <row r="5067" spans="1:15" x14ac:dyDescent="0.3">
      <c r="A5067" s="340" t="s">
        <v>891</v>
      </c>
      <c r="B5067" s="350">
        <v>46144</v>
      </c>
      <c r="C5067" s="350">
        <v>46148</v>
      </c>
      <c r="D5067" s="351">
        <v>46143</v>
      </c>
      <c r="E5067" s="340" t="s">
        <v>3204</v>
      </c>
      <c r="F5067" s="340" t="s">
        <v>894</v>
      </c>
      <c r="G5067" s="340" t="s">
        <v>3016</v>
      </c>
      <c r="H5067" s="340"/>
      <c r="I5067" s="340" t="s">
        <v>771</v>
      </c>
      <c r="K5067" s="343">
        <v>0</v>
      </c>
      <c r="L5067" s="343">
        <v>-0.02</v>
      </c>
      <c r="M5067" s="343">
        <v>-964609.98</v>
      </c>
      <c r="O5067" s="343">
        <v>0</v>
      </c>
    </row>
    <row r="5068" spans="1:15" x14ac:dyDescent="0.3">
      <c r="A5068" s="340" t="s">
        <v>891</v>
      </c>
      <c r="B5068" s="350">
        <v>46144</v>
      </c>
      <c r="C5068" s="350">
        <v>46148</v>
      </c>
      <c r="D5068" s="351">
        <v>46143</v>
      </c>
      <c r="E5068" s="340" t="s">
        <v>3204</v>
      </c>
      <c r="F5068" s="340" t="s">
        <v>894</v>
      </c>
      <c r="G5068" s="340" t="s">
        <v>3020</v>
      </c>
      <c r="H5068" s="340"/>
      <c r="I5068" s="340" t="s">
        <v>771</v>
      </c>
      <c r="K5068" s="343">
        <v>0</v>
      </c>
      <c r="L5068" s="343">
        <v>-0.11</v>
      </c>
      <c r="M5068" s="343">
        <v>-964610.09</v>
      </c>
      <c r="O5068" s="343">
        <v>0</v>
      </c>
    </row>
    <row r="5069" spans="1:15" x14ac:dyDescent="0.3">
      <c r="A5069" s="340" t="s">
        <v>891</v>
      </c>
      <c r="B5069" s="350">
        <v>46144</v>
      </c>
      <c r="C5069" s="350">
        <v>46148</v>
      </c>
      <c r="D5069" s="351">
        <v>46143</v>
      </c>
      <c r="E5069" s="340" t="s">
        <v>3204</v>
      </c>
      <c r="F5069" s="340" t="s">
        <v>894</v>
      </c>
      <c r="G5069" s="340" t="s">
        <v>3020</v>
      </c>
      <c r="H5069" s="340"/>
      <c r="I5069" s="340" t="s">
        <v>771</v>
      </c>
      <c r="K5069" s="343">
        <v>0</v>
      </c>
      <c r="L5069" s="343">
        <v>-0.14000000000000001</v>
      </c>
      <c r="M5069" s="343">
        <v>-964610.23</v>
      </c>
      <c r="O5069" s="343">
        <v>0</v>
      </c>
    </row>
    <row r="5070" spans="1:15" x14ac:dyDescent="0.3">
      <c r="A5070" s="340" t="s">
        <v>891</v>
      </c>
      <c r="B5070" s="350">
        <v>46144</v>
      </c>
      <c r="C5070" s="350">
        <v>46148</v>
      </c>
      <c r="D5070" s="351">
        <v>46143</v>
      </c>
      <c r="E5070" s="340" t="s">
        <v>3204</v>
      </c>
      <c r="F5070" s="340" t="s">
        <v>894</v>
      </c>
      <c r="G5070" s="340" t="s">
        <v>3022</v>
      </c>
      <c r="H5070" s="340"/>
      <c r="I5070" s="340" t="s">
        <v>771</v>
      </c>
      <c r="K5070" s="343">
        <v>0</v>
      </c>
      <c r="L5070" s="343">
        <v>-0.28000000000000003</v>
      </c>
      <c r="M5070" s="343">
        <v>-964610.51</v>
      </c>
      <c r="O5070" s="343">
        <v>0</v>
      </c>
    </row>
    <row r="5071" spans="1:15" x14ac:dyDescent="0.3">
      <c r="A5071" s="340" t="s">
        <v>891</v>
      </c>
      <c r="B5071" s="350">
        <v>46144</v>
      </c>
      <c r="C5071" s="350">
        <v>46148</v>
      </c>
      <c r="D5071" s="351">
        <v>46143</v>
      </c>
      <c r="E5071" s="340" t="s">
        <v>3204</v>
      </c>
      <c r="F5071" s="340" t="s">
        <v>894</v>
      </c>
      <c r="G5071" s="340" t="s">
        <v>3024</v>
      </c>
      <c r="H5071" s="340"/>
      <c r="I5071" s="340" t="s">
        <v>771</v>
      </c>
      <c r="K5071" s="343">
        <v>0</v>
      </c>
      <c r="L5071" s="343">
        <v>-0.94</v>
      </c>
      <c r="M5071" s="343">
        <v>-964611.45</v>
      </c>
      <c r="O5071" s="343">
        <v>0</v>
      </c>
    </row>
    <row r="5072" spans="1:15" x14ac:dyDescent="0.3">
      <c r="A5072" s="340" t="s">
        <v>891</v>
      </c>
      <c r="B5072" s="350">
        <v>46144</v>
      </c>
      <c r="C5072" s="350">
        <v>46148</v>
      </c>
      <c r="D5072" s="351">
        <v>46143</v>
      </c>
      <c r="E5072" s="340" t="s">
        <v>3204</v>
      </c>
      <c r="F5072" s="340" t="s">
        <v>894</v>
      </c>
      <c r="G5072" s="340" t="s">
        <v>3017</v>
      </c>
      <c r="H5072" s="340"/>
      <c r="I5072" s="340" t="s">
        <v>771</v>
      </c>
      <c r="K5072" s="343">
        <v>0</v>
      </c>
      <c r="L5072" s="343">
        <v>-2.2599999999999998</v>
      </c>
      <c r="M5072" s="343">
        <v>-964613.71</v>
      </c>
      <c r="O5072" s="343">
        <v>0</v>
      </c>
    </row>
    <row r="5073" spans="1:15" x14ac:dyDescent="0.3">
      <c r="A5073" s="340" t="s">
        <v>891</v>
      </c>
      <c r="B5073" s="350">
        <v>46144</v>
      </c>
      <c r="C5073" s="350">
        <v>46148</v>
      </c>
      <c r="D5073" s="351">
        <v>46143</v>
      </c>
      <c r="E5073" s="340" t="s">
        <v>3204</v>
      </c>
      <c r="F5073" s="340" t="s">
        <v>894</v>
      </c>
      <c r="G5073" s="340" t="s">
        <v>3025</v>
      </c>
      <c r="H5073" s="340"/>
      <c r="I5073" s="340" t="s">
        <v>771</v>
      </c>
      <c r="K5073" s="343">
        <v>0</v>
      </c>
      <c r="L5073" s="343">
        <v>-2.65</v>
      </c>
      <c r="M5073" s="343">
        <v>-964616.36</v>
      </c>
      <c r="O5073" s="343">
        <v>0</v>
      </c>
    </row>
    <row r="5074" spans="1:15" x14ac:dyDescent="0.3">
      <c r="A5074" s="340" t="s">
        <v>891</v>
      </c>
      <c r="B5074" s="350">
        <v>46144</v>
      </c>
      <c r="C5074" s="350">
        <v>46148</v>
      </c>
      <c r="D5074" s="351">
        <v>46143</v>
      </c>
      <c r="E5074" s="340" t="s">
        <v>3204</v>
      </c>
      <c r="F5074" s="340" t="s">
        <v>894</v>
      </c>
      <c r="G5074" s="340" t="s">
        <v>3026</v>
      </c>
      <c r="H5074" s="340"/>
      <c r="I5074" s="340" t="s">
        <v>771</v>
      </c>
      <c r="K5074" s="343">
        <v>0</v>
      </c>
      <c r="L5074" s="343">
        <v>-3.1</v>
      </c>
      <c r="M5074" s="343">
        <v>-964619.46</v>
      </c>
      <c r="O5074" s="343">
        <v>0</v>
      </c>
    </row>
    <row r="5075" spans="1:15" x14ac:dyDescent="0.3">
      <c r="A5075" s="340" t="s">
        <v>891</v>
      </c>
      <c r="B5075" s="350">
        <v>46144</v>
      </c>
      <c r="C5075" s="350">
        <v>46148</v>
      </c>
      <c r="D5075" s="351">
        <v>46143</v>
      </c>
      <c r="E5075" s="340" t="s">
        <v>3204</v>
      </c>
      <c r="F5075" s="340" t="s">
        <v>894</v>
      </c>
      <c r="G5075" s="340" t="s">
        <v>3021</v>
      </c>
      <c r="H5075" s="340"/>
      <c r="I5075" s="340" t="s">
        <v>771</v>
      </c>
      <c r="K5075" s="343">
        <v>0</v>
      </c>
      <c r="L5075" s="343">
        <v>-4.6100000000000003</v>
      </c>
      <c r="M5075" s="343">
        <v>-964624.07</v>
      </c>
      <c r="O5075" s="343">
        <v>0</v>
      </c>
    </row>
    <row r="5076" spans="1:15" x14ac:dyDescent="0.3">
      <c r="A5076" s="340" t="s">
        <v>891</v>
      </c>
      <c r="B5076" s="350">
        <v>46144</v>
      </c>
      <c r="C5076" s="350">
        <v>46148</v>
      </c>
      <c r="D5076" s="351">
        <v>46143</v>
      </c>
      <c r="E5076" s="340" t="s">
        <v>3204</v>
      </c>
      <c r="F5076" s="340" t="s">
        <v>894</v>
      </c>
      <c r="G5076" s="340" t="s">
        <v>3022</v>
      </c>
      <c r="H5076" s="340"/>
      <c r="I5076" s="340" t="s">
        <v>771</v>
      </c>
      <c r="K5076" s="343">
        <v>0</v>
      </c>
      <c r="L5076" s="343">
        <v>-0.23</v>
      </c>
      <c r="M5076" s="343">
        <v>-964624.3</v>
      </c>
      <c r="O5076" s="343">
        <v>0</v>
      </c>
    </row>
    <row r="5077" spans="1:15" x14ac:dyDescent="0.3">
      <c r="A5077" s="340" t="s">
        <v>891</v>
      </c>
      <c r="B5077" s="350">
        <v>46144</v>
      </c>
      <c r="C5077" s="350">
        <v>46148</v>
      </c>
      <c r="D5077" s="351">
        <v>46143</v>
      </c>
      <c r="E5077" s="340" t="s">
        <v>3204</v>
      </c>
      <c r="F5077" s="340" t="s">
        <v>894</v>
      </c>
      <c r="G5077" s="340" t="s">
        <v>3019</v>
      </c>
      <c r="H5077" s="340"/>
      <c r="I5077" s="340" t="s">
        <v>771</v>
      </c>
      <c r="K5077" s="343">
        <v>0</v>
      </c>
      <c r="L5077" s="343">
        <v>-0.01</v>
      </c>
      <c r="M5077" s="343">
        <v>-964624.31</v>
      </c>
      <c r="O5077" s="343">
        <v>0</v>
      </c>
    </row>
    <row r="5078" spans="1:15" x14ac:dyDescent="0.3">
      <c r="A5078" s="340" t="s">
        <v>891</v>
      </c>
      <c r="B5078" s="350">
        <v>46144</v>
      </c>
      <c r="C5078" s="350">
        <v>46148</v>
      </c>
      <c r="D5078" s="351">
        <v>46143</v>
      </c>
      <c r="E5078" s="340" t="s">
        <v>3204</v>
      </c>
      <c r="F5078" s="340" t="s">
        <v>894</v>
      </c>
      <c r="G5078" s="340" t="s">
        <v>3016</v>
      </c>
      <c r="H5078" s="340"/>
      <c r="I5078" s="340" t="s">
        <v>771</v>
      </c>
      <c r="K5078" s="343">
        <v>0</v>
      </c>
      <c r="L5078" s="343">
        <v>-0.01</v>
      </c>
      <c r="M5078" s="343">
        <v>-964624.32</v>
      </c>
      <c r="O5078" s="343">
        <v>0</v>
      </c>
    </row>
    <row r="5079" spans="1:15" x14ac:dyDescent="0.3">
      <c r="A5079" s="340" t="s">
        <v>891</v>
      </c>
      <c r="B5079" s="350">
        <v>46144</v>
      </c>
      <c r="C5079" s="350">
        <v>46148</v>
      </c>
      <c r="D5079" s="351">
        <v>46143</v>
      </c>
      <c r="E5079" s="340" t="s">
        <v>3204</v>
      </c>
      <c r="F5079" s="340" t="s">
        <v>894</v>
      </c>
      <c r="G5079" s="340" t="s">
        <v>3016</v>
      </c>
      <c r="H5079" s="340"/>
      <c r="I5079" s="340" t="s">
        <v>771</v>
      </c>
      <c r="K5079" s="343">
        <v>0</v>
      </c>
      <c r="L5079" s="343">
        <v>-0.02</v>
      </c>
      <c r="M5079" s="343">
        <v>-964624.34</v>
      </c>
      <c r="O5079" s="343">
        <v>0</v>
      </c>
    </row>
    <row r="5080" spans="1:15" x14ac:dyDescent="0.3">
      <c r="A5080" s="340" t="s">
        <v>891</v>
      </c>
      <c r="B5080" s="350">
        <v>46144</v>
      </c>
      <c r="C5080" s="350">
        <v>46148</v>
      </c>
      <c r="D5080" s="351">
        <v>46143</v>
      </c>
      <c r="E5080" s="340" t="s">
        <v>3204</v>
      </c>
      <c r="F5080" s="340" t="s">
        <v>894</v>
      </c>
      <c r="G5080" s="340" t="s">
        <v>3018</v>
      </c>
      <c r="H5080" s="340"/>
      <c r="I5080" s="340" t="s">
        <v>771</v>
      </c>
      <c r="K5080" s="343">
        <v>0</v>
      </c>
      <c r="L5080" s="343">
        <v>-0.05</v>
      </c>
      <c r="M5080" s="343">
        <v>-964624.39</v>
      </c>
      <c r="O5080" s="343">
        <v>0</v>
      </c>
    </row>
    <row r="5081" spans="1:15" x14ac:dyDescent="0.3">
      <c r="A5081" s="340" t="s">
        <v>891</v>
      </c>
      <c r="B5081" s="350">
        <v>46144</v>
      </c>
      <c r="C5081" s="350">
        <v>46148</v>
      </c>
      <c r="D5081" s="351">
        <v>46143</v>
      </c>
      <c r="E5081" s="340" t="s">
        <v>3204</v>
      </c>
      <c r="F5081" s="340" t="s">
        <v>894</v>
      </c>
      <c r="G5081" s="340" t="s">
        <v>3020</v>
      </c>
      <c r="H5081" s="340"/>
      <c r="I5081" s="340" t="s">
        <v>771</v>
      </c>
      <c r="K5081" s="343">
        <v>0</v>
      </c>
      <c r="L5081" s="343">
        <v>-7.0000000000000007E-2</v>
      </c>
      <c r="M5081" s="343">
        <v>-964624.46</v>
      </c>
      <c r="O5081" s="343">
        <v>0</v>
      </c>
    </row>
    <row r="5082" spans="1:15" x14ac:dyDescent="0.3">
      <c r="A5082" s="340" t="s">
        <v>891</v>
      </c>
      <c r="B5082" s="350">
        <v>46144</v>
      </c>
      <c r="C5082" s="350">
        <v>46148</v>
      </c>
      <c r="D5082" s="351">
        <v>46143</v>
      </c>
      <c r="E5082" s="340" t="s">
        <v>3204</v>
      </c>
      <c r="F5082" s="340" t="s">
        <v>894</v>
      </c>
      <c r="G5082" s="340" t="s">
        <v>3020</v>
      </c>
      <c r="H5082" s="340"/>
      <c r="I5082" s="340" t="s">
        <v>771</v>
      </c>
      <c r="K5082" s="343">
        <v>0</v>
      </c>
      <c r="L5082" s="343">
        <v>-0.11</v>
      </c>
      <c r="M5082" s="343">
        <v>-964624.57</v>
      </c>
      <c r="O5082" s="343">
        <v>0</v>
      </c>
    </row>
    <row r="5083" spans="1:15" x14ac:dyDescent="0.3">
      <c r="A5083" s="340" t="s">
        <v>891</v>
      </c>
      <c r="B5083" s="350">
        <v>46144</v>
      </c>
      <c r="C5083" s="350">
        <v>46148</v>
      </c>
      <c r="D5083" s="351">
        <v>46143</v>
      </c>
      <c r="E5083" s="340" t="s">
        <v>3204</v>
      </c>
      <c r="F5083" s="340" t="s">
        <v>894</v>
      </c>
      <c r="G5083" s="340" t="s">
        <v>3022</v>
      </c>
      <c r="H5083" s="340"/>
      <c r="I5083" s="340" t="s">
        <v>771</v>
      </c>
      <c r="K5083" s="343">
        <v>0</v>
      </c>
      <c r="L5083" s="343">
        <v>-0.15</v>
      </c>
      <c r="M5083" s="343">
        <v>-964624.72</v>
      </c>
      <c r="O5083" s="343">
        <v>0</v>
      </c>
    </row>
    <row r="5084" spans="1:15" x14ac:dyDescent="0.3">
      <c r="A5084" s="340" t="s">
        <v>891</v>
      </c>
      <c r="B5084" s="350">
        <v>46144</v>
      </c>
      <c r="C5084" s="350">
        <v>46148</v>
      </c>
      <c r="D5084" s="351">
        <v>46143</v>
      </c>
      <c r="E5084" s="340" t="s">
        <v>3204</v>
      </c>
      <c r="F5084" s="340" t="s">
        <v>894</v>
      </c>
      <c r="G5084" s="340" t="s">
        <v>3022</v>
      </c>
      <c r="H5084" s="340"/>
      <c r="I5084" s="340" t="s">
        <v>771</v>
      </c>
      <c r="K5084" s="343">
        <v>0</v>
      </c>
      <c r="L5084" s="343">
        <v>-0.23</v>
      </c>
      <c r="M5084" s="343">
        <v>-964624.95</v>
      </c>
      <c r="O5084" s="343">
        <v>0</v>
      </c>
    </row>
    <row r="5085" spans="1:15" x14ac:dyDescent="0.3">
      <c r="A5085" s="340" t="s">
        <v>891</v>
      </c>
      <c r="B5085" s="350">
        <v>46144</v>
      </c>
      <c r="C5085" s="350">
        <v>46148</v>
      </c>
      <c r="D5085" s="351">
        <v>46143</v>
      </c>
      <c r="E5085" s="340" t="s">
        <v>3204</v>
      </c>
      <c r="F5085" s="340" t="s">
        <v>894</v>
      </c>
      <c r="G5085" s="340" t="s">
        <v>3023</v>
      </c>
      <c r="H5085" s="340"/>
      <c r="I5085" s="340" t="s">
        <v>771</v>
      </c>
      <c r="K5085" s="343">
        <v>0</v>
      </c>
      <c r="L5085" s="343">
        <v>-0.3</v>
      </c>
      <c r="M5085" s="343">
        <v>-964625.25</v>
      </c>
      <c r="O5085" s="343">
        <v>0</v>
      </c>
    </row>
    <row r="5086" spans="1:15" x14ac:dyDescent="0.3">
      <c r="A5086" s="340" t="s">
        <v>891</v>
      </c>
      <c r="B5086" s="350">
        <v>46144</v>
      </c>
      <c r="C5086" s="350">
        <v>46148</v>
      </c>
      <c r="D5086" s="351">
        <v>46143</v>
      </c>
      <c r="E5086" s="340" t="s">
        <v>3204</v>
      </c>
      <c r="F5086" s="340" t="s">
        <v>894</v>
      </c>
      <c r="G5086" s="340" t="s">
        <v>3024</v>
      </c>
      <c r="H5086" s="340"/>
      <c r="I5086" s="340" t="s">
        <v>771</v>
      </c>
      <c r="K5086" s="343">
        <v>0</v>
      </c>
      <c r="L5086" s="343">
        <v>-0.61</v>
      </c>
      <c r="M5086" s="343">
        <v>-964625.86</v>
      </c>
      <c r="O5086" s="343">
        <v>0</v>
      </c>
    </row>
    <row r="5087" spans="1:15" x14ac:dyDescent="0.3">
      <c r="A5087" s="340" t="s">
        <v>891</v>
      </c>
      <c r="B5087" s="350">
        <v>46144</v>
      </c>
      <c r="C5087" s="350">
        <v>46148</v>
      </c>
      <c r="D5087" s="351">
        <v>46143</v>
      </c>
      <c r="E5087" s="340" t="s">
        <v>3204</v>
      </c>
      <c r="F5087" s="340" t="s">
        <v>894</v>
      </c>
      <c r="G5087" s="340" t="s">
        <v>3025</v>
      </c>
      <c r="H5087" s="340"/>
      <c r="I5087" s="340" t="s">
        <v>771</v>
      </c>
      <c r="K5087" s="343">
        <v>0</v>
      </c>
      <c r="L5087" s="343">
        <v>-1.72</v>
      </c>
      <c r="M5087" s="343">
        <v>-964627.58</v>
      </c>
      <c r="O5087" s="343">
        <v>0</v>
      </c>
    </row>
    <row r="5088" spans="1:15" x14ac:dyDescent="0.3">
      <c r="A5088" s="340" t="s">
        <v>891</v>
      </c>
      <c r="B5088" s="350">
        <v>46144</v>
      </c>
      <c r="C5088" s="350">
        <v>46148</v>
      </c>
      <c r="D5088" s="351">
        <v>46143</v>
      </c>
      <c r="E5088" s="340" t="s">
        <v>3204</v>
      </c>
      <c r="F5088" s="340" t="s">
        <v>894</v>
      </c>
      <c r="G5088" s="340" t="s">
        <v>3026</v>
      </c>
      <c r="H5088" s="340"/>
      <c r="I5088" s="340" t="s">
        <v>771</v>
      </c>
      <c r="K5088" s="343">
        <v>0</v>
      </c>
      <c r="L5088" s="343">
        <v>-2.02</v>
      </c>
      <c r="M5088" s="343">
        <v>-964629.6</v>
      </c>
      <c r="O5088" s="343">
        <v>0</v>
      </c>
    </row>
    <row r="5089" spans="1:15" x14ac:dyDescent="0.3">
      <c r="A5089" s="340" t="s">
        <v>891</v>
      </c>
      <c r="B5089" s="350">
        <v>46144</v>
      </c>
      <c r="C5089" s="350">
        <v>46148</v>
      </c>
      <c r="D5089" s="351">
        <v>46143</v>
      </c>
      <c r="E5089" s="340" t="s">
        <v>3204</v>
      </c>
      <c r="F5089" s="340" t="s">
        <v>894</v>
      </c>
      <c r="G5089" s="340" t="s">
        <v>3017</v>
      </c>
      <c r="H5089" s="340"/>
      <c r="I5089" s="340" t="s">
        <v>771</v>
      </c>
      <c r="K5089" s="343">
        <v>0</v>
      </c>
      <c r="L5089" s="343">
        <v>-2.2599999999999998</v>
      </c>
      <c r="M5089" s="343">
        <v>-964631.86</v>
      </c>
      <c r="O5089" s="343">
        <v>0</v>
      </c>
    </row>
    <row r="5090" spans="1:15" x14ac:dyDescent="0.3">
      <c r="A5090" s="340" t="s">
        <v>891</v>
      </c>
      <c r="B5090" s="350">
        <v>46144</v>
      </c>
      <c r="C5090" s="350">
        <v>46148</v>
      </c>
      <c r="D5090" s="351">
        <v>46143</v>
      </c>
      <c r="E5090" s="340" t="s">
        <v>3204</v>
      </c>
      <c r="F5090" s="340" t="s">
        <v>894</v>
      </c>
      <c r="G5090" s="340" t="s">
        <v>3021</v>
      </c>
      <c r="H5090" s="340"/>
      <c r="I5090" s="340" t="s">
        <v>771</v>
      </c>
      <c r="K5090" s="343">
        <v>0</v>
      </c>
      <c r="L5090" s="343">
        <v>-4.6100000000000003</v>
      </c>
      <c r="M5090" s="343">
        <v>-964636.47</v>
      </c>
      <c r="O5090" s="343">
        <v>0</v>
      </c>
    </row>
    <row r="5091" spans="1:15" x14ac:dyDescent="0.3">
      <c r="A5091" s="340" t="s">
        <v>891</v>
      </c>
      <c r="B5091" s="350">
        <v>46144</v>
      </c>
      <c r="C5091" s="350">
        <v>46148</v>
      </c>
      <c r="D5091" s="351">
        <v>46143</v>
      </c>
      <c r="E5091" s="340" t="s">
        <v>3204</v>
      </c>
      <c r="F5091" s="340" t="s">
        <v>894</v>
      </c>
      <c r="G5091" s="340" t="s">
        <v>3005</v>
      </c>
      <c r="H5091" s="340"/>
      <c r="I5091" s="340" t="s">
        <v>771</v>
      </c>
      <c r="K5091" s="343">
        <v>0</v>
      </c>
      <c r="L5091" s="343">
        <v>-6.91</v>
      </c>
      <c r="M5091" s="343">
        <v>-964643.38</v>
      </c>
      <c r="O5091" s="343">
        <v>0</v>
      </c>
    </row>
    <row r="5092" spans="1:15" x14ac:dyDescent="0.3">
      <c r="A5092" s="340" t="s">
        <v>891</v>
      </c>
      <c r="B5092" s="350">
        <v>46144</v>
      </c>
      <c r="C5092" s="350">
        <v>46148</v>
      </c>
      <c r="D5092" s="351">
        <v>46143</v>
      </c>
      <c r="E5092" s="340" t="s">
        <v>3204</v>
      </c>
      <c r="F5092" s="340" t="s">
        <v>894</v>
      </c>
      <c r="G5092" s="340" t="s">
        <v>3019</v>
      </c>
      <c r="H5092" s="340"/>
      <c r="I5092" s="340" t="s">
        <v>771</v>
      </c>
      <c r="K5092" s="343">
        <v>0</v>
      </c>
      <c r="L5092" s="343">
        <v>-0.01</v>
      </c>
      <c r="M5092" s="343">
        <v>-964643.39</v>
      </c>
      <c r="O5092" s="343">
        <v>0</v>
      </c>
    </row>
    <row r="5093" spans="1:15" x14ac:dyDescent="0.3">
      <c r="A5093" s="340" t="s">
        <v>891</v>
      </c>
      <c r="B5093" s="350">
        <v>46144</v>
      </c>
      <c r="C5093" s="350">
        <v>46148</v>
      </c>
      <c r="D5093" s="351">
        <v>46143</v>
      </c>
      <c r="E5093" s="340" t="s">
        <v>3204</v>
      </c>
      <c r="F5093" s="340" t="s">
        <v>894</v>
      </c>
      <c r="G5093" s="340" t="s">
        <v>3016</v>
      </c>
      <c r="H5093" s="340"/>
      <c r="I5093" s="340" t="s">
        <v>771</v>
      </c>
      <c r="K5093" s="343">
        <v>0</v>
      </c>
      <c r="L5093" s="343">
        <v>-0.02</v>
      </c>
      <c r="M5093" s="343">
        <v>-964643.41</v>
      </c>
      <c r="O5093" s="343">
        <v>0</v>
      </c>
    </row>
    <row r="5094" spans="1:15" x14ac:dyDescent="0.3">
      <c r="A5094" s="340" t="s">
        <v>891</v>
      </c>
      <c r="B5094" s="350">
        <v>46144</v>
      </c>
      <c r="C5094" s="350">
        <v>46148</v>
      </c>
      <c r="D5094" s="351">
        <v>46143</v>
      </c>
      <c r="E5094" s="340" t="s">
        <v>3204</v>
      </c>
      <c r="F5094" s="340" t="s">
        <v>894</v>
      </c>
      <c r="G5094" s="340" t="s">
        <v>3016</v>
      </c>
      <c r="H5094" s="340"/>
      <c r="I5094" s="340" t="s">
        <v>771</v>
      </c>
      <c r="K5094" s="343">
        <v>0</v>
      </c>
      <c r="L5094" s="343">
        <v>-0.03</v>
      </c>
      <c r="M5094" s="343">
        <v>-964643.44</v>
      </c>
      <c r="O5094" s="343">
        <v>0</v>
      </c>
    </row>
    <row r="5095" spans="1:15" x14ac:dyDescent="0.3">
      <c r="A5095" s="340" t="s">
        <v>891</v>
      </c>
      <c r="B5095" s="350">
        <v>46144</v>
      </c>
      <c r="C5095" s="350">
        <v>46148</v>
      </c>
      <c r="D5095" s="351">
        <v>46143</v>
      </c>
      <c r="E5095" s="340" t="s">
        <v>3204</v>
      </c>
      <c r="F5095" s="340" t="s">
        <v>894</v>
      </c>
      <c r="G5095" s="340" t="s">
        <v>3018</v>
      </c>
      <c r="H5095" s="340"/>
      <c r="I5095" s="340" t="s">
        <v>771</v>
      </c>
      <c r="K5095" s="343">
        <v>0</v>
      </c>
      <c r="L5095" s="343">
        <v>-0.1</v>
      </c>
      <c r="M5095" s="343">
        <v>-964643.54</v>
      </c>
      <c r="O5095" s="343">
        <v>0</v>
      </c>
    </row>
    <row r="5096" spans="1:15" x14ac:dyDescent="0.3">
      <c r="A5096" s="340" t="s">
        <v>891</v>
      </c>
      <c r="B5096" s="350">
        <v>46144</v>
      </c>
      <c r="C5096" s="350">
        <v>46148</v>
      </c>
      <c r="D5096" s="351">
        <v>46143</v>
      </c>
      <c r="E5096" s="340" t="s">
        <v>3204</v>
      </c>
      <c r="F5096" s="340" t="s">
        <v>894</v>
      </c>
      <c r="G5096" s="340" t="s">
        <v>3020</v>
      </c>
      <c r="H5096" s="340"/>
      <c r="I5096" s="340" t="s">
        <v>771</v>
      </c>
      <c r="K5096" s="343">
        <v>0</v>
      </c>
      <c r="L5096" s="343">
        <v>-0.15</v>
      </c>
      <c r="M5096" s="343">
        <v>-964643.69</v>
      </c>
      <c r="O5096" s="343">
        <v>0</v>
      </c>
    </row>
    <row r="5097" spans="1:15" x14ac:dyDescent="0.3">
      <c r="A5097" s="340" t="s">
        <v>891</v>
      </c>
      <c r="B5097" s="350">
        <v>46144</v>
      </c>
      <c r="C5097" s="350">
        <v>46148</v>
      </c>
      <c r="D5097" s="351">
        <v>46143</v>
      </c>
      <c r="E5097" s="340" t="s">
        <v>3204</v>
      </c>
      <c r="F5097" s="340" t="s">
        <v>894</v>
      </c>
      <c r="G5097" s="340" t="s">
        <v>3020</v>
      </c>
      <c r="H5097" s="340"/>
      <c r="I5097" s="340" t="s">
        <v>771</v>
      </c>
      <c r="K5097" s="343">
        <v>0</v>
      </c>
      <c r="L5097" s="343">
        <v>-0.16</v>
      </c>
      <c r="M5097" s="343">
        <v>-964643.85</v>
      </c>
      <c r="O5097" s="343">
        <v>0</v>
      </c>
    </row>
    <row r="5098" spans="1:15" x14ac:dyDescent="0.3">
      <c r="A5098" s="340" t="s">
        <v>891</v>
      </c>
      <c r="B5098" s="350">
        <v>46144</v>
      </c>
      <c r="C5098" s="350">
        <v>46148</v>
      </c>
      <c r="D5098" s="351">
        <v>46143</v>
      </c>
      <c r="E5098" s="340" t="s">
        <v>3204</v>
      </c>
      <c r="F5098" s="340" t="s">
        <v>894</v>
      </c>
      <c r="G5098" s="340" t="s">
        <v>3023</v>
      </c>
      <c r="H5098" s="340"/>
      <c r="I5098" s="340" t="s">
        <v>771</v>
      </c>
      <c r="K5098" s="343">
        <v>0</v>
      </c>
      <c r="L5098" s="343">
        <v>-0.59</v>
      </c>
      <c r="M5098" s="343">
        <v>-964644.44</v>
      </c>
      <c r="O5098" s="343">
        <v>0</v>
      </c>
    </row>
    <row r="5099" spans="1:15" x14ac:dyDescent="0.3">
      <c r="A5099" s="340" t="s">
        <v>891</v>
      </c>
      <c r="B5099" s="350">
        <v>46144</v>
      </c>
      <c r="C5099" s="350">
        <v>46148</v>
      </c>
      <c r="D5099" s="351">
        <v>46143</v>
      </c>
      <c r="E5099" s="340" t="s">
        <v>3204</v>
      </c>
      <c r="F5099" s="340" t="s">
        <v>894</v>
      </c>
      <c r="G5099" s="340" t="s">
        <v>3024</v>
      </c>
      <c r="H5099" s="340"/>
      <c r="I5099" s="340" t="s">
        <v>771</v>
      </c>
      <c r="K5099" s="343">
        <v>0</v>
      </c>
      <c r="L5099" s="343">
        <v>-1.21</v>
      </c>
      <c r="M5099" s="343">
        <v>-964645.65</v>
      </c>
      <c r="O5099" s="343">
        <v>0</v>
      </c>
    </row>
    <row r="5100" spans="1:15" x14ac:dyDescent="0.3">
      <c r="A5100" s="340" t="s">
        <v>891</v>
      </c>
      <c r="B5100" s="350">
        <v>46144</v>
      </c>
      <c r="C5100" s="350">
        <v>46148</v>
      </c>
      <c r="D5100" s="351">
        <v>46143</v>
      </c>
      <c r="E5100" s="340" t="s">
        <v>3204</v>
      </c>
      <c r="F5100" s="340" t="s">
        <v>894</v>
      </c>
      <c r="G5100" s="340" t="s">
        <v>3017</v>
      </c>
      <c r="H5100" s="340"/>
      <c r="I5100" s="340" t="s">
        <v>771</v>
      </c>
      <c r="K5100" s="343">
        <v>0</v>
      </c>
      <c r="L5100" s="343">
        <v>-2.2599999999999998</v>
      </c>
      <c r="M5100" s="343">
        <v>-964647.91</v>
      </c>
      <c r="O5100" s="343">
        <v>0</v>
      </c>
    </row>
    <row r="5101" spans="1:15" x14ac:dyDescent="0.3">
      <c r="A5101" s="340" t="s">
        <v>891</v>
      </c>
      <c r="B5101" s="350">
        <v>46144</v>
      </c>
      <c r="C5101" s="350">
        <v>46148</v>
      </c>
      <c r="D5101" s="351">
        <v>46143</v>
      </c>
      <c r="E5101" s="340" t="s">
        <v>3204</v>
      </c>
      <c r="F5101" s="340" t="s">
        <v>894</v>
      </c>
      <c r="G5101" s="340" t="s">
        <v>3025</v>
      </c>
      <c r="H5101" s="340"/>
      <c r="I5101" s="340" t="s">
        <v>771</v>
      </c>
      <c r="K5101" s="343">
        <v>0</v>
      </c>
      <c r="L5101" s="343">
        <v>-3.43</v>
      </c>
      <c r="M5101" s="343">
        <v>-964651.34</v>
      </c>
      <c r="O5101" s="343">
        <v>0</v>
      </c>
    </row>
    <row r="5102" spans="1:15" x14ac:dyDescent="0.3">
      <c r="A5102" s="340" t="s">
        <v>891</v>
      </c>
      <c r="B5102" s="350">
        <v>46144</v>
      </c>
      <c r="C5102" s="350">
        <v>46148</v>
      </c>
      <c r="D5102" s="351">
        <v>46143</v>
      </c>
      <c r="E5102" s="340" t="s">
        <v>3204</v>
      </c>
      <c r="F5102" s="340" t="s">
        <v>894</v>
      </c>
      <c r="G5102" s="340" t="s">
        <v>3021</v>
      </c>
      <c r="H5102" s="340"/>
      <c r="I5102" s="340" t="s">
        <v>771</v>
      </c>
      <c r="K5102" s="343">
        <v>0</v>
      </c>
      <c r="L5102" s="343">
        <v>-4.6100000000000003</v>
      </c>
      <c r="M5102" s="343">
        <v>-964655.95</v>
      </c>
      <c r="O5102" s="343">
        <v>0</v>
      </c>
    </row>
    <row r="5103" spans="1:15" x14ac:dyDescent="0.3">
      <c r="A5103" s="340" t="s">
        <v>891</v>
      </c>
      <c r="B5103" s="350">
        <v>46144</v>
      </c>
      <c r="C5103" s="350">
        <v>46148</v>
      </c>
      <c r="D5103" s="351">
        <v>46143</v>
      </c>
      <c r="E5103" s="340" t="s">
        <v>3204</v>
      </c>
      <c r="F5103" s="340" t="s">
        <v>894</v>
      </c>
      <c r="G5103" s="340" t="s">
        <v>3005</v>
      </c>
      <c r="H5103" s="340"/>
      <c r="I5103" s="340" t="s">
        <v>771</v>
      </c>
      <c r="K5103" s="343">
        <v>0</v>
      </c>
      <c r="L5103" s="343">
        <v>-13.74</v>
      </c>
      <c r="M5103" s="343">
        <v>-964669.69</v>
      </c>
      <c r="O5103" s="343">
        <v>0</v>
      </c>
    </row>
    <row r="5104" spans="1:15" x14ac:dyDescent="0.3">
      <c r="A5104" s="340" t="s">
        <v>891</v>
      </c>
      <c r="B5104" s="350">
        <v>46144</v>
      </c>
      <c r="C5104" s="350">
        <v>46148</v>
      </c>
      <c r="D5104" s="351">
        <v>46143</v>
      </c>
      <c r="E5104" s="340" t="s">
        <v>3204</v>
      </c>
      <c r="F5104" s="340" t="s">
        <v>894</v>
      </c>
      <c r="G5104" s="340" t="s">
        <v>3017</v>
      </c>
      <c r="H5104" s="340"/>
      <c r="I5104" s="340" t="s">
        <v>771</v>
      </c>
      <c r="K5104" s="343">
        <v>0</v>
      </c>
      <c r="L5104" s="343">
        <v>-2.2599999999999998</v>
      </c>
      <c r="M5104" s="343">
        <v>-964671.95</v>
      </c>
      <c r="O5104" s="343">
        <v>0</v>
      </c>
    </row>
    <row r="5105" spans="1:15" x14ac:dyDescent="0.3">
      <c r="A5105" s="340" t="s">
        <v>891</v>
      </c>
      <c r="B5105" s="350">
        <v>46144</v>
      </c>
      <c r="C5105" s="350">
        <v>46148</v>
      </c>
      <c r="D5105" s="351">
        <v>46143</v>
      </c>
      <c r="E5105" s="340" t="s">
        <v>3204</v>
      </c>
      <c r="F5105" s="340" t="s">
        <v>894</v>
      </c>
      <c r="G5105" s="340" t="s">
        <v>3021</v>
      </c>
      <c r="H5105" s="340"/>
      <c r="I5105" s="340" t="s">
        <v>771</v>
      </c>
      <c r="K5105" s="343">
        <v>0</v>
      </c>
      <c r="L5105" s="343">
        <v>-4.6100000000000003</v>
      </c>
      <c r="M5105" s="343">
        <v>-964676.56</v>
      </c>
      <c r="O5105" s="343">
        <v>0</v>
      </c>
    </row>
    <row r="5106" spans="1:15" x14ac:dyDescent="0.3">
      <c r="A5106" s="340" t="s">
        <v>891</v>
      </c>
      <c r="B5106" s="350">
        <v>46144</v>
      </c>
      <c r="C5106" s="350">
        <v>46148</v>
      </c>
      <c r="D5106" s="351">
        <v>46143</v>
      </c>
      <c r="E5106" s="340" t="s">
        <v>3204</v>
      </c>
      <c r="F5106" s="340" t="s">
        <v>894</v>
      </c>
      <c r="G5106" s="340" t="s">
        <v>3005</v>
      </c>
      <c r="H5106" s="340"/>
      <c r="I5106" s="340" t="s">
        <v>771</v>
      </c>
      <c r="K5106" s="343">
        <v>0</v>
      </c>
      <c r="L5106" s="343">
        <v>-15.12</v>
      </c>
      <c r="M5106" s="343">
        <v>-964691.68</v>
      </c>
      <c r="O5106" s="343">
        <v>0</v>
      </c>
    </row>
    <row r="5107" spans="1:15" x14ac:dyDescent="0.3">
      <c r="A5107" s="340" t="s">
        <v>891</v>
      </c>
      <c r="B5107" s="350">
        <v>46144</v>
      </c>
      <c r="C5107" s="350">
        <v>46148</v>
      </c>
      <c r="D5107" s="351">
        <v>46143</v>
      </c>
      <c r="E5107" s="340" t="s">
        <v>3204</v>
      </c>
      <c r="F5107" s="340" t="s">
        <v>894</v>
      </c>
      <c r="G5107" s="340" t="s">
        <v>3019</v>
      </c>
      <c r="H5107" s="340"/>
      <c r="I5107" s="340" t="s">
        <v>771</v>
      </c>
      <c r="K5107" s="343">
        <v>0</v>
      </c>
      <c r="L5107" s="343">
        <v>-0.01</v>
      </c>
      <c r="M5107" s="343">
        <v>-964691.69</v>
      </c>
      <c r="O5107" s="343">
        <v>0</v>
      </c>
    </row>
    <row r="5108" spans="1:15" x14ac:dyDescent="0.3">
      <c r="A5108" s="340" t="s">
        <v>891</v>
      </c>
      <c r="B5108" s="350">
        <v>46144</v>
      </c>
      <c r="C5108" s="350">
        <v>46148</v>
      </c>
      <c r="D5108" s="351">
        <v>46143</v>
      </c>
      <c r="E5108" s="340" t="s">
        <v>3204</v>
      </c>
      <c r="F5108" s="340" t="s">
        <v>894</v>
      </c>
      <c r="G5108" s="340" t="s">
        <v>3016</v>
      </c>
      <c r="H5108" s="340"/>
      <c r="I5108" s="340" t="s">
        <v>771</v>
      </c>
      <c r="K5108" s="343">
        <v>0</v>
      </c>
      <c r="L5108" s="343">
        <v>-0.03</v>
      </c>
      <c r="M5108" s="343">
        <v>-964691.72</v>
      </c>
      <c r="O5108" s="343">
        <v>0</v>
      </c>
    </row>
    <row r="5109" spans="1:15" x14ac:dyDescent="0.3">
      <c r="A5109" s="340" t="s">
        <v>891</v>
      </c>
      <c r="B5109" s="350">
        <v>46144</v>
      </c>
      <c r="C5109" s="350">
        <v>46148</v>
      </c>
      <c r="D5109" s="351">
        <v>46143</v>
      </c>
      <c r="E5109" s="340" t="s">
        <v>3204</v>
      </c>
      <c r="F5109" s="340" t="s">
        <v>894</v>
      </c>
      <c r="G5109" s="340" t="s">
        <v>3016</v>
      </c>
      <c r="H5109" s="340"/>
      <c r="I5109" s="340" t="s">
        <v>771</v>
      </c>
      <c r="K5109" s="343">
        <v>0</v>
      </c>
      <c r="L5109" s="343">
        <v>-0.03</v>
      </c>
      <c r="M5109" s="343">
        <v>-964691.75</v>
      </c>
      <c r="O5109" s="343">
        <v>0</v>
      </c>
    </row>
    <row r="5110" spans="1:15" x14ac:dyDescent="0.3">
      <c r="A5110" s="340" t="s">
        <v>891</v>
      </c>
      <c r="B5110" s="350">
        <v>46144</v>
      </c>
      <c r="C5110" s="350">
        <v>46148</v>
      </c>
      <c r="D5110" s="351">
        <v>46143</v>
      </c>
      <c r="E5110" s="340" t="s">
        <v>3204</v>
      </c>
      <c r="F5110" s="340" t="s">
        <v>894</v>
      </c>
      <c r="G5110" s="340" t="s">
        <v>3018</v>
      </c>
      <c r="H5110" s="340"/>
      <c r="I5110" s="340" t="s">
        <v>771</v>
      </c>
      <c r="K5110" s="343">
        <v>0</v>
      </c>
      <c r="L5110" s="343">
        <v>-0.11</v>
      </c>
      <c r="M5110" s="343">
        <v>-964691.86</v>
      </c>
      <c r="O5110" s="343">
        <v>0</v>
      </c>
    </row>
    <row r="5111" spans="1:15" x14ac:dyDescent="0.3">
      <c r="A5111" s="340" t="s">
        <v>891</v>
      </c>
      <c r="B5111" s="350">
        <v>46144</v>
      </c>
      <c r="C5111" s="350">
        <v>46148</v>
      </c>
      <c r="D5111" s="351">
        <v>46143</v>
      </c>
      <c r="E5111" s="340" t="s">
        <v>3205</v>
      </c>
      <c r="F5111" s="340" t="s">
        <v>894</v>
      </c>
      <c r="G5111" s="340" t="s">
        <v>3022</v>
      </c>
      <c r="H5111" s="340" t="s">
        <v>2440</v>
      </c>
      <c r="I5111" s="340" t="s">
        <v>771</v>
      </c>
      <c r="K5111" s="343">
        <v>0</v>
      </c>
      <c r="L5111" s="343">
        <v>-0.13</v>
      </c>
      <c r="M5111" s="343">
        <v>-964691.99</v>
      </c>
      <c r="O5111" s="343">
        <v>0</v>
      </c>
    </row>
    <row r="5112" spans="1:15" x14ac:dyDescent="0.3">
      <c r="A5112" s="340" t="s">
        <v>891</v>
      </c>
      <c r="B5112" s="350">
        <v>46144</v>
      </c>
      <c r="C5112" s="350">
        <v>46148</v>
      </c>
      <c r="D5112" s="351">
        <v>46143</v>
      </c>
      <c r="E5112" s="340" t="s">
        <v>3205</v>
      </c>
      <c r="F5112" s="340" t="s">
        <v>894</v>
      </c>
      <c r="G5112" s="340" t="s">
        <v>3017</v>
      </c>
      <c r="H5112" s="340" t="s">
        <v>2440</v>
      </c>
      <c r="I5112" s="340" t="s">
        <v>771</v>
      </c>
      <c r="K5112" s="343">
        <v>0</v>
      </c>
      <c r="L5112" s="343">
        <v>-2.95</v>
      </c>
      <c r="M5112" s="343">
        <v>-964694.94</v>
      </c>
      <c r="O5112" s="343">
        <v>0</v>
      </c>
    </row>
    <row r="5113" spans="1:15" x14ac:dyDescent="0.3">
      <c r="A5113" s="340" t="s">
        <v>891</v>
      </c>
      <c r="B5113" s="350">
        <v>46144</v>
      </c>
      <c r="C5113" s="350">
        <v>46148</v>
      </c>
      <c r="D5113" s="351">
        <v>46143</v>
      </c>
      <c r="E5113" s="340" t="s">
        <v>3205</v>
      </c>
      <c r="F5113" s="340" t="s">
        <v>894</v>
      </c>
      <c r="G5113" s="340" t="s">
        <v>3206</v>
      </c>
      <c r="H5113" s="340" t="s">
        <v>2440</v>
      </c>
      <c r="I5113" s="340" t="s">
        <v>771</v>
      </c>
      <c r="K5113" s="343">
        <v>0</v>
      </c>
      <c r="L5113" s="343">
        <v>-3.32</v>
      </c>
      <c r="M5113" s="343">
        <v>-964698.26</v>
      </c>
      <c r="O5113" s="343">
        <v>0</v>
      </c>
    </row>
    <row r="5114" spans="1:15" x14ac:dyDescent="0.3">
      <c r="A5114" s="340" t="s">
        <v>891</v>
      </c>
      <c r="B5114" s="350">
        <v>46144</v>
      </c>
      <c r="C5114" s="350">
        <v>46148</v>
      </c>
      <c r="D5114" s="351">
        <v>46143</v>
      </c>
      <c r="E5114" s="340" t="s">
        <v>3205</v>
      </c>
      <c r="F5114" s="340" t="s">
        <v>894</v>
      </c>
      <c r="G5114" s="340" t="s">
        <v>3022</v>
      </c>
      <c r="H5114" s="340" t="s">
        <v>2462</v>
      </c>
      <c r="I5114" s="340" t="s">
        <v>771</v>
      </c>
      <c r="K5114" s="343">
        <v>0</v>
      </c>
      <c r="L5114" s="343">
        <v>-0.1</v>
      </c>
      <c r="M5114" s="343">
        <v>-964698.36</v>
      </c>
      <c r="O5114" s="343">
        <v>0</v>
      </c>
    </row>
    <row r="5115" spans="1:15" x14ac:dyDescent="0.3">
      <c r="A5115" s="340" t="s">
        <v>891</v>
      </c>
      <c r="B5115" s="350">
        <v>46144</v>
      </c>
      <c r="C5115" s="350">
        <v>46148</v>
      </c>
      <c r="D5115" s="351">
        <v>46143</v>
      </c>
      <c r="E5115" s="340" t="s">
        <v>3205</v>
      </c>
      <c r="F5115" s="340" t="s">
        <v>894</v>
      </c>
      <c r="G5115" s="340" t="s">
        <v>3206</v>
      </c>
      <c r="H5115" s="340" t="s">
        <v>2462</v>
      </c>
      <c r="I5115" s="340" t="s">
        <v>771</v>
      </c>
      <c r="K5115" s="343">
        <v>0</v>
      </c>
      <c r="L5115" s="343">
        <v>-1.83</v>
      </c>
      <c r="M5115" s="343">
        <v>-964700.19</v>
      </c>
      <c r="O5115" s="343">
        <v>0</v>
      </c>
    </row>
    <row r="5116" spans="1:15" x14ac:dyDescent="0.3">
      <c r="A5116" s="340" t="s">
        <v>891</v>
      </c>
      <c r="B5116" s="350">
        <v>46144</v>
      </c>
      <c r="C5116" s="350">
        <v>46148</v>
      </c>
      <c r="D5116" s="351">
        <v>46143</v>
      </c>
      <c r="E5116" s="340" t="s">
        <v>3205</v>
      </c>
      <c r="F5116" s="340" t="s">
        <v>894</v>
      </c>
      <c r="G5116" s="340" t="s">
        <v>3017</v>
      </c>
      <c r="H5116" s="340" t="s">
        <v>2462</v>
      </c>
      <c r="I5116" s="340" t="s">
        <v>771</v>
      </c>
      <c r="K5116" s="343">
        <v>0</v>
      </c>
      <c r="L5116" s="343">
        <v>-2.95</v>
      </c>
      <c r="M5116" s="343">
        <v>-964703.14</v>
      </c>
      <c r="O5116" s="343">
        <v>0</v>
      </c>
    </row>
    <row r="5117" spans="1:15" x14ac:dyDescent="0.3">
      <c r="A5117" s="340" t="s">
        <v>891</v>
      </c>
      <c r="B5117" s="350">
        <v>46144</v>
      </c>
      <c r="C5117" s="350">
        <v>46148</v>
      </c>
      <c r="D5117" s="351">
        <v>46143</v>
      </c>
      <c r="E5117" s="340" t="s">
        <v>3205</v>
      </c>
      <c r="F5117" s="340" t="s">
        <v>894</v>
      </c>
      <c r="G5117" s="340" t="s">
        <v>3020</v>
      </c>
      <c r="H5117" s="340" t="s">
        <v>2462</v>
      </c>
      <c r="I5117" s="340" t="s">
        <v>771</v>
      </c>
      <c r="K5117" s="343">
        <v>0</v>
      </c>
      <c r="L5117" s="343">
        <v>-0.05</v>
      </c>
      <c r="M5117" s="343">
        <v>-964703.19</v>
      </c>
      <c r="O5117" s="343">
        <v>0</v>
      </c>
    </row>
    <row r="5118" spans="1:15" x14ac:dyDescent="0.3">
      <c r="A5118" s="340" t="s">
        <v>891</v>
      </c>
      <c r="B5118" s="350">
        <v>46144</v>
      </c>
      <c r="C5118" s="350">
        <v>46148</v>
      </c>
      <c r="D5118" s="351">
        <v>46143</v>
      </c>
      <c r="E5118" s="340" t="s">
        <v>3205</v>
      </c>
      <c r="F5118" s="340" t="s">
        <v>894</v>
      </c>
      <c r="G5118" s="340" t="s">
        <v>3207</v>
      </c>
      <c r="H5118" s="340" t="s">
        <v>3208</v>
      </c>
      <c r="I5118" s="340" t="s">
        <v>771</v>
      </c>
      <c r="K5118" s="343">
        <v>0</v>
      </c>
      <c r="L5118" s="343">
        <v>-0.15</v>
      </c>
      <c r="M5118" s="343">
        <v>-964703.34</v>
      </c>
      <c r="O5118" s="343">
        <v>0</v>
      </c>
    </row>
    <row r="5119" spans="1:15" x14ac:dyDescent="0.3">
      <c r="A5119" s="340" t="s">
        <v>891</v>
      </c>
      <c r="B5119" s="350">
        <v>46144</v>
      </c>
      <c r="C5119" s="350">
        <v>46148</v>
      </c>
      <c r="D5119" s="351">
        <v>46143</v>
      </c>
      <c r="E5119" s="340" t="s">
        <v>3205</v>
      </c>
      <c r="F5119" s="340" t="s">
        <v>894</v>
      </c>
      <c r="G5119" s="340" t="s">
        <v>3209</v>
      </c>
      <c r="H5119" s="340" t="s">
        <v>3208</v>
      </c>
      <c r="I5119" s="340" t="s">
        <v>771</v>
      </c>
      <c r="K5119" s="343">
        <v>0</v>
      </c>
      <c r="L5119" s="343">
        <v>-0.2</v>
      </c>
      <c r="M5119" s="343">
        <v>-964703.54</v>
      </c>
      <c r="O5119" s="343">
        <v>0</v>
      </c>
    </row>
    <row r="5120" spans="1:15" x14ac:dyDescent="0.3">
      <c r="A5120" s="340" t="s">
        <v>891</v>
      </c>
      <c r="B5120" s="350">
        <v>46144</v>
      </c>
      <c r="C5120" s="350">
        <v>46148</v>
      </c>
      <c r="D5120" s="351">
        <v>46143</v>
      </c>
      <c r="E5120" s="340" t="s">
        <v>3205</v>
      </c>
      <c r="F5120" s="340" t="s">
        <v>894</v>
      </c>
      <c r="G5120" s="340" t="s">
        <v>3210</v>
      </c>
      <c r="H5120" s="340" t="s">
        <v>3208</v>
      </c>
      <c r="I5120" s="340" t="s">
        <v>771</v>
      </c>
      <c r="K5120" s="343">
        <v>0</v>
      </c>
      <c r="L5120" s="343">
        <v>-0.28999999999999998</v>
      </c>
      <c r="M5120" s="343">
        <v>-964703.83</v>
      </c>
      <c r="O5120" s="343">
        <v>0</v>
      </c>
    </row>
    <row r="5121" spans="1:15" x14ac:dyDescent="0.3">
      <c r="A5121" s="340" t="s">
        <v>891</v>
      </c>
      <c r="B5121" s="350">
        <v>46144</v>
      </c>
      <c r="C5121" s="350">
        <v>46148</v>
      </c>
      <c r="D5121" s="351">
        <v>46143</v>
      </c>
      <c r="E5121" s="340" t="s">
        <v>3205</v>
      </c>
      <c r="F5121" s="340" t="s">
        <v>894</v>
      </c>
      <c r="G5121" s="340" t="s">
        <v>3211</v>
      </c>
      <c r="H5121" s="340" t="s">
        <v>3208</v>
      </c>
      <c r="I5121" s="340" t="s">
        <v>771</v>
      </c>
      <c r="K5121" s="343">
        <v>0</v>
      </c>
      <c r="L5121" s="343">
        <v>-2.95</v>
      </c>
      <c r="M5121" s="343">
        <v>-964706.78</v>
      </c>
      <c r="O5121" s="343">
        <v>0</v>
      </c>
    </row>
    <row r="5122" spans="1:15" x14ac:dyDescent="0.3">
      <c r="A5122" s="340" t="s">
        <v>891</v>
      </c>
      <c r="B5122" s="350">
        <v>46144</v>
      </c>
      <c r="C5122" s="350">
        <v>46148</v>
      </c>
      <c r="D5122" s="351">
        <v>46143</v>
      </c>
      <c r="E5122" s="340" t="s">
        <v>3205</v>
      </c>
      <c r="F5122" s="340" t="s">
        <v>894</v>
      </c>
      <c r="G5122" s="340" t="s">
        <v>3212</v>
      </c>
      <c r="H5122" s="340" t="s">
        <v>3208</v>
      </c>
      <c r="I5122" s="340" t="s">
        <v>771</v>
      </c>
      <c r="K5122" s="343">
        <v>0</v>
      </c>
      <c r="L5122" s="343">
        <v>-11.3</v>
      </c>
      <c r="M5122" s="343">
        <v>-964718.07999999996</v>
      </c>
      <c r="O5122" s="343">
        <v>0</v>
      </c>
    </row>
    <row r="5123" spans="1:15" x14ac:dyDescent="0.3">
      <c r="A5123" s="340" t="s">
        <v>891</v>
      </c>
      <c r="B5123" s="350">
        <v>46144</v>
      </c>
      <c r="C5123" s="350">
        <v>46148</v>
      </c>
      <c r="D5123" s="351">
        <v>46143</v>
      </c>
      <c r="E5123" s="340" t="s">
        <v>3205</v>
      </c>
      <c r="F5123" s="340" t="s">
        <v>894</v>
      </c>
      <c r="G5123" s="340" t="s">
        <v>3022</v>
      </c>
      <c r="H5123" s="340" t="s">
        <v>2520</v>
      </c>
      <c r="I5123" s="340" t="s">
        <v>771</v>
      </c>
      <c r="K5123" s="343">
        <v>0</v>
      </c>
      <c r="L5123" s="343">
        <v>-0.18</v>
      </c>
      <c r="M5123" s="343">
        <v>-964718.26</v>
      </c>
      <c r="O5123" s="343">
        <v>0</v>
      </c>
    </row>
    <row r="5124" spans="1:15" x14ac:dyDescent="0.3">
      <c r="A5124" s="340" t="s">
        <v>891</v>
      </c>
      <c r="B5124" s="350">
        <v>46144</v>
      </c>
      <c r="C5124" s="350">
        <v>46148</v>
      </c>
      <c r="D5124" s="351">
        <v>46143</v>
      </c>
      <c r="E5124" s="340" t="s">
        <v>3205</v>
      </c>
      <c r="F5124" s="340" t="s">
        <v>894</v>
      </c>
      <c r="G5124" s="340" t="s">
        <v>3213</v>
      </c>
      <c r="H5124" s="340" t="s">
        <v>2532</v>
      </c>
      <c r="I5124" s="340" t="s">
        <v>771</v>
      </c>
      <c r="K5124" s="343">
        <v>0</v>
      </c>
      <c r="L5124" s="343">
        <v>-1.1100000000000001</v>
      </c>
      <c r="M5124" s="343">
        <v>-964719.37</v>
      </c>
      <c r="O5124" s="343">
        <v>0</v>
      </c>
    </row>
    <row r="5125" spans="1:15" x14ac:dyDescent="0.3">
      <c r="A5125" s="340" t="s">
        <v>891</v>
      </c>
      <c r="B5125" s="350">
        <v>46144</v>
      </c>
      <c r="C5125" s="350">
        <v>46148</v>
      </c>
      <c r="D5125" s="351">
        <v>46143</v>
      </c>
      <c r="E5125" s="340" t="s">
        <v>3205</v>
      </c>
      <c r="F5125" s="340" t="s">
        <v>894</v>
      </c>
      <c r="G5125" s="340" t="s">
        <v>3206</v>
      </c>
      <c r="H5125" s="340" t="s">
        <v>2524</v>
      </c>
      <c r="I5125" s="340" t="s">
        <v>771</v>
      </c>
      <c r="K5125" s="343">
        <v>0</v>
      </c>
      <c r="L5125" s="343">
        <v>-20.53</v>
      </c>
      <c r="M5125" s="343">
        <v>-964739.9</v>
      </c>
      <c r="O5125" s="343">
        <v>0</v>
      </c>
    </row>
    <row r="5126" spans="1:15" x14ac:dyDescent="0.3">
      <c r="A5126" s="340" t="s">
        <v>891</v>
      </c>
      <c r="B5126" s="350">
        <v>46144</v>
      </c>
      <c r="C5126" s="350">
        <v>46148</v>
      </c>
      <c r="D5126" s="351">
        <v>46143</v>
      </c>
      <c r="E5126" s="340" t="s">
        <v>3205</v>
      </c>
      <c r="F5126" s="340" t="s">
        <v>894</v>
      </c>
      <c r="G5126" s="340" t="s">
        <v>3022</v>
      </c>
      <c r="H5126" s="340" t="s">
        <v>2524</v>
      </c>
      <c r="I5126" s="340" t="s">
        <v>771</v>
      </c>
      <c r="K5126" s="343">
        <v>0</v>
      </c>
      <c r="L5126" s="343">
        <v>-0.48</v>
      </c>
      <c r="M5126" s="343">
        <v>-964740.38</v>
      </c>
      <c r="O5126" s="343">
        <v>0</v>
      </c>
    </row>
    <row r="5127" spans="1:15" x14ac:dyDescent="0.3">
      <c r="A5127" s="340" t="s">
        <v>891</v>
      </c>
      <c r="B5127" s="350">
        <v>46144</v>
      </c>
      <c r="C5127" s="350">
        <v>46148</v>
      </c>
      <c r="D5127" s="351">
        <v>46143</v>
      </c>
      <c r="E5127" s="340" t="s">
        <v>3205</v>
      </c>
      <c r="F5127" s="340" t="s">
        <v>894</v>
      </c>
      <c r="G5127" s="340" t="s">
        <v>3020</v>
      </c>
      <c r="H5127" s="340" t="s">
        <v>2524</v>
      </c>
      <c r="I5127" s="340" t="s">
        <v>771</v>
      </c>
      <c r="K5127" s="343">
        <v>0</v>
      </c>
      <c r="L5127" s="343">
        <v>-0.24</v>
      </c>
      <c r="M5127" s="343">
        <v>-964740.62</v>
      </c>
      <c r="O5127" s="343">
        <v>0</v>
      </c>
    </row>
    <row r="5128" spans="1:15" x14ac:dyDescent="0.3">
      <c r="A5128" s="340" t="s">
        <v>891</v>
      </c>
      <c r="B5128" s="350">
        <v>46144</v>
      </c>
      <c r="C5128" s="350">
        <v>46148</v>
      </c>
      <c r="D5128" s="351">
        <v>46143</v>
      </c>
      <c r="E5128" s="340" t="s">
        <v>3205</v>
      </c>
      <c r="F5128" s="340" t="s">
        <v>894</v>
      </c>
      <c r="G5128" s="340" t="s">
        <v>3022</v>
      </c>
      <c r="H5128" s="340" t="s">
        <v>2448</v>
      </c>
      <c r="I5128" s="340" t="s">
        <v>771</v>
      </c>
      <c r="K5128" s="343">
        <v>0</v>
      </c>
      <c r="L5128" s="343">
        <v>-0.13</v>
      </c>
      <c r="M5128" s="343">
        <v>-964740.75</v>
      </c>
      <c r="O5128" s="343">
        <v>0</v>
      </c>
    </row>
    <row r="5129" spans="1:15" x14ac:dyDescent="0.3">
      <c r="A5129" s="340" t="s">
        <v>891</v>
      </c>
      <c r="B5129" s="350">
        <v>46144</v>
      </c>
      <c r="C5129" s="350">
        <v>46148</v>
      </c>
      <c r="D5129" s="351">
        <v>46143</v>
      </c>
      <c r="E5129" s="340" t="s">
        <v>3205</v>
      </c>
      <c r="F5129" s="340" t="s">
        <v>894</v>
      </c>
      <c r="G5129" s="340" t="s">
        <v>3020</v>
      </c>
      <c r="H5129" s="340" t="s">
        <v>2448</v>
      </c>
      <c r="I5129" s="340" t="s">
        <v>771</v>
      </c>
      <c r="K5129" s="343">
        <v>0</v>
      </c>
      <c r="L5129" s="343">
        <v>-0.54</v>
      </c>
      <c r="M5129" s="343">
        <v>-964741.29</v>
      </c>
      <c r="O5129" s="343">
        <v>0</v>
      </c>
    </row>
    <row r="5130" spans="1:15" x14ac:dyDescent="0.3">
      <c r="A5130" s="340" t="s">
        <v>891</v>
      </c>
      <c r="B5130" s="350">
        <v>46144</v>
      </c>
      <c r="C5130" s="350">
        <v>46148</v>
      </c>
      <c r="D5130" s="351">
        <v>46143</v>
      </c>
      <c r="E5130" s="340" t="s">
        <v>3205</v>
      </c>
      <c r="F5130" s="340" t="s">
        <v>894</v>
      </c>
      <c r="G5130" s="340" t="s">
        <v>3017</v>
      </c>
      <c r="H5130" s="340" t="s">
        <v>2448</v>
      </c>
      <c r="I5130" s="340" t="s">
        <v>771</v>
      </c>
      <c r="K5130" s="343">
        <v>0</v>
      </c>
      <c r="L5130" s="343">
        <v>-2.95</v>
      </c>
      <c r="M5130" s="343">
        <v>-964744.24</v>
      </c>
      <c r="O5130" s="343">
        <v>0</v>
      </c>
    </row>
    <row r="5131" spans="1:15" x14ac:dyDescent="0.3">
      <c r="A5131" s="340" t="s">
        <v>891</v>
      </c>
      <c r="B5131" s="350">
        <v>46144</v>
      </c>
      <c r="C5131" s="350">
        <v>46148</v>
      </c>
      <c r="D5131" s="351">
        <v>46143</v>
      </c>
      <c r="E5131" s="340" t="s">
        <v>3205</v>
      </c>
      <c r="F5131" s="340" t="s">
        <v>894</v>
      </c>
      <c r="G5131" s="340" t="s">
        <v>3206</v>
      </c>
      <c r="H5131" s="340" t="s">
        <v>2448</v>
      </c>
      <c r="I5131" s="340" t="s">
        <v>771</v>
      </c>
      <c r="K5131" s="343">
        <v>0</v>
      </c>
      <c r="L5131" s="343">
        <v>-3.49</v>
      </c>
      <c r="M5131" s="343">
        <v>-964747.73</v>
      </c>
      <c r="O5131" s="343">
        <v>0</v>
      </c>
    </row>
    <row r="5132" spans="1:15" x14ac:dyDescent="0.3">
      <c r="A5132" s="340" t="s">
        <v>891</v>
      </c>
      <c r="B5132" s="350">
        <v>46144</v>
      </c>
      <c r="C5132" s="350">
        <v>46148</v>
      </c>
      <c r="D5132" s="351">
        <v>46143</v>
      </c>
      <c r="E5132" s="340" t="s">
        <v>3205</v>
      </c>
      <c r="F5132" s="340" t="s">
        <v>894</v>
      </c>
      <c r="G5132" s="340" t="s">
        <v>3214</v>
      </c>
      <c r="H5132" s="340" t="s">
        <v>2446</v>
      </c>
      <c r="I5132" s="340" t="s">
        <v>771</v>
      </c>
      <c r="K5132" s="343">
        <v>0</v>
      </c>
      <c r="L5132" s="343">
        <v>-0.25</v>
      </c>
      <c r="M5132" s="343">
        <v>-964747.98</v>
      </c>
      <c r="O5132" s="343">
        <v>0</v>
      </c>
    </row>
    <row r="5133" spans="1:15" x14ac:dyDescent="0.3">
      <c r="A5133" s="340" t="s">
        <v>891</v>
      </c>
      <c r="B5133" s="350">
        <v>46144</v>
      </c>
      <c r="C5133" s="350">
        <v>46148</v>
      </c>
      <c r="D5133" s="351">
        <v>46143</v>
      </c>
      <c r="E5133" s="340" t="s">
        <v>3205</v>
      </c>
      <c r="F5133" s="340" t="s">
        <v>894</v>
      </c>
      <c r="G5133" s="340" t="s">
        <v>3022</v>
      </c>
      <c r="H5133" s="340" t="s">
        <v>2446</v>
      </c>
      <c r="I5133" s="340" t="s">
        <v>771</v>
      </c>
      <c r="K5133" s="343">
        <v>0</v>
      </c>
      <c r="L5133" s="343">
        <v>-0.33</v>
      </c>
      <c r="M5133" s="343">
        <v>-964748.31</v>
      </c>
      <c r="O5133" s="343">
        <v>0</v>
      </c>
    </row>
    <row r="5134" spans="1:15" x14ac:dyDescent="0.3">
      <c r="A5134" s="340" t="s">
        <v>891</v>
      </c>
      <c r="B5134" s="350">
        <v>46144</v>
      </c>
      <c r="C5134" s="350">
        <v>46148</v>
      </c>
      <c r="D5134" s="351">
        <v>46143</v>
      </c>
      <c r="E5134" s="340" t="s">
        <v>3205</v>
      </c>
      <c r="F5134" s="340" t="s">
        <v>894</v>
      </c>
      <c r="G5134" s="340" t="s">
        <v>3215</v>
      </c>
      <c r="H5134" s="340" t="s">
        <v>2446</v>
      </c>
      <c r="I5134" s="340" t="s">
        <v>771</v>
      </c>
      <c r="K5134" s="343">
        <v>0</v>
      </c>
      <c r="L5134" s="343">
        <v>-0.35</v>
      </c>
      <c r="M5134" s="343">
        <v>-964748.66</v>
      </c>
      <c r="O5134" s="343">
        <v>0</v>
      </c>
    </row>
    <row r="5135" spans="1:15" x14ac:dyDescent="0.3">
      <c r="A5135" s="340" t="s">
        <v>891</v>
      </c>
      <c r="B5135" s="350">
        <v>46144</v>
      </c>
      <c r="C5135" s="350">
        <v>46148</v>
      </c>
      <c r="D5135" s="351">
        <v>46143</v>
      </c>
      <c r="E5135" s="340" t="s">
        <v>3205</v>
      </c>
      <c r="F5135" s="340" t="s">
        <v>894</v>
      </c>
      <c r="G5135" s="340" t="s">
        <v>3017</v>
      </c>
      <c r="H5135" s="340" t="s">
        <v>2446</v>
      </c>
      <c r="I5135" s="340" t="s">
        <v>771</v>
      </c>
      <c r="K5135" s="343">
        <v>0</v>
      </c>
      <c r="L5135" s="343">
        <v>-2.95</v>
      </c>
      <c r="M5135" s="343">
        <v>-964751.61</v>
      </c>
      <c r="O5135" s="343">
        <v>0</v>
      </c>
    </row>
    <row r="5136" spans="1:15" x14ac:dyDescent="0.3">
      <c r="A5136" s="340" t="s">
        <v>891</v>
      </c>
      <c r="B5136" s="350">
        <v>46144</v>
      </c>
      <c r="C5136" s="350">
        <v>46148</v>
      </c>
      <c r="D5136" s="351">
        <v>46143</v>
      </c>
      <c r="E5136" s="340" t="s">
        <v>3205</v>
      </c>
      <c r="F5136" s="340" t="s">
        <v>894</v>
      </c>
      <c r="G5136" s="340" t="s">
        <v>3216</v>
      </c>
      <c r="H5136" s="340" t="s">
        <v>2446</v>
      </c>
      <c r="I5136" s="340" t="s">
        <v>771</v>
      </c>
      <c r="K5136" s="343">
        <v>0</v>
      </c>
      <c r="L5136" s="343">
        <v>-13.13</v>
      </c>
      <c r="M5136" s="343">
        <v>-964764.74</v>
      </c>
      <c r="O5136" s="343">
        <v>0</v>
      </c>
    </row>
    <row r="5137" spans="1:15" x14ac:dyDescent="0.3">
      <c r="A5137" s="340" t="s">
        <v>891</v>
      </c>
      <c r="B5137" s="350">
        <v>46144</v>
      </c>
      <c r="C5137" s="350">
        <v>46148</v>
      </c>
      <c r="D5137" s="351">
        <v>46143</v>
      </c>
      <c r="E5137" s="340" t="s">
        <v>3205</v>
      </c>
      <c r="F5137" s="340" t="s">
        <v>894</v>
      </c>
      <c r="G5137" s="340" t="s">
        <v>3017</v>
      </c>
      <c r="H5137" s="340" t="s">
        <v>2510</v>
      </c>
      <c r="I5137" s="340" t="s">
        <v>771</v>
      </c>
      <c r="K5137" s="343">
        <v>0</v>
      </c>
      <c r="L5137" s="343">
        <v>-2.95</v>
      </c>
      <c r="M5137" s="343">
        <v>-964767.69</v>
      </c>
      <c r="O5137" s="343">
        <v>0</v>
      </c>
    </row>
    <row r="5138" spans="1:15" x14ac:dyDescent="0.3">
      <c r="A5138" s="340" t="s">
        <v>891</v>
      </c>
      <c r="B5138" s="350">
        <v>46144</v>
      </c>
      <c r="C5138" s="350">
        <v>46148</v>
      </c>
      <c r="D5138" s="351">
        <v>46143</v>
      </c>
      <c r="E5138" s="340" t="s">
        <v>3205</v>
      </c>
      <c r="F5138" s="340" t="s">
        <v>894</v>
      </c>
      <c r="G5138" s="340" t="s">
        <v>3020</v>
      </c>
      <c r="H5138" s="340" t="s">
        <v>2508</v>
      </c>
      <c r="I5138" s="340" t="s">
        <v>771</v>
      </c>
      <c r="K5138" s="343">
        <v>0</v>
      </c>
      <c r="L5138" s="343">
        <v>-0.06</v>
      </c>
      <c r="M5138" s="343">
        <v>-964767.75</v>
      </c>
      <c r="O5138" s="343">
        <v>0</v>
      </c>
    </row>
    <row r="5139" spans="1:15" x14ac:dyDescent="0.3">
      <c r="A5139" s="340" t="s">
        <v>891</v>
      </c>
      <c r="B5139" s="350">
        <v>46144</v>
      </c>
      <c r="C5139" s="350">
        <v>46148</v>
      </c>
      <c r="D5139" s="351">
        <v>46143</v>
      </c>
      <c r="E5139" s="340" t="s">
        <v>3205</v>
      </c>
      <c r="F5139" s="340" t="s">
        <v>894</v>
      </c>
      <c r="G5139" s="340" t="s">
        <v>3022</v>
      </c>
      <c r="H5139" s="340" t="s">
        <v>2526</v>
      </c>
      <c r="I5139" s="340" t="s">
        <v>771</v>
      </c>
      <c r="K5139" s="343">
        <v>0</v>
      </c>
      <c r="L5139" s="343">
        <v>-0.12</v>
      </c>
      <c r="M5139" s="343">
        <v>-964767.87</v>
      </c>
      <c r="O5139" s="343">
        <v>0</v>
      </c>
    </row>
    <row r="5140" spans="1:15" x14ac:dyDescent="0.3">
      <c r="A5140" s="340" t="s">
        <v>891</v>
      </c>
      <c r="B5140" s="350">
        <v>46144</v>
      </c>
      <c r="C5140" s="350">
        <v>46148</v>
      </c>
      <c r="D5140" s="351">
        <v>46143</v>
      </c>
      <c r="E5140" s="340" t="s">
        <v>3205</v>
      </c>
      <c r="F5140" s="340" t="s">
        <v>894</v>
      </c>
      <c r="G5140" s="340" t="s">
        <v>3017</v>
      </c>
      <c r="H5140" s="340" t="s">
        <v>2526</v>
      </c>
      <c r="I5140" s="340" t="s">
        <v>771</v>
      </c>
      <c r="K5140" s="343">
        <v>0</v>
      </c>
      <c r="L5140" s="343">
        <v>-2.95</v>
      </c>
      <c r="M5140" s="343">
        <v>-964770.82</v>
      </c>
      <c r="O5140" s="343">
        <v>0</v>
      </c>
    </row>
    <row r="5141" spans="1:15" x14ac:dyDescent="0.3">
      <c r="A5141" s="340" t="s">
        <v>891</v>
      </c>
      <c r="B5141" s="350">
        <v>46144</v>
      </c>
      <c r="C5141" s="350">
        <v>46148</v>
      </c>
      <c r="D5141" s="351">
        <v>46143</v>
      </c>
      <c r="E5141" s="340" t="s">
        <v>3205</v>
      </c>
      <c r="F5141" s="340" t="s">
        <v>894</v>
      </c>
      <c r="G5141" s="340" t="s">
        <v>3206</v>
      </c>
      <c r="H5141" s="340" t="s">
        <v>2526</v>
      </c>
      <c r="I5141" s="340" t="s">
        <v>771</v>
      </c>
      <c r="K5141" s="343">
        <v>0</v>
      </c>
      <c r="L5141" s="343">
        <v>-3.16</v>
      </c>
      <c r="M5141" s="343">
        <v>-964773.98</v>
      </c>
      <c r="O5141" s="343">
        <v>0</v>
      </c>
    </row>
    <row r="5142" spans="1:15" x14ac:dyDescent="0.3">
      <c r="A5142" s="340" t="s">
        <v>891</v>
      </c>
      <c r="B5142" s="350">
        <v>46144</v>
      </c>
      <c r="C5142" s="350">
        <v>46148</v>
      </c>
      <c r="D5142" s="351">
        <v>46143</v>
      </c>
      <c r="E5142" s="340" t="s">
        <v>3205</v>
      </c>
      <c r="F5142" s="340" t="s">
        <v>894</v>
      </c>
      <c r="G5142" s="340" t="s">
        <v>3020</v>
      </c>
      <c r="H5142" s="340" t="s">
        <v>2526</v>
      </c>
      <c r="I5142" s="340" t="s">
        <v>771</v>
      </c>
      <c r="K5142" s="343">
        <v>0</v>
      </c>
      <c r="L5142" s="343">
        <v>-0.06</v>
      </c>
      <c r="M5142" s="343">
        <v>-964774.04</v>
      </c>
      <c r="O5142" s="343">
        <v>0</v>
      </c>
    </row>
    <row r="5143" spans="1:15" x14ac:dyDescent="0.3">
      <c r="A5143" s="340" t="s">
        <v>891</v>
      </c>
      <c r="B5143" s="350">
        <v>46144</v>
      </c>
      <c r="C5143" s="350">
        <v>46148</v>
      </c>
      <c r="D5143" s="351">
        <v>46143</v>
      </c>
      <c r="E5143" s="340" t="s">
        <v>3205</v>
      </c>
      <c r="F5143" s="340" t="s">
        <v>894</v>
      </c>
      <c r="G5143" s="340" t="s">
        <v>3020</v>
      </c>
      <c r="H5143" s="340" t="s">
        <v>2514</v>
      </c>
      <c r="I5143" s="340" t="s">
        <v>771</v>
      </c>
      <c r="K5143" s="343">
        <v>0</v>
      </c>
      <c r="L5143" s="343">
        <v>-0.25</v>
      </c>
      <c r="M5143" s="343">
        <v>-964774.29</v>
      </c>
      <c r="O5143" s="343">
        <v>0</v>
      </c>
    </row>
    <row r="5144" spans="1:15" x14ac:dyDescent="0.3">
      <c r="A5144" s="340" t="s">
        <v>891</v>
      </c>
      <c r="B5144" s="350">
        <v>46144</v>
      </c>
      <c r="C5144" s="350">
        <v>46148</v>
      </c>
      <c r="D5144" s="351">
        <v>46143</v>
      </c>
      <c r="E5144" s="340" t="s">
        <v>3205</v>
      </c>
      <c r="F5144" s="340" t="s">
        <v>894</v>
      </c>
      <c r="G5144" s="340" t="s">
        <v>3022</v>
      </c>
      <c r="H5144" s="340" t="s">
        <v>2514</v>
      </c>
      <c r="I5144" s="340" t="s">
        <v>771</v>
      </c>
      <c r="K5144" s="343">
        <v>0</v>
      </c>
      <c r="L5144" s="343">
        <v>-0.51</v>
      </c>
      <c r="M5144" s="343">
        <v>-964774.8</v>
      </c>
      <c r="O5144" s="343">
        <v>0</v>
      </c>
    </row>
    <row r="5145" spans="1:15" x14ac:dyDescent="0.3">
      <c r="A5145" s="340" t="s">
        <v>891</v>
      </c>
      <c r="B5145" s="350">
        <v>46144</v>
      </c>
      <c r="C5145" s="350">
        <v>46148</v>
      </c>
      <c r="D5145" s="351">
        <v>46143</v>
      </c>
      <c r="E5145" s="340" t="s">
        <v>3205</v>
      </c>
      <c r="F5145" s="340" t="s">
        <v>894</v>
      </c>
      <c r="G5145" s="340" t="s">
        <v>3017</v>
      </c>
      <c r="H5145" s="340" t="s">
        <v>2514</v>
      </c>
      <c r="I5145" s="340" t="s">
        <v>771</v>
      </c>
      <c r="K5145" s="343">
        <v>0</v>
      </c>
      <c r="L5145" s="343">
        <v>-2.95</v>
      </c>
      <c r="M5145" s="343">
        <v>-964777.75</v>
      </c>
      <c r="O5145" s="343">
        <v>0</v>
      </c>
    </row>
    <row r="5146" spans="1:15" x14ac:dyDescent="0.3">
      <c r="A5146" s="340" t="s">
        <v>891</v>
      </c>
      <c r="B5146" s="350">
        <v>46144</v>
      </c>
      <c r="C5146" s="350">
        <v>46148</v>
      </c>
      <c r="D5146" s="351">
        <v>46143</v>
      </c>
      <c r="E5146" s="340" t="s">
        <v>3205</v>
      </c>
      <c r="F5146" s="340" t="s">
        <v>894</v>
      </c>
      <c r="G5146" s="340" t="s">
        <v>3206</v>
      </c>
      <c r="H5146" s="340" t="s">
        <v>2514</v>
      </c>
      <c r="I5146" s="340" t="s">
        <v>771</v>
      </c>
      <c r="K5146" s="343">
        <v>0</v>
      </c>
      <c r="L5146" s="343">
        <v>-21.86</v>
      </c>
      <c r="M5146" s="343">
        <v>-964799.61</v>
      </c>
      <c r="O5146" s="343">
        <v>0</v>
      </c>
    </row>
    <row r="5147" spans="1:15" x14ac:dyDescent="0.3">
      <c r="A5147" s="340" t="s">
        <v>891</v>
      </c>
      <c r="B5147" s="350">
        <v>46144</v>
      </c>
      <c r="C5147" s="350">
        <v>46148</v>
      </c>
      <c r="D5147" s="351">
        <v>46143</v>
      </c>
      <c r="E5147" s="340" t="s">
        <v>3205</v>
      </c>
      <c r="F5147" s="340" t="s">
        <v>894</v>
      </c>
      <c r="G5147" s="340" t="s">
        <v>3017</v>
      </c>
      <c r="H5147" s="340" t="s">
        <v>2469</v>
      </c>
      <c r="I5147" s="340" t="s">
        <v>771</v>
      </c>
      <c r="K5147" s="343">
        <v>0</v>
      </c>
      <c r="L5147" s="343">
        <v>-2.95</v>
      </c>
      <c r="M5147" s="343">
        <v>-964802.56000000006</v>
      </c>
      <c r="O5147" s="343">
        <v>0</v>
      </c>
    </row>
    <row r="5148" spans="1:15" x14ac:dyDescent="0.3">
      <c r="A5148" s="340" t="s">
        <v>891</v>
      </c>
      <c r="B5148" s="350">
        <v>46144</v>
      </c>
      <c r="C5148" s="350">
        <v>46148</v>
      </c>
      <c r="D5148" s="351">
        <v>46143</v>
      </c>
      <c r="E5148" s="340" t="s">
        <v>3205</v>
      </c>
      <c r="F5148" s="340" t="s">
        <v>894</v>
      </c>
      <c r="G5148" s="340" t="s">
        <v>3206</v>
      </c>
      <c r="H5148" s="340" t="s">
        <v>2469</v>
      </c>
      <c r="I5148" s="340" t="s">
        <v>771</v>
      </c>
      <c r="K5148" s="343">
        <v>0</v>
      </c>
      <c r="L5148" s="343">
        <v>-7.23</v>
      </c>
      <c r="M5148" s="343">
        <v>-964809.79</v>
      </c>
      <c r="O5148" s="343">
        <v>0</v>
      </c>
    </row>
    <row r="5149" spans="1:15" x14ac:dyDescent="0.3">
      <c r="A5149" s="340" t="s">
        <v>891</v>
      </c>
      <c r="B5149" s="350">
        <v>46144</v>
      </c>
      <c r="C5149" s="350">
        <v>46148</v>
      </c>
      <c r="D5149" s="351">
        <v>46143</v>
      </c>
      <c r="E5149" s="340" t="s">
        <v>3205</v>
      </c>
      <c r="F5149" s="340" t="s">
        <v>894</v>
      </c>
      <c r="G5149" s="340" t="s">
        <v>3022</v>
      </c>
      <c r="H5149" s="340" t="s">
        <v>2469</v>
      </c>
      <c r="I5149" s="340" t="s">
        <v>771</v>
      </c>
      <c r="K5149" s="343">
        <v>0</v>
      </c>
      <c r="L5149" s="343">
        <v>-0.21</v>
      </c>
      <c r="M5149" s="343">
        <v>-964810</v>
      </c>
      <c r="O5149" s="343">
        <v>0</v>
      </c>
    </row>
    <row r="5150" spans="1:15" x14ac:dyDescent="0.3">
      <c r="A5150" s="340" t="s">
        <v>891</v>
      </c>
      <c r="B5150" s="350">
        <v>46144</v>
      </c>
      <c r="C5150" s="350">
        <v>46148</v>
      </c>
      <c r="D5150" s="351">
        <v>46143</v>
      </c>
      <c r="E5150" s="340" t="s">
        <v>3205</v>
      </c>
      <c r="F5150" s="340" t="s">
        <v>894</v>
      </c>
      <c r="G5150" s="340" t="s">
        <v>3020</v>
      </c>
      <c r="H5150" s="340" t="s">
        <v>2469</v>
      </c>
      <c r="I5150" s="340" t="s">
        <v>771</v>
      </c>
      <c r="K5150" s="343">
        <v>0</v>
      </c>
      <c r="L5150" s="343">
        <v>-0.1</v>
      </c>
      <c r="M5150" s="343">
        <v>-964810.1</v>
      </c>
      <c r="O5150" s="343">
        <v>0</v>
      </c>
    </row>
    <row r="5151" spans="1:15" x14ac:dyDescent="0.3">
      <c r="A5151" s="340" t="s">
        <v>891</v>
      </c>
      <c r="B5151" s="350">
        <v>46144</v>
      </c>
      <c r="C5151" s="350">
        <v>46148</v>
      </c>
      <c r="D5151" s="351">
        <v>46143</v>
      </c>
      <c r="E5151" s="340" t="s">
        <v>3205</v>
      </c>
      <c r="F5151" s="340" t="s">
        <v>894</v>
      </c>
      <c r="G5151" s="340" t="s">
        <v>3017</v>
      </c>
      <c r="H5151" s="340" t="s">
        <v>2447</v>
      </c>
      <c r="I5151" s="340" t="s">
        <v>771</v>
      </c>
      <c r="K5151" s="343">
        <v>0</v>
      </c>
      <c r="L5151" s="343">
        <v>-2.95</v>
      </c>
      <c r="M5151" s="343">
        <v>-964813.05</v>
      </c>
      <c r="O5151" s="343">
        <v>0</v>
      </c>
    </row>
    <row r="5152" spans="1:15" x14ac:dyDescent="0.3">
      <c r="A5152" s="340" t="s">
        <v>891</v>
      </c>
      <c r="B5152" s="350">
        <v>46144</v>
      </c>
      <c r="C5152" s="350">
        <v>46148</v>
      </c>
      <c r="D5152" s="351">
        <v>46143</v>
      </c>
      <c r="E5152" s="340" t="s">
        <v>3205</v>
      </c>
      <c r="F5152" s="340" t="s">
        <v>894</v>
      </c>
      <c r="G5152" s="340" t="s">
        <v>3206</v>
      </c>
      <c r="H5152" s="340" t="s">
        <v>2447</v>
      </c>
      <c r="I5152" s="340" t="s">
        <v>771</v>
      </c>
      <c r="K5152" s="343">
        <v>0</v>
      </c>
      <c r="L5152" s="343">
        <v>-15.37</v>
      </c>
      <c r="M5152" s="343">
        <v>-964828.42</v>
      </c>
      <c r="O5152" s="343">
        <v>0</v>
      </c>
    </row>
    <row r="5153" spans="1:15" x14ac:dyDescent="0.3">
      <c r="A5153" s="340" t="s">
        <v>891</v>
      </c>
      <c r="B5153" s="350">
        <v>46144</v>
      </c>
      <c r="C5153" s="350">
        <v>46148</v>
      </c>
      <c r="D5153" s="351">
        <v>46143</v>
      </c>
      <c r="E5153" s="340" t="s">
        <v>3205</v>
      </c>
      <c r="F5153" s="340" t="s">
        <v>894</v>
      </c>
      <c r="G5153" s="340" t="s">
        <v>3022</v>
      </c>
      <c r="H5153" s="340" t="s">
        <v>2447</v>
      </c>
      <c r="I5153" s="340" t="s">
        <v>771</v>
      </c>
      <c r="K5153" s="343">
        <v>0</v>
      </c>
      <c r="L5153" s="343">
        <v>-0.37</v>
      </c>
      <c r="M5153" s="343">
        <v>-964828.79</v>
      </c>
      <c r="O5153" s="343">
        <v>0</v>
      </c>
    </row>
    <row r="5154" spans="1:15" x14ac:dyDescent="0.3">
      <c r="A5154" s="340" t="s">
        <v>891</v>
      </c>
      <c r="B5154" s="350">
        <v>46144</v>
      </c>
      <c r="C5154" s="350">
        <v>46148</v>
      </c>
      <c r="D5154" s="351">
        <v>46143</v>
      </c>
      <c r="E5154" s="340" t="s">
        <v>3205</v>
      </c>
      <c r="F5154" s="340" t="s">
        <v>894</v>
      </c>
      <c r="G5154" s="340" t="s">
        <v>3017</v>
      </c>
      <c r="H5154" s="340" t="s">
        <v>2529</v>
      </c>
      <c r="I5154" s="340" t="s">
        <v>771</v>
      </c>
      <c r="K5154" s="343">
        <v>0</v>
      </c>
      <c r="L5154" s="343">
        <v>-2.95</v>
      </c>
      <c r="M5154" s="343">
        <v>-964831.74</v>
      </c>
      <c r="O5154" s="343">
        <v>0</v>
      </c>
    </row>
    <row r="5155" spans="1:15" x14ac:dyDescent="0.3">
      <c r="A5155" s="340" t="s">
        <v>891</v>
      </c>
      <c r="B5155" s="350">
        <v>46144</v>
      </c>
      <c r="C5155" s="350">
        <v>46148</v>
      </c>
      <c r="D5155" s="351">
        <v>46143</v>
      </c>
      <c r="E5155" s="340" t="s">
        <v>3205</v>
      </c>
      <c r="F5155" s="340" t="s">
        <v>894</v>
      </c>
      <c r="G5155" s="340" t="s">
        <v>3206</v>
      </c>
      <c r="H5155" s="340" t="s">
        <v>2529</v>
      </c>
      <c r="I5155" s="340" t="s">
        <v>771</v>
      </c>
      <c r="K5155" s="343">
        <v>0</v>
      </c>
      <c r="L5155" s="343">
        <v>-36.229999999999997</v>
      </c>
      <c r="M5155" s="343">
        <v>-964867.97</v>
      </c>
      <c r="O5155" s="343">
        <v>0</v>
      </c>
    </row>
    <row r="5156" spans="1:15" x14ac:dyDescent="0.3">
      <c r="A5156" s="340" t="s">
        <v>891</v>
      </c>
      <c r="B5156" s="350">
        <v>46144</v>
      </c>
      <c r="C5156" s="350">
        <v>46148</v>
      </c>
      <c r="D5156" s="351">
        <v>46143</v>
      </c>
      <c r="E5156" s="340" t="s">
        <v>3205</v>
      </c>
      <c r="F5156" s="340" t="s">
        <v>894</v>
      </c>
      <c r="G5156" s="340" t="s">
        <v>3017</v>
      </c>
      <c r="H5156" s="340" t="s">
        <v>2455</v>
      </c>
      <c r="I5156" s="340" t="s">
        <v>771</v>
      </c>
      <c r="K5156" s="343">
        <v>0</v>
      </c>
      <c r="L5156" s="343">
        <v>-2.95</v>
      </c>
      <c r="M5156" s="343">
        <v>-964870.92</v>
      </c>
      <c r="O5156" s="343">
        <v>0</v>
      </c>
    </row>
    <row r="5157" spans="1:15" x14ac:dyDescent="0.3">
      <c r="A5157" s="340" t="s">
        <v>891</v>
      </c>
      <c r="B5157" s="350">
        <v>46144</v>
      </c>
      <c r="C5157" s="350">
        <v>46148</v>
      </c>
      <c r="D5157" s="351">
        <v>46143</v>
      </c>
      <c r="E5157" s="340" t="s">
        <v>3205</v>
      </c>
      <c r="F5157" s="340" t="s">
        <v>894</v>
      </c>
      <c r="G5157" s="340" t="s">
        <v>3206</v>
      </c>
      <c r="H5157" s="340" t="s">
        <v>2455</v>
      </c>
      <c r="I5157" s="340" t="s">
        <v>771</v>
      </c>
      <c r="K5157" s="343">
        <v>0</v>
      </c>
      <c r="L5157" s="343">
        <v>-24.51</v>
      </c>
      <c r="M5157" s="343">
        <v>-964895.43</v>
      </c>
      <c r="O5157" s="343">
        <v>0</v>
      </c>
    </row>
    <row r="5158" spans="1:15" x14ac:dyDescent="0.3">
      <c r="A5158" s="340" t="s">
        <v>891</v>
      </c>
      <c r="B5158" s="350">
        <v>46144</v>
      </c>
      <c r="C5158" s="350">
        <v>46148</v>
      </c>
      <c r="D5158" s="351">
        <v>46143</v>
      </c>
      <c r="E5158" s="340" t="s">
        <v>3205</v>
      </c>
      <c r="F5158" s="340" t="s">
        <v>894</v>
      </c>
      <c r="G5158" s="340" t="s">
        <v>3022</v>
      </c>
      <c r="H5158" s="340" t="s">
        <v>2455</v>
      </c>
      <c r="I5158" s="340" t="s">
        <v>771</v>
      </c>
      <c r="K5158" s="343">
        <v>0</v>
      </c>
      <c r="L5158" s="343">
        <v>-0.56000000000000005</v>
      </c>
      <c r="M5158" s="343">
        <v>-964895.99</v>
      </c>
      <c r="O5158" s="343">
        <v>0</v>
      </c>
    </row>
    <row r="5159" spans="1:15" x14ac:dyDescent="0.3">
      <c r="A5159" s="340" t="s">
        <v>891</v>
      </c>
      <c r="B5159" s="350">
        <v>46144</v>
      </c>
      <c r="C5159" s="350">
        <v>46148</v>
      </c>
      <c r="D5159" s="351">
        <v>46143</v>
      </c>
      <c r="E5159" s="340" t="s">
        <v>3205</v>
      </c>
      <c r="F5159" s="340" t="s">
        <v>894</v>
      </c>
      <c r="G5159" s="340" t="s">
        <v>3020</v>
      </c>
      <c r="H5159" s="340" t="s">
        <v>2455</v>
      </c>
      <c r="I5159" s="340" t="s">
        <v>771</v>
      </c>
      <c r="K5159" s="343">
        <v>0</v>
      </c>
      <c r="L5159" s="343">
        <v>-0.28000000000000003</v>
      </c>
      <c r="M5159" s="343">
        <v>-964896.27</v>
      </c>
      <c r="O5159" s="343">
        <v>0</v>
      </c>
    </row>
    <row r="5160" spans="1:15" x14ac:dyDescent="0.3">
      <c r="A5160" s="340" t="s">
        <v>891</v>
      </c>
      <c r="B5160" s="350">
        <v>46144</v>
      </c>
      <c r="C5160" s="350">
        <v>46148</v>
      </c>
      <c r="D5160" s="351">
        <v>46143</v>
      </c>
      <c r="E5160" s="340" t="s">
        <v>3205</v>
      </c>
      <c r="F5160" s="340" t="s">
        <v>894</v>
      </c>
      <c r="G5160" s="340" t="s">
        <v>3020</v>
      </c>
      <c r="H5160" s="340" t="s">
        <v>2523</v>
      </c>
      <c r="I5160" s="340" t="s">
        <v>771</v>
      </c>
      <c r="K5160" s="343">
        <v>0</v>
      </c>
      <c r="L5160" s="343">
        <v>-0.05</v>
      </c>
      <c r="M5160" s="343">
        <v>-964896.32</v>
      </c>
      <c r="O5160" s="343">
        <v>0</v>
      </c>
    </row>
    <row r="5161" spans="1:15" x14ac:dyDescent="0.3">
      <c r="A5161" s="340" t="s">
        <v>891</v>
      </c>
      <c r="B5161" s="350">
        <v>46144</v>
      </c>
      <c r="C5161" s="350">
        <v>46148</v>
      </c>
      <c r="D5161" s="351">
        <v>46143</v>
      </c>
      <c r="E5161" s="340" t="s">
        <v>3205</v>
      </c>
      <c r="F5161" s="340" t="s">
        <v>894</v>
      </c>
      <c r="G5161" s="340" t="s">
        <v>3217</v>
      </c>
      <c r="H5161" s="340" t="s">
        <v>2509</v>
      </c>
      <c r="I5161" s="340" t="s">
        <v>771</v>
      </c>
      <c r="K5161" s="343">
        <v>0</v>
      </c>
      <c r="L5161" s="343">
        <v>-0.42</v>
      </c>
      <c r="M5161" s="343">
        <v>-964896.74</v>
      </c>
      <c r="O5161" s="343">
        <v>0</v>
      </c>
    </row>
    <row r="5162" spans="1:15" x14ac:dyDescent="0.3">
      <c r="A5162" s="340" t="s">
        <v>891</v>
      </c>
      <c r="B5162" s="350">
        <v>46144</v>
      </c>
      <c r="C5162" s="350">
        <v>46148</v>
      </c>
      <c r="D5162" s="351">
        <v>46143</v>
      </c>
      <c r="E5162" s="340" t="s">
        <v>3205</v>
      </c>
      <c r="F5162" s="340" t="s">
        <v>894</v>
      </c>
      <c r="G5162" s="340" t="s">
        <v>3218</v>
      </c>
      <c r="H5162" s="340" t="s">
        <v>2509</v>
      </c>
      <c r="I5162" s="340" t="s">
        <v>771</v>
      </c>
      <c r="K5162" s="343">
        <v>0</v>
      </c>
      <c r="L5162" s="343">
        <v>-2.95</v>
      </c>
      <c r="M5162" s="343">
        <v>-964899.69</v>
      </c>
      <c r="O5162" s="343">
        <v>0</v>
      </c>
    </row>
    <row r="5163" spans="1:15" x14ac:dyDescent="0.3">
      <c r="A5163" s="340" t="s">
        <v>891</v>
      </c>
      <c r="B5163" s="350">
        <v>46144</v>
      </c>
      <c r="C5163" s="350">
        <v>46148</v>
      </c>
      <c r="D5163" s="351">
        <v>46143</v>
      </c>
      <c r="E5163" s="340" t="s">
        <v>3205</v>
      </c>
      <c r="F5163" s="340" t="s">
        <v>894</v>
      </c>
      <c r="G5163" s="340" t="s">
        <v>3206</v>
      </c>
      <c r="H5163" s="340" t="s">
        <v>2444</v>
      </c>
      <c r="I5163" s="340" t="s">
        <v>771</v>
      </c>
      <c r="K5163" s="343">
        <v>0</v>
      </c>
      <c r="L5163" s="343">
        <v>-2.66</v>
      </c>
      <c r="M5163" s="343">
        <v>-964902.35</v>
      </c>
      <c r="O5163" s="343">
        <v>0</v>
      </c>
    </row>
    <row r="5164" spans="1:15" x14ac:dyDescent="0.3">
      <c r="A5164" s="340" t="s">
        <v>891</v>
      </c>
      <c r="B5164" s="350">
        <v>46144</v>
      </c>
      <c r="C5164" s="350">
        <v>46148</v>
      </c>
      <c r="D5164" s="351">
        <v>46143</v>
      </c>
      <c r="E5164" s="340" t="s">
        <v>3205</v>
      </c>
      <c r="F5164" s="340" t="s">
        <v>894</v>
      </c>
      <c r="G5164" s="340" t="s">
        <v>3022</v>
      </c>
      <c r="H5164" s="340" t="s">
        <v>2444</v>
      </c>
      <c r="I5164" s="340" t="s">
        <v>771</v>
      </c>
      <c r="K5164" s="343">
        <v>0</v>
      </c>
      <c r="L5164" s="343">
        <v>-0.11</v>
      </c>
      <c r="M5164" s="343">
        <v>-964902.46</v>
      </c>
      <c r="O5164" s="343">
        <v>0</v>
      </c>
    </row>
    <row r="5165" spans="1:15" x14ac:dyDescent="0.3">
      <c r="A5165" s="340" t="s">
        <v>891</v>
      </c>
      <c r="B5165" s="350">
        <v>46144</v>
      </c>
      <c r="C5165" s="350">
        <v>46148</v>
      </c>
      <c r="D5165" s="351">
        <v>46143</v>
      </c>
      <c r="E5165" s="340" t="s">
        <v>3205</v>
      </c>
      <c r="F5165" s="340" t="s">
        <v>894</v>
      </c>
      <c r="G5165" s="340" t="s">
        <v>3017</v>
      </c>
      <c r="H5165" s="340" t="s">
        <v>2444</v>
      </c>
      <c r="I5165" s="340" t="s">
        <v>771</v>
      </c>
      <c r="K5165" s="343">
        <v>0</v>
      </c>
      <c r="L5165" s="343">
        <v>-2.95</v>
      </c>
      <c r="M5165" s="343">
        <v>-964905.41</v>
      </c>
      <c r="O5165" s="343">
        <v>0</v>
      </c>
    </row>
    <row r="5166" spans="1:15" x14ac:dyDescent="0.3">
      <c r="A5166" s="340" t="s">
        <v>891</v>
      </c>
      <c r="B5166" s="350">
        <v>46144</v>
      </c>
      <c r="C5166" s="350">
        <v>46148</v>
      </c>
      <c r="D5166" s="351">
        <v>46143</v>
      </c>
      <c r="E5166" s="340" t="s">
        <v>3205</v>
      </c>
      <c r="F5166" s="340" t="s">
        <v>894</v>
      </c>
      <c r="G5166" s="340" t="s">
        <v>3020</v>
      </c>
      <c r="H5166" s="340" t="s">
        <v>2444</v>
      </c>
      <c r="I5166" s="340" t="s">
        <v>771</v>
      </c>
      <c r="K5166" s="343">
        <v>0</v>
      </c>
      <c r="L5166" s="343">
        <v>-0.06</v>
      </c>
      <c r="M5166" s="343">
        <v>-964905.47</v>
      </c>
      <c r="O5166" s="343">
        <v>0</v>
      </c>
    </row>
    <row r="5167" spans="1:15" x14ac:dyDescent="0.3">
      <c r="A5167" s="340" t="s">
        <v>891</v>
      </c>
      <c r="B5167" s="350">
        <v>46144</v>
      </c>
      <c r="C5167" s="350">
        <v>46148</v>
      </c>
      <c r="D5167" s="351">
        <v>46143</v>
      </c>
      <c r="E5167" s="340" t="s">
        <v>3205</v>
      </c>
      <c r="F5167" s="340" t="s">
        <v>894</v>
      </c>
      <c r="G5167" s="340" t="s">
        <v>3017</v>
      </c>
      <c r="H5167" s="340" t="s">
        <v>2525</v>
      </c>
      <c r="I5167" s="340" t="s">
        <v>771</v>
      </c>
      <c r="K5167" s="343">
        <v>0</v>
      </c>
      <c r="L5167" s="343">
        <v>-2.95</v>
      </c>
      <c r="M5167" s="343">
        <v>-964908.42</v>
      </c>
      <c r="O5167" s="343">
        <v>0</v>
      </c>
    </row>
    <row r="5168" spans="1:15" x14ac:dyDescent="0.3">
      <c r="A5168" s="340" t="s">
        <v>891</v>
      </c>
      <c r="B5168" s="350">
        <v>46144</v>
      </c>
      <c r="C5168" s="350">
        <v>46148</v>
      </c>
      <c r="D5168" s="351">
        <v>46143</v>
      </c>
      <c r="E5168" s="340" t="s">
        <v>3205</v>
      </c>
      <c r="F5168" s="340" t="s">
        <v>894</v>
      </c>
      <c r="G5168" s="340" t="s">
        <v>3020</v>
      </c>
      <c r="H5168" s="340" t="s">
        <v>2506</v>
      </c>
      <c r="I5168" s="340" t="s">
        <v>771</v>
      </c>
      <c r="K5168" s="343">
        <v>0</v>
      </c>
      <c r="L5168" s="343">
        <v>-0.26</v>
      </c>
      <c r="M5168" s="343">
        <v>-964908.68</v>
      </c>
      <c r="O5168" s="343">
        <v>0</v>
      </c>
    </row>
    <row r="5169" spans="1:15" x14ac:dyDescent="0.3">
      <c r="A5169" s="340" t="s">
        <v>891</v>
      </c>
      <c r="B5169" s="350">
        <v>46144</v>
      </c>
      <c r="C5169" s="350">
        <v>46148</v>
      </c>
      <c r="D5169" s="351">
        <v>46143</v>
      </c>
      <c r="E5169" s="340" t="s">
        <v>3205</v>
      </c>
      <c r="F5169" s="340" t="s">
        <v>894</v>
      </c>
      <c r="G5169" s="340" t="s">
        <v>3020</v>
      </c>
      <c r="H5169" s="340" t="s">
        <v>2440</v>
      </c>
      <c r="I5169" s="340" t="s">
        <v>771</v>
      </c>
      <c r="K5169" s="343">
        <v>0</v>
      </c>
      <c r="L5169" s="343">
        <v>-0.06</v>
      </c>
      <c r="M5169" s="343">
        <v>-964908.74</v>
      </c>
      <c r="O5169" s="343">
        <v>0</v>
      </c>
    </row>
    <row r="5170" spans="1:15" x14ac:dyDescent="0.3">
      <c r="A5170" s="340" t="s">
        <v>891</v>
      </c>
      <c r="B5170" s="350">
        <v>46144</v>
      </c>
      <c r="C5170" s="350">
        <v>46148</v>
      </c>
      <c r="D5170" s="351">
        <v>46143</v>
      </c>
      <c r="E5170" s="340" t="s">
        <v>3205</v>
      </c>
      <c r="F5170" s="340" t="s">
        <v>894</v>
      </c>
      <c r="G5170" s="340" t="s">
        <v>3020</v>
      </c>
      <c r="H5170" s="340" t="s">
        <v>2520</v>
      </c>
      <c r="I5170" s="340" t="s">
        <v>771</v>
      </c>
      <c r="K5170" s="343">
        <v>0</v>
      </c>
      <c r="L5170" s="343">
        <v>-0.09</v>
      </c>
      <c r="M5170" s="343">
        <v>-964908.83</v>
      </c>
      <c r="O5170" s="343">
        <v>0</v>
      </c>
    </row>
    <row r="5171" spans="1:15" x14ac:dyDescent="0.3">
      <c r="A5171" s="340" t="s">
        <v>891</v>
      </c>
      <c r="B5171" s="350">
        <v>46144</v>
      </c>
      <c r="C5171" s="350">
        <v>46148</v>
      </c>
      <c r="D5171" s="351">
        <v>46143</v>
      </c>
      <c r="E5171" s="340" t="s">
        <v>3205</v>
      </c>
      <c r="F5171" s="340" t="s">
        <v>894</v>
      </c>
      <c r="G5171" s="340" t="s">
        <v>3017</v>
      </c>
      <c r="H5171" s="340" t="s">
        <v>2520</v>
      </c>
      <c r="I5171" s="340" t="s">
        <v>771</v>
      </c>
      <c r="K5171" s="343">
        <v>0</v>
      </c>
      <c r="L5171" s="343">
        <v>-2.95</v>
      </c>
      <c r="M5171" s="343">
        <v>-964911.78</v>
      </c>
      <c r="O5171" s="343">
        <v>0</v>
      </c>
    </row>
    <row r="5172" spans="1:15" x14ac:dyDescent="0.3">
      <c r="A5172" s="340" t="s">
        <v>891</v>
      </c>
      <c r="B5172" s="350">
        <v>46144</v>
      </c>
      <c r="C5172" s="350">
        <v>46148</v>
      </c>
      <c r="D5172" s="351">
        <v>46143</v>
      </c>
      <c r="E5172" s="340" t="s">
        <v>3205</v>
      </c>
      <c r="F5172" s="340" t="s">
        <v>894</v>
      </c>
      <c r="G5172" s="340" t="s">
        <v>3206</v>
      </c>
      <c r="H5172" s="340" t="s">
        <v>2520</v>
      </c>
      <c r="I5172" s="340" t="s">
        <v>771</v>
      </c>
      <c r="K5172" s="343">
        <v>0</v>
      </c>
      <c r="L5172" s="343">
        <v>-5.82</v>
      </c>
      <c r="M5172" s="343">
        <v>-964917.6</v>
      </c>
      <c r="O5172" s="343">
        <v>0</v>
      </c>
    </row>
    <row r="5173" spans="1:15" x14ac:dyDescent="0.3">
      <c r="A5173" s="340" t="s">
        <v>891</v>
      </c>
      <c r="B5173" s="350">
        <v>46144</v>
      </c>
      <c r="C5173" s="350">
        <v>46148</v>
      </c>
      <c r="D5173" s="351">
        <v>46143</v>
      </c>
      <c r="E5173" s="340" t="s">
        <v>3205</v>
      </c>
      <c r="F5173" s="340" t="s">
        <v>894</v>
      </c>
      <c r="G5173" s="340" t="s">
        <v>3219</v>
      </c>
      <c r="H5173" s="340" t="s">
        <v>3220</v>
      </c>
      <c r="I5173" s="340" t="s">
        <v>771</v>
      </c>
      <c r="K5173" s="343">
        <v>0</v>
      </c>
      <c r="L5173" s="343">
        <v>-0.09</v>
      </c>
      <c r="M5173" s="343">
        <v>-964917.69</v>
      </c>
      <c r="O5173" s="343">
        <v>0</v>
      </c>
    </row>
    <row r="5174" spans="1:15" x14ac:dyDescent="0.3">
      <c r="A5174" s="340" t="s">
        <v>891</v>
      </c>
      <c r="B5174" s="350">
        <v>46144</v>
      </c>
      <c r="C5174" s="350">
        <v>46148</v>
      </c>
      <c r="D5174" s="351">
        <v>46143</v>
      </c>
      <c r="E5174" s="340" t="s">
        <v>3205</v>
      </c>
      <c r="F5174" s="340" t="s">
        <v>894</v>
      </c>
      <c r="G5174" s="340" t="s">
        <v>3221</v>
      </c>
      <c r="H5174" s="340" t="s">
        <v>3220</v>
      </c>
      <c r="I5174" s="340" t="s">
        <v>771</v>
      </c>
      <c r="K5174" s="343">
        <v>0</v>
      </c>
      <c r="L5174" s="343">
        <v>-0.17</v>
      </c>
      <c r="M5174" s="343">
        <v>-964917.86</v>
      </c>
      <c r="O5174" s="343">
        <v>0</v>
      </c>
    </row>
    <row r="5175" spans="1:15" x14ac:dyDescent="0.3">
      <c r="A5175" s="340" t="s">
        <v>891</v>
      </c>
      <c r="B5175" s="350">
        <v>46144</v>
      </c>
      <c r="C5175" s="350">
        <v>46148</v>
      </c>
      <c r="D5175" s="351">
        <v>46143</v>
      </c>
      <c r="E5175" s="340" t="s">
        <v>3205</v>
      </c>
      <c r="F5175" s="340" t="s">
        <v>894</v>
      </c>
      <c r="G5175" s="340" t="s">
        <v>3222</v>
      </c>
      <c r="H5175" s="340" t="s">
        <v>3220</v>
      </c>
      <c r="I5175" s="340" t="s">
        <v>771</v>
      </c>
      <c r="K5175" s="343">
        <v>0</v>
      </c>
      <c r="L5175" s="343">
        <v>-0.2</v>
      </c>
      <c r="M5175" s="343">
        <v>-964918.06</v>
      </c>
      <c r="O5175" s="343">
        <v>0</v>
      </c>
    </row>
    <row r="5176" spans="1:15" x14ac:dyDescent="0.3">
      <c r="A5176" s="340" t="s">
        <v>891</v>
      </c>
      <c r="B5176" s="350">
        <v>46144</v>
      </c>
      <c r="C5176" s="350">
        <v>46148</v>
      </c>
      <c r="D5176" s="351">
        <v>46143</v>
      </c>
      <c r="E5176" s="340" t="s">
        <v>3205</v>
      </c>
      <c r="F5176" s="340" t="s">
        <v>894</v>
      </c>
      <c r="G5176" s="340" t="s">
        <v>3223</v>
      </c>
      <c r="H5176" s="340" t="s">
        <v>3220</v>
      </c>
      <c r="I5176" s="340" t="s">
        <v>771</v>
      </c>
      <c r="K5176" s="343">
        <v>0</v>
      </c>
      <c r="L5176" s="343">
        <v>-2.95</v>
      </c>
      <c r="M5176" s="343">
        <v>-964921.01</v>
      </c>
      <c r="O5176" s="343">
        <v>0</v>
      </c>
    </row>
    <row r="5177" spans="1:15" x14ac:dyDescent="0.3">
      <c r="A5177" s="340" t="s">
        <v>891</v>
      </c>
      <c r="B5177" s="350">
        <v>46144</v>
      </c>
      <c r="C5177" s="350">
        <v>46148</v>
      </c>
      <c r="D5177" s="351">
        <v>46143</v>
      </c>
      <c r="E5177" s="340" t="s">
        <v>3205</v>
      </c>
      <c r="F5177" s="340" t="s">
        <v>894</v>
      </c>
      <c r="G5177" s="340" t="s">
        <v>3224</v>
      </c>
      <c r="H5177" s="340" t="s">
        <v>3220</v>
      </c>
      <c r="I5177" s="340" t="s">
        <v>771</v>
      </c>
      <c r="K5177" s="343">
        <v>0</v>
      </c>
      <c r="L5177" s="343">
        <v>-5.48</v>
      </c>
      <c r="M5177" s="343">
        <v>-964926.49</v>
      </c>
      <c r="O5177" s="343">
        <v>0</v>
      </c>
    </row>
    <row r="5178" spans="1:15" x14ac:dyDescent="0.3">
      <c r="A5178" s="340" t="s">
        <v>891</v>
      </c>
      <c r="B5178" s="350">
        <v>46144</v>
      </c>
      <c r="C5178" s="350">
        <v>46148</v>
      </c>
      <c r="D5178" s="351">
        <v>46143</v>
      </c>
      <c r="E5178" s="340" t="s">
        <v>3205</v>
      </c>
      <c r="F5178" s="340" t="s">
        <v>894</v>
      </c>
      <c r="G5178" s="340" t="s">
        <v>3017</v>
      </c>
      <c r="H5178" s="340" t="s">
        <v>2479</v>
      </c>
      <c r="I5178" s="340" t="s">
        <v>771</v>
      </c>
      <c r="K5178" s="343">
        <v>0</v>
      </c>
      <c r="L5178" s="343">
        <v>-2.95</v>
      </c>
      <c r="M5178" s="343">
        <v>-964929.44</v>
      </c>
      <c r="O5178" s="343">
        <v>0</v>
      </c>
    </row>
    <row r="5179" spans="1:15" x14ac:dyDescent="0.3">
      <c r="A5179" s="340" t="s">
        <v>891</v>
      </c>
      <c r="B5179" s="350">
        <v>46144</v>
      </c>
      <c r="C5179" s="350">
        <v>46148</v>
      </c>
      <c r="D5179" s="351">
        <v>46143</v>
      </c>
      <c r="E5179" s="340" t="s">
        <v>3205</v>
      </c>
      <c r="F5179" s="340" t="s">
        <v>894</v>
      </c>
      <c r="G5179" s="340" t="s">
        <v>3022</v>
      </c>
      <c r="H5179" s="340" t="s">
        <v>2479</v>
      </c>
      <c r="I5179" s="340" t="s">
        <v>771</v>
      </c>
      <c r="K5179" s="343">
        <v>0</v>
      </c>
      <c r="L5179" s="343">
        <v>-0.06</v>
      </c>
      <c r="M5179" s="343">
        <v>-964929.5</v>
      </c>
      <c r="O5179" s="343">
        <v>0</v>
      </c>
    </row>
    <row r="5180" spans="1:15" x14ac:dyDescent="0.3">
      <c r="A5180" s="340" t="s">
        <v>891</v>
      </c>
      <c r="B5180" s="350">
        <v>46144</v>
      </c>
      <c r="C5180" s="350">
        <v>46148</v>
      </c>
      <c r="D5180" s="351">
        <v>46143</v>
      </c>
      <c r="E5180" s="340" t="s">
        <v>3205</v>
      </c>
      <c r="F5180" s="340" t="s">
        <v>894</v>
      </c>
      <c r="G5180" s="340" t="s">
        <v>3020</v>
      </c>
      <c r="H5180" s="340" t="s">
        <v>2479</v>
      </c>
      <c r="I5180" s="340" t="s">
        <v>771</v>
      </c>
      <c r="K5180" s="343">
        <v>0</v>
      </c>
      <c r="L5180" s="343">
        <v>-0.03</v>
      </c>
      <c r="M5180" s="343">
        <v>-964929.53</v>
      </c>
      <c r="O5180" s="343">
        <v>0</v>
      </c>
    </row>
    <row r="5181" spans="1:15" x14ac:dyDescent="0.3">
      <c r="A5181" s="340" t="s">
        <v>891</v>
      </c>
      <c r="B5181" s="350">
        <v>46144</v>
      </c>
      <c r="C5181" s="350">
        <v>46148</v>
      </c>
      <c r="D5181" s="351">
        <v>46143</v>
      </c>
      <c r="E5181" s="340" t="s">
        <v>3205</v>
      </c>
      <c r="F5181" s="340" t="s">
        <v>894</v>
      </c>
      <c r="G5181" s="340" t="s">
        <v>3225</v>
      </c>
      <c r="H5181" s="340" t="s">
        <v>2528</v>
      </c>
      <c r="I5181" s="340" t="s">
        <v>771</v>
      </c>
      <c r="K5181" s="343">
        <v>0</v>
      </c>
      <c r="L5181" s="343">
        <v>-0.14000000000000001</v>
      </c>
      <c r="M5181" s="343">
        <v>-964929.67</v>
      </c>
      <c r="O5181" s="343">
        <v>0</v>
      </c>
    </row>
    <row r="5182" spans="1:15" x14ac:dyDescent="0.3">
      <c r="A5182" s="340" t="s">
        <v>891</v>
      </c>
      <c r="B5182" s="350">
        <v>46144</v>
      </c>
      <c r="C5182" s="350">
        <v>46148</v>
      </c>
      <c r="D5182" s="351">
        <v>46143</v>
      </c>
      <c r="E5182" s="340" t="s">
        <v>3205</v>
      </c>
      <c r="F5182" s="340" t="s">
        <v>894</v>
      </c>
      <c r="G5182" s="340" t="s">
        <v>3226</v>
      </c>
      <c r="H5182" s="340" t="s">
        <v>2528</v>
      </c>
      <c r="I5182" s="340" t="s">
        <v>771</v>
      </c>
      <c r="K5182" s="343">
        <v>0</v>
      </c>
      <c r="L5182" s="343">
        <v>-0.27</v>
      </c>
      <c r="M5182" s="343">
        <v>-964929.94</v>
      </c>
      <c r="O5182" s="343">
        <v>0</v>
      </c>
    </row>
    <row r="5183" spans="1:15" x14ac:dyDescent="0.3">
      <c r="A5183" s="340" t="s">
        <v>891</v>
      </c>
      <c r="B5183" s="350">
        <v>46144</v>
      </c>
      <c r="C5183" s="350">
        <v>46148</v>
      </c>
      <c r="D5183" s="351">
        <v>46143</v>
      </c>
      <c r="E5183" s="340" t="s">
        <v>3205</v>
      </c>
      <c r="F5183" s="340" t="s">
        <v>894</v>
      </c>
      <c r="G5183" s="340" t="s">
        <v>3227</v>
      </c>
      <c r="H5183" s="340" t="s">
        <v>2528</v>
      </c>
      <c r="I5183" s="340" t="s">
        <v>771</v>
      </c>
      <c r="K5183" s="343">
        <v>0</v>
      </c>
      <c r="L5183" s="343">
        <v>-2.95</v>
      </c>
      <c r="M5183" s="343">
        <v>-964932.89</v>
      </c>
      <c r="O5183" s="343">
        <v>0</v>
      </c>
    </row>
    <row r="5184" spans="1:15" x14ac:dyDescent="0.3">
      <c r="A5184" s="340" t="s">
        <v>891</v>
      </c>
      <c r="B5184" s="350">
        <v>46144</v>
      </c>
      <c r="C5184" s="350">
        <v>46148</v>
      </c>
      <c r="D5184" s="351">
        <v>46143</v>
      </c>
      <c r="E5184" s="340" t="s">
        <v>3205</v>
      </c>
      <c r="F5184" s="340" t="s">
        <v>894</v>
      </c>
      <c r="G5184" s="340" t="s">
        <v>3228</v>
      </c>
      <c r="H5184" s="340" t="s">
        <v>2528</v>
      </c>
      <c r="I5184" s="340" t="s">
        <v>771</v>
      </c>
      <c r="K5184" s="343">
        <v>0</v>
      </c>
      <c r="L5184" s="343">
        <v>-10.39</v>
      </c>
      <c r="M5184" s="343">
        <v>-964943.28</v>
      </c>
      <c r="O5184" s="343">
        <v>0</v>
      </c>
    </row>
    <row r="5185" spans="1:15" x14ac:dyDescent="0.3">
      <c r="A5185" s="340" t="s">
        <v>891</v>
      </c>
      <c r="B5185" s="350">
        <v>46144</v>
      </c>
      <c r="C5185" s="350">
        <v>46148</v>
      </c>
      <c r="D5185" s="351">
        <v>46143</v>
      </c>
      <c r="E5185" s="340" t="s">
        <v>3205</v>
      </c>
      <c r="F5185" s="340" t="s">
        <v>894</v>
      </c>
      <c r="G5185" s="340" t="s">
        <v>3229</v>
      </c>
      <c r="H5185" s="340" t="s">
        <v>2532</v>
      </c>
      <c r="I5185" s="340" t="s">
        <v>771</v>
      </c>
      <c r="K5185" s="343">
        <v>0</v>
      </c>
      <c r="L5185" s="343">
        <v>-0.2</v>
      </c>
      <c r="M5185" s="343">
        <v>-964943.48</v>
      </c>
      <c r="O5185" s="343">
        <v>0</v>
      </c>
    </row>
    <row r="5186" spans="1:15" x14ac:dyDescent="0.3">
      <c r="A5186" s="340" t="s">
        <v>891</v>
      </c>
      <c r="B5186" s="350">
        <v>46144</v>
      </c>
      <c r="C5186" s="350">
        <v>46148</v>
      </c>
      <c r="D5186" s="351">
        <v>46143</v>
      </c>
      <c r="E5186" s="340" t="s">
        <v>3205</v>
      </c>
      <c r="F5186" s="340" t="s">
        <v>894</v>
      </c>
      <c r="G5186" s="340" t="s">
        <v>3230</v>
      </c>
      <c r="H5186" s="340" t="s">
        <v>2532</v>
      </c>
      <c r="I5186" s="340" t="s">
        <v>771</v>
      </c>
      <c r="K5186" s="343">
        <v>0</v>
      </c>
      <c r="L5186" s="343">
        <v>-2.95</v>
      </c>
      <c r="M5186" s="343">
        <v>-964946.43</v>
      </c>
      <c r="O5186" s="343">
        <v>0</v>
      </c>
    </row>
    <row r="5187" spans="1:15" x14ac:dyDescent="0.3">
      <c r="A5187" s="340" t="s">
        <v>891</v>
      </c>
      <c r="B5187" s="350">
        <v>46144</v>
      </c>
      <c r="C5187" s="350">
        <v>46148</v>
      </c>
      <c r="D5187" s="351">
        <v>46143</v>
      </c>
      <c r="E5187" s="340" t="s">
        <v>3205</v>
      </c>
      <c r="F5187" s="340" t="s">
        <v>894</v>
      </c>
      <c r="G5187" s="340" t="s">
        <v>3231</v>
      </c>
      <c r="H5187" s="340" t="s">
        <v>2532</v>
      </c>
      <c r="I5187" s="340" t="s">
        <v>771</v>
      </c>
      <c r="K5187" s="343">
        <v>0</v>
      </c>
      <c r="L5187" s="343">
        <v>-2.2200000000000002</v>
      </c>
      <c r="M5187" s="343">
        <v>-964948.65</v>
      </c>
      <c r="O5187" s="343">
        <v>0</v>
      </c>
    </row>
    <row r="5188" spans="1:15" x14ac:dyDescent="0.3">
      <c r="A5188" s="340" t="s">
        <v>891</v>
      </c>
      <c r="B5188" s="350">
        <v>46144</v>
      </c>
      <c r="C5188" s="350">
        <v>46148</v>
      </c>
      <c r="D5188" s="351">
        <v>46143</v>
      </c>
      <c r="E5188" s="340" t="s">
        <v>3205</v>
      </c>
      <c r="F5188" s="340" t="s">
        <v>894</v>
      </c>
      <c r="G5188" s="340" t="s">
        <v>3232</v>
      </c>
      <c r="H5188" s="340" t="s">
        <v>2532</v>
      </c>
      <c r="I5188" s="340" t="s">
        <v>771</v>
      </c>
      <c r="K5188" s="343">
        <v>0</v>
      </c>
      <c r="L5188" s="343">
        <v>-105.79</v>
      </c>
      <c r="M5188" s="343">
        <v>-965054.44</v>
      </c>
      <c r="O5188" s="343">
        <v>0</v>
      </c>
    </row>
    <row r="5189" spans="1:15" x14ac:dyDescent="0.3">
      <c r="A5189" s="340" t="s">
        <v>891</v>
      </c>
      <c r="B5189" s="350">
        <v>46144</v>
      </c>
      <c r="C5189" s="350">
        <v>46148</v>
      </c>
      <c r="D5189" s="351">
        <v>46143</v>
      </c>
      <c r="E5189" s="340" t="s">
        <v>3205</v>
      </c>
      <c r="F5189" s="340" t="s">
        <v>894</v>
      </c>
      <c r="G5189" s="340" t="s">
        <v>3017</v>
      </c>
      <c r="H5189" s="340" t="s">
        <v>2511</v>
      </c>
      <c r="I5189" s="340" t="s">
        <v>771</v>
      </c>
      <c r="K5189" s="343">
        <v>0</v>
      </c>
      <c r="L5189" s="343">
        <v>-2.95</v>
      </c>
      <c r="M5189" s="343">
        <v>-965057.39</v>
      </c>
      <c r="O5189" s="343">
        <v>0</v>
      </c>
    </row>
    <row r="5190" spans="1:15" x14ac:dyDescent="0.3">
      <c r="A5190" s="340" t="s">
        <v>891</v>
      </c>
      <c r="B5190" s="350">
        <v>46144</v>
      </c>
      <c r="C5190" s="350">
        <v>46148</v>
      </c>
      <c r="D5190" s="351">
        <v>46143</v>
      </c>
      <c r="E5190" s="340" t="s">
        <v>3205</v>
      </c>
      <c r="F5190" s="340" t="s">
        <v>894</v>
      </c>
      <c r="G5190" s="340" t="s">
        <v>3206</v>
      </c>
      <c r="H5190" s="340" t="s">
        <v>2511</v>
      </c>
      <c r="I5190" s="340" t="s">
        <v>771</v>
      </c>
      <c r="K5190" s="343">
        <v>0</v>
      </c>
      <c r="L5190" s="343">
        <v>-5.57</v>
      </c>
      <c r="M5190" s="343">
        <v>-965062.96</v>
      </c>
      <c r="O5190" s="343">
        <v>0</v>
      </c>
    </row>
    <row r="5191" spans="1:15" x14ac:dyDescent="0.3">
      <c r="A5191" s="340" t="s">
        <v>891</v>
      </c>
      <c r="B5191" s="350">
        <v>46144</v>
      </c>
      <c r="C5191" s="350">
        <v>46148</v>
      </c>
      <c r="D5191" s="351">
        <v>46143</v>
      </c>
      <c r="E5191" s="340" t="s">
        <v>3205</v>
      </c>
      <c r="F5191" s="340" t="s">
        <v>894</v>
      </c>
      <c r="G5191" s="340" t="s">
        <v>3022</v>
      </c>
      <c r="H5191" s="340" t="s">
        <v>2511</v>
      </c>
      <c r="I5191" s="340" t="s">
        <v>771</v>
      </c>
      <c r="K5191" s="343">
        <v>0</v>
      </c>
      <c r="L5191" s="343">
        <v>-0.17</v>
      </c>
      <c r="M5191" s="343">
        <v>-965063.13</v>
      </c>
      <c r="O5191" s="343">
        <v>0</v>
      </c>
    </row>
    <row r="5192" spans="1:15" x14ac:dyDescent="0.3">
      <c r="A5192" s="340" t="s">
        <v>891</v>
      </c>
      <c r="B5192" s="350">
        <v>46144</v>
      </c>
      <c r="C5192" s="350">
        <v>46148</v>
      </c>
      <c r="D5192" s="351">
        <v>46143</v>
      </c>
      <c r="E5192" s="340" t="s">
        <v>3205</v>
      </c>
      <c r="F5192" s="340" t="s">
        <v>894</v>
      </c>
      <c r="G5192" s="340" t="s">
        <v>3020</v>
      </c>
      <c r="H5192" s="340" t="s">
        <v>2511</v>
      </c>
      <c r="I5192" s="340" t="s">
        <v>771</v>
      </c>
      <c r="K5192" s="343">
        <v>0</v>
      </c>
      <c r="L5192" s="343">
        <v>-0.09</v>
      </c>
      <c r="M5192" s="343">
        <v>-965063.22</v>
      </c>
      <c r="O5192" s="343">
        <v>0</v>
      </c>
    </row>
    <row r="5193" spans="1:15" x14ac:dyDescent="0.3">
      <c r="A5193" s="340" t="s">
        <v>891</v>
      </c>
      <c r="B5193" s="350">
        <v>46144</v>
      </c>
      <c r="C5193" s="350">
        <v>46148</v>
      </c>
      <c r="D5193" s="351">
        <v>46143</v>
      </c>
      <c r="E5193" s="340" t="s">
        <v>3205</v>
      </c>
      <c r="F5193" s="340" t="s">
        <v>894</v>
      </c>
      <c r="G5193" s="340" t="s">
        <v>3022</v>
      </c>
      <c r="H5193" s="340" t="s">
        <v>2533</v>
      </c>
      <c r="I5193" s="340" t="s">
        <v>771</v>
      </c>
      <c r="K5193" s="343">
        <v>0</v>
      </c>
      <c r="L5193" s="343">
        <v>-0.1</v>
      </c>
      <c r="M5193" s="343">
        <v>-965063.32</v>
      </c>
      <c r="O5193" s="343">
        <v>0</v>
      </c>
    </row>
    <row r="5194" spans="1:15" x14ac:dyDescent="0.3">
      <c r="A5194" s="340" t="s">
        <v>891</v>
      </c>
      <c r="B5194" s="350">
        <v>46144</v>
      </c>
      <c r="C5194" s="350">
        <v>46148</v>
      </c>
      <c r="D5194" s="351">
        <v>46143</v>
      </c>
      <c r="E5194" s="340" t="s">
        <v>3205</v>
      </c>
      <c r="F5194" s="340" t="s">
        <v>894</v>
      </c>
      <c r="G5194" s="340" t="s">
        <v>3206</v>
      </c>
      <c r="H5194" s="340" t="s">
        <v>2533</v>
      </c>
      <c r="I5194" s="340" t="s">
        <v>771</v>
      </c>
      <c r="K5194" s="343">
        <v>0</v>
      </c>
      <c r="L5194" s="343">
        <v>-2.16</v>
      </c>
      <c r="M5194" s="343">
        <v>-965065.48</v>
      </c>
      <c r="O5194" s="343">
        <v>0</v>
      </c>
    </row>
    <row r="5195" spans="1:15" x14ac:dyDescent="0.3">
      <c r="A5195" s="340" t="s">
        <v>891</v>
      </c>
      <c r="B5195" s="350">
        <v>46144</v>
      </c>
      <c r="C5195" s="350">
        <v>46148</v>
      </c>
      <c r="D5195" s="351">
        <v>46143</v>
      </c>
      <c r="E5195" s="340" t="s">
        <v>3205</v>
      </c>
      <c r="F5195" s="340" t="s">
        <v>894</v>
      </c>
      <c r="G5195" s="340" t="s">
        <v>3017</v>
      </c>
      <c r="H5195" s="340" t="s">
        <v>2533</v>
      </c>
      <c r="I5195" s="340" t="s">
        <v>771</v>
      </c>
      <c r="K5195" s="343">
        <v>0</v>
      </c>
      <c r="L5195" s="343">
        <v>-2.95</v>
      </c>
      <c r="M5195" s="343">
        <v>-965068.43</v>
      </c>
      <c r="O5195" s="343">
        <v>0</v>
      </c>
    </row>
    <row r="5196" spans="1:15" x14ac:dyDescent="0.3">
      <c r="A5196" s="340" t="s">
        <v>891</v>
      </c>
      <c r="B5196" s="350">
        <v>46144</v>
      </c>
      <c r="C5196" s="350">
        <v>46148</v>
      </c>
      <c r="D5196" s="351">
        <v>46143</v>
      </c>
      <c r="E5196" s="340" t="s">
        <v>3205</v>
      </c>
      <c r="F5196" s="340" t="s">
        <v>894</v>
      </c>
      <c r="G5196" s="340" t="s">
        <v>3020</v>
      </c>
      <c r="H5196" s="340" t="s">
        <v>2533</v>
      </c>
      <c r="I5196" s="340" t="s">
        <v>771</v>
      </c>
      <c r="K5196" s="343">
        <v>0</v>
      </c>
      <c r="L5196" s="343">
        <v>-0.05</v>
      </c>
      <c r="M5196" s="343">
        <v>-965068.48</v>
      </c>
      <c r="O5196" s="343">
        <v>0</v>
      </c>
    </row>
    <row r="5197" spans="1:15" x14ac:dyDescent="0.3">
      <c r="A5197" s="340" t="s">
        <v>891</v>
      </c>
      <c r="B5197" s="350">
        <v>46144</v>
      </c>
      <c r="C5197" s="350">
        <v>46148</v>
      </c>
      <c r="D5197" s="351">
        <v>46143</v>
      </c>
      <c r="E5197" s="340" t="s">
        <v>3205</v>
      </c>
      <c r="F5197" s="340" t="s">
        <v>894</v>
      </c>
      <c r="G5197" s="340" t="s">
        <v>3233</v>
      </c>
      <c r="H5197" s="340" t="s">
        <v>2486</v>
      </c>
      <c r="I5197" s="340" t="s">
        <v>771</v>
      </c>
      <c r="K5197" s="343">
        <v>0</v>
      </c>
      <c r="L5197" s="343">
        <v>-0.09</v>
      </c>
      <c r="M5197" s="343">
        <v>-965068.57</v>
      </c>
      <c r="O5197" s="343">
        <v>0</v>
      </c>
    </row>
    <row r="5198" spans="1:15" x14ac:dyDescent="0.3">
      <c r="A5198" s="340" t="s">
        <v>891</v>
      </c>
      <c r="B5198" s="350">
        <v>46144</v>
      </c>
      <c r="C5198" s="350">
        <v>46148</v>
      </c>
      <c r="D5198" s="351">
        <v>46143</v>
      </c>
      <c r="E5198" s="340" t="s">
        <v>3205</v>
      </c>
      <c r="F5198" s="340" t="s">
        <v>894</v>
      </c>
      <c r="G5198" s="340" t="s">
        <v>3234</v>
      </c>
      <c r="H5198" s="340" t="s">
        <v>2486</v>
      </c>
      <c r="I5198" s="340" t="s">
        <v>771</v>
      </c>
      <c r="K5198" s="343">
        <v>0</v>
      </c>
      <c r="L5198" s="343">
        <v>-0.18</v>
      </c>
      <c r="M5198" s="343">
        <v>-965068.75</v>
      </c>
      <c r="O5198" s="343">
        <v>0</v>
      </c>
    </row>
    <row r="5199" spans="1:15" x14ac:dyDescent="0.3">
      <c r="A5199" s="340" t="s">
        <v>891</v>
      </c>
      <c r="B5199" s="350">
        <v>46144</v>
      </c>
      <c r="C5199" s="350">
        <v>46148</v>
      </c>
      <c r="D5199" s="351">
        <v>46143</v>
      </c>
      <c r="E5199" s="340" t="s">
        <v>3205</v>
      </c>
      <c r="F5199" s="340" t="s">
        <v>894</v>
      </c>
      <c r="G5199" s="340" t="s">
        <v>3218</v>
      </c>
      <c r="H5199" s="340" t="s">
        <v>2486</v>
      </c>
      <c r="I5199" s="340" t="s">
        <v>771</v>
      </c>
      <c r="K5199" s="343">
        <v>0</v>
      </c>
      <c r="L5199" s="343">
        <v>-2.95</v>
      </c>
      <c r="M5199" s="343">
        <v>-965071.7</v>
      </c>
      <c r="O5199" s="343">
        <v>0</v>
      </c>
    </row>
    <row r="5200" spans="1:15" x14ac:dyDescent="0.3">
      <c r="A5200" s="340" t="s">
        <v>891</v>
      </c>
      <c r="B5200" s="350">
        <v>46144</v>
      </c>
      <c r="C5200" s="350">
        <v>46148</v>
      </c>
      <c r="D5200" s="351">
        <v>46143</v>
      </c>
      <c r="E5200" s="340" t="s">
        <v>3205</v>
      </c>
      <c r="F5200" s="340" t="s">
        <v>894</v>
      </c>
      <c r="G5200" s="340" t="s">
        <v>3235</v>
      </c>
      <c r="H5200" s="340" t="s">
        <v>2486</v>
      </c>
      <c r="I5200" s="340" t="s">
        <v>771</v>
      </c>
      <c r="K5200" s="343">
        <v>0</v>
      </c>
      <c r="L5200" s="343">
        <v>-5.82</v>
      </c>
      <c r="M5200" s="343">
        <v>-965077.52</v>
      </c>
      <c r="O5200" s="343">
        <v>0</v>
      </c>
    </row>
    <row r="5201" spans="1:15" x14ac:dyDescent="0.3">
      <c r="A5201" s="340" t="s">
        <v>891</v>
      </c>
      <c r="B5201" s="350">
        <v>46144</v>
      </c>
      <c r="C5201" s="350">
        <v>46148</v>
      </c>
      <c r="D5201" s="351">
        <v>46143</v>
      </c>
      <c r="E5201" s="340" t="s">
        <v>3205</v>
      </c>
      <c r="F5201" s="340" t="s">
        <v>894</v>
      </c>
      <c r="G5201" s="340" t="s">
        <v>3236</v>
      </c>
      <c r="H5201" s="340" t="s">
        <v>2445</v>
      </c>
      <c r="I5201" s="340" t="s">
        <v>771</v>
      </c>
      <c r="K5201" s="343">
        <v>0</v>
      </c>
      <c r="L5201" s="343">
        <v>-2.95</v>
      </c>
      <c r="M5201" s="343">
        <v>-965080.47</v>
      </c>
      <c r="O5201" s="343">
        <v>0</v>
      </c>
    </row>
    <row r="5202" spans="1:15" x14ac:dyDescent="0.3">
      <c r="A5202" s="340" t="s">
        <v>891</v>
      </c>
      <c r="B5202" s="350">
        <v>46144</v>
      </c>
      <c r="C5202" s="350">
        <v>46148</v>
      </c>
      <c r="D5202" s="351">
        <v>46143</v>
      </c>
      <c r="E5202" s="340" t="s">
        <v>3205</v>
      </c>
      <c r="F5202" s="340" t="s">
        <v>894</v>
      </c>
      <c r="G5202" s="340" t="s">
        <v>3237</v>
      </c>
      <c r="H5202" s="340" t="s">
        <v>2445</v>
      </c>
      <c r="I5202" s="340" t="s">
        <v>771</v>
      </c>
      <c r="K5202" s="343">
        <v>0</v>
      </c>
      <c r="L5202" s="343">
        <v>-6.32</v>
      </c>
      <c r="M5202" s="343">
        <v>-965086.79</v>
      </c>
      <c r="O5202" s="343">
        <v>0</v>
      </c>
    </row>
    <row r="5203" spans="1:15" x14ac:dyDescent="0.3">
      <c r="A5203" s="340" t="s">
        <v>891</v>
      </c>
      <c r="B5203" s="350">
        <v>46144</v>
      </c>
      <c r="C5203" s="350">
        <v>46148</v>
      </c>
      <c r="D5203" s="351">
        <v>46143</v>
      </c>
      <c r="E5203" s="340" t="s">
        <v>3205</v>
      </c>
      <c r="F5203" s="340" t="s">
        <v>894</v>
      </c>
      <c r="G5203" s="340" t="s">
        <v>3238</v>
      </c>
      <c r="H5203" s="340" t="s">
        <v>2445</v>
      </c>
      <c r="I5203" s="340" t="s">
        <v>771</v>
      </c>
      <c r="K5203" s="343">
        <v>0</v>
      </c>
      <c r="L5203" s="343">
        <v>-0.19</v>
      </c>
      <c r="M5203" s="343">
        <v>-965086.98</v>
      </c>
      <c r="O5203" s="343">
        <v>0</v>
      </c>
    </row>
    <row r="5204" spans="1:15" x14ac:dyDescent="0.3">
      <c r="A5204" s="340" t="s">
        <v>891</v>
      </c>
      <c r="B5204" s="350">
        <v>46144</v>
      </c>
      <c r="C5204" s="350">
        <v>46148</v>
      </c>
      <c r="D5204" s="351">
        <v>46143</v>
      </c>
      <c r="E5204" s="340" t="s">
        <v>3205</v>
      </c>
      <c r="F5204" s="340" t="s">
        <v>894</v>
      </c>
      <c r="G5204" s="340" t="s">
        <v>3239</v>
      </c>
      <c r="H5204" s="340" t="s">
        <v>2445</v>
      </c>
      <c r="I5204" s="340" t="s">
        <v>771</v>
      </c>
      <c r="K5204" s="343">
        <v>0</v>
      </c>
      <c r="L5204" s="343">
        <v>-0.09</v>
      </c>
      <c r="M5204" s="343">
        <v>-965087.07</v>
      </c>
      <c r="O5204" s="343">
        <v>0</v>
      </c>
    </row>
    <row r="5205" spans="1:15" x14ac:dyDescent="0.3">
      <c r="A5205" s="340" t="s">
        <v>891</v>
      </c>
      <c r="B5205" s="350">
        <v>46144</v>
      </c>
      <c r="C5205" s="350">
        <v>46148</v>
      </c>
      <c r="D5205" s="351">
        <v>46143</v>
      </c>
      <c r="E5205" s="340" t="s">
        <v>3205</v>
      </c>
      <c r="F5205" s="340" t="s">
        <v>894</v>
      </c>
      <c r="G5205" s="340" t="s">
        <v>3017</v>
      </c>
      <c r="H5205" s="340" t="s">
        <v>2521</v>
      </c>
      <c r="I5205" s="340" t="s">
        <v>771</v>
      </c>
      <c r="K5205" s="343">
        <v>0</v>
      </c>
      <c r="L5205" s="343">
        <v>-2.95</v>
      </c>
      <c r="M5205" s="343">
        <v>-965090.02</v>
      </c>
      <c r="O5205" s="343">
        <v>0</v>
      </c>
    </row>
    <row r="5206" spans="1:15" x14ac:dyDescent="0.3">
      <c r="A5206" s="340" t="s">
        <v>891</v>
      </c>
      <c r="B5206" s="350">
        <v>46144</v>
      </c>
      <c r="C5206" s="350">
        <v>46148</v>
      </c>
      <c r="D5206" s="351">
        <v>46143</v>
      </c>
      <c r="E5206" s="340" t="s">
        <v>3205</v>
      </c>
      <c r="F5206" s="340" t="s">
        <v>894</v>
      </c>
      <c r="G5206" s="340" t="s">
        <v>3206</v>
      </c>
      <c r="H5206" s="340" t="s">
        <v>2521</v>
      </c>
      <c r="I5206" s="340" t="s">
        <v>771</v>
      </c>
      <c r="K5206" s="343">
        <v>0</v>
      </c>
      <c r="L5206" s="343">
        <v>-8.31</v>
      </c>
      <c r="M5206" s="343">
        <v>-965098.33</v>
      </c>
      <c r="O5206" s="343">
        <v>0</v>
      </c>
    </row>
    <row r="5207" spans="1:15" x14ac:dyDescent="0.3">
      <c r="A5207" s="340" t="s">
        <v>891</v>
      </c>
      <c r="B5207" s="350">
        <v>46144</v>
      </c>
      <c r="C5207" s="350">
        <v>46148</v>
      </c>
      <c r="D5207" s="351">
        <v>46143</v>
      </c>
      <c r="E5207" s="340" t="s">
        <v>3205</v>
      </c>
      <c r="F5207" s="340" t="s">
        <v>894</v>
      </c>
      <c r="G5207" s="340" t="s">
        <v>3022</v>
      </c>
      <c r="H5207" s="340" t="s">
        <v>2521</v>
      </c>
      <c r="I5207" s="340" t="s">
        <v>771</v>
      </c>
      <c r="K5207" s="343">
        <v>0</v>
      </c>
      <c r="L5207" s="343">
        <v>-0.23</v>
      </c>
      <c r="M5207" s="343">
        <v>-965098.56</v>
      </c>
      <c r="O5207" s="343">
        <v>0</v>
      </c>
    </row>
    <row r="5208" spans="1:15" x14ac:dyDescent="0.3">
      <c r="A5208" s="340" t="s">
        <v>891</v>
      </c>
      <c r="B5208" s="350">
        <v>46144</v>
      </c>
      <c r="C5208" s="350">
        <v>46148</v>
      </c>
      <c r="D5208" s="351">
        <v>46143</v>
      </c>
      <c r="E5208" s="340" t="s">
        <v>3205</v>
      </c>
      <c r="F5208" s="340" t="s">
        <v>894</v>
      </c>
      <c r="G5208" s="340" t="s">
        <v>3020</v>
      </c>
      <c r="H5208" s="340" t="s">
        <v>2521</v>
      </c>
      <c r="I5208" s="340" t="s">
        <v>771</v>
      </c>
      <c r="K5208" s="343">
        <v>0</v>
      </c>
      <c r="L5208" s="343">
        <v>-0.11</v>
      </c>
      <c r="M5208" s="343">
        <v>-965098.67</v>
      </c>
      <c r="O5208" s="343">
        <v>0</v>
      </c>
    </row>
    <row r="5209" spans="1:15" x14ac:dyDescent="0.3">
      <c r="A5209" s="340" t="s">
        <v>891</v>
      </c>
      <c r="B5209" s="350">
        <v>46144</v>
      </c>
      <c r="C5209" s="350">
        <v>46148</v>
      </c>
      <c r="D5209" s="351">
        <v>46143</v>
      </c>
      <c r="E5209" s="340" t="s">
        <v>3205</v>
      </c>
      <c r="F5209" s="340" t="s">
        <v>894</v>
      </c>
      <c r="G5209" s="340" t="s">
        <v>3240</v>
      </c>
      <c r="H5209" s="340" t="s">
        <v>3241</v>
      </c>
      <c r="I5209" s="340" t="s">
        <v>771</v>
      </c>
      <c r="K5209" s="343">
        <v>0</v>
      </c>
      <c r="L5209" s="343">
        <v>-0.09</v>
      </c>
      <c r="M5209" s="343">
        <v>-965098.76</v>
      </c>
      <c r="O5209" s="343">
        <v>0</v>
      </c>
    </row>
    <row r="5210" spans="1:15" x14ac:dyDescent="0.3">
      <c r="A5210" s="340" t="s">
        <v>891</v>
      </c>
      <c r="B5210" s="350">
        <v>46144</v>
      </c>
      <c r="C5210" s="350">
        <v>46148</v>
      </c>
      <c r="D5210" s="351">
        <v>46143</v>
      </c>
      <c r="E5210" s="340" t="s">
        <v>3205</v>
      </c>
      <c r="F5210" s="340" t="s">
        <v>894</v>
      </c>
      <c r="G5210" s="340" t="s">
        <v>3242</v>
      </c>
      <c r="H5210" s="340" t="s">
        <v>3241</v>
      </c>
      <c r="I5210" s="340" t="s">
        <v>771</v>
      </c>
      <c r="K5210" s="343">
        <v>0</v>
      </c>
      <c r="L5210" s="343">
        <v>-5.98</v>
      </c>
      <c r="M5210" s="343">
        <v>-965104.74</v>
      </c>
      <c r="O5210" s="343">
        <v>0</v>
      </c>
    </row>
    <row r="5211" spans="1:15" x14ac:dyDescent="0.3">
      <c r="A5211" s="340" t="s">
        <v>891</v>
      </c>
      <c r="B5211" s="350">
        <v>46144</v>
      </c>
      <c r="C5211" s="350">
        <v>46148</v>
      </c>
      <c r="D5211" s="351">
        <v>46143</v>
      </c>
      <c r="E5211" s="340" t="s">
        <v>3205</v>
      </c>
      <c r="F5211" s="340" t="s">
        <v>894</v>
      </c>
      <c r="G5211" s="340" t="s">
        <v>3243</v>
      </c>
      <c r="H5211" s="340" t="s">
        <v>3241</v>
      </c>
      <c r="I5211" s="340" t="s">
        <v>771</v>
      </c>
      <c r="K5211" s="343">
        <v>0</v>
      </c>
      <c r="L5211" s="343">
        <v>-0.18</v>
      </c>
      <c r="M5211" s="343">
        <v>-965104.92</v>
      </c>
      <c r="O5211" s="343">
        <v>0</v>
      </c>
    </row>
    <row r="5212" spans="1:15" x14ac:dyDescent="0.3">
      <c r="A5212" s="340" t="s">
        <v>891</v>
      </c>
      <c r="B5212" s="350">
        <v>46144</v>
      </c>
      <c r="C5212" s="350">
        <v>46148</v>
      </c>
      <c r="D5212" s="351">
        <v>46143</v>
      </c>
      <c r="E5212" s="340" t="s">
        <v>3205</v>
      </c>
      <c r="F5212" s="340" t="s">
        <v>894</v>
      </c>
      <c r="G5212" s="340" t="s">
        <v>3244</v>
      </c>
      <c r="H5212" s="340" t="s">
        <v>3241</v>
      </c>
      <c r="I5212" s="340" t="s">
        <v>771</v>
      </c>
      <c r="K5212" s="343">
        <v>0</v>
      </c>
      <c r="L5212" s="343">
        <v>-0.2</v>
      </c>
      <c r="M5212" s="343">
        <v>-965105.12</v>
      </c>
      <c r="O5212" s="343">
        <v>0</v>
      </c>
    </row>
    <row r="5213" spans="1:15" x14ac:dyDescent="0.3">
      <c r="A5213" s="340" t="s">
        <v>891</v>
      </c>
      <c r="B5213" s="350">
        <v>46144</v>
      </c>
      <c r="C5213" s="350">
        <v>46148</v>
      </c>
      <c r="D5213" s="351">
        <v>46143</v>
      </c>
      <c r="E5213" s="340" t="s">
        <v>3205</v>
      </c>
      <c r="F5213" s="340" t="s">
        <v>894</v>
      </c>
      <c r="G5213" s="340" t="s">
        <v>3245</v>
      </c>
      <c r="H5213" s="340" t="s">
        <v>3241</v>
      </c>
      <c r="I5213" s="340" t="s">
        <v>771</v>
      </c>
      <c r="K5213" s="343">
        <v>0</v>
      </c>
      <c r="L5213" s="343">
        <v>-2.95</v>
      </c>
      <c r="M5213" s="343">
        <v>-965108.07</v>
      </c>
      <c r="O5213" s="343">
        <v>0</v>
      </c>
    </row>
    <row r="5214" spans="1:15" x14ac:dyDescent="0.3">
      <c r="A5214" s="340" t="s">
        <v>891</v>
      </c>
      <c r="B5214" s="350">
        <v>46144</v>
      </c>
      <c r="C5214" s="350">
        <v>46148</v>
      </c>
      <c r="D5214" s="351">
        <v>46143</v>
      </c>
      <c r="E5214" s="340" t="s">
        <v>3205</v>
      </c>
      <c r="F5214" s="340" t="s">
        <v>894</v>
      </c>
      <c r="G5214" s="340" t="s">
        <v>3017</v>
      </c>
      <c r="H5214" s="340" t="s">
        <v>2454</v>
      </c>
      <c r="I5214" s="340" t="s">
        <v>771</v>
      </c>
      <c r="K5214" s="343">
        <v>0</v>
      </c>
      <c r="L5214" s="343">
        <v>-2.95</v>
      </c>
      <c r="M5214" s="343">
        <v>-965111.02</v>
      </c>
      <c r="O5214" s="343">
        <v>0</v>
      </c>
    </row>
    <row r="5215" spans="1:15" x14ac:dyDescent="0.3">
      <c r="A5215" s="340" t="s">
        <v>891</v>
      </c>
      <c r="B5215" s="350">
        <v>46144</v>
      </c>
      <c r="C5215" s="350">
        <v>46148</v>
      </c>
      <c r="D5215" s="351">
        <v>46143</v>
      </c>
      <c r="E5215" s="340" t="s">
        <v>3205</v>
      </c>
      <c r="F5215" s="340" t="s">
        <v>894</v>
      </c>
      <c r="G5215" s="340" t="s">
        <v>3206</v>
      </c>
      <c r="H5215" s="340" t="s">
        <v>2454</v>
      </c>
      <c r="I5215" s="340" t="s">
        <v>771</v>
      </c>
      <c r="K5215" s="343">
        <v>0</v>
      </c>
      <c r="L5215" s="343">
        <v>-2.83</v>
      </c>
      <c r="M5215" s="343">
        <v>-965113.85</v>
      </c>
      <c r="O5215" s="343">
        <v>0</v>
      </c>
    </row>
    <row r="5216" spans="1:15" x14ac:dyDescent="0.3">
      <c r="A5216" s="340" t="s">
        <v>891</v>
      </c>
      <c r="B5216" s="350">
        <v>46144</v>
      </c>
      <c r="C5216" s="350">
        <v>46148</v>
      </c>
      <c r="D5216" s="351">
        <v>46143</v>
      </c>
      <c r="E5216" s="340" t="s">
        <v>3205</v>
      </c>
      <c r="F5216" s="340" t="s">
        <v>894</v>
      </c>
      <c r="G5216" s="340" t="s">
        <v>3022</v>
      </c>
      <c r="H5216" s="340" t="s">
        <v>2454</v>
      </c>
      <c r="I5216" s="340" t="s">
        <v>771</v>
      </c>
      <c r="K5216" s="343">
        <v>0</v>
      </c>
      <c r="L5216" s="343">
        <v>-0.12</v>
      </c>
      <c r="M5216" s="343">
        <v>-965113.97</v>
      </c>
      <c r="O5216" s="343">
        <v>0</v>
      </c>
    </row>
    <row r="5217" spans="1:15" x14ac:dyDescent="0.3">
      <c r="A5217" s="340" t="s">
        <v>891</v>
      </c>
      <c r="B5217" s="350">
        <v>46144</v>
      </c>
      <c r="C5217" s="350">
        <v>46148</v>
      </c>
      <c r="D5217" s="351">
        <v>46143</v>
      </c>
      <c r="E5217" s="340" t="s">
        <v>3205</v>
      </c>
      <c r="F5217" s="340" t="s">
        <v>894</v>
      </c>
      <c r="G5217" s="340" t="s">
        <v>3020</v>
      </c>
      <c r="H5217" s="340" t="s">
        <v>2454</v>
      </c>
      <c r="I5217" s="340" t="s">
        <v>771</v>
      </c>
      <c r="K5217" s="343">
        <v>0</v>
      </c>
      <c r="L5217" s="343">
        <v>-0.06</v>
      </c>
      <c r="M5217" s="343">
        <v>-965114.03</v>
      </c>
      <c r="O5217" s="343">
        <v>0</v>
      </c>
    </row>
    <row r="5218" spans="1:15" x14ac:dyDescent="0.3">
      <c r="A5218" s="340" t="s">
        <v>891</v>
      </c>
      <c r="B5218" s="350">
        <v>46144</v>
      </c>
      <c r="C5218" s="350">
        <v>46148</v>
      </c>
      <c r="D5218" s="351">
        <v>46143</v>
      </c>
      <c r="E5218" s="340" t="s">
        <v>3205</v>
      </c>
      <c r="F5218" s="340" t="s">
        <v>894</v>
      </c>
      <c r="G5218" s="340" t="s">
        <v>3246</v>
      </c>
      <c r="H5218" s="340" t="s">
        <v>3247</v>
      </c>
      <c r="I5218" s="340" t="s">
        <v>771</v>
      </c>
      <c r="K5218" s="343">
        <v>0</v>
      </c>
      <c r="L5218" s="343">
        <v>-0.08</v>
      </c>
      <c r="M5218" s="343">
        <v>-965114.11</v>
      </c>
      <c r="O5218" s="343">
        <v>0</v>
      </c>
    </row>
    <row r="5219" spans="1:15" x14ac:dyDescent="0.3">
      <c r="A5219" s="340" t="s">
        <v>891</v>
      </c>
      <c r="B5219" s="350">
        <v>46144</v>
      </c>
      <c r="C5219" s="350">
        <v>46148</v>
      </c>
      <c r="D5219" s="351">
        <v>46143</v>
      </c>
      <c r="E5219" s="340" t="s">
        <v>3205</v>
      </c>
      <c r="F5219" s="340" t="s">
        <v>894</v>
      </c>
      <c r="G5219" s="340" t="s">
        <v>3248</v>
      </c>
      <c r="H5219" s="340" t="s">
        <v>3247</v>
      </c>
      <c r="I5219" s="340" t="s">
        <v>771</v>
      </c>
      <c r="K5219" s="343">
        <v>0</v>
      </c>
      <c r="L5219" s="343">
        <v>-0.16</v>
      </c>
      <c r="M5219" s="343">
        <v>-965114.27</v>
      </c>
      <c r="O5219" s="343">
        <v>0</v>
      </c>
    </row>
    <row r="5220" spans="1:15" x14ac:dyDescent="0.3">
      <c r="A5220" s="340" t="s">
        <v>891</v>
      </c>
      <c r="B5220" s="350">
        <v>46144</v>
      </c>
      <c r="C5220" s="350">
        <v>46148</v>
      </c>
      <c r="D5220" s="351">
        <v>46143</v>
      </c>
      <c r="E5220" s="340" t="s">
        <v>3205</v>
      </c>
      <c r="F5220" s="340" t="s">
        <v>894</v>
      </c>
      <c r="G5220" s="340" t="s">
        <v>3249</v>
      </c>
      <c r="H5220" s="340" t="s">
        <v>3247</v>
      </c>
      <c r="I5220" s="340" t="s">
        <v>771</v>
      </c>
      <c r="K5220" s="343">
        <v>0</v>
      </c>
      <c r="L5220" s="343">
        <v>-0.2</v>
      </c>
      <c r="M5220" s="343">
        <v>-965114.47</v>
      </c>
      <c r="O5220" s="343">
        <v>0</v>
      </c>
    </row>
    <row r="5221" spans="1:15" x14ac:dyDescent="0.3">
      <c r="A5221" s="340" t="s">
        <v>891</v>
      </c>
      <c r="B5221" s="350">
        <v>46144</v>
      </c>
      <c r="C5221" s="350">
        <v>46148</v>
      </c>
      <c r="D5221" s="351">
        <v>46143</v>
      </c>
      <c r="E5221" s="340" t="s">
        <v>3205</v>
      </c>
      <c r="F5221" s="340" t="s">
        <v>894</v>
      </c>
      <c r="G5221" s="340" t="s">
        <v>3250</v>
      </c>
      <c r="H5221" s="340" t="s">
        <v>3247</v>
      </c>
      <c r="I5221" s="340" t="s">
        <v>771</v>
      </c>
      <c r="K5221" s="343">
        <v>0</v>
      </c>
      <c r="L5221" s="343">
        <v>-2.95</v>
      </c>
      <c r="M5221" s="343">
        <v>-965117.42</v>
      </c>
      <c r="O5221" s="343">
        <v>0</v>
      </c>
    </row>
    <row r="5222" spans="1:15" x14ac:dyDescent="0.3">
      <c r="A5222" s="340" t="s">
        <v>891</v>
      </c>
      <c r="B5222" s="350">
        <v>46144</v>
      </c>
      <c r="C5222" s="350">
        <v>46148</v>
      </c>
      <c r="D5222" s="351">
        <v>46143</v>
      </c>
      <c r="E5222" s="340" t="s">
        <v>3205</v>
      </c>
      <c r="F5222" s="340" t="s">
        <v>894</v>
      </c>
      <c r="G5222" s="340" t="s">
        <v>3251</v>
      </c>
      <c r="H5222" s="340" t="s">
        <v>3247</v>
      </c>
      <c r="I5222" s="340" t="s">
        <v>771</v>
      </c>
      <c r="K5222" s="343">
        <v>0</v>
      </c>
      <c r="L5222" s="343">
        <v>-5.07</v>
      </c>
      <c r="M5222" s="343">
        <v>-965122.49</v>
      </c>
      <c r="O5222" s="343">
        <v>0</v>
      </c>
    </row>
    <row r="5223" spans="1:15" x14ac:dyDescent="0.3">
      <c r="A5223" s="340" t="s">
        <v>891</v>
      </c>
      <c r="B5223" s="350">
        <v>46144</v>
      </c>
      <c r="C5223" s="350">
        <v>46148</v>
      </c>
      <c r="D5223" s="351">
        <v>46143</v>
      </c>
      <c r="E5223" s="340" t="s">
        <v>3205</v>
      </c>
      <c r="F5223" s="340" t="s">
        <v>894</v>
      </c>
      <c r="G5223" s="340" t="s">
        <v>3022</v>
      </c>
      <c r="H5223" s="340" t="s">
        <v>2527</v>
      </c>
      <c r="I5223" s="340" t="s">
        <v>771</v>
      </c>
      <c r="K5223" s="343">
        <v>0</v>
      </c>
      <c r="L5223" s="343">
        <v>-0.28999999999999998</v>
      </c>
      <c r="M5223" s="343">
        <v>-965122.78</v>
      </c>
      <c r="O5223" s="343">
        <v>0</v>
      </c>
    </row>
    <row r="5224" spans="1:15" x14ac:dyDescent="0.3">
      <c r="A5224" s="340" t="s">
        <v>891</v>
      </c>
      <c r="B5224" s="350">
        <v>46144</v>
      </c>
      <c r="C5224" s="350">
        <v>46148</v>
      </c>
      <c r="D5224" s="351">
        <v>46143</v>
      </c>
      <c r="E5224" s="340" t="s">
        <v>3205</v>
      </c>
      <c r="F5224" s="340" t="s">
        <v>894</v>
      </c>
      <c r="G5224" s="340" t="s">
        <v>3017</v>
      </c>
      <c r="H5224" s="340" t="s">
        <v>2527</v>
      </c>
      <c r="I5224" s="340" t="s">
        <v>771</v>
      </c>
      <c r="K5224" s="343">
        <v>0</v>
      </c>
      <c r="L5224" s="343">
        <v>-2.95</v>
      </c>
      <c r="M5224" s="343">
        <v>-965125.73</v>
      </c>
      <c r="O5224" s="343">
        <v>0</v>
      </c>
    </row>
    <row r="5225" spans="1:15" x14ac:dyDescent="0.3">
      <c r="A5225" s="340" t="s">
        <v>891</v>
      </c>
      <c r="B5225" s="350">
        <v>46144</v>
      </c>
      <c r="C5225" s="350">
        <v>46148</v>
      </c>
      <c r="D5225" s="351">
        <v>46143</v>
      </c>
      <c r="E5225" s="340" t="s">
        <v>3205</v>
      </c>
      <c r="F5225" s="340" t="s">
        <v>894</v>
      </c>
      <c r="G5225" s="340" t="s">
        <v>3206</v>
      </c>
      <c r="H5225" s="340" t="s">
        <v>2527</v>
      </c>
      <c r="I5225" s="340" t="s">
        <v>771</v>
      </c>
      <c r="K5225" s="343">
        <v>0</v>
      </c>
      <c r="L5225" s="343">
        <v>-11.14</v>
      </c>
      <c r="M5225" s="343">
        <v>-965136.87</v>
      </c>
      <c r="O5225" s="343">
        <v>0</v>
      </c>
    </row>
    <row r="5226" spans="1:15" x14ac:dyDescent="0.3">
      <c r="A5226" s="340" t="s">
        <v>891</v>
      </c>
      <c r="B5226" s="350">
        <v>46144</v>
      </c>
      <c r="C5226" s="350">
        <v>46148</v>
      </c>
      <c r="D5226" s="351">
        <v>46143</v>
      </c>
      <c r="E5226" s="340" t="s">
        <v>3205</v>
      </c>
      <c r="F5226" s="340" t="s">
        <v>894</v>
      </c>
      <c r="G5226" s="340" t="s">
        <v>3020</v>
      </c>
      <c r="H5226" s="340" t="s">
        <v>2527</v>
      </c>
      <c r="I5226" s="340" t="s">
        <v>771</v>
      </c>
      <c r="K5226" s="343">
        <v>0</v>
      </c>
      <c r="L5226" s="343">
        <v>-0.14000000000000001</v>
      </c>
      <c r="M5226" s="343">
        <v>-965137.01</v>
      </c>
      <c r="O5226" s="343">
        <v>0</v>
      </c>
    </row>
    <row r="5227" spans="1:15" x14ac:dyDescent="0.3">
      <c r="A5227" s="340" t="s">
        <v>891</v>
      </c>
      <c r="B5227" s="350">
        <v>46144</v>
      </c>
      <c r="C5227" s="350">
        <v>46148</v>
      </c>
      <c r="D5227" s="351">
        <v>46143</v>
      </c>
      <c r="E5227" s="340" t="s">
        <v>3205</v>
      </c>
      <c r="F5227" s="340" t="s">
        <v>894</v>
      </c>
      <c r="G5227" s="340" t="s">
        <v>3017</v>
      </c>
      <c r="H5227" s="340" t="s">
        <v>2524</v>
      </c>
      <c r="I5227" s="340" t="s">
        <v>771</v>
      </c>
      <c r="K5227" s="343">
        <v>0</v>
      </c>
      <c r="L5227" s="343">
        <v>-2.95</v>
      </c>
      <c r="M5227" s="343">
        <v>-965139.96</v>
      </c>
      <c r="O5227" s="343">
        <v>0</v>
      </c>
    </row>
    <row r="5228" spans="1:15" x14ac:dyDescent="0.3">
      <c r="A5228" s="340" t="s">
        <v>891</v>
      </c>
      <c r="B5228" s="350">
        <v>46144</v>
      </c>
      <c r="C5228" s="350">
        <v>46148</v>
      </c>
      <c r="D5228" s="351">
        <v>46143</v>
      </c>
      <c r="E5228" s="340" t="s">
        <v>3205</v>
      </c>
      <c r="F5228" s="340" t="s">
        <v>894</v>
      </c>
      <c r="G5228" s="340" t="s">
        <v>3017</v>
      </c>
      <c r="H5228" s="340" t="s">
        <v>2487</v>
      </c>
      <c r="I5228" s="340" t="s">
        <v>771</v>
      </c>
      <c r="K5228" s="343">
        <v>0</v>
      </c>
      <c r="L5228" s="343">
        <v>-2.95</v>
      </c>
      <c r="M5228" s="343">
        <v>-965142.91</v>
      </c>
      <c r="O5228" s="343">
        <v>0</v>
      </c>
    </row>
    <row r="5229" spans="1:15" x14ac:dyDescent="0.3">
      <c r="A5229" s="340" t="s">
        <v>891</v>
      </c>
      <c r="B5229" s="350">
        <v>46144</v>
      </c>
      <c r="C5229" s="350">
        <v>46148</v>
      </c>
      <c r="D5229" s="351">
        <v>46143</v>
      </c>
      <c r="E5229" s="340" t="s">
        <v>3205</v>
      </c>
      <c r="F5229" s="340" t="s">
        <v>894</v>
      </c>
      <c r="G5229" s="340" t="s">
        <v>3206</v>
      </c>
      <c r="H5229" s="340" t="s">
        <v>2487</v>
      </c>
      <c r="I5229" s="340" t="s">
        <v>771</v>
      </c>
      <c r="K5229" s="343">
        <v>0</v>
      </c>
      <c r="L5229" s="343">
        <v>-30.58</v>
      </c>
      <c r="M5229" s="343">
        <v>-965173.49</v>
      </c>
      <c r="O5229" s="343">
        <v>0</v>
      </c>
    </row>
    <row r="5230" spans="1:15" x14ac:dyDescent="0.3">
      <c r="A5230" s="340" t="s">
        <v>891</v>
      </c>
      <c r="B5230" s="350">
        <v>46144</v>
      </c>
      <c r="C5230" s="350">
        <v>46148</v>
      </c>
      <c r="D5230" s="351">
        <v>46143</v>
      </c>
      <c r="E5230" s="340" t="s">
        <v>3205</v>
      </c>
      <c r="F5230" s="340" t="s">
        <v>894</v>
      </c>
      <c r="G5230" s="340" t="s">
        <v>3022</v>
      </c>
      <c r="H5230" s="340" t="s">
        <v>2487</v>
      </c>
      <c r="I5230" s="340" t="s">
        <v>771</v>
      </c>
      <c r="K5230" s="343">
        <v>0</v>
      </c>
      <c r="L5230" s="343">
        <v>-0.68</v>
      </c>
      <c r="M5230" s="343">
        <v>-965174.17</v>
      </c>
      <c r="O5230" s="343">
        <v>0</v>
      </c>
    </row>
    <row r="5231" spans="1:15" x14ac:dyDescent="0.3">
      <c r="A5231" s="340" t="s">
        <v>891</v>
      </c>
      <c r="B5231" s="350">
        <v>46144</v>
      </c>
      <c r="C5231" s="350">
        <v>46148</v>
      </c>
      <c r="D5231" s="351">
        <v>46143</v>
      </c>
      <c r="E5231" s="340" t="s">
        <v>3205</v>
      </c>
      <c r="F5231" s="340" t="s">
        <v>894</v>
      </c>
      <c r="G5231" s="340" t="s">
        <v>3020</v>
      </c>
      <c r="H5231" s="340" t="s">
        <v>2487</v>
      </c>
      <c r="I5231" s="340" t="s">
        <v>771</v>
      </c>
      <c r="K5231" s="343">
        <v>0</v>
      </c>
      <c r="L5231" s="343">
        <v>-0.34</v>
      </c>
      <c r="M5231" s="343">
        <v>-965174.51</v>
      </c>
      <c r="O5231" s="343">
        <v>0</v>
      </c>
    </row>
    <row r="5232" spans="1:15" x14ac:dyDescent="0.3">
      <c r="A5232" s="340" t="s">
        <v>891</v>
      </c>
      <c r="B5232" s="350">
        <v>46144</v>
      </c>
      <c r="C5232" s="350">
        <v>46148</v>
      </c>
      <c r="D5232" s="351">
        <v>46143</v>
      </c>
      <c r="E5232" s="340" t="s">
        <v>3205</v>
      </c>
      <c r="F5232" s="340" t="s">
        <v>894</v>
      </c>
      <c r="G5232" s="340" t="s">
        <v>3020</v>
      </c>
      <c r="H5232" s="340" t="s">
        <v>2500</v>
      </c>
      <c r="I5232" s="340" t="s">
        <v>771</v>
      </c>
      <c r="K5232" s="343">
        <v>0</v>
      </c>
      <c r="L5232" s="343">
        <v>-0.05</v>
      </c>
      <c r="M5232" s="343">
        <v>-965174.56</v>
      </c>
      <c r="O5232" s="343">
        <v>0</v>
      </c>
    </row>
    <row r="5233" spans="1:15" x14ac:dyDescent="0.3">
      <c r="A5233" s="340" t="s">
        <v>891</v>
      </c>
      <c r="B5233" s="350">
        <v>46144</v>
      </c>
      <c r="C5233" s="350">
        <v>46148</v>
      </c>
      <c r="D5233" s="351">
        <v>46143</v>
      </c>
      <c r="E5233" s="340" t="s">
        <v>3205</v>
      </c>
      <c r="F5233" s="340" t="s">
        <v>894</v>
      </c>
      <c r="G5233" s="340" t="s">
        <v>3017</v>
      </c>
      <c r="H5233" s="340" t="s">
        <v>2500</v>
      </c>
      <c r="I5233" s="340" t="s">
        <v>771</v>
      </c>
      <c r="K5233" s="343">
        <v>0</v>
      </c>
      <c r="L5233" s="343">
        <v>-2.95</v>
      </c>
      <c r="M5233" s="343">
        <v>-965177.51</v>
      </c>
      <c r="O5233" s="343">
        <v>0</v>
      </c>
    </row>
    <row r="5234" spans="1:15" x14ac:dyDescent="0.3">
      <c r="A5234" s="340" t="s">
        <v>891</v>
      </c>
      <c r="B5234" s="350">
        <v>46144</v>
      </c>
      <c r="C5234" s="350">
        <v>46148</v>
      </c>
      <c r="D5234" s="351">
        <v>46143</v>
      </c>
      <c r="E5234" s="340" t="s">
        <v>3205</v>
      </c>
      <c r="F5234" s="340" t="s">
        <v>894</v>
      </c>
      <c r="G5234" s="340" t="s">
        <v>3022</v>
      </c>
      <c r="H5234" s="340" t="s">
        <v>2500</v>
      </c>
      <c r="I5234" s="340" t="s">
        <v>771</v>
      </c>
      <c r="K5234" s="343">
        <v>0</v>
      </c>
      <c r="L5234" s="343">
        <v>-0.1</v>
      </c>
      <c r="M5234" s="343">
        <v>-965177.61</v>
      </c>
      <c r="O5234" s="343">
        <v>0</v>
      </c>
    </row>
    <row r="5235" spans="1:15" x14ac:dyDescent="0.3">
      <c r="A5235" s="340" t="s">
        <v>891</v>
      </c>
      <c r="B5235" s="350">
        <v>46144</v>
      </c>
      <c r="C5235" s="350">
        <v>46148</v>
      </c>
      <c r="D5235" s="351">
        <v>46143</v>
      </c>
      <c r="E5235" s="340" t="s">
        <v>3205</v>
      </c>
      <c r="F5235" s="340" t="s">
        <v>894</v>
      </c>
      <c r="G5235" s="340" t="s">
        <v>3206</v>
      </c>
      <c r="H5235" s="340" t="s">
        <v>2500</v>
      </c>
      <c r="I5235" s="340" t="s">
        <v>771</v>
      </c>
      <c r="K5235" s="343">
        <v>0</v>
      </c>
      <c r="L5235" s="343">
        <v>-1.99</v>
      </c>
      <c r="M5235" s="343">
        <v>-965179.6</v>
      </c>
      <c r="O5235" s="343">
        <v>0</v>
      </c>
    </row>
    <row r="5236" spans="1:15" x14ac:dyDescent="0.3">
      <c r="A5236" s="340" t="s">
        <v>891</v>
      </c>
      <c r="B5236" s="350">
        <v>46144</v>
      </c>
      <c r="C5236" s="350">
        <v>46148</v>
      </c>
      <c r="D5236" s="351">
        <v>46143</v>
      </c>
      <c r="E5236" s="340" t="s">
        <v>3205</v>
      </c>
      <c r="F5236" s="340" t="s">
        <v>894</v>
      </c>
      <c r="G5236" s="340" t="s">
        <v>3020</v>
      </c>
      <c r="H5236" s="340" t="s">
        <v>2507</v>
      </c>
      <c r="I5236" s="340" t="s">
        <v>771</v>
      </c>
      <c r="K5236" s="343">
        <v>0</v>
      </c>
      <c r="L5236" s="343">
        <v>-0.18</v>
      </c>
      <c r="M5236" s="343">
        <v>-965179.78</v>
      </c>
      <c r="O5236" s="343">
        <v>0</v>
      </c>
    </row>
    <row r="5237" spans="1:15" x14ac:dyDescent="0.3">
      <c r="A5237" s="340" t="s">
        <v>891</v>
      </c>
      <c r="B5237" s="350">
        <v>46144</v>
      </c>
      <c r="C5237" s="350">
        <v>46148</v>
      </c>
      <c r="D5237" s="351">
        <v>46143</v>
      </c>
      <c r="E5237" s="340" t="s">
        <v>3205</v>
      </c>
      <c r="F5237" s="340" t="s">
        <v>894</v>
      </c>
      <c r="G5237" s="340" t="s">
        <v>3214</v>
      </c>
      <c r="H5237" s="340" t="s">
        <v>2507</v>
      </c>
      <c r="I5237" s="340" t="s">
        <v>771</v>
      </c>
      <c r="K5237" s="343">
        <v>0</v>
      </c>
      <c r="L5237" s="343">
        <v>-0.25</v>
      </c>
      <c r="M5237" s="343">
        <v>-965180.03</v>
      </c>
      <c r="O5237" s="343">
        <v>0</v>
      </c>
    </row>
    <row r="5238" spans="1:15" x14ac:dyDescent="0.3">
      <c r="A5238" s="340" t="s">
        <v>891</v>
      </c>
      <c r="B5238" s="350">
        <v>46144</v>
      </c>
      <c r="C5238" s="350">
        <v>46148</v>
      </c>
      <c r="D5238" s="351">
        <v>46143</v>
      </c>
      <c r="E5238" s="340" t="s">
        <v>3205</v>
      </c>
      <c r="F5238" s="340" t="s">
        <v>894</v>
      </c>
      <c r="G5238" s="340" t="s">
        <v>3022</v>
      </c>
      <c r="H5238" s="340" t="s">
        <v>2507</v>
      </c>
      <c r="I5238" s="340" t="s">
        <v>771</v>
      </c>
      <c r="K5238" s="343">
        <v>0</v>
      </c>
      <c r="L5238" s="343">
        <v>-0.35</v>
      </c>
      <c r="M5238" s="343">
        <v>-965180.38</v>
      </c>
      <c r="O5238" s="343">
        <v>0</v>
      </c>
    </row>
    <row r="5239" spans="1:15" x14ac:dyDescent="0.3">
      <c r="A5239" s="340" t="s">
        <v>891</v>
      </c>
      <c r="B5239" s="350">
        <v>46144</v>
      </c>
      <c r="C5239" s="350">
        <v>46148</v>
      </c>
      <c r="D5239" s="351">
        <v>46143</v>
      </c>
      <c r="E5239" s="340" t="s">
        <v>3205</v>
      </c>
      <c r="F5239" s="340" t="s">
        <v>894</v>
      </c>
      <c r="G5239" s="340" t="s">
        <v>3215</v>
      </c>
      <c r="H5239" s="340" t="s">
        <v>2507</v>
      </c>
      <c r="I5239" s="340" t="s">
        <v>771</v>
      </c>
      <c r="K5239" s="343">
        <v>0</v>
      </c>
      <c r="L5239" s="343">
        <v>-0.35</v>
      </c>
      <c r="M5239" s="343">
        <v>-965180.73</v>
      </c>
      <c r="O5239" s="343">
        <v>0</v>
      </c>
    </row>
    <row r="5240" spans="1:15" x14ac:dyDescent="0.3">
      <c r="A5240" s="340" t="s">
        <v>891</v>
      </c>
      <c r="B5240" s="350">
        <v>46144</v>
      </c>
      <c r="C5240" s="350">
        <v>46148</v>
      </c>
      <c r="D5240" s="351">
        <v>46143</v>
      </c>
      <c r="E5240" s="340" t="s">
        <v>3205</v>
      </c>
      <c r="F5240" s="340" t="s">
        <v>894</v>
      </c>
      <c r="G5240" s="340" t="s">
        <v>3017</v>
      </c>
      <c r="H5240" s="340" t="s">
        <v>2507</v>
      </c>
      <c r="I5240" s="340" t="s">
        <v>771</v>
      </c>
      <c r="K5240" s="343">
        <v>0</v>
      </c>
      <c r="L5240" s="343">
        <v>-2.95</v>
      </c>
      <c r="M5240" s="343">
        <v>-965183.68</v>
      </c>
      <c r="O5240" s="343">
        <v>0</v>
      </c>
    </row>
    <row r="5241" spans="1:15" x14ac:dyDescent="0.3">
      <c r="A5241" s="340" t="s">
        <v>891</v>
      </c>
      <c r="B5241" s="350">
        <v>46144</v>
      </c>
      <c r="C5241" s="350">
        <v>46148</v>
      </c>
      <c r="D5241" s="351">
        <v>46143</v>
      </c>
      <c r="E5241" s="340" t="s">
        <v>3205</v>
      </c>
      <c r="F5241" s="340" t="s">
        <v>894</v>
      </c>
      <c r="G5241" s="340" t="s">
        <v>3216</v>
      </c>
      <c r="H5241" s="340" t="s">
        <v>2507</v>
      </c>
      <c r="I5241" s="340" t="s">
        <v>771</v>
      </c>
      <c r="K5241" s="343">
        <v>0</v>
      </c>
      <c r="L5241" s="343">
        <v>-14.29</v>
      </c>
      <c r="M5241" s="343">
        <v>-965197.97</v>
      </c>
      <c r="O5241" s="343">
        <v>0</v>
      </c>
    </row>
    <row r="5242" spans="1:15" x14ac:dyDescent="0.3">
      <c r="A5242" s="340" t="s">
        <v>891</v>
      </c>
      <c r="B5242" s="350">
        <v>46144</v>
      </c>
      <c r="C5242" s="350">
        <v>46148</v>
      </c>
      <c r="D5242" s="351">
        <v>46143</v>
      </c>
      <c r="E5242" s="340" t="s">
        <v>3205</v>
      </c>
      <c r="F5242" s="340" t="s">
        <v>894</v>
      </c>
      <c r="G5242" s="340" t="s">
        <v>3020</v>
      </c>
      <c r="H5242" s="340" t="s">
        <v>2446</v>
      </c>
      <c r="I5242" s="340" t="s">
        <v>771</v>
      </c>
      <c r="K5242" s="343">
        <v>0</v>
      </c>
      <c r="L5242" s="343">
        <v>-0.16</v>
      </c>
      <c r="M5242" s="343">
        <v>-965198.13</v>
      </c>
      <c r="O5242" s="343">
        <v>0</v>
      </c>
    </row>
    <row r="5243" spans="1:15" x14ac:dyDescent="0.3">
      <c r="A5243" s="340" t="s">
        <v>891</v>
      </c>
      <c r="B5243" s="350">
        <v>46144</v>
      </c>
      <c r="C5243" s="350">
        <v>46148</v>
      </c>
      <c r="D5243" s="351">
        <v>46143</v>
      </c>
      <c r="E5243" s="340" t="s">
        <v>3205</v>
      </c>
      <c r="F5243" s="340" t="s">
        <v>894</v>
      </c>
      <c r="G5243" s="340" t="s">
        <v>3022</v>
      </c>
      <c r="H5243" s="340" t="s">
        <v>2510</v>
      </c>
      <c r="I5243" s="340" t="s">
        <v>771</v>
      </c>
      <c r="K5243" s="343">
        <v>0</v>
      </c>
      <c r="L5243" s="343">
        <v>-0.49</v>
      </c>
      <c r="M5243" s="343">
        <v>-965198.62</v>
      </c>
      <c r="O5243" s="343">
        <v>0</v>
      </c>
    </row>
    <row r="5244" spans="1:15" x14ac:dyDescent="0.3">
      <c r="A5244" s="340" t="s">
        <v>891</v>
      </c>
      <c r="B5244" s="350">
        <v>46144</v>
      </c>
      <c r="C5244" s="350">
        <v>46148</v>
      </c>
      <c r="D5244" s="351">
        <v>46143</v>
      </c>
      <c r="E5244" s="340" t="s">
        <v>3205</v>
      </c>
      <c r="F5244" s="340" t="s">
        <v>894</v>
      </c>
      <c r="G5244" s="340" t="s">
        <v>3020</v>
      </c>
      <c r="H5244" s="340" t="s">
        <v>2510</v>
      </c>
      <c r="I5244" s="340" t="s">
        <v>771</v>
      </c>
      <c r="K5244" s="343">
        <v>0</v>
      </c>
      <c r="L5244" s="343">
        <v>-2.0099999999999998</v>
      </c>
      <c r="M5244" s="343">
        <v>-965200.63</v>
      </c>
      <c r="O5244" s="343">
        <v>0</v>
      </c>
    </row>
    <row r="5245" spans="1:15" x14ac:dyDescent="0.3">
      <c r="A5245" s="340" t="s">
        <v>891</v>
      </c>
      <c r="B5245" s="350">
        <v>46144</v>
      </c>
      <c r="C5245" s="350">
        <v>46148</v>
      </c>
      <c r="D5245" s="351">
        <v>46143</v>
      </c>
      <c r="E5245" s="340" t="s">
        <v>3205</v>
      </c>
      <c r="F5245" s="340" t="s">
        <v>894</v>
      </c>
      <c r="G5245" s="340" t="s">
        <v>3206</v>
      </c>
      <c r="H5245" s="340" t="s">
        <v>2510</v>
      </c>
      <c r="I5245" s="340" t="s">
        <v>771</v>
      </c>
      <c r="K5245" s="343">
        <v>0</v>
      </c>
      <c r="L5245" s="343">
        <v>-20.94</v>
      </c>
      <c r="M5245" s="343">
        <v>-965221.57</v>
      </c>
      <c r="O5245" s="343">
        <v>0</v>
      </c>
    </row>
    <row r="5246" spans="1:15" x14ac:dyDescent="0.3">
      <c r="A5246" s="340" t="s">
        <v>891</v>
      </c>
      <c r="B5246" s="350">
        <v>46144</v>
      </c>
      <c r="C5246" s="350">
        <v>46148</v>
      </c>
      <c r="D5246" s="351">
        <v>46143</v>
      </c>
      <c r="E5246" s="340" t="s">
        <v>3205</v>
      </c>
      <c r="F5246" s="340" t="s">
        <v>894</v>
      </c>
      <c r="G5246" s="340" t="s">
        <v>3022</v>
      </c>
      <c r="H5246" s="340" t="s">
        <v>2480</v>
      </c>
      <c r="I5246" s="340" t="s">
        <v>771</v>
      </c>
      <c r="K5246" s="343">
        <v>0</v>
      </c>
      <c r="L5246" s="343">
        <v>-0.54</v>
      </c>
      <c r="M5246" s="343">
        <v>-965222.11</v>
      </c>
      <c r="O5246" s="343">
        <v>0</v>
      </c>
    </row>
    <row r="5247" spans="1:15" x14ac:dyDescent="0.3">
      <c r="A5247" s="340" t="s">
        <v>891</v>
      </c>
      <c r="B5247" s="350">
        <v>46144</v>
      </c>
      <c r="C5247" s="350">
        <v>46148</v>
      </c>
      <c r="D5247" s="351">
        <v>46143</v>
      </c>
      <c r="E5247" s="340" t="s">
        <v>3205</v>
      </c>
      <c r="F5247" s="340" t="s">
        <v>894</v>
      </c>
      <c r="G5247" s="340" t="s">
        <v>3017</v>
      </c>
      <c r="H5247" s="340" t="s">
        <v>2480</v>
      </c>
      <c r="I5247" s="340" t="s">
        <v>771</v>
      </c>
      <c r="K5247" s="343">
        <v>0</v>
      </c>
      <c r="L5247" s="343">
        <v>-2.95</v>
      </c>
      <c r="M5247" s="343">
        <v>-965225.06</v>
      </c>
      <c r="O5247" s="343">
        <v>0</v>
      </c>
    </row>
    <row r="5248" spans="1:15" x14ac:dyDescent="0.3">
      <c r="A5248" s="340" t="s">
        <v>891</v>
      </c>
      <c r="B5248" s="350">
        <v>46144</v>
      </c>
      <c r="C5248" s="350">
        <v>46148</v>
      </c>
      <c r="D5248" s="351">
        <v>46143</v>
      </c>
      <c r="E5248" s="340" t="s">
        <v>3205</v>
      </c>
      <c r="F5248" s="340" t="s">
        <v>894</v>
      </c>
      <c r="G5248" s="340" t="s">
        <v>3020</v>
      </c>
      <c r="H5248" s="340" t="s">
        <v>2480</v>
      </c>
      <c r="I5248" s="340" t="s">
        <v>771</v>
      </c>
      <c r="K5248" s="343">
        <v>0</v>
      </c>
      <c r="L5248" s="343">
        <v>-0.27</v>
      </c>
      <c r="M5248" s="343">
        <v>-965225.33</v>
      </c>
      <c r="O5248" s="343">
        <v>0</v>
      </c>
    </row>
    <row r="5249" spans="1:15" x14ac:dyDescent="0.3">
      <c r="A5249" s="340" t="s">
        <v>891</v>
      </c>
      <c r="B5249" s="350">
        <v>46144</v>
      </c>
      <c r="C5249" s="350">
        <v>46148</v>
      </c>
      <c r="D5249" s="351">
        <v>46143</v>
      </c>
      <c r="E5249" s="340" t="s">
        <v>3205</v>
      </c>
      <c r="F5249" s="340" t="s">
        <v>894</v>
      </c>
      <c r="G5249" s="340" t="s">
        <v>3206</v>
      </c>
      <c r="H5249" s="340" t="s">
        <v>2480</v>
      </c>
      <c r="I5249" s="340" t="s">
        <v>771</v>
      </c>
      <c r="K5249" s="343">
        <v>0</v>
      </c>
      <c r="L5249" s="343">
        <v>-23.43</v>
      </c>
      <c r="M5249" s="343">
        <v>-965248.76</v>
      </c>
      <c r="O5249" s="343">
        <v>0</v>
      </c>
    </row>
    <row r="5250" spans="1:15" x14ac:dyDescent="0.3">
      <c r="A5250" s="340" t="s">
        <v>891</v>
      </c>
      <c r="B5250" s="350">
        <v>46144</v>
      </c>
      <c r="C5250" s="350">
        <v>46148</v>
      </c>
      <c r="D5250" s="351">
        <v>46143</v>
      </c>
      <c r="E5250" s="340" t="s">
        <v>3205</v>
      </c>
      <c r="F5250" s="340" t="s">
        <v>894</v>
      </c>
      <c r="G5250" s="340" t="s">
        <v>3252</v>
      </c>
      <c r="H5250" s="340" t="s">
        <v>3253</v>
      </c>
      <c r="I5250" s="340" t="s">
        <v>771</v>
      </c>
      <c r="K5250" s="343">
        <v>0</v>
      </c>
      <c r="L5250" s="343">
        <v>-0.12</v>
      </c>
      <c r="M5250" s="343">
        <v>-965248.88</v>
      </c>
      <c r="O5250" s="343">
        <v>0</v>
      </c>
    </row>
    <row r="5251" spans="1:15" x14ac:dyDescent="0.3">
      <c r="A5251" s="340" t="s">
        <v>891</v>
      </c>
      <c r="B5251" s="350">
        <v>46144</v>
      </c>
      <c r="C5251" s="350">
        <v>46148</v>
      </c>
      <c r="D5251" s="351">
        <v>46143</v>
      </c>
      <c r="E5251" s="340" t="s">
        <v>3205</v>
      </c>
      <c r="F5251" s="340" t="s">
        <v>894</v>
      </c>
      <c r="G5251" s="340" t="s">
        <v>3254</v>
      </c>
      <c r="H5251" s="340" t="s">
        <v>3253</v>
      </c>
      <c r="I5251" s="340" t="s">
        <v>771</v>
      </c>
      <c r="K5251" s="343">
        <v>0</v>
      </c>
      <c r="L5251" s="343">
        <v>-0.2</v>
      </c>
      <c r="M5251" s="343">
        <v>-965249.08</v>
      </c>
      <c r="O5251" s="343">
        <v>0</v>
      </c>
    </row>
    <row r="5252" spans="1:15" x14ac:dyDescent="0.3">
      <c r="A5252" s="340" t="s">
        <v>891</v>
      </c>
      <c r="B5252" s="350">
        <v>46144</v>
      </c>
      <c r="C5252" s="350">
        <v>46148</v>
      </c>
      <c r="D5252" s="351">
        <v>46143</v>
      </c>
      <c r="E5252" s="340" t="s">
        <v>3205</v>
      </c>
      <c r="F5252" s="340" t="s">
        <v>894</v>
      </c>
      <c r="G5252" s="340" t="s">
        <v>3255</v>
      </c>
      <c r="H5252" s="340" t="s">
        <v>3253</v>
      </c>
      <c r="I5252" s="340" t="s">
        <v>771</v>
      </c>
      <c r="K5252" s="343">
        <v>0</v>
      </c>
      <c r="L5252" s="343">
        <v>-0.51</v>
      </c>
      <c r="M5252" s="343">
        <v>-965249.59</v>
      </c>
      <c r="O5252" s="343">
        <v>0</v>
      </c>
    </row>
    <row r="5253" spans="1:15" x14ac:dyDescent="0.3">
      <c r="A5253" s="340" t="s">
        <v>891</v>
      </c>
      <c r="B5253" s="350">
        <v>46144</v>
      </c>
      <c r="C5253" s="350">
        <v>46148</v>
      </c>
      <c r="D5253" s="351">
        <v>46143</v>
      </c>
      <c r="E5253" s="340" t="s">
        <v>3205</v>
      </c>
      <c r="F5253" s="340" t="s">
        <v>894</v>
      </c>
      <c r="G5253" s="340" t="s">
        <v>3256</v>
      </c>
      <c r="H5253" s="340" t="s">
        <v>3253</v>
      </c>
      <c r="I5253" s="340" t="s">
        <v>771</v>
      </c>
      <c r="K5253" s="343">
        <v>0</v>
      </c>
      <c r="L5253" s="343">
        <v>-2.95</v>
      </c>
      <c r="M5253" s="343">
        <v>-965252.54</v>
      </c>
      <c r="O5253" s="343">
        <v>0</v>
      </c>
    </row>
    <row r="5254" spans="1:15" x14ac:dyDescent="0.3">
      <c r="A5254" s="340" t="s">
        <v>891</v>
      </c>
      <c r="B5254" s="350">
        <v>46144</v>
      </c>
      <c r="C5254" s="350">
        <v>46148</v>
      </c>
      <c r="D5254" s="351">
        <v>46143</v>
      </c>
      <c r="E5254" s="340" t="s">
        <v>3205</v>
      </c>
      <c r="F5254" s="340" t="s">
        <v>894</v>
      </c>
      <c r="G5254" s="340" t="s">
        <v>3257</v>
      </c>
      <c r="H5254" s="340" t="s">
        <v>3253</v>
      </c>
      <c r="I5254" s="340" t="s">
        <v>771</v>
      </c>
      <c r="K5254" s="343">
        <v>0</v>
      </c>
      <c r="L5254" s="343">
        <v>-3.16</v>
      </c>
      <c r="M5254" s="343">
        <v>-965255.7</v>
      </c>
      <c r="O5254" s="343">
        <v>0</v>
      </c>
    </row>
    <row r="5255" spans="1:15" x14ac:dyDescent="0.3">
      <c r="A5255" s="340" t="s">
        <v>891</v>
      </c>
      <c r="B5255" s="350">
        <v>46144</v>
      </c>
      <c r="C5255" s="350">
        <v>46148</v>
      </c>
      <c r="D5255" s="351">
        <v>46143</v>
      </c>
      <c r="E5255" s="340" t="s">
        <v>3205</v>
      </c>
      <c r="F5255" s="340" t="s">
        <v>894</v>
      </c>
      <c r="G5255" s="340" t="s">
        <v>3017</v>
      </c>
      <c r="H5255" s="340" t="s">
        <v>2508</v>
      </c>
      <c r="I5255" s="340" t="s">
        <v>771</v>
      </c>
      <c r="K5255" s="343">
        <v>0</v>
      </c>
      <c r="L5255" s="343">
        <v>-2.95</v>
      </c>
      <c r="M5255" s="343">
        <v>-965258.65</v>
      </c>
      <c r="O5255" s="343">
        <v>0</v>
      </c>
    </row>
    <row r="5256" spans="1:15" x14ac:dyDescent="0.3">
      <c r="A5256" s="340" t="s">
        <v>891</v>
      </c>
      <c r="B5256" s="350">
        <v>46144</v>
      </c>
      <c r="C5256" s="350">
        <v>46148</v>
      </c>
      <c r="D5256" s="351">
        <v>46143</v>
      </c>
      <c r="E5256" s="340" t="s">
        <v>3205</v>
      </c>
      <c r="F5256" s="340" t="s">
        <v>894</v>
      </c>
      <c r="G5256" s="340" t="s">
        <v>3206</v>
      </c>
      <c r="H5256" s="340" t="s">
        <v>2508</v>
      </c>
      <c r="I5256" s="340" t="s">
        <v>771</v>
      </c>
      <c r="K5256" s="343">
        <v>0</v>
      </c>
      <c r="L5256" s="343">
        <v>-3.15</v>
      </c>
      <c r="M5256" s="343">
        <v>-965261.8</v>
      </c>
      <c r="O5256" s="343">
        <v>0</v>
      </c>
    </row>
    <row r="5257" spans="1:15" x14ac:dyDescent="0.3">
      <c r="A5257" s="340" t="s">
        <v>891</v>
      </c>
      <c r="B5257" s="350">
        <v>46144</v>
      </c>
      <c r="C5257" s="350">
        <v>46148</v>
      </c>
      <c r="D5257" s="351">
        <v>46143</v>
      </c>
      <c r="E5257" s="340" t="s">
        <v>3205</v>
      </c>
      <c r="F5257" s="340" t="s">
        <v>894</v>
      </c>
      <c r="G5257" s="340" t="s">
        <v>3022</v>
      </c>
      <c r="H5257" s="340" t="s">
        <v>2508</v>
      </c>
      <c r="I5257" s="340" t="s">
        <v>771</v>
      </c>
      <c r="K5257" s="343">
        <v>0</v>
      </c>
      <c r="L5257" s="343">
        <v>-0.12</v>
      </c>
      <c r="M5257" s="343">
        <v>-965261.92</v>
      </c>
      <c r="O5257" s="343">
        <v>0</v>
      </c>
    </row>
    <row r="5258" spans="1:15" x14ac:dyDescent="0.3">
      <c r="A5258" s="340" t="s">
        <v>891</v>
      </c>
      <c r="B5258" s="350">
        <v>46144</v>
      </c>
      <c r="C5258" s="350">
        <v>46148</v>
      </c>
      <c r="D5258" s="351">
        <v>46143</v>
      </c>
      <c r="E5258" s="340" t="s">
        <v>3205</v>
      </c>
      <c r="F5258" s="340" t="s">
        <v>894</v>
      </c>
      <c r="G5258" s="340" t="s">
        <v>3020</v>
      </c>
      <c r="H5258" s="340" t="s">
        <v>2447</v>
      </c>
      <c r="I5258" s="340" t="s">
        <v>771</v>
      </c>
      <c r="K5258" s="343">
        <v>0</v>
      </c>
      <c r="L5258" s="343">
        <v>-0.19</v>
      </c>
      <c r="M5258" s="343">
        <v>-965262.11</v>
      </c>
      <c r="O5258" s="343">
        <v>0</v>
      </c>
    </row>
    <row r="5259" spans="1:15" x14ac:dyDescent="0.3">
      <c r="A5259" s="340" t="s">
        <v>891</v>
      </c>
      <c r="B5259" s="350">
        <v>46144</v>
      </c>
      <c r="C5259" s="350">
        <v>46148</v>
      </c>
      <c r="D5259" s="351">
        <v>46143</v>
      </c>
      <c r="E5259" s="340" t="s">
        <v>3205</v>
      </c>
      <c r="F5259" s="340" t="s">
        <v>894</v>
      </c>
      <c r="G5259" s="340" t="s">
        <v>3020</v>
      </c>
      <c r="H5259" s="340" t="s">
        <v>2457</v>
      </c>
      <c r="I5259" s="340" t="s">
        <v>771</v>
      </c>
      <c r="K5259" s="343">
        <v>0</v>
      </c>
      <c r="L5259" s="343">
        <v>-0.33</v>
      </c>
      <c r="M5259" s="343">
        <v>-965262.44</v>
      </c>
      <c r="O5259" s="343">
        <v>0</v>
      </c>
    </row>
    <row r="5260" spans="1:15" x14ac:dyDescent="0.3">
      <c r="A5260" s="340" t="s">
        <v>891</v>
      </c>
      <c r="B5260" s="350">
        <v>46144</v>
      </c>
      <c r="C5260" s="350">
        <v>46148</v>
      </c>
      <c r="D5260" s="351">
        <v>46143</v>
      </c>
      <c r="E5260" s="340" t="s">
        <v>3205</v>
      </c>
      <c r="F5260" s="340" t="s">
        <v>894</v>
      </c>
      <c r="G5260" s="340" t="s">
        <v>3022</v>
      </c>
      <c r="H5260" s="340" t="s">
        <v>2457</v>
      </c>
      <c r="I5260" s="340" t="s">
        <v>771</v>
      </c>
      <c r="K5260" s="343">
        <v>0</v>
      </c>
      <c r="L5260" s="343">
        <v>-0.65</v>
      </c>
      <c r="M5260" s="343">
        <v>-965263.09</v>
      </c>
      <c r="O5260" s="343">
        <v>0</v>
      </c>
    </row>
    <row r="5261" spans="1:15" x14ac:dyDescent="0.3">
      <c r="A5261" s="340" t="s">
        <v>891</v>
      </c>
      <c r="B5261" s="350">
        <v>46144</v>
      </c>
      <c r="C5261" s="350">
        <v>46148</v>
      </c>
      <c r="D5261" s="351">
        <v>46143</v>
      </c>
      <c r="E5261" s="340" t="s">
        <v>3205</v>
      </c>
      <c r="F5261" s="340" t="s">
        <v>894</v>
      </c>
      <c r="G5261" s="340" t="s">
        <v>3206</v>
      </c>
      <c r="H5261" s="340" t="s">
        <v>2457</v>
      </c>
      <c r="I5261" s="340" t="s">
        <v>771</v>
      </c>
      <c r="K5261" s="343">
        <v>0</v>
      </c>
      <c r="L5261" s="343">
        <v>-29.17</v>
      </c>
      <c r="M5261" s="343">
        <v>-965292.26</v>
      </c>
      <c r="O5261" s="343">
        <v>0</v>
      </c>
    </row>
    <row r="5262" spans="1:15" x14ac:dyDescent="0.3">
      <c r="A5262" s="340" t="s">
        <v>891</v>
      </c>
      <c r="B5262" s="350">
        <v>46144</v>
      </c>
      <c r="C5262" s="350">
        <v>46148</v>
      </c>
      <c r="D5262" s="351">
        <v>46143</v>
      </c>
      <c r="E5262" s="340" t="s">
        <v>3205</v>
      </c>
      <c r="F5262" s="340" t="s">
        <v>894</v>
      </c>
      <c r="G5262" s="340" t="s">
        <v>3017</v>
      </c>
      <c r="H5262" s="340" t="s">
        <v>2457</v>
      </c>
      <c r="I5262" s="340" t="s">
        <v>771</v>
      </c>
      <c r="K5262" s="343">
        <v>0</v>
      </c>
      <c r="L5262" s="343">
        <v>-2.95</v>
      </c>
      <c r="M5262" s="343">
        <v>-965295.21</v>
      </c>
      <c r="O5262" s="343">
        <v>0</v>
      </c>
    </row>
    <row r="5263" spans="1:15" x14ac:dyDescent="0.3">
      <c r="A5263" s="340" t="s">
        <v>891</v>
      </c>
      <c r="B5263" s="350">
        <v>46144</v>
      </c>
      <c r="C5263" s="350">
        <v>46148</v>
      </c>
      <c r="D5263" s="351">
        <v>46143</v>
      </c>
      <c r="E5263" s="340" t="s">
        <v>3205</v>
      </c>
      <c r="F5263" s="340" t="s">
        <v>894</v>
      </c>
      <c r="G5263" s="340" t="s">
        <v>3020</v>
      </c>
      <c r="H5263" s="340" t="s">
        <v>2529</v>
      </c>
      <c r="I5263" s="340" t="s">
        <v>771</v>
      </c>
      <c r="K5263" s="343">
        <v>0</v>
      </c>
      <c r="L5263" s="343">
        <v>-0.4</v>
      </c>
      <c r="M5263" s="343">
        <v>-965295.61</v>
      </c>
      <c r="O5263" s="343">
        <v>0</v>
      </c>
    </row>
    <row r="5264" spans="1:15" x14ac:dyDescent="0.3">
      <c r="A5264" s="340" t="s">
        <v>891</v>
      </c>
      <c r="B5264" s="350">
        <v>46144</v>
      </c>
      <c r="C5264" s="350">
        <v>46148</v>
      </c>
      <c r="D5264" s="351">
        <v>46143</v>
      </c>
      <c r="E5264" s="340" t="s">
        <v>3205</v>
      </c>
      <c r="F5264" s="340" t="s">
        <v>894</v>
      </c>
      <c r="G5264" s="340" t="s">
        <v>3022</v>
      </c>
      <c r="H5264" s="340" t="s">
        <v>2529</v>
      </c>
      <c r="I5264" s="340" t="s">
        <v>771</v>
      </c>
      <c r="K5264" s="343">
        <v>0</v>
      </c>
      <c r="L5264" s="343">
        <v>-0.8</v>
      </c>
      <c r="M5264" s="343">
        <v>-965296.41</v>
      </c>
      <c r="O5264" s="343">
        <v>0</v>
      </c>
    </row>
    <row r="5265" spans="1:15" x14ac:dyDescent="0.3">
      <c r="A5265" s="340" t="s">
        <v>891</v>
      </c>
      <c r="B5265" s="350">
        <v>46144</v>
      </c>
      <c r="C5265" s="350">
        <v>46148</v>
      </c>
      <c r="D5265" s="351">
        <v>46143</v>
      </c>
      <c r="E5265" s="340" t="s">
        <v>3205</v>
      </c>
      <c r="F5265" s="340" t="s">
        <v>894</v>
      </c>
      <c r="G5265" s="340" t="s">
        <v>3022</v>
      </c>
      <c r="H5265" s="340" t="s">
        <v>2523</v>
      </c>
      <c r="I5265" s="340" t="s">
        <v>771</v>
      </c>
      <c r="K5265" s="343">
        <v>0</v>
      </c>
      <c r="L5265" s="343">
        <v>-0.11</v>
      </c>
      <c r="M5265" s="343">
        <v>-965296.52</v>
      </c>
      <c r="O5265" s="343">
        <v>0</v>
      </c>
    </row>
    <row r="5266" spans="1:15" x14ac:dyDescent="0.3">
      <c r="A5266" s="340" t="s">
        <v>891</v>
      </c>
      <c r="B5266" s="350">
        <v>46144</v>
      </c>
      <c r="C5266" s="350">
        <v>46148</v>
      </c>
      <c r="D5266" s="351">
        <v>46143</v>
      </c>
      <c r="E5266" s="340" t="s">
        <v>3205</v>
      </c>
      <c r="F5266" s="340" t="s">
        <v>894</v>
      </c>
      <c r="G5266" s="340" t="s">
        <v>3206</v>
      </c>
      <c r="H5266" s="340" t="s">
        <v>2523</v>
      </c>
      <c r="I5266" s="340" t="s">
        <v>771</v>
      </c>
      <c r="K5266" s="343">
        <v>0</v>
      </c>
      <c r="L5266" s="343">
        <v>-2.33</v>
      </c>
      <c r="M5266" s="343">
        <v>-965298.85</v>
      </c>
      <c r="O5266" s="343">
        <v>0</v>
      </c>
    </row>
    <row r="5267" spans="1:15" x14ac:dyDescent="0.3">
      <c r="A5267" s="340" t="s">
        <v>891</v>
      </c>
      <c r="B5267" s="350">
        <v>46144</v>
      </c>
      <c r="C5267" s="350">
        <v>46148</v>
      </c>
      <c r="D5267" s="351">
        <v>46143</v>
      </c>
      <c r="E5267" s="340" t="s">
        <v>3205</v>
      </c>
      <c r="F5267" s="340" t="s">
        <v>894</v>
      </c>
      <c r="G5267" s="340" t="s">
        <v>3017</v>
      </c>
      <c r="H5267" s="340" t="s">
        <v>2523</v>
      </c>
      <c r="I5267" s="340" t="s">
        <v>771</v>
      </c>
      <c r="K5267" s="343">
        <v>0</v>
      </c>
      <c r="L5267" s="343">
        <v>-2.95</v>
      </c>
      <c r="M5267" s="343">
        <v>-965301.8</v>
      </c>
      <c r="O5267" s="343">
        <v>0</v>
      </c>
    </row>
    <row r="5268" spans="1:15" x14ac:dyDescent="0.3">
      <c r="A5268" s="340" t="s">
        <v>891</v>
      </c>
      <c r="B5268" s="350">
        <v>46144</v>
      </c>
      <c r="C5268" s="350">
        <v>46148</v>
      </c>
      <c r="D5268" s="351">
        <v>46143</v>
      </c>
      <c r="E5268" s="340" t="s">
        <v>3205</v>
      </c>
      <c r="F5268" s="340" t="s">
        <v>894</v>
      </c>
      <c r="G5268" s="340" t="s">
        <v>3233</v>
      </c>
      <c r="H5268" s="340" t="s">
        <v>2509</v>
      </c>
      <c r="I5268" s="340" t="s">
        <v>771</v>
      </c>
      <c r="K5268" s="343">
        <v>0</v>
      </c>
      <c r="L5268" s="343">
        <v>-0.03</v>
      </c>
      <c r="M5268" s="343">
        <v>-965301.83</v>
      </c>
      <c r="O5268" s="343">
        <v>0</v>
      </c>
    </row>
    <row r="5269" spans="1:15" x14ac:dyDescent="0.3">
      <c r="A5269" s="340" t="s">
        <v>891</v>
      </c>
      <c r="B5269" s="350">
        <v>46144</v>
      </c>
      <c r="C5269" s="350">
        <v>46148</v>
      </c>
      <c r="D5269" s="351">
        <v>46143</v>
      </c>
      <c r="E5269" s="340" t="s">
        <v>3205</v>
      </c>
      <c r="F5269" s="340" t="s">
        <v>894</v>
      </c>
      <c r="G5269" s="340" t="s">
        <v>3234</v>
      </c>
      <c r="H5269" s="340" t="s">
        <v>2509</v>
      </c>
      <c r="I5269" s="340" t="s">
        <v>771</v>
      </c>
      <c r="K5269" s="343">
        <v>0</v>
      </c>
      <c r="L5269" s="343">
        <v>-7.0000000000000007E-2</v>
      </c>
      <c r="M5269" s="343">
        <v>-965301.9</v>
      </c>
      <c r="O5269" s="343">
        <v>0</v>
      </c>
    </row>
    <row r="5270" spans="1:15" x14ac:dyDescent="0.3">
      <c r="A5270" s="340" t="s">
        <v>891</v>
      </c>
      <c r="B5270" s="350">
        <v>46144</v>
      </c>
      <c r="C5270" s="350">
        <v>46148</v>
      </c>
      <c r="D5270" s="351">
        <v>46143</v>
      </c>
      <c r="E5270" s="340" t="s">
        <v>3205</v>
      </c>
      <c r="F5270" s="340" t="s">
        <v>894</v>
      </c>
      <c r="G5270" s="340" t="s">
        <v>3258</v>
      </c>
      <c r="H5270" s="340" t="s">
        <v>2509</v>
      </c>
      <c r="I5270" s="340" t="s">
        <v>771</v>
      </c>
      <c r="K5270" s="343">
        <v>0</v>
      </c>
      <c r="L5270" s="343">
        <v>-0.25</v>
      </c>
      <c r="M5270" s="343">
        <v>-965302.15</v>
      </c>
      <c r="O5270" s="343">
        <v>0</v>
      </c>
    </row>
    <row r="5271" spans="1:15" x14ac:dyDescent="0.3">
      <c r="A5271" s="340" t="s">
        <v>891</v>
      </c>
      <c r="B5271" s="350">
        <v>46144</v>
      </c>
      <c r="C5271" s="350">
        <v>46148</v>
      </c>
      <c r="D5271" s="351">
        <v>46143</v>
      </c>
      <c r="E5271" s="340" t="s">
        <v>3205</v>
      </c>
      <c r="F5271" s="340" t="s">
        <v>894</v>
      </c>
      <c r="G5271" s="340" t="s">
        <v>3259</v>
      </c>
      <c r="H5271" s="340" t="s">
        <v>2509</v>
      </c>
      <c r="I5271" s="340" t="s">
        <v>771</v>
      </c>
      <c r="K5271" s="343">
        <v>0</v>
      </c>
      <c r="L5271" s="343">
        <v>-0.35</v>
      </c>
      <c r="M5271" s="343">
        <v>-965302.5</v>
      </c>
      <c r="O5271" s="343">
        <v>0</v>
      </c>
    </row>
    <row r="5272" spans="1:15" x14ac:dyDescent="0.3">
      <c r="A5272" s="340" t="s">
        <v>891</v>
      </c>
      <c r="B5272" s="350">
        <v>46144</v>
      </c>
      <c r="C5272" s="350">
        <v>46148</v>
      </c>
      <c r="D5272" s="351">
        <v>46143</v>
      </c>
      <c r="E5272" s="340" t="s">
        <v>3205</v>
      </c>
      <c r="F5272" s="340" t="s">
        <v>894</v>
      </c>
      <c r="G5272" s="340" t="s">
        <v>3017</v>
      </c>
      <c r="H5272" s="340" t="s">
        <v>2494</v>
      </c>
      <c r="I5272" s="340" t="s">
        <v>771</v>
      </c>
      <c r="K5272" s="343">
        <v>0</v>
      </c>
      <c r="L5272" s="343">
        <v>-2.95</v>
      </c>
      <c r="M5272" s="343">
        <v>-965305.45</v>
      </c>
      <c r="O5272" s="343">
        <v>0</v>
      </c>
    </row>
    <row r="5273" spans="1:15" x14ac:dyDescent="0.3">
      <c r="A5273" s="340" t="s">
        <v>891</v>
      </c>
      <c r="B5273" s="350">
        <v>46144</v>
      </c>
      <c r="C5273" s="350">
        <v>46148</v>
      </c>
      <c r="D5273" s="351">
        <v>46143</v>
      </c>
      <c r="E5273" s="340" t="s">
        <v>3205</v>
      </c>
      <c r="F5273" s="340" t="s">
        <v>894</v>
      </c>
      <c r="G5273" s="340" t="s">
        <v>3022</v>
      </c>
      <c r="H5273" s="340" t="s">
        <v>2494</v>
      </c>
      <c r="I5273" s="340" t="s">
        <v>771</v>
      </c>
      <c r="K5273" s="343">
        <v>0</v>
      </c>
      <c r="L5273" s="343">
        <v>-0.12</v>
      </c>
      <c r="M5273" s="343">
        <v>-965305.57</v>
      </c>
      <c r="O5273" s="343">
        <v>0</v>
      </c>
    </row>
    <row r="5274" spans="1:15" x14ac:dyDescent="0.3">
      <c r="A5274" s="340" t="s">
        <v>891</v>
      </c>
      <c r="B5274" s="350">
        <v>46144</v>
      </c>
      <c r="C5274" s="350">
        <v>46148</v>
      </c>
      <c r="D5274" s="351">
        <v>46143</v>
      </c>
      <c r="E5274" s="340" t="s">
        <v>3205</v>
      </c>
      <c r="F5274" s="340" t="s">
        <v>894</v>
      </c>
      <c r="G5274" s="340" t="s">
        <v>3206</v>
      </c>
      <c r="H5274" s="340" t="s">
        <v>2494</v>
      </c>
      <c r="I5274" s="340" t="s">
        <v>771</v>
      </c>
      <c r="K5274" s="343">
        <v>0</v>
      </c>
      <c r="L5274" s="343">
        <v>-2.99</v>
      </c>
      <c r="M5274" s="343">
        <v>-965308.56</v>
      </c>
      <c r="O5274" s="343">
        <v>0</v>
      </c>
    </row>
    <row r="5275" spans="1:15" x14ac:dyDescent="0.3">
      <c r="A5275" s="340" t="s">
        <v>891</v>
      </c>
      <c r="B5275" s="350">
        <v>46144</v>
      </c>
      <c r="C5275" s="350">
        <v>46148</v>
      </c>
      <c r="D5275" s="351">
        <v>46143</v>
      </c>
      <c r="E5275" s="340" t="s">
        <v>3205</v>
      </c>
      <c r="F5275" s="340" t="s">
        <v>894</v>
      </c>
      <c r="G5275" s="340" t="s">
        <v>3020</v>
      </c>
      <c r="H5275" s="340" t="s">
        <v>2494</v>
      </c>
      <c r="I5275" s="340" t="s">
        <v>771</v>
      </c>
      <c r="K5275" s="343">
        <v>0</v>
      </c>
      <c r="L5275" s="343">
        <v>-0.06</v>
      </c>
      <c r="M5275" s="343">
        <v>-965308.62</v>
      </c>
      <c r="O5275" s="343">
        <v>0</v>
      </c>
    </row>
    <row r="5276" spans="1:15" x14ac:dyDescent="0.3">
      <c r="A5276" s="340" t="s">
        <v>891</v>
      </c>
      <c r="B5276" s="350">
        <v>46144</v>
      </c>
      <c r="C5276" s="350">
        <v>46148</v>
      </c>
      <c r="D5276" s="351">
        <v>46143</v>
      </c>
      <c r="E5276" s="340" t="s">
        <v>3205</v>
      </c>
      <c r="F5276" s="340" t="s">
        <v>894</v>
      </c>
      <c r="G5276" s="340" t="s">
        <v>3260</v>
      </c>
      <c r="H5276" s="340" t="s">
        <v>3261</v>
      </c>
      <c r="I5276" s="340" t="s">
        <v>771</v>
      </c>
      <c r="K5276" s="343">
        <v>0</v>
      </c>
      <c r="L5276" s="343">
        <v>-0.17</v>
      </c>
      <c r="M5276" s="343">
        <v>-965308.79</v>
      </c>
      <c r="O5276" s="343">
        <v>0</v>
      </c>
    </row>
    <row r="5277" spans="1:15" x14ac:dyDescent="0.3">
      <c r="A5277" s="340" t="s">
        <v>891</v>
      </c>
      <c r="B5277" s="350">
        <v>46144</v>
      </c>
      <c r="C5277" s="350">
        <v>46148</v>
      </c>
      <c r="D5277" s="351">
        <v>46143</v>
      </c>
      <c r="E5277" s="340" t="s">
        <v>3205</v>
      </c>
      <c r="F5277" s="340" t="s">
        <v>894</v>
      </c>
      <c r="G5277" s="340" t="s">
        <v>3262</v>
      </c>
      <c r="H5277" s="340" t="s">
        <v>3261</v>
      </c>
      <c r="I5277" s="340" t="s">
        <v>771</v>
      </c>
      <c r="K5277" s="343">
        <v>0</v>
      </c>
      <c r="L5277" s="343">
        <v>-0.2</v>
      </c>
      <c r="M5277" s="343">
        <v>-965308.99</v>
      </c>
      <c r="O5277" s="343">
        <v>0</v>
      </c>
    </row>
    <row r="5278" spans="1:15" x14ac:dyDescent="0.3">
      <c r="A5278" s="340" t="s">
        <v>891</v>
      </c>
      <c r="B5278" s="350">
        <v>46144</v>
      </c>
      <c r="C5278" s="350">
        <v>46148</v>
      </c>
      <c r="D5278" s="351">
        <v>46143</v>
      </c>
      <c r="E5278" s="340" t="s">
        <v>3205</v>
      </c>
      <c r="F5278" s="340" t="s">
        <v>894</v>
      </c>
      <c r="G5278" s="340" t="s">
        <v>3263</v>
      </c>
      <c r="H5278" s="340" t="s">
        <v>3261</v>
      </c>
      <c r="I5278" s="340" t="s">
        <v>771</v>
      </c>
      <c r="K5278" s="343">
        <v>0</v>
      </c>
      <c r="L5278" s="343">
        <v>-0.34</v>
      </c>
      <c r="M5278" s="343">
        <v>-965309.33</v>
      </c>
      <c r="O5278" s="343">
        <v>0</v>
      </c>
    </row>
    <row r="5279" spans="1:15" x14ac:dyDescent="0.3">
      <c r="A5279" s="340" t="s">
        <v>891</v>
      </c>
      <c r="B5279" s="350">
        <v>46144</v>
      </c>
      <c r="C5279" s="350">
        <v>46148</v>
      </c>
      <c r="D5279" s="351">
        <v>46143</v>
      </c>
      <c r="E5279" s="340" t="s">
        <v>3205</v>
      </c>
      <c r="F5279" s="340" t="s">
        <v>894</v>
      </c>
      <c r="G5279" s="340" t="s">
        <v>3264</v>
      </c>
      <c r="H5279" s="340" t="s">
        <v>3261</v>
      </c>
      <c r="I5279" s="340" t="s">
        <v>771</v>
      </c>
      <c r="K5279" s="343">
        <v>0</v>
      </c>
      <c r="L5279" s="343">
        <v>-2.95</v>
      </c>
      <c r="M5279" s="343">
        <v>-965312.28</v>
      </c>
      <c r="O5279" s="343">
        <v>0</v>
      </c>
    </row>
    <row r="5280" spans="1:15" x14ac:dyDescent="0.3">
      <c r="A5280" s="340" t="s">
        <v>891</v>
      </c>
      <c r="B5280" s="350">
        <v>46144</v>
      </c>
      <c r="C5280" s="350">
        <v>46148</v>
      </c>
      <c r="D5280" s="351">
        <v>46143</v>
      </c>
      <c r="E5280" s="340" t="s">
        <v>3205</v>
      </c>
      <c r="F5280" s="340" t="s">
        <v>894</v>
      </c>
      <c r="G5280" s="340" t="s">
        <v>3265</v>
      </c>
      <c r="H5280" s="340" t="s">
        <v>3261</v>
      </c>
      <c r="I5280" s="340" t="s">
        <v>771</v>
      </c>
      <c r="K5280" s="343">
        <v>0</v>
      </c>
      <c r="L5280" s="343">
        <v>-13.88</v>
      </c>
      <c r="M5280" s="343">
        <v>-965326.16</v>
      </c>
      <c r="O5280" s="343">
        <v>0</v>
      </c>
    </row>
    <row r="5281" spans="1:15" x14ac:dyDescent="0.3">
      <c r="A5281" s="340" t="s">
        <v>891</v>
      </c>
      <c r="B5281" s="350">
        <v>46144</v>
      </c>
      <c r="C5281" s="350">
        <v>46148</v>
      </c>
      <c r="D5281" s="351">
        <v>46143</v>
      </c>
      <c r="E5281" s="340" t="s">
        <v>3205</v>
      </c>
      <c r="F5281" s="340" t="s">
        <v>894</v>
      </c>
      <c r="G5281" s="340" t="s">
        <v>3206</v>
      </c>
      <c r="H5281" s="340" t="s">
        <v>2525</v>
      </c>
      <c r="I5281" s="340" t="s">
        <v>771</v>
      </c>
      <c r="K5281" s="343">
        <v>0</v>
      </c>
      <c r="L5281" s="343">
        <v>-2.58</v>
      </c>
      <c r="M5281" s="343">
        <v>-965328.74</v>
      </c>
      <c r="O5281" s="343">
        <v>0</v>
      </c>
    </row>
    <row r="5282" spans="1:15" x14ac:dyDescent="0.3">
      <c r="A5282" s="340" t="s">
        <v>891</v>
      </c>
      <c r="B5282" s="350">
        <v>46144</v>
      </c>
      <c r="C5282" s="350">
        <v>46148</v>
      </c>
      <c r="D5282" s="351">
        <v>46143</v>
      </c>
      <c r="E5282" s="340" t="s">
        <v>3205</v>
      </c>
      <c r="F5282" s="340" t="s">
        <v>894</v>
      </c>
      <c r="G5282" s="340" t="s">
        <v>3020</v>
      </c>
      <c r="H5282" s="340" t="s">
        <v>2525</v>
      </c>
      <c r="I5282" s="340" t="s">
        <v>771</v>
      </c>
      <c r="K5282" s="343">
        <v>0</v>
      </c>
      <c r="L5282" s="343">
        <v>-0.06</v>
      </c>
      <c r="M5282" s="343">
        <v>-965328.8</v>
      </c>
      <c r="O5282" s="343">
        <v>0</v>
      </c>
    </row>
    <row r="5283" spans="1:15" x14ac:dyDescent="0.3">
      <c r="A5283" s="340" t="s">
        <v>891</v>
      </c>
      <c r="B5283" s="350">
        <v>46144</v>
      </c>
      <c r="C5283" s="350">
        <v>46148</v>
      </c>
      <c r="D5283" s="351">
        <v>46143</v>
      </c>
      <c r="E5283" s="340" t="s">
        <v>3205</v>
      </c>
      <c r="F5283" s="340" t="s">
        <v>894</v>
      </c>
      <c r="G5283" s="340" t="s">
        <v>3022</v>
      </c>
      <c r="H5283" s="340" t="s">
        <v>2525</v>
      </c>
      <c r="I5283" s="340" t="s">
        <v>771</v>
      </c>
      <c r="K5283" s="343">
        <v>0</v>
      </c>
      <c r="L5283" s="343">
        <v>-0.11</v>
      </c>
      <c r="M5283" s="343">
        <v>-965328.91</v>
      </c>
      <c r="O5283" s="343">
        <v>0</v>
      </c>
    </row>
    <row r="5284" spans="1:15" x14ac:dyDescent="0.3">
      <c r="A5284" s="340" t="s">
        <v>891</v>
      </c>
      <c r="B5284" s="350">
        <v>46144</v>
      </c>
      <c r="C5284" s="350">
        <v>46148</v>
      </c>
      <c r="D5284" s="351">
        <v>46143</v>
      </c>
      <c r="E5284" s="340" t="s">
        <v>3205</v>
      </c>
      <c r="F5284" s="340" t="s">
        <v>894</v>
      </c>
      <c r="G5284" s="340" t="s">
        <v>3022</v>
      </c>
      <c r="H5284" s="340" t="s">
        <v>2506</v>
      </c>
      <c r="I5284" s="340" t="s">
        <v>771</v>
      </c>
      <c r="K5284" s="343">
        <v>0</v>
      </c>
      <c r="L5284" s="343">
        <v>-0.52</v>
      </c>
      <c r="M5284" s="343">
        <v>-965329.43</v>
      </c>
      <c r="O5284" s="343">
        <v>0</v>
      </c>
    </row>
    <row r="5285" spans="1:15" x14ac:dyDescent="0.3">
      <c r="A5285" s="340" t="s">
        <v>891</v>
      </c>
      <c r="B5285" s="350">
        <v>46144</v>
      </c>
      <c r="C5285" s="350">
        <v>46148</v>
      </c>
      <c r="D5285" s="351">
        <v>46143</v>
      </c>
      <c r="E5285" s="340" t="s">
        <v>3205</v>
      </c>
      <c r="F5285" s="340" t="s">
        <v>894</v>
      </c>
      <c r="G5285" s="340" t="s">
        <v>3017</v>
      </c>
      <c r="H5285" s="340" t="s">
        <v>2506</v>
      </c>
      <c r="I5285" s="340" t="s">
        <v>771</v>
      </c>
      <c r="K5285" s="343">
        <v>0</v>
      </c>
      <c r="L5285" s="343">
        <v>-2.95</v>
      </c>
      <c r="M5285" s="343">
        <v>-965332.38</v>
      </c>
      <c r="O5285" s="343">
        <v>0</v>
      </c>
    </row>
    <row r="5286" spans="1:15" x14ac:dyDescent="0.3">
      <c r="A5286" s="340" t="s">
        <v>891</v>
      </c>
      <c r="B5286" s="350">
        <v>46144</v>
      </c>
      <c r="C5286" s="350">
        <v>46148</v>
      </c>
      <c r="D5286" s="351">
        <v>46143</v>
      </c>
      <c r="E5286" s="340" t="s">
        <v>3205</v>
      </c>
      <c r="F5286" s="340" t="s">
        <v>894</v>
      </c>
      <c r="G5286" s="340" t="s">
        <v>3206</v>
      </c>
      <c r="H5286" s="340" t="s">
        <v>2506</v>
      </c>
      <c r="I5286" s="340" t="s">
        <v>771</v>
      </c>
      <c r="K5286" s="343">
        <v>0</v>
      </c>
      <c r="L5286" s="343">
        <v>-22.6</v>
      </c>
      <c r="M5286" s="343">
        <v>-965354.98</v>
      </c>
      <c r="O5286" s="343">
        <v>0</v>
      </c>
    </row>
    <row r="5287" spans="1:15" x14ac:dyDescent="0.3">
      <c r="A5287" s="340" t="s">
        <v>891</v>
      </c>
      <c r="B5287" s="350">
        <v>46144</v>
      </c>
      <c r="C5287" s="350">
        <v>46148</v>
      </c>
      <c r="D5287" s="351">
        <v>46143</v>
      </c>
      <c r="E5287" s="340" t="s">
        <v>3205</v>
      </c>
      <c r="F5287" s="340" t="s">
        <v>894</v>
      </c>
      <c r="G5287" s="340" t="s">
        <v>3260</v>
      </c>
      <c r="H5287" s="340" t="s">
        <v>3266</v>
      </c>
      <c r="I5287" s="340" t="s">
        <v>771</v>
      </c>
      <c r="K5287" s="343">
        <v>0</v>
      </c>
      <c r="L5287" s="343">
        <v>-7.0000000000000007E-2</v>
      </c>
      <c r="M5287" s="343">
        <v>-965355.05</v>
      </c>
      <c r="O5287" s="343">
        <v>0</v>
      </c>
    </row>
    <row r="5288" spans="1:15" x14ac:dyDescent="0.3">
      <c r="A5288" s="340" t="s">
        <v>891</v>
      </c>
      <c r="B5288" s="350">
        <v>46144</v>
      </c>
      <c r="C5288" s="350">
        <v>46148</v>
      </c>
      <c r="D5288" s="351">
        <v>46143</v>
      </c>
      <c r="E5288" s="340" t="s">
        <v>3205</v>
      </c>
      <c r="F5288" s="340" t="s">
        <v>894</v>
      </c>
      <c r="G5288" s="340" t="s">
        <v>3263</v>
      </c>
      <c r="H5288" s="340" t="s">
        <v>3266</v>
      </c>
      <c r="I5288" s="340" t="s">
        <v>771</v>
      </c>
      <c r="K5288" s="343">
        <v>0</v>
      </c>
      <c r="L5288" s="343">
        <v>-0.15</v>
      </c>
      <c r="M5288" s="343">
        <v>-965355.2</v>
      </c>
      <c r="O5288" s="343">
        <v>0</v>
      </c>
    </row>
    <row r="5289" spans="1:15" x14ac:dyDescent="0.3">
      <c r="A5289" s="340" t="s">
        <v>891</v>
      </c>
      <c r="B5289" s="350">
        <v>46144</v>
      </c>
      <c r="C5289" s="350">
        <v>46148</v>
      </c>
      <c r="D5289" s="351">
        <v>46143</v>
      </c>
      <c r="E5289" s="340" t="s">
        <v>3205</v>
      </c>
      <c r="F5289" s="340" t="s">
        <v>894</v>
      </c>
      <c r="G5289" s="340" t="s">
        <v>3262</v>
      </c>
      <c r="H5289" s="340" t="s">
        <v>3266</v>
      </c>
      <c r="I5289" s="340" t="s">
        <v>771</v>
      </c>
      <c r="K5289" s="343">
        <v>0</v>
      </c>
      <c r="L5289" s="343">
        <v>-0.2</v>
      </c>
      <c r="M5289" s="343">
        <v>-965355.4</v>
      </c>
      <c r="O5289" s="343">
        <v>0</v>
      </c>
    </row>
    <row r="5290" spans="1:15" x14ac:dyDescent="0.3">
      <c r="A5290" s="340" t="s">
        <v>891</v>
      </c>
      <c r="B5290" s="350">
        <v>46144</v>
      </c>
      <c r="C5290" s="350">
        <v>46148</v>
      </c>
      <c r="D5290" s="351">
        <v>46143</v>
      </c>
      <c r="E5290" s="340" t="s">
        <v>3205</v>
      </c>
      <c r="F5290" s="340" t="s">
        <v>894</v>
      </c>
      <c r="G5290" s="340" t="s">
        <v>3264</v>
      </c>
      <c r="H5290" s="340" t="s">
        <v>3266</v>
      </c>
      <c r="I5290" s="340" t="s">
        <v>771</v>
      </c>
      <c r="K5290" s="343">
        <v>0</v>
      </c>
      <c r="L5290" s="343">
        <v>-2.95</v>
      </c>
      <c r="M5290" s="343">
        <v>-965358.35</v>
      </c>
      <c r="O5290" s="343">
        <v>0</v>
      </c>
    </row>
    <row r="5291" spans="1:15" x14ac:dyDescent="0.3">
      <c r="A5291" s="340" t="s">
        <v>891</v>
      </c>
      <c r="B5291" s="350">
        <v>46144</v>
      </c>
      <c r="C5291" s="350">
        <v>46148</v>
      </c>
      <c r="D5291" s="351">
        <v>46143</v>
      </c>
      <c r="E5291" s="340" t="s">
        <v>3205</v>
      </c>
      <c r="F5291" s="340" t="s">
        <v>894</v>
      </c>
      <c r="G5291" s="340" t="s">
        <v>3265</v>
      </c>
      <c r="H5291" s="340" t="s">
        <v>3266</v>
      </c>
      <c r="I5291" s="340" t="s">
        <v>771</v>
      </c>
      <c r="K5291" s="343">
        <v>0</v>
      </c>
      <c r="L5291" s="343">
        <v>-4.32</v>
      </c>
      <c r="M5291" s="343">
        <v>-965362.67</v>
      </c>
      <c r="O5291" s="343">
        <v>0</v>
      </c>
    </row>
    <row r="5292" spans="1:15" x14ac:dyDescent="0.3">
      <c r="A5292" s="340" t="s">
        <v>891</v>
      </c>
      <c r="B5292" s="350">
        <v>46144</v>
      </c>
      <c r="C5292" s="350">
        <v>46148</v>
      </c>
      <c r="D5292" s="351">
        <v>46143</v>
      </c>
      <c r="E5292" s="340" t="s">
        <v>3205</v>
      </c>
      <c r="F5292" s="340" t="s">
        <v>894</v>
      </c>
      <c r="G5292" s="340" t="s">
        <v>3022</v>
      </c>
      <c r="H5292" s="340" t="s">
        <v>2522</v>
      </c>
      <c r="I5292" s="340" t="s">
        <v>771</v>
      </c>
      <c r="K5292" s="343">
        <v>0</v>
      </c>
      <c r="L5292" s="343">
        <v>-0.13</v>
      </c>
      <c r="M5292" s="343">
        <v>-965362.8</v>
      </c>
      <c r="O5292" s="343">
        <v>0</v>
      </c>
    </row>
    <row r="5293" spans="1:15" x14ac:dyDescent="0.3">
      <c r="A5293" s="340" t="s">
        <v>891</v>
      </c>
      <c r="B5293" s="350">
        <v>46144</v>
      </c>
      <c r="C5293" s="350">
        <v>46148</v>
      </c>
      <c r="D5293" s="351">
        <v>46143</v>
      </c>
      <c r="E5293" s="340" t="s">
        <v>3205</v>
      </c>
      <c r="F5293" s="340" t="s">
        <v>894</v>
      </c>
      <c r="G5293" s="340" t="s">
        <v>3020</v>
      </c>
      <c r="H5293" s="340" t="s">
        <v>2522</v>
      </c>
      <c r="I5293" s="340" t="s">
        <v>771</v>
      </c>
      <c r="K5293" s="343">
        <v>0</v>
      </c>
      <c r="L5293" s="343">
        <v>-7.0000000000000007E-2</v>
      </c>
      <c r="M5293" s="343">
        <v>-965362.87</v>
      </c>
      <c r="O5293" s="343">
        <v>0</v>
      </c>
    </row>
    <row r="5294" spans="1:15" x14ac:dyDescent="0.3">
      <c r="A5294" s="340" t="s">
        <v>891</v>
      </c>
      <c r="B5294" s="350">
        <v>46144</v>
      </c>
      <c r="C5294" s="350">
        <v>46148</v>
      </c>
      <c r="D5294" s="351">
        <v>46143</v>
      </c>
      <c r="E5294" s="340" t="s">
        <v>3205</v>
      </c>
      <c r="F5294" s="340" t="s">
        <v>894</v>
      </c>
      <c r="G5294" s="340" t="s">
        <v>3017</v>
      </c>
      <c r="H5294" s="340" t="s">
        <v>2522</v>
      </c>
      <c r="I5294" s="340" t="s">
        <v>771</v>
      </c>
      <c r="K5294" s="343">
        <v>0</v>
      </c>
      <c r="L5294" s="343">
        <v>-2.95</v>
      </c>
      <c r="M5294" s="343">
        <v>-965365.82</v>
      </c>
      <c r="O5294" s="343">
        <v>0</v>
      </c>
    </row>
    <row r="5295" spans="1:15" x14ac:dyDescent="0.3">
      <c r="A5295" s="340" t="s">
        <v>891</v>
      </c>
      <c r="B5295" s="350">
        <v>46144</v>
      </c>
      <c r="C5295" s="350">
        <v>46148</v>
      </c>
      <c r="D5295" s="351">
        <v>46143</v>
      </c>
      <c r="E5295" s="340" t="s">
        <v>3205</v>
      </c>
      <c r="F5295" s="340" t="s">
        <v>894</v>
      </c>
      <c r="G5295" s="340" t="s">
        <v>3206</v>
      </c>
      <c r="H5295" s="340" t="s">
        <v>2522</v>
      </c>
      <c r="I5295" s="340" t="s">
        <v>771</v>
      </c>
      <c r="K5295" s="343">
        <v>0</v>
      </c>
      <c r="L5295" s="343">
        <v>-3.49</v>
      </c>
      <c r="M5295" s="343">
        <v>-965369.31</v>
      </c>
      <c r="O5295" s="343">
        <v>0</v>
      </c>
    </row>
    <row r="5296" spans="1:15" x14ac:dyDescent="0.3">
      <c r="A5296" s="340" t="s">
        <v>891</v>
      </c>
      <c r="B5296" s="350">
        <v>46146</v>
      </c>
      <c r="C5296" s="350">
        <v>46146</v>
      </c>
      <c r="D5296" s="351">
        <v>46143</v>
      </c>
      <c r="E5296" s="340" t="s">
        <v>3267</v>
      </c>
      <c r="F5296" s="340" t="s">
        <v>894</v>
      </c>
      <c r="G5296" s="340" t="s">
        <v>3268</v>
      </c>
      <c r="H5296" s="340"/>
      <c r="I5296" s="340" t="s">
        <v>740</v>
      </c>
      <c r="K5296" s="343">
        <v>0</v>
      </c>
      <c r="L5296" s="343">
        <v>-146.13999999999999</v>
      </c>
      <c r="M5296" s="343">
        <v>-965515.45</v>
      </c>
      <c r="O5296" s="343">
        <v>0</v>
      </c>
    </row>
    <row r="5297" spans="1:15" x14ac:dyDescent="0.3">
      <c r="A5297" s="340" t="s">
        <v>891</v>
      </c>
      <c r="B5297" s="350">
        <v>46146</v>
      </c>
      <c r="C5297" s="350">
        <v>46146</v>
      </c>
      <c r="D5297" s="351">
        <v>46143</v>
      </c>
      <c r="E5297" s="340" t="s">
        <v>3269</v>
      </c>
      <c r="F5297" s="340" t="s">
        <v>894</v>
      </c>
      <c r="G5297" s="340" t="s">
        <v>3270</v>
      </c>
      <c r="H5297" s="340"/>
      <c r="I5297" s="340" t="s">
        <v>740</v>
      </c>
      <c r="K5297" s="343">
        <v>0</v>
      </c>
      <c r="L5297" s="343">
        <v>-146.13999999999999</v>
      </c>
      <c r="M5297" s="343">
        <v>-965661.59</v>
      </c>
      <c r="O5297" s="343">
        <v>0</v>
      </c>
    </row>
    <row r="5298" spans="1:15" x14ac:dyDescent="0.3">
      <c r="A5298" s="340" t="s">
        <v>891</v>
      </c>
      <c r="B5298" s="350">
        <v>46146</v>
      </c>
      <c r="C5298" s="350">
        <v>46146</v>
      </c>
      <c r="D5298" s="351">
        <v>46143</v>
      </c>
      <c r="E5298" s="340" t="s">
        <v>3271</v>
      </c>
      <c r="F5298" s="340" t="s">
        <v>894</v>
      </c>
      <c r="G5298" s="340" t="s">
        <v>3272</v>
      </c>
      <c r="H5298" s="340"/>
      <c r="I5298" s="340" t="s">
        <v>740</v>
      </c>
      <c r="K5298" s="343">
        <v>0</v>
      </c>
      <c r="L5298" s="343">
        <v>-156.96</v>
      </c>
      <c r="M5298" s="343">
        <v>-965818.55</v>
      </c>
      <c r="O5298" s="343">
        <v>0</v>
      </c>
    </row>
    <row r="5299" spans="1:15" x14ac:dyDescent="0.3">
      <c r="A5299" s="340" t="s">
        <v>891</v>
      </c>
      <c r="B5299" s="350">
        <v>46146</v>
      </c>
      <c r="C5299" s="350">
        <v>46146</v>
      </c>
      <c r="D5299" s="351">
        <v>46143</v>
      </c>
      <c r="E5299" s="340" t="s">
        <v>3273</v>
      </c>
      <c r="F5299" s="340" t="s">
        <v>894</v>
      </c>
      <c r="G5299" s="340" t="s">
        <v>3274</v>
      </c>
      <c r="H5299" s="340"/>
      <c r="I5299" s="340" t="s">
        <v>740</v>
      </c>
      <c r="K5299" s="343">
        <v>0</v>
      </c>
      <c r="L5299" s="343">
        <v>-480</v>
      </c>
      <c r="M5299" s="343">
        <v>-966298.55</v>
      </c>
      <c r="O5299" s="343">
        <v>0</v>
      </c>
    </row>
    <row r="5300" spans="1:15" x14ac:dyDescent="0.3">
      <c r="A5300" s="340" t="s">
        <v>891</v>
      </c>
      <c r="B5300" s="350">
        <v>46146</v>
      </c>
      <c r="C5300" s="350">
        <v>46146</v>
      </c>
      <c r="D5300" s="351">
        <v>46143</v>
      </c>
      <c r="E5300" s="340" t="s">
        <v>3273</v>
      </c>
      <c r="F5300" s="340" t="s">
        <v>894</v>
      </c>
      <c r="G5300" s="340" t="s">
        <v>3275</v>
      </c>
      <c r="H5300" s="340"/>
      <c r="I5300" s="340" t="s">
        <v>740</v>
      </c>
      <c r="K5300" s="343">
        <v>0</v>
      </c>
      <c r="L5300" s="343">
        <v>-480</v>
      </c>
      <c r="M5300" s="343">
        <v>-966778.55</v>
      </c>
      <c r="O5300" s="343">
        <v>0</v>
      </c>
    </row>
    <row r="5301" spans="1:15" x14ac:dyDescent="0.3">
      <c r="A5301" s="340" t="s">
        <v>891</v>
      </c>
      <c r="B5301" s="350">
        <v>46146</v>
      </c>
      <c r="C5301" s="350">
        <v>46146</v>
      </c>
      <c r="D5301" s="351">
        <v>46143</v>
      </c>
      <c r="E5301" s="340" t="s">
        <v>3276</v>
      </c>
      <c r="F5301" s="340" t="s">
        <v>894</v>
      </c>
      <c r="G5301" s="340" t="s">
        <v>3277</v>
      </c>
      <c r="H5301" s="340"/>
      <c r="I5301" s="340" t="s">
        <v>740</v>
      </c>
      <c r="K5301" s="343">
        <v>0</v>
      </c>
      <c r="L5301" s="343">
        <v>-219.44</v>
      </c>
      <c r="M5301" s="343">
        <v>-966997.99</v>
      </c>
      <c r="O5301" s="343">
        <v>0</v>
      </c>
    </row>
    <row r="5302" spans="1:15" x14ac:dyDescent="0.3">
      <c r="A5302" s="340" t="s">
        <v>891</v>
      </c>
      <c r="B5302" s="350">
        <v>46146</v>
      </c>
      <c r="C5302" s="350">
        <v>46149</v>
      </c>
      <c r="D5302" s="351">
        <v>46143</v>
      </c>
      <c r="E5302" s="340" t="s">
        <v>3278</v>
      </c>
      <c r="F5302" s="340" t="s">
        <v>894</v>
      </c>
      <c r="G5302" s="340" t="s">
        <v>3279</v>
      </c>
      <c r="H5302" s="340"/>
      <c r="I5302" s="340" t="s">
        <v>765</v>
      </c>
      <c r="K5302" s="343">
        <v>0</v>
      </c>
      <c r="L5302" s="343">
        <v>-726.72</v>
      </c>
      <c r="M5302" s="343">
        <v>-967724.71</v>
      </c>
      <c r="O5302" s="343">
        <v>0</v>
      </c>
    </row>
    <row r="5303" spans="1:15" x14ac:dyDescent="0.3">
      <c r="A5303" s="340" t="s">
        <v>891</v>
      </c>
      <c r="B5303" s="350">
        <v>46146</v>
      </c>
      <c r="C5303" s="350">
        <v>46153</v>
      </c>
      <c r="D5303" s="351">
        <v>46143</v>
      </c>
      <c r="E5303" s="340" t="s">
        <v>1232</v>
      </c>
      <c r="F5303" s="340" t="s">
        <v>894</v>
      </c>
      <c r="G5303" s="340" t="s">
        <v>1487</v>
      </c>
      <c r="H5303" s="340"/>
      <c r="I5303" s="340" t="s">
        <v>3280</v>
      </c>
      <c r="K5303" s="343">
        <v>0</v>
      </c>
      <c r="L5303" s="343">
        <v>-99</v>
      </c>
      <c r="M5303" s="343">
        <v>-967823.71</v>
      </c>
      <c r="O5303" s="343">
        <v>0</v>
      </c>
    </row>
    <row r="5304" spans="1:15" x14ac:dyDescent="0.3">
      <c r="A5304" s="340" t="s">
        <v>891</v>
      </c>
      <c r="B5304" s="350">
        <v>46146</v>
      </c>
      <c r="C5304" s="350">
        <v>46153</v>
      </c>
      <c r="D5304" s="351">
        <v>46143</v>
      </c>
      <c r="E5304" s="340" t="s">
        <v>3281</v>
      </c>
      <c r="F5304" s="340" t="s">
        <v>894</v>
      </c>
      <c r="G5304" s="340" t="s">
        <v>3282</v>
      </c>
      <c r="H5304" s="340"/>
      <c r="I5304" s="340" t="s">
        <v>757</v>
      </c>
      <c r="K5304" s="343">
        <v>25.72</v>
      </c>
      <c r="L5304" s="343">
        <v>0</v>
      </c>
      <c r="M5304" s="343">
        <v>-967797.99</v>
      </c>
      <c r="O5304" s="343">
        <v>0</v>
      </c>
    </row>
    <row r="5305" spans="1:15" x14ac:dyDescent="0.3">
      <c r="A5305" s="340" t="s">
        <v>891</v>
      </c>
      <c r="B5305" s="350">
        <v>46146</v>
      </c>
      <c r="C5305" s="350">
        <v>46153</v>
      </c>
      <c r="D5305" s="351">
        <v>46143</v>
      </c>
      <c r="E5305" s="340" t="s">
        <v>3281</v>
      </c>
      <c r="F5305" s="340" t="s">
        <v>894</v>
      </c>
      <c r="G5305" s="340" t="s">
        <v>3283</v>
      </c>
      <c r="H5305" s="340"/>
      <c r="I5305" s="340" t="s">
        <v>757</v>
      </c>
      <c r="K5305" s="343">
        <v>155.72</v>
      </c>
      <c r="L5305" s="343">
        <v>0</v>
      </c>
      <c r="M5305" s="343">
        <v>-967642.27</v>
      </c>
      <c r="O5305" s="343">
        <v>0</v>
      </c>
    </row>
    <row r="5306" spans="1:15" x14ac:dyDescent="0.3">
      <c r="A5306" s="340" t="s">
        <v>891</v>
      </c>
      <c r="B5306" s="350">
        <v>46147</v>
      </c>
      <c r="C5306" s="350">
        <v>46147</v>
      </c>
      <c r="D5306" s="351">
        <v>46143</v>
      </c>
      <c r="E5306" s="340" t="s">
        <v>3284</v>
      </c>
      <c r="F5306" s="340" t="s">
        <v>894</v>
      </c>
      <c r="G5306" s="340" t="s">
        <v>3285</v>
      </c>
      <c r="H5306" s="340"/>
      <c r="I5306" s="340" t="s">
        <v>739</v>
      </c>
      <c r="K5306" s="343">
        <v>0</v>
      </c>
      <c r="L5306" s="343">
        <v>-1094.03</v>
      </c>
      <c r="M5306" s="343">
        <v>-968736.3</v>
      </c>
      <c r="O5306" s="343">
        <v>0</v>
      </c>
    </row>
    <row r="5307" spans="1:15" x14ac:dyDescent="0.3">
      <c r="A5307" s="340" t="s">
        <v>891</v>
      </c>
      <c r="B5307" s="350">
        <v>46147</v>
      </c>
      <c r="C5307" s="350">
        <v>46147</v>
      </c>
      <c r="D5307" s="351">
        <v>46143</v>
      </c>
      <c r="E5307" s="340" t="s">
        <v>3286</v>
      </c>
      <c r="F5307" s="340" t="s">
        <v>1078</v>
      </c>
      <c r="G5307" s="340" t="s">
        <v>3287</v>
      </c>
      <c r="H5307" s="340"/>
      <c r="I5307" s="340" t="s">
        <v>943</v>
      </c>
      <c r="K5307" s="343">
        <v>2000</v>
      </c>
      <c r="L5307" s="343">
        <v>0</v>
      </c>
      <c r="M5307" s="343">
        <v>-966736.3</v>
      </c>
      <c r="O5307" s="343">
        <v>0</v>
      </c>
    </row>
    <row r="5308" spans="1:15" x14ac:dyDescent="0.3">
      <c r="A5308" s="340" t="s">
        <v>891</v>
      </c>
      <c r="B5308" s="350">
        <v>46147</v>
      </c>
      <c r="C5308" s="350">
        <v>46147</v>
      </c>
      <c r="D5308" s="351">
        <v>46143</v>
      </c>
      <c r="E5308" s="340" t="s">
        <v>3286</v>
      </c>
      <c r="F5308" s="340" t="s">
        <v>1078</v>
      </c>
      <c r="G5308" s="340" t="s">
        <v>3287</v>
      </c>
      <c r="H5308" s="340"/>
      <c r="I5308" s="340" t="s">
        <v>943</v>
      </c>
      <c r="K5308" s="343">
        <v>2000</v>
      </c>
      <c r="L5308" s="343">
        <v>0</v>
      </c>
      <c r="M5308" s="343">
        <v>-964736.3</v>
      </c>
      <c r="O5308" s="343">
        <v>0</v>
      </c>
    </row>
    <row r="5309" spans="1:15" x14ac:dyDescent="0.3">
      <c r="A5309" s="340" t="s">
        <v>891</v>
      </c>
      <c r="B5309" s="350">
        <v>46147</v>
      </c>
      <c r="C5309" s="350">
        <v>46147</v>
      </c>
      <c r="D5309" s="351">
        <v>46143</v>
      </c>
      <c r="E5309" s="340" t="s">
        <v>3288</v>
      </c>
      <c r="F5309" s="340" t="s">
        <v>1078</v>
      </c>
      <c r="G5309" s="340" t="s">
        <v>3132</v>
      </c>
      <c r="H5309" s="340"/>
      <c r="I5309" s="340" t="s">
        <v>3131</v>
      </c>
      <c r="K5309" s="343">
        <v>500</v>
      </c>
      <c r="L5309" s="343">
        <v>0</v>
      </c>
      <c r="M5309" s="343">
        <v>-964236.3</v>
      </c>
      <c r="O5309" s="343">
        <v>0</v>
      </c>
    </row>
    <row r="5310" spans="1:15" x14ac:dyDescent="0.3">
      <c r="A5310" s="340" t="s">
        <v>891</v>
      </c>
      <c r="B5310" s="350">
        <v>46147</v>
      </c>
      <c r="C5310" s="350">
        <v>46147</v>
      </c>
      <c r="D5310" s="351">
        <v>46143</v>
      </c>
      <c r="E5310" s="340" t="s">
        <v>3288</v>
      </c>
      <c r="F5310" s="340" t="s">
        <v>1078</v>
      </c>
      <c r="G5310" s="340" t="s">
        <v>1487</v>
      </c>
      <c r="H5310" s="340"/>
      <c r="I5310" s="340" t="s">
        <v>3131</v>
      </c>
      <c r="K5310" s="343">
        <v>373</v>
      </c>
      <c r="L5310" s="343">
        <v>0</v>
      </c>
      <c r="M5310" s="343">
        <v>-963863.3</v>
      </c>
      <c r="O5310" s="343">
        <v>0</v>
      </c>
    </row>
    <row r="5311" spans="1:15" x14ac:dyDescent="0.3">
      <c r="A5311" s="340" t="s">
        <v>891</v>
      </c>
      <c r="B5311" s="350">
        <v>46147</v>
      </c>
      <c r="C5311" s="350">
        <v>46148</v>
      </c>
      <c r="D5311" s="351">
        <v>46143</v>
      </c>
      <c r="E5311" s="340" t="s">
        <v>3289</v>
      </c>
      <c r="F5311" s="340" t="s">
        <v>894</v>
      </c>
      <c r="G5311" s="340" t="s">
        <v>3290</v>
      </c>
      <c r="H5311" s="340"/>
      <c r="I5311" s="340" t="s">
        <v>740</v>
      </c>
      <c r="K5311" s="343">
        <v>0</v>
      </c>
      <c r="L5311" s="343">
        <v>-770</v>
      </c>
      <c r="M5311" s="343">
        <v>-964633.3</v>
      </c>
      <c r="O5311" s="343">
        <v>0</v>
      </c>
    </row>
    <row r="5312" spans="1:15" x14ac:dyDescent="0.3">
      <c r="A5312" s="340" t="s">
        <v>891</v>
      </c>
      <c r="B5312" s="350">
        <v>46147</v>
      </c>
      <c r="C5312" s="350">
        <v>46148</v>
      </c>
      <c r="D5312" s="351">
        <v>46143</v>
      </c>
      <c r="E5312" s="340" t="s">
        <v>3289</v>
      </c>
      <c r="F5312" s="340" t="s">
        <v>894</v>
      </c>
      <c r="G5312" s="340" t="s">
        <v>3291</v>
      </c>
      <c r="H5312" s="340"/>
      <c r="I5312" s="340" t="s">
        <v>740</v>
      </c>
      <c r="K5312" s="343">
        <v>0</v>
      </c>
      <c r="L5312" s="343">
        <v>-145</v>
      </c>
      <c r="M5312" s="343">
        <v>-964778.3</v>
      </c>
      <c r="O5312" s="343">
        <v>0</v>
      </c>
    </row>
    <row r="5313" spans="1:15" x14ac:dyDescent="0.3">
      <c r="A5313" s="340" t="s">
        <v>891</v>
      </c>
      <c r="B5313" s="350">
        <v>46147</v>
      </c>
      <c r="C5313" s="350">
        <v>46148</v>
      </c>
      <c r="D5313" s="351">
        <v>46143</v>
      </c>
      <c r="E5313" s="340" t="s">
        <v>3292</v>
      </c>
      <c r="F5313" s="340" t="s">
        <v>894</v>
      </c>
      <c r="G5313" s="340" t="s">
        <v>3293</v>
      </c>
      <c r="H5313" s="340"/>
      <c r="I5313" s="340" t="s">
        <v>740</v>
      </c>
      <c r="K5313" s="343">
        <v>0</v>
      </c>
      <c r="L5313" s="343">
        <v>-520</v>
      </c>
      <c r="M5313" s="343">
        <v>-965298.3</v>
      </c>
      <c r="O5313" s="343">
        <v>0</v>
      </c>
    </row>
    <row r="5314" spans="1:15" x14ac:dyDescent="0.3">
      <c r="A5314" s="340" t="s">
        <v>891</v>
      </c>
      <c r="B5314" s="350">
        <v>46147</v>
      </c>
      <c r="C5314" s="350">
        <v>46148</v>
      </c>
      <c r="D5314" s="351">
        <v>46143</v>
      </c>
      <c r="E5314" s="340" t="s">
        <v>3294</v>
      </c>
      <c r="F5314" s="340" t="s">
        <v>894</v>
      </c>
      <c r="G5314" s="340" t="s">
        <v>3295</v>
      </c>
      <c r="H5314" s="340"/>
      <c r="I5314" s="340" t="s">
        <v>740</v>
      </c>
      <c r="K5314" s="343">
        <v>0</v>
      </c>
      <c r="L5314" s="343">
        <v>-204.44</v>
      </c>
      <c r="M5314" s="343">
        <v>-965502.74</v>
      </c>
      <c r="O5314" s="343">
        <v>0</v>
      </c>
    </row>
    <row r="5315" spans="1:15" x14ac:dyDescent="0.3">
      <c r="A5315" s="340" t="s">
        <v>891</v>
      </c>
      <c r="B5315" s="350">
        <v>46147</v>
      </c>
      <c r="C5315" s="350">
        <v>46149</v>
      </c>
      <c r="D5315" s="351">
        <v>46143</v>
      </c>
      <c r="E5315" s="340" t="s">
        <v>3296</v>
      </c>
      <c r="F5315" s="340" t="s">
        <v>894</v>
      </c>
      <c r="G5315" s="340" t="s">
        <v>3297</v>
      </c>
      <c r="H5315" s="340"/>
      <c r="I5315" s="340" t="s">
        <v>740</v>
      </c>
      <c r="K5315" s="343">
        <v>0</v>
      </c>
      <c r="L5315" s="343">
        <v>-246.09</v>
      </c>
      <c r="M5315" s="343">
        <v>-965748.83</v>
      </c>
      <c r="O5315" s="343">
        <v>0</v>
      </c>
    </row>
    <row r="5316" spans="1:15" x14ac:dyDescent="0.3">
      <c r="A5316" s="340" t="s">
        <v>891</v>
      </c>
      <c r="B5316" s="350">
        <v>46147</v>
      </c>
      <c r="C5316" s="350">
        <v>46153</v>
      </c>
      <c r="D5316" s="351">
        <v>46143</v>
      </c>
      <c r="E5316" s="340" t="s">
        <v>3298</v>
      </c>
      <c r="F5316" s="340" t="s">
        <v>894</v>
      </c>
      <c r="G5316" s="340" t="s">
        <v>3299</v>
      </c>
      <c r="H5316" s="340"/>
      <c r="I5316" s="340" t="s">
        <v>740</v>
      </c>
      <c r="K5316" s="343">
        <v>0</v>
      </c>
      <c r="L5316" s="343">
        <v>-703.63</v>
      </c>
      <c r="M5316" s="343">
        <v>-966452.46</v>
      </c>
      <c r="O5316" s="343">
        <v>0</v>
      </c>
    </row>
    <row r="5317" spans="1:15" x14ac:dyDescent="0.3">
      <c r="A5317" s="340" t="s">
        <v>891</v>
      </c>
      <c r="B5317" s="350">
        <v>46147</v>
      </c>
      <c r="C5317" s="350">
        <v>46156</v>
      </c>
      <c r="D5317" s="351">
        <v>46143</v>
      </c>
      <c r="E5317" s="340" t="s">
        <v>3300</v>
      </c>
      <c r="F5317" s="340" t="s">
        <v>894</v>
      </c>
      <c r="G5317" s="340" t="s">
        <v>3301</v>
      </c>
      <c r="H5317" s="340"/>
      <c r="I5317" s="340" t="s">
        <v>762</v>
      </c>
      <c r="K5317" s="343">
        <v>0</v>
      </c>
      <c r="L5317" s="343">
        <v>-15989.72</v>
      </c>
      <c r="M5317" s="343">
        <v>-982442.18</v>
      </c>
      <c r="O5317" s="343">
        <v>0</v>
      </c>
    </row>
    <row r="5318" spans="1:15" x14ac:dyDescent="0.3">
      <c r="A5318" s="340" t="s">
        <v>891</v>
      </c>
      <c r="B5318" s="350">
        <v>46147</v>
      </c>
      <c r="C5318" s="350">
        <v>46161</v>
      </c>
      <c r="D5318" s="351">
        <v>46143</v>
      </c>
      <c r="E5318" s="340" t="s">
        <v>3302</v>
      </c>
      <c r="F5318" s="340" t="s">
        <v>894</v>
      </c>
      <c r="G5318" s="340" t="s">
        <v>1026</v>
      </c>
      <c r="H5318" s="340"/>
      <c r="I5318" s="340" t="s">
        <v>744</v>
      </c>
      <c r="K5318" s="343">
        <v>0</v>
      </c>
      <c r="L5318" s="343">
        <v>-1091.2</v>
      </c>
      <c r="M5318" s="343">
        <v>-983533.38</v>
      </c>
      <c r="O5318" s="343">
        <v>0</v>
      </c>
    </row>
    <row r="5319" spans="1:15" x14ac:dyDescent="0.3">
      <c r="A5319" s="340" t="s">
        <v>891</v>
      </c>
      <c r="B5319" s="350">
        <v>46148</v>
      </c>
      <c r="C5319" s="350">
        <v>46148</v>
      </c>
      <c r="D5319" s="351">
        <v>46143</v>
      </c>
      <c r="E5319" s="340" t="s">
        <v>3303</v>
      </c>
      <c r="F5319" s="340" t="s">
        <v>894</v>
      </c>
      <c r="G5319" s="340" t="s">
        <v>3304</v>
      </c>
      <c r="H5319" s="340"/>
      <c r="I5319" s="340" t="s">
        <v>740</v>
      </c>
      <c r="K5319" s="343">
        <v>0</v>
      </c>
      <c r="L5319" s="343">
        <v>-48.71</v>
      </c>
      <c r="M5319" s="343">
        <v>-983582.09</v>
      </c>
      <c r="O5319" s="343">
        <v>0</v>
      </c>
    </row>
    <row r="5320" spans="1:15" x14ac:dyDescent="0.3">
      <c r="A5320" s="340" t="s">
        <v>891</v>
      </c>
      <c r="B5320" s="350">
        <v>46148</v>
      </c>
      <c r="C5320" s="350">
        <v>46148</v>
      </c>
      <c r="D5320" s="351">
        <v>46143</v>
      </c>
      <c r="E5320" s="340" t="s">
        <v>3305</v>
      </c>
      <c r="F5320" s="340" t="s">
        <v>894</v>
      </c>
      <c r="G5320" s="340" t="s">
        <v>3306</v>
      </c>
      <c r="H5320" s="340"/>
      <c r="I5320" s="340" t="s">
        <v>740</v>
      </c>
      <c r="K5320" s="343">
        <v>0</v>
      </c>
      <c r="L5320" s="343">
        <v>-162.38</v>
      </c>
      <c r="M5320" s="343">
        <v>-983744.47</v>
      </c>
      <c r="O5320" s="343">
        <v>0</v>
      </c>
    </row>
    <row r="5321" spans="1:15" x14ac:dyDescent="0.3">
      <c r="A5321" s="340" t="s">
        <v>891</v>
      </c>
      <c r="B5321" s="350">
        <v>46148</v>
      </c>
      <c r="C5321" s="350">
        <v>46148</v>
      </c>
      <c r="D5321" s="351">
        <v>46143</v>
      </c>
      <c r="E5321" s="340" t="s">
        <v>3307</v>
      </c>
      <c r="F5321" s="340" t="s">
        <v>894</v>
      </c>
      <c r="G5321" s="340" t="s">
        <v>3308</v>
      </c>
      <c r="H5321" s="340"/>
      <c r="I5321" s="340" t="s">
        <v>740</v>
      </c>
      <c r="K5321" s="343">
        <v>0</v>
      </c>
      <c r="L5321" s="343">
        <v>-450</v>
      </c>
      <c r="M5321" s="343">
        <v>-984194.47</v>
      </c>
      <c r="O5321" s="343">
        <v>0</v>
      </c>
    </row>
    <row r="5322" spans="1:15" x14ac:dyDescent="0.3">
      <c r="A5322" s="340" t="s">
        <v>891</v>
      </c>
      <c r="B5322" s="350">
        <v>46149</v>
      </c>
      <c r="C5322" s="350">
        <v>46149</v>
      </c>
      <c r="D5322" s="351">
        <v>46143</v>
      </c>
      <c r="E5322" s="340" t="s">
        <v>3309</v>
      </c>
      <c r="F5322" s="340" t="s">
        <v>894</v>
      </c>
      <c r="G5322" s="340" t="s">
        <v>3310</v>
      </c>
      <c r="H5322" s="340"/>
      <c r="I5322" s="340" t="s">
        <v>739</v>
      </c>
      <c r="K5322" s="343">
        <v>0</v>
      </c>
      <c r="L5322" s="343">
        <v>-302.92</v>
      </c>
      <c r="M5322" s="343">
        <v>-984497.39</v>
      </c>
      <c r="O5322" s="343">
        <v>0</v>
      </c>
    </row>
    <row r="5323" spans="1:15" x14ac:dyDescent="0.3">
      <c r="A5323" s="340" t="s">
        <v>891</v>
      </c>
      <c r="B5323" s="350">
        <v>46149</v>
      </c>
      <c r="C5323" s="350">
        <v>46152</v>
      </c>
      <c r="D5323" s="351">
        <v>46143</v>
      </c>
      <c r="E5323" s="340" t="s">
        <v>3311</v>
      </c>
      <c r="F5323" s="340" t="s">
        <v>894</v>
      </c>
      <c r="G5323" s="340" t="s">
        <v>3312</v>
      </c>
      <c r="H5323" s="340"/>
      <c r="I5323" s="340" t="s">
        <v>745</v>
      </c>
      <c r="K5323" s="343">
        <v>0</v>
      </c>
      <c r="L5323" s="343">
        <v>-218.36</v>
      </c>
      <c r="M5323" s="343">
        <v>-984715.75</v>
      </c>
      <c r="O5323" s="343">
        <v>0</v>
      </c>
    </row>
    <row r="5324" spans="1:15" x14ac:dyDescent="0.3">
      <c r="A5324" s="340" t="s">
        <v>891</v>
      </c>
      <c r="B5324" s="350">
        <v>46149</v>
      </c>
      <c r="C5324" s="350">
        <v>46153</v>
      </c>
      <c r="D5324" s="351">
        <v>46143</v>
      </c>
      <c r="E5324" s="340" t="s">
        <v>3313</v>
      </c>
      <c r="F5324" s="340" t="s">
        <v>894</v>
      </c>
      <c r="G5324" s="340" t="s">
        <v>3001</v>
      </c>
      <c r="H5324" s="340"/>
      <c r="I5324" s="340" t="s">
        <v>756</v>
      </c>
      <c r="K5324" s="343">
        <v>0</v>
      </c>
      <c r="L5324" s="343">
        <v>-903.89</v>
      </c>
      <c r="M5324" s="343">
        <v>-985619.64</v>
      </c>
      <c r="O5324" s="343">
        <v>0</v>
      </c>
    </row>
    <row r="5325" spans="1:15" x14ac:dyDescent="0.3">
      <c r="A5325" s="340" t="s">
        <v>891</v>
      </c>
      <c r="B5325" s="350">
        <v>46149</v>
      </c>
      <c r="C5325" s="350">
        <v>46153</v>
      </c>
      <c r="D5325" s="351">
        <v>46143</v>
      </c>
      <c r="E5325" s="340" t="s">
        <v>1232</v>
      </c>
      <c r="F5325" s="340" t="s">
        <v>894</v>
      </c>
      <c r="G5325" s="340" t="s">
        <v>1362</v>
      </c>
      <c r="H5325" s="340"/>
      <c r="I5325" s="340" t="s">
        <v>3314</v>
      </c>
      <c r="K5325" s="343">
        <v>0</v>
      </c>
      <c r="L5325" s="343">
        <v>-121.88</v>
      </c>
      <c r="M5325" s="343">
        <v>-985741.52</v>
      </c>
      <c r="O5325" s="343">
        <v>0</v>
      </c>
    </row>
    <row r="5326" spans="1:15" x14ac:dyDescent="0.3">
      <c r="A5326" s="340" t="s">
        <v>891</v>
      </c>
      <c r="B5326" s="350">
        <v>46149</v>
      </c>
      <c r="C5326" s="350">
        <v>46153</v>
      </c>
      <c r="D5326" s="351">
        <v>46143</v>
      </c>
      <c r="E5326" s="340" t="s">
        <v>3315</v>
      </c>
      <c r="F5326" s="340" t="s">
        <v>894</v>
      </c>
      <c r="G5326" s="340" t="s">
        <v>3192</v>
      </c>
      <c r="H5326" s="340"/>
      <c r="I5326" s="340" t="s">
        <v>757</v>
      </c>
      <c r="K5326" s="343">
        <v>0</v>
      </c>
      <c r="L5326" s="343">
        <v>-77.16</v>
      </c>
      <c r="M5326" s="343">
        <v>-985818.68</v>
      </c>
      <c r="O5326" s="343">
        <v>0</v>
      </c>
    </row>
    <row r="5327" spans="1:15" x14ac:dyDescent="0.3">
      <c r="A5327" s="340" t="s">
        <v>891</v>
      </c>
      <c r="B5327" s="350">
        <v>46149</v>
      </c>
      <c r="C5327" s="350">
        <v>46153</v>
      </c>
      <c r="D5327" s="351">
        <v>46143</v>
      </c>
      <c r="E5327" s="340" t="s">
        <v>3315</v>
      </c>
      <c r="F5327" s="340" t="s">
        <v>894</v>
      </c>
      <c r="G5327" s="340" t="s">
        <v>3191</v>
      </c>
      <c r="H5327" s="340"/>
      <c r="I5327" s="340" t="s">
        <v>757</v>
      </c>
      <c r="K5327" s="343">
        <v>0</v>
      </c>
      <c r="L5327" s="343">
        <v>-155.72</v>
      </c>
      <c r="M5327" s="343">
        <v>-985974.4</v>
      </c>
      <c r="O5327" s="343">
        <v>0</v>
      </c>
    </row>
    <row r="5328" spans="1:15" x14ac:dyDescent="0.3">
      <c r="A5328" s="340" t="s">
        <v>891</v>
      </c>
      <c r="B5328" s="350">
        <v>46149</v>
      </c>
      <c r="C5328" s="350">
        <v>46153</v>
      </c>
      <c r="D5328" s="351">
        <v>46143</v>
      </c>
      <c r="E5328" s="340" t="s">
        <v>3316</v>
      </c>
      <c r="F5328" s="340" t="s">
        <v>894</v>
      </c>
      <c r="G5328" s="340" t="s">
        <v>3137</v>
      </c>
      <c r="H5328" s="340"/>
      <c r="I5328" s="340" t="s">
        <v>756</v>
      </c>
      <c r="K5328" s="343">
        <v>0</v>
      </c>
      <c r="L5328" s="343">
        <v>-399.09</v>
      </c>
      <c r="M5328" s="343">
        <v>-986373.49</v>
      </c>
      <c r="O5328" s="343">
        <v>0</v>
      </c>
    </row>
    <row r="5329" spans="1:15" x14ac:dyDescent="0.3">
      <c r="A5329" s="340" t="s">
        <v>891</v>
      </c>
      <c r="B5329" s="350">
        <v>46149</v>
      </c>
      <c r="C5329" s="350">
        <v>46155</v>
      </c>
      <c r="D5329" s="351">
        <v>46143</v>
      </c>
      <c r="E5329" s="340" t="s">
        <v>3317</v>
      </c>
      <c r="F5329" s="340" t="s">
        <v>894</v>
      </c>
      <c r="G5329" s="340" t="s">
        <v>3318</v>
      </c>
      <c r="H5329" s="340"/>
      <c r="I5329" s="340" t="s">
        <v>765</v>
      </c>
      <c r="K5329" s="343">
        <v>0</v>
      </c>
      <c r="L5329" s="343">
        <v>-654.01</v>
      </c>
      <c r="M5329" s="343">
        <v>-987027.5</v>
      </c>
      <c r="O5329" s="343">
        <v>0</v>
      </c>
    </row>
    <row r="5330" spans="1:15" x14ac:dyDescent="0.3">
      <c r="A5330" s="340" t="s">
        <v>891</v>
      </c>
      <c r="B5330" s="350">
        <v>46149</v>
      </c>
      <c r="C5330" s="350">
        <v>46155</v>
      </c>
      <c r="D5330" s="351">
        <v>46143</v>
      </c>
      <c r="E5330" s="340" t="s">
        <v>3319</v>
      </c>
      <c r="F5330" s="340" t="s">
        <v>894</v>
      </c>
      <c r="G5330" s="340" t="s">
        <v>3320</v>
      </c>
      <c r="H5330" s="340"/>
      <c r="I5330" s="340" t="s">
        <v>765</v>
      </c>
      <c r="K5330" s="343">
        <v>0</v>
      </c>
      <c r="L5330" s="343">
        <v>-328.29</v>
      </c>
      <c r="M5330" s="343">
        <v>-987355.79</v>
      </c>
      <c r="O5330" s="343">
        <v>0</v>
      </c>
    </row>
    <row r="5331" spans="1:15" x14ac:dyDescent="0.3">
      <c r="A5331" s="340" t="s">
        <v>891</v>
      </c>
      <c r="B5331" s="350">
        <v>46150</v>
      </c>
      <c r="C5331" s="350">
        <v>46150</v>
      </c>
      <c r="D5331" s="351">
        <v>46143</v>
      </c>
      <c r="E5331" s="340" t="s">
        <v>3321</v>
      </c>
      <c r="F5331" s="340" t="s">
        <v>1081</v>
      </c>
      <c r="G5331" s="340" t="s">
        <v>3287</v>
      </c>
      <c r="H5331" s="340"/>
      <c r="I5331" s="340" t="s">
        <v>943</v>
      </c>
      <c r="K5331" s="343">
        <v>0</v>
      </c>
      <c r="L5331" s="343">
        <v>-2000</v>
      </c>
      <c r="M5331" s="343">
        <v>-989355.79</v>
      </c>
      <c r="O5331" s="343">
        <v>0</v>
      </c>
    </row>
    <row r="5332" spans="1:15" x14ac:dyDescent="0.3">
      <c r="A5332" s="340" t="s">
        <v>891</v>
      </c>
      <c r="B5332" s="350">
        <v>46150</v>
      </c>
      <c r="C5332" s="350">
        <v>46150</v>
      </c>
      <c r="D5332" s="351">
        <v>46143</v>
      </c>
      <c r="E5332" s="340" t="s">
        <v>3321</v>
      </c>
      <c r="F5332" s="340" t="s">
        <v>1081</v>
      </c>
      <c r="G5332" s="340" t="s">
        <v>3287</v>
      </c>
      <c r="H5332" s="340"/>
      <c r="I5332" s="340" t="s">
        <v>943</v>
      </c>
      <c r="K5332" s="343">
        <v>0</v>
      </c>
      <c r="L5332" s="343">
        <v>-2000</v>
      </c>
      <c r="M5332" s="343">
        <v>-991355.79</v>
      </c>
      <c r="O5332" s="343">
        <v>0</v>
      </c>
    </row>
    <row r="5333" spans="1:15" x14ac:dyDescent="0.3">
      <c r="A5333" s="340" t="s">
        <v>891</v>
      </c>
      <c r="B5333" s="350">
        <v>46150</v>
      </c>
      <c r="C5333" s="350">
        <v>46153</v>
      </c>
      <c r="D5333" s="351">
        <v>46143</v>
      </c>
      <c r="E5333" s="340" t="s">
        <v>1232</v>
      </c>
      <c r="F5333" s="340" t="s">
        <v>894</v>
      </c>
      <c r="G5333" s="340" t="s">
        <v>1362</v>
      </c>
      <c r="H5333" s="340"/>
      <c r="I5333" s="340" t="s">
        <v>3322</v>
      </c>
      <c r="K5333" s="343">
        <v>0</v>
      </c>
      <c r="L5333" s="343">
        <v>-273.17</v>
      </c>
      <c r="M5333" s="343">
        <v>-991628.96</v>
      </c>
      <c r="O5333" s="343">
        <v>0</v>
      </c>
    </row>
    <row r="5334" spans="1:15" x14ac:dyDescent="0.3">
      <c r="A5334" s="340" t="s">
        <v>891</v>
      </c>
      <c r="B5334" s="350">
        <v>46150</v>
      </c>
      <c r="C5334" s="350">
        <v>46153</v>
      </c>
      <c r="D5334" s="351">
        <v>46143</v>
      </c>
      <c r="E5334" s="340" t="s">
        <v>1232</v>
      </c>
      <c r="F5334" s="340" t="s">
        <v>894</v>
      </c>
      <c r="G5334" s="340" t="s">
        <v>1362</v>
      </c>
      <c r="H5334" s="340"/>
      <c r="I5334" s="340" t="s">
        <v>3323</v>
      </c>
      <c r="K5334" s="343">
        <v>0</v>
      </c>
      <c r="L5334" s="343">
        <v>-211.74</v>
      </c>
      <c r="M5334" s="343">
        <v>-991840.7</v>
      </c>
      <c r="O5334" s="343">
        <v>0</v>
      </c>
    </row>
    <row r="5335" spans="1:15" x14ac:dyDescent="0.3">
      <c r="A5335" s="340" t="s">
        <v>891</v>
      </c>
      <c r="B5335" s="350">
        <v>46150</v>
      </c>
      <c r="C5335" s="350">
        <v>46153</v>
      </c>
      <c r="D5335" s="351">
        <v>46143</v>
      </c>
      <c r="E5335" s="340" t="s">
        <v>1232</v>
      </c>
      <c r="F5335" s="340" t="s">
        <v>894</v>
      </c>
      <c r="G5335" s="340" t="s">
        <v>3324</v>
      </c>
      <c r="H5335" s="340"/>
      <c r="I5335" s="340" t="s">
        <v>3325</v>
      </c>
      <c r="K5335" s="343">
        <v>0</v>
      </c>
      <c r="L5335" s="343">
        <v>-277.33</v>
      </c>
      <c r="M5335" s="343">
        <v>-992118.03</v>
      </c>
      <c r="O5335" s="343">
        <v>0</v>
      </c>
    </row>
    <row r="5336" spans="1:15" x14ac:dyDescent="0.3">
      <c r="A5336" s="340" t="s">
        <v>891</v>
      </c>
      <c r="B5336" s="350">
        <v>46150</v>
      </c>
      <c r="C5336" s="350">
        <v>46153</v>
      </c>
      <c r="D5336" s="351">
        <v>46143</v>
      </c>
      <c r="E5336" s="340" t="s">
        <v>3326</v>
      </c>
      <c r="F5336" s="340" t="s">
        <v>894</v>
      </c>
      <c r="G5336" s="340" t="s">
        <v>1438</v>
      </c>
      <c r="H5336" s="340"/>
      <c r="I5336" s="340" t="s">
        <v>757</v>
      </c>
      <c r="K5336" s="343">
        <v>0</v>
      </c>
      <c r="L5336" s="343">
        <v>-71.430000000000007</v>
      </c>
      <c r="M5336" s="343">
        <v>-992189.46</v>
      </c>
      <c r="O5336" s="343">
        <v>0</v>
      </c>
    </row>
    <row r="5337" spans="1:15" x14ac:dyDescent="0.3">
      <c r="A5337" s="340" t="s">
        <v>891</v>
      </c>
      <c r="B5337" s="350">
        <v>46150</v>
      </c>
      <c r="C5337" s="350">
        <v>46153</v>
      </c>
      <c r="D5337" s="351">
        <v>46143</v>
      </c>
      <c r="E5337" s="340" t="s">
        <v>3326</v>
      </c>
      <c r="F5337" s="340" t="s">
        <v>894</v>
      </c>
      <c r="G5337" s="340" t="s">
        <v>3327</v>
      </c>
      <c r="H5337" s="340"/>
      <c r="I5337" s="340" t="s">
        <v>757</v>
      </c>
      <c r="K5337" s="343">
        <v>0</v>
      </c>
      <c r="L5337" s="343">
        <v>-811.83</v>
      </c>
      <c r="M5337" s="343">
        <v>-993001.29</v>
      </c>
      <c r="O5337" s="343">
        <v>0</v>
      </c>
    </row>
    <row r="5338" spans="1:15" x14ac:dyDescent="0.3">
      <c r="A5338" s="340" t="s">
        <v>891</v>
      </c>
      <c r="B5338" s="350">
        <v>46150</v>
      </c>
      <c r="C5338" s="350">
        <v>46153</v>
      </c>
      <c r="D5338" s="351">
        <v>46143</v>
      </c>
      <c r="E5338" s="340" t="s">
        <v>3326</v>
      </c>
      <c r="F5338" s="340" t="s">
        <v>894</v>
      </c>
      <c r="G5338" s="340" t="s">
        <v>3328</v>
      </c>
      <c r="H5338" s="340"/>
      <c r="I5338" s="340" t="s">
        <v>757</v>
      </c>
      <c r="K5338" s="343">
        <v>0</v>
      </c>
      <c r="L5338" s="343">
        <v>-430.82</v>
      </c>
      <c r="M5338" s="343">
        <v>-993432.11</v>
      </c>
      <c r="O5338" s="343">
        <v>0</v>
      </c>
    </row>
    <row r="5339" spans="1:15" x14ac:dyDescent="0.3">
      <c r="A5339" s="340" t="s">
        <v>891</v>
      </c>
      <c r="B5339" s="350">
        <v>46150</v>
      </c>
      <c r="C5339" s="350">
        <v>46153</v>
      </c>
      <c r="D5339" s="351">
        <v>46143</v>
      </c>
      <c r="E5339" s="340" t="s">
        <v>3326</v>
      </c>
      <c r="F5339" s="340" t="s">
        <v>894</v>
      </c>
      <c r="G5339" s="340" t="s">
        <v>3329</v>
      </c>
      <c r="H5339" s="340"/>
      <c r="I5339" s="340" t="s">
        <v>757</v>
      </c>
      <c r="K5339" s="343">
        <v>0</v>
      </c>
      <c r="L5339" s="343">
        <v>-249.33</v>
      </c>
      <c r="M5339" s="343">
        <v>-993681.44</v>
      </c>
      <c r="O5339" s="343">
        <v>0</v>
      </c>
    </row>
    <row r="5340" spans="1:15" x14ac:dyDescent="0.3">
      <c r="A5340" s="340" t="s">
        <v>891</v>
      </c>
      <c r="B5340" s="350">
        <v>46150</v>
      </c>
      <c r="C5340" s="350">
        <v>46153</v>
      </c>
      <c r="D5340" s="351">
        <v>46143</v>
      </c>
      <c r="E5340" s="340" t="s">
        <v>3326</v>
      </c>
      <c r="F5340" s="340" t="s">
        <v>894</v>
      </c>
      <c r="G5340" s="340" t="s">
        <v>3330</v>
      </c>
      <c r="H5340" s="340"/>
      <c r="I5340" s="340" t="s">
        <v>757</v>
      </c>
      <c r="K5340" s="343">
        <v>0</v>
      </c>
      <c r="L5340" s="343">
        <v>-539.37</v>
      </c>
      <c r="M5340" s="343">
        <v>-994220.81</v>
      </c>
      <c r="O5340" s="343">
        <v>0</v>
      </c>
    </row>
    <row r="5341" spans="1:15" x14ac:dyDescent="0.3">
      <c r="A5341" s="340" t="s">
        <v>891</v>
      </c>
      <c r="B5341" s="350">
        <v>46150</v>
      </c>
      <c r="C5341" s="350">
        <v>46153</v>
      </c>
      <c r="D5341" s="351">
        <v>46143</v>
      </c>
      <c r="E5341" s="340" t="s">
        <v>3331</v>
      </c>
      <c r="F5341" s="340" t="s">
        <v>894</v>
      </c>
      <c r="G5341" s="340" t="s">
        <v>3332</v>
      </c>
      <c r="H5341" s="340"/>
      <c r="I5341" s="340" t="s">
        <v>757</v>
      </c>
      <c r="K5341" s="343">
        <v>0</v>
      </c>
      <c r="L5341" s="343">
        <v>-111.45</v>
      </c>
      <c r="M5341" s="343">
        <v>-994332.26</v>
      </c>
      <c r="O5341" s="343">
        <v>0</v>
      </c>
    </row>
    <row r="5342" spans="1:15" x14ac:dyDescent="0.3">
      <c r="A5342" s="340" t="s">
        <v>891</v>
      </c>
      <c r="B5342" s="350">
        <v>46152</v>
      </c>
      <c r="C5342" s="350">
        <v>46154</v>
      </c>
      <c r="D5342" s="351">
        <v>46143</v>
      </c>
      <c r="E5342" s="340" t="s">
        <v>3333</v>
      </c>
      <c r="F5342" s="340" t="s">
        <v>894</v>
      </c>
      <c r="G5342" s="340" t="s">
        <v>1007</v>
      </c>
      <c r="H5342" s="340"/>
      <c r="I5342" s="340" t="s">
        <v>1005</v>
      </c>
      <c r="K5342" s="343">
        <v>0</v>
      </c>
      <c r="L5342" s="343">
        <v>-488.58</v>
      </c>
      <c r="M5342" s="343">
        <v>-994820.84</v>
      </c>
      <c r="O5342" s="343">
        <v>0</v>
      </c>
    </row>
    <row r="5343" spans="1:15" x14ac:dyDescent="0.3">
      <c r="A5343" s="340" t="s">
        <v>891</v>
      </c>
      <c r="B5343" s="350">
        <v>46153</v>
      </c>
      <c r="C5343" s="350">
        <v>46153</v>
      </c>
      <c r="D5343" s="351">
        <v>46143</v>
      </c>
      <c r="E5343" s="340" t="s">
        <v>3334</v>
      </c>
      <c r="F5343" s="340" t="s">
        <v>894</v>
      </c>
      <c r="G5343" s="340" t="s">
        <v>2279</v>
      </c>
      <c r="H5343" s="340"/>
      <c r="I5343" s="340" t="s">
        <v>745</v>
      </c>
      <c r="K5343" s="343">
        <v>0</v>
      </c>
      <c r="L5343" s="343">
        <v>-203.5</v>
      </c>
      <c r="M5343" s="343">
        <v>-995024.34</v>
      </c>
      <c r="O5343" s="343">
        <v>0</v>
      </c>
    </row>
    <row r="5344" spans="1:15" x14ac:dyDescent="0.3">
      <c r="A5344" s="340" t="s">
        <v>891</v>
      </c>
      <c r="B5344" s="350">
        <v>46153</v>
      </c>
      <c r="C5344" s="350">
        <v>46153</v>
      </c>
      <c r="D5344" s="351">
        <v>46143</v>
      </c>
      <c r="E5344" s="340" t="s">
        <v>3334</v>
      </c>
      <c r="F5344" s="340" t="s">
        <v>894</v>
      </c>
      <c r="G5344" s="340" t="s">
        <v>3335</v>
      </c>
      <c r="H5344" s="340"/>
      <c r="I5344" s="340" t="s">
        <v>745</v>
      </c>
      <c r="K5344" s="343">
        <v>0</v>
      </c>
      <c r="L5344" s="343">
        <v>-90.8</v>
      </c>
      <c r="M5344" s="343">
        <v>-995115.14</v>
      </c>
      <c r="O5344" s="343">
        <v>0</v>
      </c>
    </row>
    <row r="5345" spans="1:15" x14ac:dyDescent="0.3">
      <c r="A5345" s="340" t="s">
        <v>891</v>
      </c>
      <c r="B5345" s="350">
        <v>46153</v>
      </c>
      <c r="C5345" s="350">
        <v>46153</v>
      </c>
      <c r="D5345" s="351">
        <v>46143</v>
      </c>
      <c r="E5345" s="340" t="s">
        <v>3334</v>
      </c>
      <c r="F5345" s="340" t="s">
        <v>894</v>
      </c>
      <c r="G5345" s="340" t="s">
        <v>3336</v>
      </c>
      <c r="H5345" s="340"/>
      <c r="I5345" s="340" t="s">
        <v>745</v>
      </c>
      <c r="K5345" s="343">
        <v>0</v>
      </c>
      <c r="L5345" s="343">
        <v>-138.55000000000001</v>
      </c>
      <c r="M5345" s="343">
        <v>-995253.69</v>
      </c>
      <c r="O5345" s="343">
        <v>0</v>
      </c>
    </row>
    <row r="5346" spans="1:15" x14ac:dyDescent="0.3">
      <c r="A5346" s="340" t="s">
        <v>891</v>
      </c>
      <c r="B5346" s="350">
        <v>46153</v>
      </c>
      <c r="C5346" s="350">
        <v>46153</v>
      </c>
      <c r="D5346" s="351">
        <v>46143</v>
      </c>
      <c r="E5346" s="340" t="s">
        <v>3334</v>
      </c>
      <c r="F5346" s="340" t="s">
        <v>894</v>
      </c>
      <c r="G5346" s="340" t="s">
        <v>3337</v>
      </c>
      <c r="H5346" s="340"/>
      <c r="I5346" s="340" t="s">
        <v>745</v>
      </c>
      <c r="K5346" s="343">
        <v>0</v>
      </c>
      <c r="L5346" s="343">
        <v>-81.819999999999993</v>
      </c>
      <c r="M5346" s="343">
        <v>-995335.51</v>
      </c>
      <c r="O5346" s="343">
        <v>0</v>
      </c>
    </row>
    <row r="5347" spans="1:15" x14ac:dyDescent="0.3">
      <c r="A5347" s="340" t="s">
        <v>891</v>
      </c>
      <c r="B5347" s="350">
        <v>46153</v>
      </c>
      <c r="C5347" s="350">
        <v>46153</v>
      </c>
      <c r="D5347" s="351">
        <v>46143</v>
      </c>
      <c r="E5347" s="340" t="s">
        <v>3334</v>
      </c>
      <c r="F5347" s="340" t="s">
        <v>894</v>
      </c>
      <c r="G5347" s="340" t="s">
        <v>1194</v>
      </c>
      <c r="H5347" s="340"/>
      <c r="I5347" s="340" t="s">
        <v>745</v>
      </c>
      <c r="K5347" s="343">
        <v>0</v>
      </c>
      <c r="L5347" s="343">
        <v>-60.52</v>
      </c>
      <c r="M5347" s="343">
        <v>-995396.03</v>
      </c>
      <c r="O5347" s="343">
        <v>0</v>
      </c>
    </row>
    <row r="5348" spans="1:15" x14ac:dyDescent="0.3">
      <c r="A5348" s="340" t="s">
        <v>891</v>
      </c>
      <c r="B5348" s="350">
        <v>46153</v>
      </c>
      <c r="C5348" s="350">
        <v>46153</v>
      </c>
      <c r="D5348" s="351">
        <v>46143</v>
      </c>
      <c r="E5348" s="340" t="s">
        <v>3334</v>
      </c>
      <c r="F5348" s="340" t="s">
        <v>894</v>
      </c>
      <c r="G5348" s="340" t="s">
        <v>1541</v>
      </c>
      <c r="H5348" s="340"/>
      <c r="I5348" s="340" t="s">
        <v>745</v>
      </c>
      <c r="K5348" s="343">
        <v>0</v>
      </c>
      <c r="L5348" s="343">
        <v>-86.76</v>
      </c>
      <c r="M5348" s="343">
        <v>-995482.79</v>
      </c>
      <c r="O5348" s="343">
        <v>0</v>
      </c>
    </row>
    <row r="5349" spans="1:15" x14ac:dyDescent="0.3">
      <c r="A5349" s="340" t="s">
        <v>891</v>
      </c>
      <c r="B5349" s="350">
        <v>46153</v>
      </c>
      <c r="C5349" s="350">
        <v>46153</v>
      </c>
      <c r="D5349" s="351">
        <v>46143</v>
      </c>
      <c r="E5349" s="340" t="s">
        <v>3334</v>
      </c>
      <c r="F5349" s="340" t="s">
        <v>894</v>
      </c>
      <c r="G5349" s="340" t="s">
        <v>2074</v>
      </c>
      <c r="H5349" s="340"/>
      <c r="I5349" s="340" t="s">
        <v>745</v>
      </c>
      <c r="K5349" s="343">
        <v>0</v>
      </c>
      <c r="L5349" s="343">
        <v>-205.4</v>
      </c>
      <c r="M5349" s="343">
        <v>-995688.19</v>
      </c>
      <c r="O5349" s="343">
        <v>0</v>
      </c>
    </row>
    <row r="5350" spans="1:15" x14ac:dyDescent="0.3">
      <c r="A5350" s="340" t="s">
        <v>891</v>
      </c>
      <c r="B5350" s="350">
        <v>46153</v>
      </c>
      <c r="C5350" s="350">
        <v>46153</v>
      </c>
      <c r="D5350" s="351">
        <v>46143</v>
      </c>
      <c r="E5350" s="340" t="s">
        <v>3334</v>
      </c>
      <c r="F5350" s="340" t="s">
        <v>894</v>
      </c>
      <c r="G5350" s="340" t="s">
        <v>2418</v>
      </c>
      <c r="H5350" s="340"/>
      <c r="I5350" s="340" t="s">
        <v>745</v>
      </c>
      <c r="K5350" s="343">
        <v>0</v>
      </c>
      <c r="L5350" s="343">
        <v>-308.17</v>
      </c>
      <c r="M5350" s="343">
        <v>-995996.36</v>
      </c>
      <c r="O5350" s="343">
        <v>0</v>
      </c>
    </row>
    <row r="5351" spans="1:15" x14ac:dyDescent="0.3">
      <c r="A5351" s="340" t="s">
        <v>891</v>
      </c>
      <c r="B5351" s="350">
        <v>46153</v>
      </c>
      <c r="C5351" s="350">
        <v>46153</v>
      </c>
      <c r="D5351" s="351">
        <v>46143</v>
      </c>
      <c r="E5351" s="340" t="s">
        <v>3334</v>
      </c>
      <c r="F5351" s="340" t="s">
        <v>894</v>
      </c>
      <c r="G5351" s="340" t="s">
        <v>1890</v>
      </c>
      <c r="H5351" s="340"/>
      <c r="I5351" s="340" t="s">
        <v>745</v>
      </c>
      <c r="K5351" s="343">
        <v>0</v>
      </c>
      <c r="L5351" s="343">
        <v>-246.15</v>
      </c>
      <c r="M5351" s="343">
        <v>-996242.51</v>
      </c>
      <c r="O5351" s="343">
        <v>0</v>
      </c>
    </row>
    <row r="5352" spans="1:15" x14ac:dyDescent="0.3">
      <c r="A5352" s="340" t="s">
        <v>891</v>
      </c>
      <c r="B5352" s="350">
        <v>46153</v>
      </c>
      <c r="C5352" s="350">
        <v>46153</v>
      </c>
      <c r="D5352" s="351">
        <v>46143</v>
      </c>
      <c r="E5352" s="340" t="s">
        <v>3334</v>
      </c>
      <c r="F5352" s="340" t="s">
        <v>894</v>
      </c>
      <c r="G5352" s="340" t="s">
        <v>3338</v>
      </c>
      <c r="H5352" s="340"/>
      <c r="I5352" s="340" t="s">
        <v>745</v>
      </c>
      <c r="K5352" s="343">
        <v>0</v>
      </c>
      <c r="L5352" s="343">
        <v>-71.819999999999993</v>
      </c>
      <c r="M5352" s="343">
        <v>-996314.33</v>
      </c>
      <c r="O5352" s="343">
        <v>0</v>
      </c>
    </row>
    <row r="5353" spans="1:15" x14ac:dyDescent="0.3">
      <c r="A5353" s="340" t="s">
        <v>891</v>
      </c>
      <c r="B5353" s="350">
        <v>46153</v>
      </c>
      <c r="C5353" s="350">
        <v>46153</v>
      </c>
      <c r="D5353" s="351">
        <v>46143</v>
      </c>
      <c r="E5353" s="340" t="s">
        <v>3334</v>
      </c>
      <c r="F5353" s="340" t="s">
        <v>894</v>
      </c>
      <c r="G5353" s="340" t="s">
        <v>3339</v>
      </c>
      <c r="H5353" s="340"/>
      <c r="I5353" s="340" t="s">
        <v>745</v>
      </c>
      <c r="K5353" s="343">
        <v>0</v>
      </c>
      <c r="L5353" s="343">
        <v>-142.81</v>
      </c>
      <c r="M5353" s="343">
        <v>-996457.14</v>
      </c>
      <c r="O5353" s="343">
        <v>0</v>
      </c>
    </row>
    <row r="5354" spans="1:15" x14ac:dyDescent="0.3">
      <c r="A5354" s="340" t="s">
        <v>891</v>
      </c>
      <c r="B5354" s="350">
        <v>46153</v>
      </c>
      <c r="C5354" s="350">
        <v>46153</v>
      </c>
      <c r="D5354" s="351">
        <v>46143</v>
      </c>
      <c r="E5354" s="340" t="s">
        <v>3334</v>
      </c>
      <c r="F5354" s="340" t="s">
        <v>894</v>
      </c>
      <c r="G5354" s="340" t="s">
        <v>2264</v>
      </c>
      <c r="H5354" s="340"/>
      <c r="I5354" s="340" t="s">
        <v>745</v>
      </c>
      <c r="K5354" s="343">
        <v>0</v>
      </c>
      <c r="L5354" s="343">
        <v>-86.62</v>
      </c>
      <c r="M5354" s="343">
        <v>-996543.76</v>
      </c>
      <c r="O5354" s="343">
        <v>0</v>
      </c>
    </row>
    <row r="5355" spans="1:15" x14ac:dyDescent="0.3">
      <c r="A5355" s="340" t="s">
        <v>891</v>
      </c>
      <c r="B5355" s="350">
        <v>46153</v>
      </c>
      <c r="C5355" s="350">
        <v>46153</v>
      </c>
      <c r="D5355" s="351">
        <v>46143</v>
      </c>
      <c r="E5355" s="340" t="s">
        <v>3340</v>
      </c>
      <c r="F5355" s="340" t="s">
        <v>894</v>
      </c>
      <c r="G5355" s="340" t="s">
        <v>3341</v>
      </c>
      <c r="H5355" s="340"/>
      <c r="I5355" s="340" t="s">
        <v>745</v>
      </c>
      <c r="K5355" s="343">
        <v>0</v>
      </c>
      <c r="L5355" s="343">
        <v>-390.5</v>
      </c>
      <c r="M5355" s="343">
        <v>-996934.26</v>
      </c>
      <c r="O5355" s="343">
        <v>0</v>
      </c>
    </row>
    <row r="5356" spans="1:15" x14ac:dyDescent="0.3">
      <c r="A5356" s="340" t="s">
        <v>891</v>
      </c>
      <c r="B5356" s="350">
        <v>46153</v>
      </c>
      <c r="C5356" s="350">
        <v>46153</v>
      </c>
      <c r="D5356" s="351">
        <v>46143</v>
      </c>
      <c r="E5356" s="340" t="s">
        <v>3340</v>
      </c>
      <c r="F5356" s="340" t="s">
        <v>894</v>
      </c>
      <c r="G5356" s="340" t="s">
        <v>3342</v>
      </c>
      <c r="H5356" s="340"/>
      <c r="I5356" s="340" t="s">
        <v>745</v>
      </c>
      <c r="K5356" s="343">
        <v>0</v>
      </c>
      <c r="L5356" s="343">
        <v>-442.91</v>
      </c>
      <c r="M5356" s="343">
        <v>-997377.17</v>
      </c>
      <c r="O5356" s="343">
        <v>0</v>
      </c>
    </row>
    <row r="5357" spans="1:15" x14ac:dyDescent="0.3">
      <c r="A5357" s="340" t="s">
        <v>891</v>
      </c>
      <c r="B5357" s="350">
        <v>46153</v>
      </c>
      <c r="C5357" s="350">
        <v>46155</v>
      </c>
      <c r="D5357" s="351">
        <v>46143</v>
      </c>
      <c r="E5357" s="340" t="s">
        <v>3343</v>
      </c>
      <c r="F5357" s="340" t="s">
        <v>894</v>
      </c>
      <c r="G5357" s="340" t="s">
        <v>2393</v>
      </c>
      <c r="H5357" s="340"/>
      <c r="I5357" s="340" t="s">
        <v>756</v>
      </c>
      <c r="K5357" s="343">
        <v>0</v>
      </c>
      <c r="L5357" s="343">
        <v>-366.59</v>
      </c>
      <c r="M5357" s="343">
        <v>-997743.76</v>
      </c>
      <c r="O5357" s="343">
        <v>0</v>
      </c>
    </row>
    <row r="5358" spans="1:15" x14ac:dyDescent="0.3">
      <c r="A5358" s="340" t="s">
        <v>891</v>
      </c>
      <c r="B5358" s="350">
        <v>46153</v>
      </c>
      <c r="C5358" s="350">
        <v>46155</v>
      </c>
      <c r="D5358" s="351">
        <v>46143</v>
      </c>
      <c r="E5358" s="340" t="s">
        <v>3343</v>
      </c>
      <c r="F5358" s="340" t="s">
        <v>894</v>
      </c>
      <c r="G5358" s="340" t="s">
        <v>2392</v>
      </c>
      <c r="H5358" s="340"/>
      <c r="I5358" s="340" t="s">
        <v>756</v>
      </c>
      <c r="K5358" s="343">
        <v>0</v>
      </c>
      <c r="L5358" s="343">
        <v>-2262.96</v>
      </c>
      <c r="M5358" s="343">
        <v>-1000006.72</v>
      </c>
      <c r="O5358" s="343">
        <v>0</v>
      </c>
    </row>
    <row r="5359" spans="1:15" x14ac:dyDescent="0.3">
      <c r="A5359" s="340" t="s">
        <v>891</v>
      </c>
      <c r="B5359" s="350">
        <v>46154</v>
      </c>
      <c r="C5359" s="350">
        <v>46154</v>
      </c>
      <c r="D5359" s="351">
        <v>46143</v>
      </c>
      <c r="E5359" s="340" t="s">
        <v>3344</v>
      </c>
      <c r="F5359" s="340" t="s">
        <v>1078</v>
      </c>
      <c r="G5359" s="340" t="s">
        <v>3324</v>
      </c>
      <c r="H5359" s="340"/>
      <c r="I5359" s="340" t="s">
        <v>3325</v>
      </c>
      <c r="K5359" s="343">
        <v>277.33</v>
      </c>
      <c r="L5359" s="343">
        <v>0</v>
      </c>
      <c r="M5359" s="343">
        <v>-999729.39</v>
      </c>
      <c r="O5359" s="343">
        <v>0</v>
      </c>
    </row>
    <row r="5360" spans="1:15" x14ac:dyDescent="0.3">
      <c r="A5360" s="340" t="s">
        <v>891</v>
      </c>
      <c r="B5360" s="350">
        <v>46154</v>
      </c>
      <c r="C5360" s="350">
        <v>46154</v>
      </c>
      <c r="D5360" s="351">
        <v>46143</v>
      </c>
      <c r="E5360" s="340" t="s">
        <v>3345</v>
      </c>
      <c r="F5360" s="340" t="s">
        <v>1078</v>
      </c>
      <c r="G5360" s="340" t="s">
        <v>1362</v>
      </c>
      <c r="H5360" s="340"/>
      <c r="I5360" s="340" t="s">
        <v>3314</v>
      </c>
      <c r="K5360" s="343">
        <v>121.88</v>
      </c>
      <c r="L5360" s="343">
        <v>0</v>
      </c>
      <c r="M5360" s="343">
        <v>-999607.51</v>
      </c>
      <c r="O5360" s="343">
        <v>0</v>
      </c>
    </row>
    <row r="5361" spans="1:15" x14ac:dyDescent="0.3">
      <c r="A5361" s="340" t="s">
        <v>891</v>
      </c>
      <c r="B5361" s="350">
        <v>46154</v>
      </c>
      <c r="C5361" s="350">
        <v>46154</v>
      </c>
      <c r="D5361" s="351">
        <v>46143</v>
      </c>
      <c r="E5361" s="340" t="s">
        <v>3346</v>
      </c>
      <c r="F5361" s="340" t="s">
        <v>1078</v>
      </c>
      <c r="G5361" s="340" t="s">
        <v>1362</v>
      </c>
      <c r="H5361" s="340"/>
      <c r="I5361" s="340" t="s">
        <v>3323</v>
      </c>
      <c r="K5361" s="343">
        <v>211.74</v>
      </c>
      <c r="L5361" s="343">
        <v>0</v>
      </c>
      <c r="M5361" s="343">
        <v>-999395.77</v>
      </c>
      <c r="O5361" s="343">
        <v>0</v>
      </c>
    </row>
    <row r="5362" spans="1:15" x14ac:dyDescent="0.3">
      <c r="A5362" s="340" t="s">
        <v>891</v>
      </c>
      <c r="B5362" s="350">
        <v>46154</v>
      </c>
      <c r="C5362" s="350">
        <v>46154</v>
      </c>
      <c r="D5362" s="351">
        <v>46143</v>
      </c>
      <c r="E5362" s="340" t="s">
        <v>3347</v>
      </c>
      <c r="F5362" s="340" t="s">
        <v>1078</v>
      </c>
      <c r="G5362" s="340" t="s">
        <v>1487</v>
      </c>
      <c r="H5362" s="340"/>
      <c r="I5362" s="340" t="s">
        <v>3280</v>
      </c>
      <c r="K5362" s="343">
        <v>99</v>
      </c>
      <c r="L5362" s="343">
        <v>0</v>
      </c>
      <c r="M5362" s="343">
        <v>-999296.77</v>
      </c>
      <c r="O5362" s="343">
        <v>0</v>
      </c>
    </row>
    <row r="5363" spans="1:15" x14ac:dyDescent="0.3">
      <c r="A5363" s="340" t="s">
        <v>891</v>
      </c>
      <c r="B5363" s="350">
        <v>46154</v>
      </c>
      <c r="C5363" s="350">
        <v>46154</v>
      </c>
      <c r="D5363" s="351">
        <v>46143</v>
      </c>
      <c r="E5363" s="340" t="s">
        <v>3348</v>
      </c>
      <c r="F5363" s="340" t="s">
        <v>1078</v>
      </c>
      <c r="G5363" s="340" t="s">
        <v>1362</v>
      </c>
      <c r="H5363" s="340"/>
      <c r="I5363" s="340" t="s">
        <v>3322</v>
      </c>
      <c r="K5363" s="343">
        <v>273.17</v>
      </c>
      <c r="L5363" s="343">
        <v>0</v>
      </c>
      <c r="M5363" s="343">
        <v>-999023.6</v>
      </c>
      <c r="O5363" s="343">
        <v>0</v>
      </c>
    </row>
    <row r="5364" spans="1:15" x14ac:dyDescent="0.3">
      <c r="A5364" s="340" t="s">
        <v>891</v>
      </c>
      <c r="B5364" s="350">
        <v>46154</v>
      </c>
      <c r="C5364" s="350">
        <v>46154</v>
      </c>
      <c r="D5364" s="351">
        <v>46143</v>
      </c>
      <c r="E5364" s="340" t="s">
        <v>3349</v>
      </c>
      <c r="F5364" s="340" t="s">
        <v>894</v>
      </c>
      <c r="G5364" s="340" t="s">
        <v>3350</v>
      </c>
      <c r="H5364" s="340"/>
      <c r="I5364" s="340" t="s">
        <v>753</v>
      </c>
      <c r="K5364" s="343">
        <v>0</v>
      </c>
      <c r="L5364" s="343">
        <v>-2414.25</v>
      </c>
      <c r="M5364" s="343">
        <v>-1001437.85</v>
      </c>
      <c r="O5364" s="343">
        <v>0</v>
      </c>
    </row>
    <row r="5365" spans="1:15" x14ac:dyDescent="0.3">
      <c r="A5365" s="340" t="s">
        <v>891</v>
      </c>
      <c r="B5365" s="350">
        <v>46154</v>
      </c>
      <c r="C5365" s="350">
        <v>46155</v>
      </c>
      <c r="D5365" s="351">
        <v>46143</v>
      </c>
      <c r="E5365" s="340" t="s">
        <v>3351</v>
      </c>
      <c r="F5365" s="340" t="s">
        <v>894</v>
      </c>
      <c r="G5365" s="340" t="s">
        <v>3352</v>
      </c>
      <c r="H5365" s="340"/>
      <c r="I5365" s="340" t="s">
        <v>753</v>
      </c>
      <c r="K5365" s="343">
        <v>0</v>
      </c>
      <c r="L5365" s="343">
        <v>-573.73</v>
      </c>
      <c r="M5365" s="343">
        <v>-1002011.58</v>
      </c>
      <c r="O5365" s="343">
        <v>0</v>
      </c>
    </row>
    <row r="5366" spans="1:15" x14ac:dyDescent="0.3">
      <c r="A5366" s="340" t="s">
        <v>891</v>
      </c>
      <c r="B5366" s="350">
        <v>46154</v>
      </c>
      <c r="C5366" s="350">
        <v>46161</v>
      </c>
      <c r="D5366" s="351">
        <v>46143</v>
      </c>
      <c r="E5366" s="340" t="s">
        <v>3353</v>
      </c>
      <c r="F5366" s="340" t="s">
        <v>894</v>
      </c>
      <c r="G5366" s="340" t="s">
        <v>3354</v>
      </c>
      <c r="H5366" s="340"/>
      <c r="I5366" s="340" t="s">
        <v>742</v>
      </c>
      <c r="K5366" s="343">
        <v>0.39</v>
      </c>
      <c r="L5366" s="343">
        <v>0</v>
      </c>
      <c r="M5366" s="343">
        <v>-1002011.19</v>
      </c>
      <c r="O5366" s="343">
        <v>0</v>
      </c>
    </row>
    <row r="5367" spans="1:15" x14ac:dyDescent="0.3">
      <c r="A5367" s="340" t="s">
        <v>891</v>
      </c>
      <c r="B5367" s="350">
        <v>46154</v>
      </c>
      <c r="C5367" s="350">
        <v>46161</v>
      </c>
      <c r="D5367" s="351">
        <v>46143</v>
      </c>
      <c r="E5367" s="340" t="s">
        <v>3353</v>
      </c>
      <c r="F5367" s="340" t="s">
        <v>894</v>
      </c>
      <c r="G5367" s="340" t="s">
        <v>3355</v>
      </c>
      <c r="H5367" s="340"/>
      <c r="I5367" s="340" t="s">
        <v>742</v>
      </c>
      <c r="K5367" s="343">
        <v>0</v>
      </c>
      <c r="L5367" s="343">
        <v>-54.55</v>
      </c>
      <c r="M5367" s="343">
        <v>-1002065.74</v>
      </c>
      <c r="O5367" s="343">
        <v>0</v>
      </c>
    </row>
    <row r="5368" spans="1:15" x14ac:dyDescent="0.3">
      <c r="A5368" s="340" t="s">
        <v>891</v>
      </c>
      <c r="B5368" s="350">
        <v>46154</v>
      </c>
      <c r="C5368" s="350">
        <v>46161</v>
      </c>
      <c r="D5368" s="351">
        <v>46143</v>
      </c>
      <c r="E5368" s="340" t="s">
        <v>3353</v>
      </c>
      <c r="F5368" s="340" t="s">
        <v>894</v>
      </c>
      <c r="G5368" s="340" t="s">
        <v>3356</v>
      </c>
      <c r="H5368" s="340"/>
      <c r="I5368" s="340" t="s">
        <v>742</v>
      </c>
      <c r="K5368" s="343">
        <v>0</v>
      </c>
      <c r="L5368" s="343">
        <v>-88.01</v>
      </c>
      <c r="M5368" s="343">
        <v>-1002153.75</v>
      </c>
      <c r="O5368" s="343">
        <v>0</v>
      </c>
    </row>
    <row r="5369" spans="1:15" x14ac:dyDescent="0.3">
      <c r="A5369" s="340" t="s">
        <v>891</v>
      </c>
      <c r="B5369" s="350">
        <v>46154</v>
      </c>
      <c r="C5369" s="350">
        <v>46161</v>
      </c>
      <c r="D5369" s="351">
        <v>46143</v>
      </c>
      <c r="E5369" s="340" t="s">
        <v>3353</v>
      </c>
      <c r="F5369" s="340" t="s">
        <v>894</v>
      </c>
      <c r="G5369" s="340" t="s">
        <v>3357</v>
      </c>
      <c r="H5369" s="340"/>
      <c r="I5369" s="340" t="s">
        <v>742</v>
      </c>
      <c r="K5369" s="343">
        <v>0</v>
      </c>
      <c r="L5369" s="343">
        <v>-0.02</v>
      </c>
      <c r="M5369" s="343">
        <v>-1002153.77</v>
      </c>
      <c r="O5369" s="343">
        <v>0</v>
      </c>
    </row>
    <row r="5370" spans="1:15" x14ac:dyDescent="0.3">
      <c r="A5370" s="340" t="s">
        <v>891</v>
      </c>
      <c r="B5370" s="350">
        <v>46154</v>
      </c>
      <c r="C5370" s="350">
        <v>46161</v>
      </c>
      <c r="D5370" s="351">
        <v>46143</v>
      </c>
      <c r="E5370" s="340" t="s">
        <v>3353</v>
      </c>
      <c r="F5370" s="340" t="s">
        <v>894</v>
      </c>
      <c r="G5370" s="340" t="s">
        <v>3358</v>
      </c>
      <c r="H5370" s="340"/>
      <c r="I5370" s="340" t="s">
        <v>742</v>
      </c>
      <c r="K5370" s="343">
        <v>0</v>
      </c>
      <c r="L5370" s="343">
        <v>-10.91</v>
      </c>
      <c r="M5370" s="343">
        <v>-1002164.68</v>
      </c>
      <c r="O5370" s="343">
        <v>0</v>
      </c>
    </row>
    <row r="5371" spans="1:15" x14ac:dyDescent="0.3">
      <c r="A5371" s="340" t="s">
        <v>891</v>
      </c>
      <c r="B5371" s="350">
        <v>46154</v>
      </c>
      <c r="C5371" s="350">
        <v>46161</v>
      </c>
      <c r="D5371" s="351">
        <v>46143</v>
      </c>
      <c r="E5371" s="340" t="s">
        <v>3353</v>
      </c>
      <c r="F5371" s="340" t="s">
        <v>894</v>
      </c>
      <c r="G5371" s="340" t="s">
        <v>3359</v>
      </c>
      <c r="H5371" s="340"/>
      <c r="I5371" s="340" t="s">
        <v>742</v>
      </c>
      <c r="K5371" s="343">
        <v>0</v>
      </c>
      <c r="L5371" s="343">
        <v>-21.78</v>
      </c>
      <c r="M5371" s="343">
        <v>-1002186.46</v>
      </c>
      <c r="O5371" s="343">
        <v>0</v>
      </c>
    </row>
    <row r="5372" spans="1:15" x14ac:dyDescent="0.3">
      <c r="A5372" s="340" t="s">
        <v>891</v>
      </c>
      <c r="B5372" s="350">
        <v>46154</v>
      </c>
      <c r="C5372" s="350">
        <v>46161</v>
      </c>
      <c r="D5372" s="351">
        <v>46143</v>
      </c>
      <c r="E5372" s="340" t="s">
        <v>3353</v>
      </c>
      <c r="F5372" s="340" t="s">
        <v>894</v>
      </c>
      <c r="G5372" s="340" t="s">
        <v>3360</v>
      </c>
      <c r="H5372" s="340"/>
      <c r="I5372" s="340" t="s">
        <v>742</v>
      </c>
      <c r="K5372" s="343">
        <v>0</v>
      </c>
      <c r="L5372" s="343">
        <v>-174.08</v>
      </c>
      <c r="M5372" s="343">
        <v>-1002360.54</v>
      </c>
      <c r="O5372" s="343">
        <v>0</v>
      </c>
    </row>
    <row r="5373" spans="1:15" x14ac:dyDescent="0.3">
      <c r="A5373" s="340" t="s">
        <v>891</v>
      </c>
      <c r="B5373" s="350">
        <v>46154</v>
      </c>
      <c r="C5373" s="350">
        <v>46161</v>
      </c>
      <c r="D5373" s="351">
        <v>46143</v>
      </c>
      <c r="E5373" s="340" t="s">
        <v>3353</v>
      </c>
      <c r="F5373" s="340" t="s">
        <v>894</v>
      </c>
      <c r="G5373" s="340" t="s">
        <v>3361</v>
      </c>
      <c r="H5373" s="340"/>
      <c r="I5373" s="340" t="s">
        <v>742</v>
      </c>
      <c r="K5373" s="343">
        <v>0</v>
      </c>
      <c r="L5373" s="343">
        <v>-877.98</v>
      </c>
      <c r="M5373" s="343">
        <v>-1003238.52</v>
      </c>
      <c r="O5373" s="343">
        <v>0</v>
      </c>
    </row>
    <row r="5374" spans="1:15" x14ac:dyDescent="0.3">
      <c r="A5374" s="340" t="s">
        <v>891</v>
      </c>
      <c r="B5374" s="350">
        <v>46154</v>
      </c>
      <c r="C5374" s="350">
        <v>46161</v>
      </c>
      <c r="D5374" s="351">
        <v>46143</v>
      </c>
      <c r="E5374" s="340" t="s">
        <v>3362</v>
      </c>
      <c r="F5374" s="340" t="s">
        <v>894</v>
      </c>
      <c r="G5374" s="340" t="s">
        <v>3354</v>
      </c>
      <c r="H5374" s="340"/>
      <c r="I5374" s="340" t="s">
        <v>742</v>
      </c>
      <c r="K5374" s="343">
        <v>0.39</v>
      </c>
      <c r="L5374" s="343">
        <v>0</v>
      </c>
      <c r="M5374" s="343">
        <v>-1003238.13</v>
      </c>
      <c r="O5374" s="343">
        <v>0</v>
      </c>
    </row>
    <row r="5375" spans="1:15" x14ac:dyDescent="0.3">
      <c r="A5375" s="340" t="s">
        <v>891</v>
      </c>
      <c r="B5375" s="350">
        <v>46154</v>
      </c>
      <c r="C5375" s="350">
        <v>46161</v>
      </c>
      <c r="D5375" s="351">
        <v>46143</v>
      </c>
      <c r="E5375" s="340" t="s">
        <v>3362</v>
      </c>
      <c r="F5375" s="340" t="s">
        <v>894</v>
      </c>
      <c r="G5375" s="340" t="s">
        <v>3355</v>
      </c>
      <c r="H5375" s="340"/>
      <c r="I5375" s="340" t="s">
        <v>742</v>
      </c>
      <c r="K5375" s="343">
        <v>0</v>
      </c>
      <c r="L5375" s="343">
        <v>-121.27</v>
      </c>
      <c r="M5375" s="343">
        <v>-1003359.4</v>
      </c>
      <c r="O5375" s="343">
        <v>0</v>
      </c>
    </row>
    <row r="5376" spans="1:15" x14ac:dyDescent="0.3">
      <c r="A5376" s="340" t="s">
        <v>891</v>
      </c>
      <c r="B5376" s="350">
        <v>46154</v>
      </c>
      <c r="C5376" s="350">
        <v>46161</v>
      </c>
      <c r="D5376" s="351">
        <v>46143</v>
      </c>
      <c r="E5376" s="340" t="s">
        <v>3362</v>
      </c>
      <c r="F5376" s="340" t="s">
        <v>894</v>
      </c>
      <c r="G5376" s="340" t="s">
        <v>3357</v>
      </c>
      <c r="H5376" s="340"/>
      <c r="I5376" s="340" t="s">
        <v>742</v>
      </c>
      <c r="K5376" s="343">
        <v>0</v>
      </c>
      <c r="L5376" s="343">
        <v>-0.02</v>
      </c>
      <c r="M5376" s="343">
        <v>-1003359.42</v>
      </c>
      <c r="O5376" s="343">
        <v>0</v>
      </c>
    </row>
    <row r="5377" spans="1:15" x14ac:dyDescent="0.3">
      <c r="A5377" s="340" t="s">
        <v>891</v>
      </c>
      <c r="B5377" s="350">
        <v>46154</v>
      </c>
      <c r="C5377" s="350">
        <v>46161</v>
      </c>
      <c r="D5377" s="351">
        <v>46143</v>
      </c>
      <c r="E5377" s="340" t="s">
        <v>3362</v>
      </c>
      <c r="F5377" s="340" t="s">
        <v>894</v>
      </c>
      <c r="G5377" s="340" t="s">
        <v>3363</v>
      </c>
      <c r="H5377" s="340"/>
      <c r="I5377" s="340" t="s">
        <v>742</v>
      </c>
      <c r="K5377" s="343">
        <v>0</v>
      </c>
      <c r="L5377" s="343">
        <v>-24.25</v>
      </c>
      <c r="M5377" s="343">
        <v>-1003383.67</v>
      </c>
      <c r="O5377" s="343">
        <v>0</v>
      </c>
    </row>
    <row r="5378" spans="1:15" x14ac:dyDescent="0.3">
      <c r="A5378" s="340" t="s">
        <v>891</v>
      </c>
      <c r="B5378" s="350">
        <v>46154</v>
      </c>
      <c r="C5378" s="350">
        <v>46161</v>
      </c>
      <c r="D5378" s="351">
        <v>46143</v>
      </c>
      <c r="E5378" s="340" t="s">
        <v>3362</v>
      </c>
      <c r="F5378" s="340" t="s">
        <v>894</v>
      </c>
      <c r="G5378" s="340" t="s">
        <v>3358</v>
      </c>
      <c r="H5378" s="340"/>
      <c r="I5378" s="340" t="s">
        <v>742</v>
      </c>
      <c r="K5378" s="343">
        <v>0</v>
      </c>
      <c r="L5378" s="343">
        <v>-24.25</v>
      </c>
      <c r="M5378" s="343">
        <v>-1003407.92</v>
      </c>
      <c r="O5378" s="343">
        <v>0</v>
      </c>
    </row>
    <row r="5379" spans="1:15" x14ac:dyDescent="0.3">
      <c r="A5379" s="340" t="s">
        <v>891</v>
      </c>
      <c r="B5379" s="350">
        <v>46154</v>
      </c>
      <c r="C5379" s="350">
        <v>46161</v>
      </c>
      <c r="D5379" s="351">
        <v>46143</v>
      </c>
      <c r="E5379" s="340" t="s">
        <v>3362</v>
      </c>
      <c r="F5379" s="340" t="s">
        <v>894</v>
      </c>
      <c r="G5379" s="340" t="s">
        <v>3359</v>
      </c>
      <c r="H5379" s="340"/>
      <c r="I5379" s="340" t="s">
        <v>742</v>
      </c>
      <c r="K5379" s="343">
        <v>0</v>
      </c>
      <c r="L5379" s="343">
        <v>-48.42</v>
      </c>
      <c r="M5379" s="343">
        <v>-1003456.34</v>
      </c>
      <c r="O5379" s="343">
        <v>0</v>
      </c>
    </row>
    <row r="5380" spans="1:15" x14ac:dyDescent="0.3">
      <c r="A5380" s="340" t="s">
        <v>891</v>
      </c>
      <c r="B5380" s="350">
        <v>46154</v>
      </c>
      <c r="C5380" s="350">
        <v>46161</v>
      </c>
      <c r="D5380" s="351">
        <v>46143</v>
      </c>
      <c r="E5380" s="340" t="s">
        <v>3362</v>
      </c>
      <c r="F5380" s="340" t="s">
        <v>894</v>
      </c>
      <c r="G5380" s="340" t="s">
        <v>3356</v>
      </c>
      <c r="H5380" s="340"/>
      <c r="I5380" s="340" t="s">
        <v>742</v>
      </c>
      <c r="K5380" s="343">
        <v>0</v>
      </c>
      <c r="L5380" s="343">
        <v>-88.01</v>
      </c>
      <c r="M5380" s="343">
        <v>-1003544.35</v>
      </c>
      <c r="O5380" s="343">
        <v>0</v>
      </c>
    </row>
    <row r="5381" spans="1:15" x14ac:dyDescent="0.3">
      <c r="A5381" s="340" t="s">
        <v>891</v>
      </c>
      <c r="B5381" s="350">
        <v>46154</v>
      </c>
      <c r="C5381" s="350">
        <v>46161</v>
      </c>
      <c r="D5381" s="351">
        <v>46143</v>
      </c>
      <c r="E5381" s="340" t="s">
        <v>3362</v>
      </c>
      <c r="F5381" s="340" t="s">
        <v>894</v>
      </c>
      <c r="G5381" s="340" t="s">
        <v>3360</v>
      </c>
      <c r="H5381" s="340"/>
      <c r="I5381" s="340" t="s">
        <v>742</v>
      </c>
      <c r="K5381" s="343">
        <v>0</v>
      </c>
      <c r="L5381" s="343">
        <v>-407.13</v>
      </c>
      <c r="M5381" s="343">
        <v>-1003951.48</v>
      </c>
      <c r="O5381" s="343">
        <v>0</v>
      </c>
    </row>
    <row r="5382" spans="1:15" x14ac:dyDescent="0.3">
      <c r="A5382" s="340" t="s">
        <v>891</v>
      </c>
      <c r="B5382" s="350">
        <v>46154</v>
      </c>
      <c r="C5382" s="350">
        <v>46161</v>
      </c>
      <c r="D5382" s="351">
        <v>46143</v>
      </c>
      <c r="E5382" s="340" t="s">
        <v>3362</v>
      </c>
      <c r="F5382" s="340" t="s">
        <v>894</v>
      </c>
      <c r="G5382" s="340" t="s">
        <v>3361</v>
      </c>
      <c r="H5382" s="340"/>
      <c r="I5382" s="340" t="s">
        <v>742</v>
      </c>
      <c r="K5382" s="343">
        <v>0</v>
      </c>
      <c r="L5382" s="343">
        <v>-2053.39</v>
      </c>
      <c r="M5382" s="343">
        <v>-1006004.87</v>
      </c>
      <c r="O5382" s="343">
        <v>0</v>
      </c>
    </row>
    <row r="5383" spans="1:15" x14ac:dyDescent="0.3">
      <c r="A5383" s="340" t="s">
        <v>891</v>
      </c>
      <c r="B5383" s="350">
        <v>46154</v>
      </c>
      <c r="C5383" s="350">
        <v>46161</v>
      </c>
      <c r="D5383" s="351">
        <v>46143</v>
      </c>
      <c r="E5383" s="340" t="s">
        <v>3362</v>
      </c>
      <c r="F5383" s="340" t="s">
        <v>894</v>
      </c>
      <c r="G5383" s="340" t="s">
        <v>3364</v>
      </c>
      <c r="H5383" s="340"/>
      <c r="I5383" s="340" t="s">
        <v>742</v>
      </c>
      <c r="K5383" s="343">
        <v>0</v>
      </c>
      <c r="L5383" s="343">
        <v>-151.59</v>
      </c>
      <c r="M5383" s="343">
        <v>-1006156.46</v>
      </c>
      <c r="O5383" s="343">
        <v>0</v>
      </c>
    </row>
    <row r="5384" spans="1:15" x14ac:dyDescent="0.3">
      <c r="A5384" s="340" t="s">
        <v>891</v>
      </c>
      <c r="B5384" s="350">
        <v>46154</v>
      </c>
      <c r="C5384" s="350">
        <v>46161</v>
      </c>
      <c r="D5384" s="351">
        <v>46143</v>
      </c>
      <c r="E5384" s="340" t="s">
        <v>3365</v>
      </c>
      <c r="F5384" s="340" t="s">
        <v>894</v>
      </c>
      <c r="G5384" s="340" t="s">
        <v>3354</v>
      </c>
      <c r="H5384" s="340"/>
      <c r="I5384" s="340" t="s">
        <v>742</v>
      </c>
      <c r="K5384" s="343">
        <v>0.39</v>
      </c>
      <c r="L5384" s="343">
        <v>0</v>
      </c>
      <c r="M5384" s="343">
        <v>-1006156.07</v>
      </c>
      <c r="O5384" s="343">
        <v>0</v>
      </c>
    </row>
    <row r="5385" spans="1:15" x14ac:dyDescent="0.3">
      <c r="A5385" s="340" t="s">
        <v>891</v>
      </c>
      <c r="B5385" s="350">
        <v>46154</v>
      </c>
      <c r="C5385" s="350">
        <v>46161</v>
      </c>
      <c r="D5385" s="351">
        <v>46143</v>
      </c>
      <c r="E5385" s="340" t="s">
        <v>3365</v>
      </c>
      <c r="F5385" s="340" t="s">
        <v>894</v>
      </c>
      <c r="G5385" s="340" t="s">
        <v>3363</v>
      </c>
      <c r="H5385" s="340"/>
      <c r="I5385" s="340" t="s">
        <v>742</v>
      </c>
      <c r="K5385" s="343">
        <v>0</v>
      </c>
      <c r="L5385" s="343">
        <v>-21.79</v>
      </c>
      <c r="M5385" s="343">
        <v>-1006177.86</v>
      </c>
      <c r="O5385" s="343">
        <v>0</v>
      </c>
    </row>
    <row r="5386" spans="1:15" x14ac:dyDescent="0.3">
      <c r="A5386" s="340" t="s">
        <v>891</v>
      </c>
      <c r="B5386" s="350">
        <v>46154</v>
      </c>
      <c r="C5386" s="350">
        <v>46161</v>
      </c>
      <c r="D5386" s="351">
        <v>46143</v>
      </c>
      <c r="E5386" s="340" t="s">
        <v>3365</v>
      </c>
      <c r="F5386" s="340" t="s">
        <v>894</v>
      </c>
      <c r="G5386" s="340" t="s">
        <v>3360</v>
      </c>
      <c r="H5386" s="340"/>
      <c r="I5386" s="340" t="s">
        <v>742</v>
      </c>
      <c r="K5386" s="343">
        <v>0</v>
      </c>
      <c r="L5386" s="343">
        <v>-364.02</v>
      </c>
      <c r="M5386" s="343">
        <v>-1006541.88</v>
      </c>
      <c r="O5386" s="343">
        <v>0</v>
      </c>
    </row>
    <row r="5387" spans="1:15" x14ac:dyDescent="0.3">
      <c r="A5387" s="340" t="s">
        <v>891</v>
      </c>
      <c r="B5387" s="350">
        <v>46154</v>
      </c>
      <c r="C5387" s="350">
        <v>46161</v>
      </c>
      <c r="D5387" s="351">
        <v>46143</v>
      </c>
      <c r="E5387" s="340" t="s">
        <v>3365</v>
      </c>
      <c r="F5387" s="340" t="s">
        <v>894</v>
      </c>
      <c r="G5387" s="340" t="s">
        <v>3361</v>
      </c>
      <c r="H5387" s="340"/>
      <c r="I5387" s="340" t="s">
        <v>742</v>
      </c>
      <c r="K5387" s="343">
        <v>0</v>
      </c>
      <c r="L5387" s="343">
        <v>-1836</v>
      </c>
      <c r="M5387" s="343">
        <v>-1008377.88</v>
      </c>
      <c r="O5387" s="343">
        <v>0</v>
      </c>
    </row>
    <row r="5388" spans="1:15" x14ac:dyDescent="0.3">
      <c r="A5388" s="340" t="s">
        <v>891</v>
      </c>
      <c r="B5388" s="350">
        <v>46154</v>
      </c>
      <c r="C5388" s="350">
        <v>46161</v>
      </c>
      <c r="D5388" s="351">
        <v>46143</v>
      </c>
      <c r="E5388" s="340" t="s">
        <v>3365</v>
      </c>
      <c r="F5388" s="340" t="s">
        <v>894</v>
      </c>
      <c r="G5388" s="340" t="s">
        <v>3357</v>
      </c>
      <c r="H5388" s="340"/>
      <c r="I5388" s="340" t="s">
        <v>742</v>
      </c>
      <c r="K5388" s="343">
        <v>0</v>
      </c>
      <c r="L5388" s="343">
        <v>-0.02</v>
      </c>
      <c r="M5388" s="343">
        <v>-1008377.9</v>
      </c>
      <c r="O5388" s="343">
        <v>0</v>
      </c>
    </row>
    <row r="5389" spans="1:15" x14ac:dyDescent="0.3">
      <c r="A5389" s="340" t="s">
        <v>891</v>
      </c>
      <c r="B5389" s="350">
        <v>46154</v>
      </c>
      <c r="C5389" s="350">
        <v>46161</v>
      </c>
      <c r="D5389" s="351">
        <v>46143</v>
      </c>
      <c r="E5389" s="340" t="s">
        <v>3365</v>
      </c>
      <c r="F5389" s="340" t="s">
        <v>894</v>
      </c>
      <c r="G5389" s="340" t="s">
        <v>3358</v>
      </c>
      <c r="H5389" s="340"/>
      <c r="I5389" s="340" t="s">
        <v>742</v>
      </c>
      <c r="K5389" s="343">
        <v>0</v>
      </c>
      <c r="L5389" s="343">
        <v>-21.79</v>
      </c>
      <c r="M5389" s="343">
        <v>-1008399.69</v>
      </c>
      <c r="O5389" s="343">
        <v>0</v>
      </c>
    </row>
    <row r="5390" spans="1:15" x14ac:dyDescent="0.3">
      <c r="A5390" s="340" t="s">
        <v>891</v>
      </c>
      <c r="B5390" s="350">
        <v>46154</v>
      </c>
      <c r="C5390" s="350">
        <v>46161</v>
      </c>
      <c r="D5390" s="351">
        <v>46143</v>
      </c>
      <c r="E5390" s="340" t="s">
        <v>3365</v>
      </c>
      <c r="F5390" s="340" t="s">
        <v>894</v>
      </c>
      <c r="G5390" s="340" t="s">
        <v>3359</v>
      </c>
      <c r="H5390" s="340"/>
      <c r="I5390" s="340" t="s">
        <v>742</v>
      </c>
      <c r="K5390" s="343">
        <v>0</v>
      </c>
      <c r="L5390" s="343">
        <v>-43.49</v>
      </c>
      <c r="M5390" s="343">
        <v>-1008443.18</v>
      </c>
      <c r="O5390" s="343">
        <v>0</v>
      </c>
    </row>
    <row r="5391" spans="1:15" x14ac:dyDescent="0.3">
      <c r="A5391" s="340" t="s">
        <v>891</v>
      </c>
      <c r="B5391" s="350">
        <v>46154</v>
      </c>
      <c r="C5391" s="350">
        <v>46161</v>
      </c>
      <c r="D5391" s="351">
        <v>46143</v>
      </c>
      <c r="E5391" s="340" t="s">
        <v>3365</v>
      </c>
      <c r="F5391" s="340" t="s">
        <v>894</v>
      </c>
      <c r="G5391" s="340" t="s">
        <v>3356</v>
      </c>
      <c r="H5391" s="340"/>
      <c r="I5391" s="340" t="s">
        <v>742</v>
      </c>
      <c r="K5391" s="343">
        <v>0</v>
      </c>
      <c r="L5391" s="343">
        <v>-88.01</v>
      </c>
      <c r="M5391" s="343">
        <v>-1008531.19</v>
      </c>
      <c r="O5391" s="343">
        <v>0</v>
      </c>
    </row>
    <row r="5392" spans="1:15" x14ac:dyDescent="0.3">
      <c r="A5392" s="340" t="s">
        <v>891</v>
      </c>
      <c r="B5392" s="350">
        <v>46154</v>
      </c>
      <c r="C5392" s="350">
        <v>46161</v>
      </c>
      <c r="D5392" s="351">
        <v>46143</v>
      </c>
      <c r="E5392" s="340" t="s">
        <v>3365</v>
      </c>
      <c r="F5392" s="340" t="s">
        <v>894</v>
      </c>
      <c r="G5392" s="340" t="s">
        <v>3355</v>
      </c>
      <c r="H5392" s="340"/>
      <c r="I5392" s="340" t="s">
        <v>742</v>
      </c>
      <c r="K5392" s="343">
        <v>0</v>
      </c>
      <c r="L5392" s="343">
        <v>-108.93</v>
      </c>
      <c r="M5392" s="343">
        <v>-1008640.12</v>
      </c>
      <c r="O5392" s="343">
        <v>0</v>
      </c>
    </row>
    <row r="5393" spans="1:15" x14ac:dyDescent="0.3">
      <c r="A5393" s="340" t="s">
        <v>891</v>
      </c>
      <c r="B5393" s="350">
        <v>46154</v>
      </c>
      <c r="C5393" s="350">
        <v>46161</v>
      </c>
      <c r="D5393" s="351">
        <v>46143</v>
      </c>
      <c r="E5393" s="340" t="s">
        <v>3365</v>
      </c>
      <c r="F5393" s="340" t="s">
        <v>894</v>
      </c>
      <c r="G5393" s="340" t="s">
        <v>3364</v>
      </c>
      <c r="H5393" s="340"/>
      <c r="I5393" s="340" t="s">
        <v>742</v>
      </c>
      <c r="K5393" s="343">
        <v>0</v>
      </c>
      <c r="L5393" s="343">
        <v>-136.16</v>
      </c>
      <c r="M5393" s="343">
        <v>-1008776.28</v>
      </c>
      <c r="O5393" s="343">
        <v>0</v>
      </c>
    </row>
    <row r="5394" spans="1:15" x14ac:dyDescent="0.3">
      <c r="A5394" s="340" t="s">
        <v>891</v>
      </c>
      <c r="B5394" s="350">
        <v>46154</v>
      </c>
      <c r="C5394" s="350">
        <v>46162</v>
      </c>
      <c r="D5394" s="351">
        <v>46143</v>
      </c>
      <c r="E5394" s="340" t="s">
        <v>3366</v>
      </c>
      <c r="F5394" s="340" t="s">
        <v>894</v>
      </c>
      <c r="G5394" s="340" t="s">
        <v>3354</v>
      </c>
      <c r="H5394" s="340"/>
      <c r="I5394" s="340" t="s">
        <v>742</v>
      </c>
      <c r="K5394" s="343">
        <v>0.39</v>
      </c>
      <c r="L5394" s="343">
        <v>0</v>
      </c>
      <c r="M5394" s="343">
        <v>-1008775.89</v>
      </c>
      <c r="O5394" s="343">
        <v>0</v>
      </c>
    </row>
    <row r="5395" spans="1:15" x14ac:dyDescent="0.3">
      <c r="A5395" s="340" t="s">
        <v>891</v>
      </c>
      <c r="B5395" s="350">
        <v>46154</v>
      </c>
      <c r="C5395" s="350">
        <v>46162</v>
      </c>
      <c r="D5395" s="351">
        <v>46143</v>
      </c>
      <c r="E5395" s="340" t="s">
        <v>3366</v>
      </c>
      <c r="F5395" s="340" t="s">
        <v>894</v>
      </c>
      <c r="G5395" s="340" t="s">
        <v>3357</v>
      </c>
      <c r="H5395" s="340"/>
      <c r="I5395" s="340" t="s">
        <v>742</v>
      </c>
      <c r="K5395" s="343">
        <v>0</v>
      </c>
      <c r="L5395" s="343">
        <v>-0.02</v>
      </c>
      <c r="M5395" s="343">
        <v>-1008775.91</v>
      </c>
      <c r="O5395" s="343">
        <v>0</v>
      </c>
    </row>
    <row r="5396" spans="1:15" x14ac:dyDescent="0.3">
      <c r="A5396" s="340" t="s">
        <v>891</v>
      </c>
      <c r="B5396" s="350">
        <v>46154</v>
      </c>
      <c r="C5396" s="350">
        <v>46162</v>
      </c>
      <c r="D5396" s="351">
        <v>46143</v>
      </c>
      <c r="E5396" s="340" t="s">
        <v>3366</v>
      </c>
      <c r="F5396" s="340" t="s">
        <v>894</v>
      </c>
      <c r="G5396" s="340" t="s">
        <v>3358</v>
      </c>
      <c r="H5396" s="340"/>
      <c r="I5396" s="340" t="s">
        <v>742</v>
      </c>
      <c r="K5396" s="343">
        <v>0</v>
      </c>
      <c r="L5396" s="343">
        <v>-21.95</v>
      </c>
      <c r="M5396" s="343">
        <v>-1008797.86</v>
      </c>
      <c r="O5396" s="343">
        <v>0</v>
      </c>
    </row>
    <row r="5397" spans="1:15" x14ac:dyDescent="0.3">
      <c r="A5397" s="340" t="s">
        <v>891</v>
      </c>
      <c r="B5397" s="350">
        <v>46154</v>
      </c>
      <c r="C5397" s="350">
        <v>46162</v>
      </c>
      <c r="D5397" s="351">
        <v>46143</v>
      </c>
      <c r="E5397" s="340" t="s">
        <v>3366</v>
      </c>
      <c r="F5397" s="340" t="s">
        <v>894</v>
      </c>
      <c r="G5397" s="340" t="s">
        <v>3359</v>
      </c>
      <c r="H5397" s="340"/>
      <c r="I5397" s="340" t="s">
        <v>742</v>
      </c>
      <c r="K5397" s="343">
        <v>0</v>
      </c>
      <c r="L5397" s="343">
        <v>-43.82</v>
      </c>
      <c r="M5397" s="343">
        <v>-1008841.68</v>
      </c>
      <c r="O5397" s="343">
        <v>0</v>
      </c>
    </row>
    <row r="5398" spans="1:15" x14ac:dyDescent="0.3">
      <c r="A5398" s="340" t="s">
        <v>891</v>
      </c>
      <c r="B5398" s="350">
        <v>46154</v>
      </c>
      <c r="C5398" s="350">
        <v>46162</v>
      </c>
      <c r="D5398" s="351">
        <v>46143</v>
      </c>
      <c r="E5398" s="340" t="s">
        <v>3366</v>
      </c>
      <c r="F5398" s="340" t="s">
        <v>894</v>
      </c>
      <c r="G5398" s="340" t="s">
        <v>3356</v>
      </c>
      <c r="H5398" s="340"/>
      <c r="I5398" s="340" t="s">
        <v>742</v>
      </c>
      <c r="K5398" s="343">
        <v>0</v>
      </c>
      <c r="L5398" s="343">
        <v>-88.01</v>
      </c>
      <c r="M5398" s="343">
        <v>-1008929.69</v>
      </c>
      <c r="O5398" s="343">
        <v>0</v>
      </c>
    </row>
    <row r="5399" spans="1:15" x14ac:dyDescent="0.3">
      <c r="A5399" s="340" t="s">
        <v>891</v>
      </c>
      <c r="B5399" s="350">
        <v>46154</v>
      </c>
      <c r="C5399" s="350">
        <v>46162</v>
      </c>
      <c r="D5399" s="351">
        <v>46143</v>
      </c>
      <c r="E5399" s="340" t="s">
        <v>3366</v>
      </c>
      <c r="F5399" s="340" t="s">
        <v>894</v>
      </c>
      <c r="G5399" s="340" t="s">
        <v>3355</v>
      </c>
      <c r="H5399" s="340"/>
      <c r="I5399" s="340" t="s">
        <v>742</v>
      </c>
      <c r="K5399" s="343">
        <v>0</v>
      </c>
      <c r="L5399" s="343">
        <v>-109.74</v>
      </c>
      <c r="M5399" s="343">
        <v>-1009039.43</v>
      </c>
      <c r="O5399" s="343">
        <v>0</v>
      </c>
    </row>
    <row r="5400" spans="1:15" x14ac:dyDescent="0.3">
      <c r="A5400" s="340" t="s">
        <v>891</v>
      </c>
      <c r="B5400" s="350">
        <v>46154</v>
      </c>
      <c r="C5400" s="350">
        <v>46162</v>
      </c>
      <c r="D5400" s="351">
        <v>46143</v>
      </c>
      <c r="E5400" s="340" t="s">
        <v>3366</v>
      </c>
      <c r="F5400" s="340" t="s">
        <v>894</v>
      </c>
      <c r="G5400" s="340" t="s">
        <v>3360</v>
      </c>
      <c r="H5400" s="340"/>
      <c r="I5400" s="340" t="s">
        <v>742</v>
      </c>
      <c r="K5400" s="343">
        <v>0</v>
      </c>
      <c r="L5400" s="343">
        <v>-366.86</v>
      </c>
      <c r="M5400" s="343">
        <v>-1009406.29</v>
      </c>
      <c r="O5400" s="343">
        <v>0</v>
      </c>
    </row>
    <row r="5401" spans="1:15" x14ac:dyDescent="0.3">
      <c r="A5401" s="340" t="s">
        <v>891</v>
      </c>
      <c r="B5401" s="350">
        <v>46154</v>
      </c>
      <c r="C5401" s="350">
        <v>46162</v>
      </c>
      <c r="D5401" s="351">
        <v>46143</v>
      </c>
      <c r="E5401" s="340" t="s">
        <v>3366</v>
      </c>
      <c r="F5401" s="340" t="s">
        <v>894</v>
      </c>
      <c r="G5401" s="340" t="s">
        <v>3361</v>
      </c>
      <c r="H5401" s="340"/>
      <c r="I5401" s="340" t="s">
        <v>742</v>
      </c>
      <c r="K5401" s="343">
        <v>0</v>
      </c>
      <c r="L5401" s="343">
        <v>-1850.33</v>
      </c>
      <c r="M5401" s="343">
        <v>-1011256.62</v>
      </c>
      <c r="O5401" s="343">
        <v>0</v>
      </c>
    </row>
    <row r="5402" spans="1:15" x14ac:dyDescent="0.3">
      <c r="A5402" s="340" t="s">
        <v>891</v>
      </c>
      <c r="B5402" s="350">
        <v>46155</v>
      </c>
      <c r="C5402" s="350">
        <v>46154</v>
      </c>
      <c r="D5402" s="351">
        <v>46143</v>
      </c>
      <c r="E5402" s="340" t="s">
        <v>3367</v>
      </c>
      <c r="F5402" s="340" t="s">
        <v>1078</v>
      </c>
      <c r="G5402" s="340" t="s">
        <v>3170</v>
      </c>
      <c r="H5402" s="340"/>
      <c r="I5402" s="340" t="s">
        <v>232</v>
      </c>
      <c r="K5402" s="343">
        <v>249</v>
      </c>
      <c r="L5402" s="343">
        <v>0</v>
      </c>
      <c r="M5402" s="343">
        <v>-1011007.62</v>
      </c>
      <c r="O5402" s="343">
        <v>0</v>
      </c>
    </row>
    <row r="5403" spans="1:15" x14ac:dyDescent="0.3">
      <c r="A5403" s="340" t="s">
        <v>891</v>
      </c>
      <c r="B5403" s="350">
        <v>46155</v>
      </c>
      <c r="C5403" s="350">
        <v>46154</v>
      </c>
      <c r="D5403" s="351">
        <v>46143</v>
      </c>
      <c r="E5403" s="340" t="s">
        <v>3367</v>
      </c>
      <c r="F5403" s="340" t="s">
        <v>1078</v>
      </c>
      <c r="G5403" s="340" t="s">
        <v>3169</v>
      </c>
      <c r="H5403" s="340"/>
      <c r="I5403" s="340" t="s">
        <v>232</v>
      </c>
      <c r="K5403" s="343">
        <v>300</v>
      </c>
      <c r="L5403" s="343">
        <v>0</v>
      </c>
      <c r="M5403" s="343">
        <v>-1010707.62</v>
      </c>
      <c r="O5403" s="343">
        <v>0</v>
      </c>
    </row>
    <row r="5404" spans="1:15" x14ac:dyDescent="0.3">
      <c r="A5404" s="340" t="s">
        <v>891</v>
      </c>
      <c r="B5404" s="350">
        <v>46155</v>
      </c>
      <c r="C5404" s="350">
        <v>46154</v>
      </c>
      <c r="D5404" s="351">
        <v>46143</v>
      </c>
      <c r="E5404" s="340" t="s">
        <v>3367</v>
      </c>
      <c r="F5404" s="340" t="s">
        <v>1078</v>
      </c>
      <c r="G5404" s="340" t="s">
        <v>3168</v>
      </c>
      <c r="H5404" s="340"/>
      <c r="I5404" s="340" t="s">
        <v>232</v>
      </c>
      <c r="K5404" s="343">
        <v>10297.76</v>
      </c>
      <c r="L5404" s="343">
        <v>0</v>
      </c>
      <c r="M5404" s="343">
        <v>-1000409.86</v>
      </c>
      <c r="O5404" s="343">
        <v>0</v>
      </c>
    </row>
    <row r="5405" spans="1:15" x14ac:dyDescent="0.3">
      <c r="A5405" s="340" t="s">
        <v>891</v>
      </c>
      <c r="B5405" s="350">
        <v>46155</v>
      </c>
      <c r="C5405" s="350">
        <v>46155</v>
      </c>
      <c r="D5405" s="351">
        <v>46143</v>
      </c>
      <c r="E5405" s="340" t="s">
        <v>3368</v>
      </c>
      <c r="F5405" s="340" t="s">
        <v>894</v>
      </c>
      <c r="G5405" s="340" t="s">
        <v>3369</v>
      </c>
      <c r="H5405" s="340"/>
      <c r="I5405" s="340" t="s">
        <v>740</v>
      </c>
      <c r="K5405" s="343">
        <v>0</v>
      </c>
      <c r="L5405" s="343">
        <v>-520</v>
      </c>
      <c r="M5405" s="343">
        <v>-1000929.86</v>
      </c>
      <c r="O5405" s="343">
        <v>0</v>
      </c>
    </row>
    <row r="5406" spans="1:15" x14ac:dyDescent="0.3">
      <c r="A5406" s="340" t="s">
        <v>891</v>
      </c>
      <c r="B5406" s="350">
        <v>46155</v>
      </c>
      <c r="C5406" s="350">
        <v>46155</v>
      </c>
      <c r="D5406" s="351">
        <v>46143</v>
      </c>
      <c r="E5406" s="340" t="s">
        <v>3370</v>
      </c>
      <c r="F5406" s="340" t="s">
        <v>894</v>
      </c>
      <c r="G5406" s="340" t="s">
        <v>3371</v>
      </c>
      <c r="H5406" s="340"/>
      <c r="I5406" s="340" t="s">
        <v>753</v>
      </c>
      <c r="K5406" s="343">
        <v>0</v>
      </c>
      <c r="L5406" s="343">
        <v>-97.85</v>
      </c>
      <c r="M5406" s="343">
        <v>-1001027.71</v>
      </c>
      <c r="O5406" s="343">
        <v>0</v>
      </c>
    </row>
    <row r="5407" spans="1:15" x14ac:dyDescent="0.3">
      <c r="A5407" s="340" t="s">
        <v>891</v>
      </c>
      <c r="B5407" s="350">
        <v>46155</v>
      </c>
      <c r="C5407" s="350">
        <v>46155</v>
      </c>
      <c r="D5407" s="351">
        <v>46143</v>
      </c>
      <c r="E5407" s="340" t="s">
        <v>3372</v>
      </c>
      <c r="F5407" s="340" t="s">
        <v>894</v>
      </c>
      <c r="G5407" s="340" t="s">
        <v>3373</v>
      </c>
      <c r="H5407" s="340"/>
      <c r="I5407" s="340" t="s">
        <v>753</v>
      </c>
      <c r="K5407" s="343">
        <v>0</v>
      </c>
      <c r="L5407" s="343">
        <v>-524.79999999999995</v>
      </c>
      <c r="M5407" s="343">
        <v>-1001552.51</v>
      </c>
      <c r="O5407" s="343">
        <v>0</v>
      </c>
    </row>
    <row r="5408" spans="1:15" x14ac:dyDescent="0.3">
      <c r="A5408" s="340" t="s">
        <v>891</v>
      </c>
      <c r="B5408" s="350">
        <v>46155</v>
      </c>
      <c r="C5408" s="350">
        <v>46155</v>
      </c>
      <c r="D5408" s="351">
        <v>46143</v>
      </c>
      <c r="E5408" s="340" t="s">
        <v>3374</v>
      </c>
      <c r="F5408" s="340" t="s">
        <v>894</v>
      </c>
      <c r="G5408" s="340" t="s">
        <v>3375</v>
      </c>
      <c r="H5408" s="340"/>
      <c r="I5408" s="340" t="s">
        <v>753</v>
      </c>
      <c r="K5408" s="343">
        <v>0</v>
      </c>
      <c r="L5408" s="343">
        <v>-1618.34</v>
      </c>
      <c r="M5408" s="343">
        <v>-1003170.85</v>
      </c>
      <c r="O5408" s="343">
        <v>0</v>
      </c>
    </row>
    <row r="5409" spans="1:15" x14ac:dyDescent="0.3">
      <c r="A5409" s="340" t="s">
        <v>891</v>
      </c>
      <c r="B5409" s="350">
        <v>46155</v>
      </c>
      <c r="C5409" s="350">
        <v>46155</v>
      </c>
      <c r="D5409" s="351">
        <v>46143</v>
      </c>
      <c r="E5409" s="340" t="s">
        <v>3376</v>
      </c>
      <c r="F5409" s="340" t="s">
        <v>894</v>
      </c>
      <c r="G5409" s="340" t="s">
        <v>3377</v>
      </c>
      <c r="H5409" s="340"/>
      <c r="I5409" s="340" t="s">
        <v>752</v>
      </c>
      <c r="K5409" s="343">
        <v>0</v>
      </c>
      <c r="L5409" s="343">
        <v>-425.74</v>
      </c>
      <c r="M5409" s="343">
        <v>-1003596.59</v>
      </c>
      <c r="O5409" s="343">
        <v>0</v>
      </c>
    </row>
    <row r="5410" spans="1:15" x14ac:dyDescent="0.3">
      <c r="A5410" s="340" t="s">
        <v>891</v>
      </c>
      <c r="B5410" s="350">
        <v>46155</v>
      </c>
      <c r="C5410" s="350">
        <v>46155</v>
      </c>
      <c r="D5410" s="351">
        <v>46143</v>
      </c>
      <c r="E5410" s="340" t="s">
        <v>3376</v>
      </c>
      <c r="F5410" s="340" t="s">
        <v>894</v>
      </c>
      <c r="G5410" s="340" t="s">
        <v>3378</v>
      </c>
      <c r="H5410" s="340"/>
      <c r="I5410" s="340" t="s">
        <v>752</v>
      </c>
      <c r="K5410" s="343">
        <v>0</v>
      </c>
      <c r="L5410" s="343">
        <v>-342.08</v>
      </c>
      <c r="M5410" s="343">
        <v>-1003938.67</v>
      </c>
      <c r="O5410" s="343">
        <v>0</v>
      </c>
    </row>
    <row r="5411" spans="1:15" x14ac:dyDescent="0.3">
      <c r="A5411" s="340" t="s">
        <v>891</v>
      </c>
      <c r="B5411" s="350">
        <v>46155</v>
      </c>
      <c r="C5411" s="350">
        <v>46156</v>
      </c>
      <c r="D5411" s="351">
        <v>46143</v>
      </c>
      <c r="E5411" s="340" t="s">
        <v>3379</v>
      </c>
      <c r="F5411" s="340" t="s">
        <v>894</v>
      </c>
      <c r="G5411" s="340" t="s">
        <v>3380</v>
      </c>
      <c r="H5411" s="340"/>
      <c r="I5411" s="340" t="s">
        <v>753</v>
      </c>
      <c r="K5411" s="343">
        <v>0</v>
      </c>
      <c r="L5411" s="343">
        <v>-1317.4</v>
      </c>
      <c r="M5411" s="343">
        <v>-1005256.07</v>
      </c>
      <c r="O5411" s="343">
        <v>0</v>
      </c>
    </row>
    <row r="5412" spans="1:15" x14ac:dyDescent="0.3">
      <c r="A5412" s="340" t="s">
        <v>891</v>
      </c>
      <c r="B5412" s="350">
        <v>46155</v>
      </c>
      <c r="C5412" s="350">
        <v>46161</v>
      </c>
      <c r="D5412" s="351">
        <v>46143</v>
      </c>
      <c r="E5412" s="340" t="s">
        <v>1232</v>
      </c>
      <c r="F5412" s="340" t="s">
        <v>894</v>
      </c>
      <c r="G5412" s="340" t="s">
        <v>3381</v>
      </c>
      <c r="H5412" s="340"/>
      <c r="I5412" s="340" t="s">
        <v>3382</v>
      </c>
      <c r="K5412" s="343">
        <v>0</v>
      </c>
      <c r="L5412" s="343">
        <v>-1105.8499999999999</v>
      </c>
      <c r="M5412" s="343">
        <v>-1006361.92</v>
      </c>
      <c r="O5412" s="343">
        <v>0</v>
      </c>
    </row>
    <row r="5413" spans="1:15" x14ac:dyDescent="0.3">
      <c r="A5413" s="340" t="s">
        <v>891</v>
      </c>
      <c r="B5413" s="350">
        <v>46155</v>
      </c>
      <c r="C5413" s="350">
        <v>46161</v>
      </c>
      <c r="D5413" s="351">
        <v>46143</v>
      </c>
      <c r="E5413" s="340" t="s">
        <v>1232</v>
      </c>
      <c r="F5413" s="340" t="s">
        <v>894</v>
      </c>
      <c r="G5413" s="340" t="s">
        <v>1362</v>
      </c>
      <c r="H5413" s="340"/>
      <c r="I5413" s="340" t="s">
        <v>3382</v>
      </c>
      <c r="K5413" s="343">
        <v>0</v>
      </c>
      <c r="L5413" s="343">
        <v>-20.18</v>
      </c>
      <c r="M5413" s="343">
        <v>-1006382.1</v>
      </c>
      <c r="O5413" s="343">
        <v>0</v>
      </c>
    </row>
    <row r="5414" spans="1:15" x14ac:dyDescent="0.3">
      <c r="A5414" s="340" t="s">
        <v>891</v>
      </c>
      <c r="B5414" s="350">
        <v>46155</v>
      </c>
      <c r="C5414" s="350">
        <v>46161</v>
      </c>
      <c r="D5414" s="351">
        <v>46143</v>
      </c>
      <c r="E5414" s="340" t="s">
        <v>3383</v>
      </c>
      <c r="F5414" s="340" t="s">
        <v>894</v>
      </c>
      <c r="G5414" s="340" t="s">
        <v>3384</v>
      </c>
      <c r="H5414" s="340"/>
      <c r="I5414" s="340" t="s">
        <v>765</v>
      </c>
      <c r="K5414" s="343">
        <v>0</v>
      </c>
      <c r="L5414" s="343">
        <v>-260.14999999999998</v>
      </c>
      <c r="M5414" s="343">
        <v>-1006642.25</v>
      </c>
      <c r="O5414" s="343">
        <v>0</v>
      </c>
    </row>
    <row r="5415" spans="1:15" x14ac:dyDescent="0.3">
      <c r="A5415" s="340" t="s">
        <v>891</v>
      </c>
      <c r="B5415" s="350">
        <v>46156</v>
      </c>
      <c r="C5415" s="350">
        <v>46156</v>
      </c>
      <c r="D5415" s="351">
        <v>46143</v>
      </c>
      <c r="E5415" s="340" t="s">
        <v>3385</v>
      </c>
      <c r="F5415" s="340" t="s">
        <v>894</v>
      </c>
      <c r="G5415" s="340" t="s">
        <v>3386</v>
      </c>
      <c r="H5415" s="340"/>
      <c r="I5415" s="340" t="s">
        <v>753</v>
      </c>
      <c r="K5415" s="343">
        <v>0</v>
      </c>
      <c r="L5415" s="343">
        <v>-270.63</v>
      </c>
      <c r="M5415" s="343">
        <v>-1006912.88</v>
      </c>
      <c r="O5415" s="343">
        <v>0</v>
      </c>
    </row>
    <row r="5416" spans="1:15" x14ac:dyDescent="0.3">
      <c r="A5416" s="340" t="s">
        <v>891</v>
      </c>
      <c r="B5416" s="350">
        <v>46156</v>
      </c>
      <c r="C5416" s="350">
        <v>46161</v>
      </c>
      <c r="D5416" s="351">
        <v>46143</v>
      </c>
      <c r="E5416" s="340" t="s">
        <v>1232</v>
      </c>
      <c r="F5416" s="340" t="s">
        <v>894</v>
      </c>
      <c r="G5416" s="340" t="s">
        <v>1487</v>
      </c>
      <c r="H5416" s="340"/>
      <c r="I5416" s="340" t="s">
        <v>3387</v>
      </c>
      <c r="K5416" s="343">
        <v>0</v>
      </c>
      <c r="L5416" s="343">
        <v>-75</v>
      </c>
      <c r="M5416" s="343">
        <v>-1006987.88</v>
      </c>
      <c r="O5416" s="343">
        <v>0</v>
      </c>
    </row>
    <row r="5417" spans="1:15" x14ac:dyDescent="0.3">
      <c r="A5417" s="340" t="s">
        <v>891</v>
      </c>
      <c r="B5417" s="350">
        <v>46156</v>
      </c>
      <c r="C5417" s="350">
        <v>46161</v>
      </c>
      <c r="D5417" s="351">
        <v>46143</v>
      </c>
      <c r="E5417" s="340" t="s">
        <v>1232</v>
      </c>
      <c r="F5417" s="340" t="s">
        <v>894</v>
      </c>
      <c r="G5417" s="340" t="s">
        <v>1487</v>
      </c>
      <c r="H5417" s="340"/>
      <c r="I5417" s="340" t="s">
        <v>3388</v>
      </c>
      <c r="K5417" s="343">
        <v>0</v>
      </c>
      <c r="L5417" s="343">
        <v>-75</v>
      </c>
      <c r="M5417" s="343">
        <v>-1007062.88</v>
      </c>
      <c r="O5417" s="343">
        <v>0</v>
      </c>
    </row>
    <row r="5418" spans="1:15" x14ac:dyDescent="0.3">
      <c r="A5418" s="340" t="s">
        <v>891</v>
      </c>
      <c r="B5418" s="350">
        <v>46156</v>
      </c>
      <c r="C5418" s="350">
        <v>46162</v>
      </c>
      <c r="D5418" s="351">
        <v>46143</v>
      </c>
      <c r="E5418" s="340" t="s">
        <v>3389</v>
      </c>
      <c r="F5418" s="340" t="s">
        <v>894</v>
      </c>
      <c r="G5418" s="340" t="s">
        <v>3390</v>
      </c>
      <c r="H5418" s="340"/>
      <c r="I5418" s="340" t="s">
        <v>742</v>
      </c>
      <c r="K5418" s="343">
        <v>0.39</v>
      </c>
      <c r="L5418" s="343">
        <v>0</v>
      </c>
      <c r="M5418" s="343">
        <v>-1007062.49</v>
      </c>
      <c r="O5418" s="343">
        <v>0</v>
      </c>
    </row>
    <row r="5419" spans="1:15" x14ac:dyDescent="0.3">
      <c r="A5419" s="340" t="s">
        <v>891</v>
      </c>
      <c r="B5419" s="350">
        <v>46156</v>
      </c>
      <c r="C5419" s="350">
        <v>46162</v>
      </c>
      <c r="D5419" s="351">
        <v>46143</v>
      </c>
      <c r="E5419" s="340" t="s">
        <v>3389</v>
      </c>
      <c r="F5419" s="340" t="s">
        <v>894</v>
      </c>
      <c r="G5419" s="340" t="s">
        <v>3391</v>
      </c>
      <c r="H5419" s="340"/>
      <c r="I5419" s="340" t="s">
        <v>742</v>
      </c>
      <c r="K5419" s="343">
        <v>0</v>
      </c>
      <c r="L5419" s="343">
        <v>-0.02</v>
      </c>
      <c r="M5419" s="343">
        <v>-1007062.51</v>
      </c>
      <c r="O5419" s="343">
        <v>0</v>
      </c>
    </row>
    <row r="5420" spans="1:15" x14ac:dyDescent="0.3">
      <c r="A5420" s="340" t="s">
        <v>891</v>
      </c>
      <c r="B5420" s="350">
        <v>46156</v>
      </c>
      <c r="C5420" s="350">
        <v>46162</v>
      </c>
      <c r="D5420" s="351">
        <v>46143</v>
      </c>
      <c r="E5420" s="340" t="s">
        <v>3389</v>
      </c>
      <c r="F5420" s="340" t="s">
        <v>894</v>
      </c>
      <c r="G5420" s="340" t="s">
        <v>3392</v>
      </c>
      <c r="H5420" s="340"/>
      <c r="I5420" s="340" t="s">
        <v>742</v>
      </c>
      <c r="K5420" s="343">
        <v>0</v>
      </c>
      <c r="L5420" s="343">
        <v>-19.78</v>
      </c>
      <c r="M5420" s="343">
        <v>-1007082.29</v>
      </c>
      <c r="O5420" s="343">
        <v>0</v>
      </c>
    </row>
    <row r="5421" spans="1:15" x14ac:dyDescent="0.3">
      <c r="A5421" s="340" t="s">
        <v>891</v>
      </c>
      <c r="B5421" s="350">
        <v>46156</v>
      </c>
      <c r="C5421" s="350">
        <v>46162</v>
      </c>
      <c r="D5421" s="351">
        <v>46143</v>
      </c>
      <c r="E5421" s="340" t="s">
        <v>3389</v>
      </c>
      <c r="F5421" s="340" t="s">
        <v>894</v>
      </c>
      <c r="G5421" s="340" t="s">
        <v>3393</v>
      </c>
      <c r="H5421" s="340"/>
      <c r="I5421" s="340" t="s">
        <v>742</v>
      </c>
      <c r="K5421" s="343">
        <v>0</v>
      </c>
      <c r="L5421" s="343">
        <v>-39.479999999999997</v>
      </c>
      <c r="M5421" s="343">
        <v>-1007121.77</v>
      </c>
      <c r="O5421" s="343">
        <v>0</v>
      </c>
    </row>
    <row r="5422" spans="1:15" x14ac:dyDescent="0.3">
      <c r="A5422" s="340" t="s">
        <v>891</v>
      </c>
      <c r="B5422" s="350">
        <v>46156</v>
      </c>
      <c r="C5422" s="350">
        <v>46162</v>
      </c>
      <c r="D5422" s="351">
        <v>46143</v>
      </c>
      <c r="E5422" s="340" t="s">
        <v>3389</v>
      </c>
      <c r="F5422" s="340" t="s">
        <v>894</v>
      </c>
      <c r="G5422" s="340" t="s">
        <v>3394</v>
      </c>
      <c r="H5422" s="340"/>
      <c r="I5422" s="340" t="s">
        <v>742</v>
      </c>
      <c r="K5422" s="343">
        <v>0</v>
      </c>
      <c r="L5422" s="343">
        <v>-88.01</v>
      </c>
      <c r="M5422" s="343">
        <v>-1007209.78</v>
      </c>
      <c r="O5422" s="343">
        <v>0</v>
      </c>
    </row>
    <row r="5423" spans="1:15" x14ac:dyDescent="0.3">
      <c r="A5423" s="340" t="s">
        <v>891</v>
      </c>
      <c r="B5423" s="350">
        <v>46156</v>
      </c>
      <c r="C5423" s="350">
        <v>46162</v>
      </c>
      <c r="D5423" s="351">
        <v>46143</v>
      </c>
      <c r="E5423" s="340" t="s">
        <v>3389</v>
      </c>
      <c r="F5423" s="340" t="s">
        <v>894</v>
      </c>
      <c r="G5423" s="340" t="s">
        <v>3395</v>
      </c>
      <c r="H5423" s="340"/>
      <c r="I5423" s="340" t="s">
        <v>742</v>
      </c>
      <c r="K5423" s="343">
        <v>0</v>
      </c>
      <c r="L5423" s="343">
        <v>-98.88</v>
      </c>
      <c r="M5423" s="343">
        <v>-1007308.66</v>
      </c>
      <c r="O5423" s="343">
        <v>0</v>
      </c>
    </row>
    <row r="5424" spans="1:15" x14ac:dyDescent="0.3">
      <c r="A5424" s="340" t="s">
        <v>891</v>
      </c>
      <c r="B5424" s="350">
        <v>46156</v>
      </c>
      <c r="C5424" s="350">
        <v>46162</v>
      </c>
      <c r="D5424" s="351">
        <v>46143</v>
      </c>
      <c r="E5424" s="340" t="s">
        <v>3389</v>
      </c>
      <c r="F5424" s="340" t="s">
        <v>894</v>
      </c>
      <c r="G5424" s="340" t="s">
        <v>3396</v>
      </c>
      <c r="H5424" s="340"/>
      <c r="I5424" s="340" t="s">
        <v>742</v>
      </c>
      <c r="K5424" s="343">
        <v>0</v>
      </c>
      <c r="L5424" s="343">
        <v>-328.94</v>
      </c>
      <c r="M5424" s="343">
        <v>-1007637.6</v>
      </c>
      <c r="O5424" s="343">
        <v>0</v>
      </c>
    </row>
    <row r="5425" spans="1:15" x14ac:dyDescent="0.3">
      <c r="A5425" s="340" t="s">
        <v>891</v>
      </c>
      <c r="B5425" s="350">
        <v>46156</v>
      </c>
      <c r="C5425" s="350">
        <v>46162</v>
      </c>
      <c r="D5425" s="351">
        <v>46143</v>
      </c>
      <c r="E5425" s="340" t="s">
        <v>3389</v>
      </c>
      <c r="F5425" s="340" t="s">
        <v>894</v>
      </c>
      <c r="G5425" s="340" t="s">
        <v>3397</v>
      </c>
      <c r="H5425" s="340"/>
      <c r="I5425" s="340" t="s">
        <v>742</v>
      </c>
      <c r="K5425" s="343">
        <v>0</v>
      </c>
      <c r="L5425" s="343">
        <v>-1659.06</v>
      </c>
      <c r="M5425" s="343">
        <v>-1009296.66</v>
      </c>
      <c r="O5425" s="343">
        <v>0</v>
      </c>
    </row>
    <row r="5426" spans="1:15" x14ac:dyDescent="0.3">
      <c r="A5426" s="340" t="s">
        <v>891</v>
      </c>
      <c r="B5426" s="350">
        <v>46157</v>
      </c>
      <c r="C5426" s="350">
        <v>46157</v>
      </c>
      <c r="D5426" s="351">
        <v>46143</v>
      </c>
      <c r="E5426" s="340" t="s">
        <v>3398</v>
      </c>
      <c r="F5426" s="340" t="s">
        <v>1078</v>
      </c>
      <c r="G5426" s="340" t="s">
        <v>1021</v>
      </c>
      <c r="H5426" s="340"/>
      <c r="I5426" s="340" t="s">
        <v>1022</v>
      </c>
      <c r="K5426" s="343">
        <v>6150</v>
      </c>
      <c r="L5426" s="343">
        <v>0</v>
      </c>
      <c r="M5426" s="343">
        <v>-1003146.66</v>
      </c>
      <c r="O5426" s="343">
        <v>0</v>
      </c>
    </row>
    <row r="5427" spans="1:15" x14ac:dyDescent="0.3">
      <c r="A5427" s="340" t="s">
        <v>891</v>
      </c>
      <c r="B5427" s="350">
        <v>46157</v>
      </c>
      <c r="C5427" s="350">
        <v>46157</v>
      </c>
      <c r="D5427" s="351">
        <v>46143</v>
      </c>
      <c r="E5427" s="340" t="s">
        <v>3398</v>
      </c>
      <c r="F5427" s="340" t="s">
        <v>1078</v>
      </c>
      <c r="G5427" s="340" t="s">
        <v>1021</v>
      </c>
      <c r="H5427" s="340"/>
      <c r="I5427" s="340" t="s">
        <v>1022</v>
      </c>
      <c r="K5427" s="343">
        <v>6150</v>
      </c>
      <c r="L5427" s="343">
        <v>0</v>
      </c>
      <c r="M5427" s="343">
        <v>-996996.66</v>
      </c>
      <c r="O5427" s="343">
        <v>0</v>
      </c>
    </row>
    <row r="5428" spans="1:15" x14ac:dyDescent="0.3">
      <c r="A5428" s="340" t="s">
        <v>891</v>
      </c>
      <c r="B5428" s="350">
        <v>46157</v>
      </c>
      <c r="C5428" s="350">
        <v>46157</v>
      </c>
      <c r="D5428" s="351">
        <v>46143</v>
      </c>
      <c r="E5428" s="340" t="s">
        <v>3398</v>
      </c>
      <c r="F5428" s="340" t="s">
        <v>1078</v>
      </c>
      <c r="G5428" s="340" t="s">
        <v>1021</v>
      </c>
      <c r="H5428" s="340"/>
      <c r="I5428" s="340" t="s">
        <v>1022</v>
      </c>
      <c r="K5428" s="343">
        <v>6150</v>
      </c>
      <c r="L5428" s="343">
        <v>0</v>
      </c>
      <c r="M5428" s="343">
        <v>-990846.66</v>
      </c>
      <c r="O5428" s="343">
        <v>0</v>
      </c>
    </row>
    <row r="5429" spans="1:15" x14ac:dyDescent="0.3">
      <c r="A5429" s="340" t="s">
        <v>891</v>
      </c>
      <c r="B5429" s="350">
        <v>46157</v>
      </c>
      <c r="C5429" s="350">
        <v>46157</v>
      </c>
      <c r="D5429" s="351">
        <v>46143</v>
      </c>
      <c r="E5429" s="340" t="s">
        <v>3398</v>
      </c>
      <c r="F5429" s="340" t="s">
        <v>1078</v>
      </c>
      <c r="G5429" s="340" t="s">
        <v>1021</v>
      </c>
      <c r="H5429" s="340"/>
      <c r="I5429" s="340" t="s">
        <v>1022</v>
      </c>
      <c r="K5429" s="343">
        <v>8729.0300000000007</v>
      </c>
      <c r="L5429" s="343">
        <v>0</v>
      </c>
      <c r="M5429" s="343">
        <v>-982117.63</v>
      </c>
      <c r="O5429" s="343">
        <v>0</v>
      </c>
    </row>
    <row r="5430" spans="1:15" x14ac:dyDescent="0.3">
      <c r="A5430" s="340" t="s">
        <v>891</v>
      </c>
      <c r="B5430" s="350">
        <v>46157</v>
      </c>
      <c r="C5430" s="350">
        <v>46159</v>
      </c>
      <c r="D5430" s="351">
        <v>46143</v>
      </c>
      <c r="E5430" s="340" t="s">
        <v>3399</v>
      </c>
      <c r="F5430" s="340" t="s">
        <v>894</v>
      </c>
      <c r="G5430" s="340" t="s">
        <v>3400</v>
      </c>
      <c r="H5430" s="340"/>
      <c r="I5430" s="340" t="s">
        <v>741</v>
      </c>
      <c r="K5430" s="343">
        <v>0</v>
      </c>
      <c r="L5430" s="343">
        <v>-399.45</v>
      </c>
      <c r="M5430" s="343">
        <v>-982517.08</v>
      </c>
      <c r="O5430" s="343">
        <v>0</v>
      </c>
    </row>
    <row r="5431" spans="1:15" x14ac:dyDescent="0.3">
      <c r="A5431" s="340" t="s">
        <v>891</v>
      </c>
      <c r="B5431" s="350">
        <v>46157</v>
      </c>
      <c r="C5431" s="350">
        <v>46161</v>
      </c>
      <c r="D5431" s="351">
        <v>46143</v>
      </c>
      <c r="E5431" s="340" t="s">
        <v>1232</v>
      </c>
      <c r="F5431" s="340" t="s">
        <v>894</v>
      </c>
      <c r="G5431" s="340" t="s">
        <v>1487</v>
      </c>
      <c r="H5431" s="340"/>
      <c r="I5431" s="340" t="s">
        <v>3401</v>
      </c>
      <c r="K5431" s="343">
        <v>0</v>
      </c>
      <c r="L5431" s="343">
        <v>-24</v>
      </c>
      <c r="M5431" s="343">
        <v>-982541.08</v>
      </c>
      <c r="O5431" s="343">
        <v>0</v>
      </c>
    </row>
    <row r="5432" spans="1:15" x14ac:dyDescent="0.3">
      <c r="A5432" s="340" t="s">
        <v>891</v>
      </c>
      <c r="B5432" s="350">
        <v>46158</v>
      </c>
      <c r="C5432" s="350">
        <v>46159</v>
      </c>
      <c r="D5432" s="351">
        <v>46143</v>
      </c>
      <c r="E5432" s="340" t="s">
        <v>3402</v>
      </c>
      <c r="F5432" s="340" t="s">
        <v>894</v>
      </c>
      <c r="G5432" s="340" t="s">
        <v>3403</v>
      </c>
      <c r="H5432" s="340"/>
      <c r="I5432" s="340" t="s">
        <v>740</v>
      </c>
      <c r="K5432" s="343">
        <v>0</v>
      </c>
      <c r="L5432" s="343">
        <v>-125</v>
      </c>
      <c r="M5432" s="343">
        <v>-982666.08</v>
      </c>
      <c r="O5432" s="343">
        <v>0</v>
      </c>
    </row>
    <row r="5433" spans="1:15" x14ac:dyDescent="0.3">
      <c r="A5433" s="340" t="s">
        <v>891</v>
      </c>
      <c r="B5433" s="350">
        <v>46158</v>
      </c>
      <c r="C5433" s="350">
        <v>46159</v>
      </c>
      <c r="D5433" s="351">
        <v>46143</v>
      </c>
      <c r="E5433" s="340" t="s">
        <v>3404</v>
      </c>
      <c r="F5433" s="340" t="s">
        <v>894</v>
      </c>
      <c r="G5433" s="340" t="s">
        <v>3405</v>
      </c>
      <c r="H5433" s="340"/>
      <c r="I5433" s="340" t="s">
        <v>740</v>
      </c>
      <c r="K5433" s="343">
        <v>0</v>
      </c>
      <c r="L5433" s="343">
        <v>-129.9</v>
      </c>
      <c r="M5433" s="343">
        <v>-982795.98</v>
      </c>
      <c r="O5433" s="343">
        <v>0</v>
      </c>
    </row>
    <row r="5434" spans="1:15" x14ac:dyDescent="0.3">
      <c r="A5434" s="340" t="s">
        <v>891</v>
      </c>
      <c r="B5434" s="350">
        <v>46158</v>
      </c>
      <c r="C5434" s="350">
        <v>46159</v>
      </c>
      <c r="D5434" s="351">
        <v>46143</v>
      </c>
      <c r="E5434" s="340" t="s">
        <v>3406</v>
      </c>
      <c r="F5434" s="340" t="s">
        <v>894</v>
      </c>
      <c r="G5434" s="340" t="s">
        <v>3407</v>
      </c>
      <c r="H5434" s="340"/>
      <c r="I5434" s="340" t="s">
        <v>740</v>
      </c>
      <c r="K5434" s="343">
        <v>0</v>
      </c>
      <c r="L5434" s="343">
        <v>-480</v>
      </c>
      <c r="M5434" s="343">
        <v>-983275.98</v>
      </c>
      <c r="O5434" s="343">
        <v>0</v>
      </c>
    </row>
    <row r="5435" spans="1:15" x14ac:dyDescent="0.3">
      <c r="A5435" s="340" t="s">
        <v>891</v>
      </c>
      <c r="B5435" s="350">
        <v>46158</v>
      </c>
      <c r="C5435" s="350">
        <v>46159</v>
      </c>
      <c r="D5435" s="351">
        <v>46143</v>
      </c>
      <c r="E5435" s="340" t="s">
        <v>3408</v>
      </c>
      <c r="F5435" s="340" t="s">
        <v>894</v>
      </c>
      <c r="G5435" s="340" t="s">
        <v>3409</v>
      </c>
      <c r="H5435" s="340"/>
      <c r="I5435" s="340" t="s">
        <v>740</v>
      </c>
      <c r="K5435" s="343">
        <v>0</v>
      </c>
      <c r="L5435" s="343">
        <v>-189.44</v>
      </c>
      <c r="M5435" s="343">
        <v>-983465.42</v>
      </c>
      <c r="O5435" s="343">
        <v>0</v>
      </c>
    </row>
    <row r="5436" spans="1:15" x14ac:dyDescent="0.3">
      <c r="A5436" s="340" t="s">
        <v>891</v>
      </c>
      <c r="B5436" s="350">
        <v>46158</v>
      </c>
      <c r="C5436" s="350">
        <v>46159</v>
      </c>
      <c r="D5436" s="351">
        <v>46143</v>
      </c>
      <c r="E5436" s="340" t="s">
        <v>3410</v>
      </c>
      <c r="F5436" s="340" t="s">
        <v>894</v>
      </c>
      <c r="G5436" s="340" t="s">
        <v>3411</v>
      </c>
      <c r="H5436" s="340"/>
      <c r="I5436" s="340" t="s">
        <v>740</v>
      </c>
      <c r="K5436" s="343">
        <v>0</v>
      </c>
      <c r="L5436" s="343">
        <v>-740</v>
      </c>
      <c r="M5436" s="343">
        <v>-984205.42</v>
      </c>
      <c r="O5436" s="343">
        <v>0</v>
      </c>
    </row>
    <row r="5437" spans="1:15" x14ac:dyDescent="0.3">
      <c r="A5437" s="340" t="s">
        <v>891</v>
      </c>
      <c r="B5437" s="350">
        <v>46158</v>
      </c>
      <c r="C5437" s="350">
        <v>46159</v>
      </c>
      <c r="D5437" s="351">
        <v>46143</v>
      </c>
      <c r="E5437" s="340" t="s">
        <v>3412</v>
      </c>
      <c r="F5437" s="340" t="s">
        <v>894</v>
      </c>
      <c r="G5437" s="340" t="s">
        <v>3413</v>
      </c>
      <c r="H5437" s="340"/>
      <c r="I5437" s="340" t="s">
        <v>740</v>
      </c>
      <c r="K5437" s="343">
        <v>0</v>
      </c>
      <c r="L5437" s="343">
        <v>-102.89</v>
      </c>
      <c r="M5437" s="343">
        <v>-984308.31</v>
      </c>
      <c r="O5437" s="343">
        <v>0</v>
      </c>
    </row>
    <row r="5438" spans="1:15" x14ac:dyDescent="0.3">
      <c r="A5438" s="340" t="s">
        <v>891</v>
      </c>
      <c r="B5438" s="350">
        <v>46158</v>
      </c>
      <c r="C5438" s="350">
        <v>46159</v>
      </c>
      <c r="D5438" s="351">
        <v>46143</v>
      </c>
      <c r="E5438" s="340" t="s">
        <v>3414</v>
      </c>
      <c r="F5438" s="340" t="s">
        <v>894</v>
      </c>
      <c r="G5438" s="340" t="s">
        <v>3415</v>
      </c>
      <c r="H5438" s="340"/>
      <c r="I5438" s="340" t="s">
        <v>740</v>
      </c>
      <c r="K5438" s="343">
        <v>0</v>
      </c>
      <c r="L5438" s="343">
        <v>-129.9</v>
      </c>
      <c r="M5438" s="343">
        <v>-984438.21</v>
      </c>
      <c r="O5438" s="343">
        <v>0</v>
      </c>
    </row>
    <row r="5439" spans="1:15" x14ac:dyDescent="0.3">
      <c r="A5439" s="340" t="s">
        <v>891</v>
      </c>
      <c r="B5439" s="350">
        <v>46158</v>
      </c>
      <c r="C5439" s="350">
        <v>46159</v>
      </c>
      <c r="D5439" s="351">
        <v>46143</v>
      </c>
      <c r="E5439" s="340" t="s">
        <v>3414</v>
      </c>
      <c r="F5439" s="340" t="s">
        <v>894</v>
      </c>
      <c r="G5439" s="340" t="s">
        <v>3416</v>
      </c>
      <c r="H5439" s="340"/>
      <c r="I5439" s="340" t="s">
        <v>740</v>
      </c>
      <c r="K5439" s="343">
        <v>0</v>
      </c>
      <c r="L5439" s="343">
        <v>-129.9</v>
      </c>
      <c r="M5439" s="343">
        <v>-984568.11</v>
      </c>
      <c r="O5439" s="343">
        <v>0</v>
      </c>
    </row>
    <row r="5440" spans="1:15" x14ac:dyDescent="0.3">
      <c r="A5440" s="340" t="s">
        <v>891</v>
      </c>
      <c r="B5440" s="350">
        <v>46158</v>
      </c>
      <c r="C5440" s="350">
        <v>46159</v>
      </c>
      <c r="D5440" s="351">
        <v>46143</v>
      </c>
      <c r="E5440" s="340" t="s">
        <v>3414</v>
      </c>
      <c r="F5440" s="340" t="s">
        <v>894</v>
      </c>
      <c r="G5440" s="340" t="s">
        <v>3417</v>
      </c>
      <c r="H5440" s="340"/>
      <c r="I5440" s="340" t="s">
        <v>740</v>
      </c>
      <c r="K5440" s="343">
        <v>0</v>
      </c>
      <c r="L5440" s="343">
        <v>-129.9</v>
      </c>
      <c r="M5440" s="343">
        <v>-984698.01</v>
      </c>
      <c r="O5440" s="343">
        <v>0</v>
      </c>
    </row>
    <row r="5441" spans="1:15" x14ac:dyDescent="0.3">
      <c r="A5441" s="340" t="s">
        <v>891</v>
      </c>
      <c r="B5441" s="350">
        <v>46158</v>
      </c>
      <c r="C5441" s="350">
        <v>46159</v>
      </c>
      <c r="D5441" s="351">
        <v>46143</v>
      </c>
      <c r="E5441" s="340" t="s">
        <v>3418</v>
      </c>
      <c r="F5441" s="340" t="s">
        <v>894</v>
      </c>
      <c r="G5441" s="340" t="s">
        <v>3419</v>
      </c>
      <c r="H5441" s="340"/>
      <c r="I5441" s="340" t="s">
        <v>740</v>
      </c>
      <c r="K5441" s="343">
        <v>0</v>
      </c>
      <c r="L5441" s="343">
        <v>-550</v>
      </c>
      <c r="M5441" s="343">
        <v>-985248.01</v>
      </c>
      <c r="O5441" s="343">
        <v>0</v>
      </c>
    </row>
    <row r="5442" spans="1:15" x14ac:dyDescent="0.3">
      <c r="A5442" s="340" t="s">
        <v>891</v>
      </c>
      <c r="B5442" s="350">
        <v>46158</v>
      </c>
      <c r="C5442" s="350">
        <v>46159</v>
      </c>
      <c r="D5442" s="351">
        <v>46143</v>
      </c>
      <c r="E5442" s="340" t="s">
        <v>3420</v>
      </c>
      <c r="F5442" s="340" t="s">
        <v>894</v>
      </c>
      <c r="G5442" s="340" t="s">
        <v>3421</v>
      </c>
      <c r="H5442" s="340"/>
      <c r="I5442" s="340" t="s">
        <v>740</v>
      </c>
      <c r="K5442" s="343">
        <v>0</v>
      </c>
      <c r="L5442" s="343">
        <v>-260</v>
      </c>
      <c r="M5442" s="343">
        <v>-985508.01</v>
      </c>
      <c r="O5442" s="343">
        <v>0</v>
      </c>
    </row>
    <row r="5443" spans="1:15" x14ac:dyDescent="0.3">
      <c r="A5443" s="340" t="s">
        <v>891</v>
      </c>
      <c r="B5443" s="350">
        <v>46158</v>
      </c>
      <c r="C5443" s="350">
        <v>46159</v>
      </c>
      <c r="D5443" s="351">
        <v>46143</v>
      </c>
      <c r="E5443" s="340" t="s">
        <v>3420</v>
      </c>
      <c r="F5443" s="340" t="s">
        <v>894</v>
      </c>
      <c r="G5443" s="340" t="s">
        <v>3422</v>
      </c>
      <c r="H5443" s="340"/>
      <c r="I5443" s="340" t="s">
        <v>740</v>
      </c>
      <c r="K5443" s="343">
        <v>0</v>
      </c>
      <c r="L5443" s="343">
        <v>-260</v>
      </c>
      <c r="M5443" s="343">
        <v>-985768.01</v>
      </c>
      <c r="O5443" s="343">
        <v>0</v>
      </c>
    </row>
    <row r="5444" spans="1:15" x14ac:dyDescent="0.3">
      <c r="A5444" s="340" t="s">
        <v>891</v>
      </c>
      <c r="B5444" s="350">
        <v>46158</v>
      </c>
      <c r="C5444" s="350">
        <v>46159</v>
      </c>
      <c r="D5444" s="351">
        <v>46143</v>
      </c>
      <c r="E5444" s="340" t="s">
        <v>3423</v>
      </c>
      <c r="F5444" s="340" t="s">
        <v>894</v>
      </c>
      <c r="G5444" s="340" t="s">
        <v>3424</v>
      </c>
      <c r="H5444" s="340"/>
      <c r="I5444" s="340" t="s">
        <v>740</v>
      </c>
      <c r="K5444" s="343">
        <v>0</v>
      </c>
      <c r="L5444" s="343">
        <v>-775</v>
      </c>
      <c r="M5444" s="343">
        <v>-986543.01</v>
      </c>
      <c r="O5444" s="343">
        <v>0</v>
      </c>
    </row>
    <row r="5445" spans="1:15" x14ac:dyDescent="0.3">
      <c r="A5445" s="340" t="s">
        <v>891</v>
      </c>
      <c r="B5445" s="350">
        <v>46158</v>
      </c>
      <c r="C5445" s="350">
        <v>46159</v>
      </c>
      <c r="D5445" s="351">
        <v>46143</v>
      </c>
      <c r="E5445" s="340" t="s">
        <v>3425</v>
      </c>
      <c r="F5445" s="340" t="s">
        <v>894</v>
      </c>
      <c r="G5445" s="340" t="s">
        <v>3426</v>
      </c>
      <c r="H5445" s="340"/>
      <c r="I5445" s="340" t="s">
        <v>740</v>
      </c>
      <c r="K5445" s="343">
        <v>0</v>
      </c>
      <c r="L5445" s="343">
        <v>-260</v>
      </c>
      <c r="M5445" s="343">
        <v>-986803.01</v>
      </c>
      <c r="O5445" s="343">
        <v>0</v>
      </c>
    </row>
    <row r="5446" spans="1:15" x14ac:dyDescent="0.3">
      <c r="A5446" s="340" t="s">
        <v>891</v>
      </c>
      <c r="B5446" s="350">
        <v>46158</v>
      </c>
      <c r="C5446" s="350">
        <v>46159</v>
      </c>
      <c r="D5446" s="351">
        <v>46143</v>
      </c>
      <c r="E5446" s="340" t="s">
        <v>3427</v>
      </c>
      <c r="F5446" s="340" t="s">
        <v>894</v>
      </c>
      <c r="G5446" s="340" t="s">
        <v>3428</v>
      </c>
      <c r="H5446" s="340"/>
      <c r="I5446" s="340" t="s">
        <v>740</v>
      </c>
      <c r="K5446" s="343">
        <v>0</v>
      </c>
      <c r="L5446" s="343">
        <v>-750</v>
      </c>
      <c r="M5446" s="343">
        <v>-987553.01</v>
      </c>
      <c r="O5446" s="343">
        <v>0</v>
      </c>
    </row>
    <row r="5447" spans="1:15" x14ac:dyDescent="0.3">
      <c r="A5447" s="340" t="s">
        <v>891</v>
      </c>
      <c r="B5447" s="350">
        <v>46158</v>
      </c>
      <c r="C5447" s="350">
        <v>46159</v>
      </c>
      <c r="D5447" s="351">
        <v>46143</v>
      </c>
      <c r="E5447" s="340" t="s">
        <v>3427</v>
      </c>
      <c r="F5447" s="340" t="s">
        <v>894</v>
      </c>
      <c r="G5447" s="340" t="s">
        <v>3429</v>
      </c>
      <c r="H5447" s="340"/>
      <c r="I5447" s="340" t="s">
        <v>740</v>
      </c>
      <c r="K5447" s="343">
        <v>0</v>
      </c>
      <c r="L5447" s="343">
        <v>-65</v>
      </c>
      <c r="M5447" s="343">
        <v>-987618.01</v>
      </c>
      <c r="O5447" s="343">
        <v>0</v>
      </c>
    </row>
    <row r="5448" spans="1:15" x14ac:dyDescent="0.3">
      <c r="A5448" s="340" t="s">
        <v>891</v>
      </c>
      <c r="B5448" s="350">
        <v>46158</v>
      </c>
      <c r="C5448" s="350">
        <v>46159</v>
      </c>
      <c r="D5448" s="351">
        <v>46143</v>
      </c>
      <c r="E5448" s="340" t="s">
        <v>3430</v>
      </c>
      <c r="F5448" s="340" t="s">
        <v>894</v>
      </c>
      <c r="G5448" s="340" t="s">
        <v>3431</v>
      </c>
      <c r="H5448" s="340"/>
      <c r="I5448" s="340" t="s">
        <v>740</v>
      </c>
      <c r="K5448" s="343">
        <v>0</v>
      </c>
      <c r="L5448" s="343">
        <v>-45</v>
      </c>
      <c r="M5448" s="343">
        <v>-987663.01</v>
      </c>
      <c r="O5448" s="343">
        <v>0</v>
      </c>
    </row>
    <row r="5449" spans="1:15" x14ac:dyDescent="0.3">
      <c r="A5449" s="340" t="s">
        <v>891</v>
      </c>
      <c r="B5449" s="350">
        <v>46158</v>
      </c>
      <c r="C5449" s="350">
        <v>46160</v>
      </c>
      <c r="D5449" s="351">
        <v>46143</v>
      </c>
      <c r="E5449" s="340" t="s">
        <v>3432</v>
      </c>
      <c r="F5449" s="340" t="s">
        <v>894</v>
      </c>
      <c r="G5449" s="340" t="s">
        <v>3433</v>
      </c>
      <c r="H5449" s="340"/>
      <c r="I5449" s="340" t="s">
        <v>740</v>
      </c>
      <c r="K5449" s="343">
        <v>0</v>
      </c>
      <c r="L5449" s="343">
        <v>-156.96</v>
      </c>
      <c r="M5449" s="343">
        <v>-987819.97</v>
      </c>
      <c r="O5449" s="343">
        <v>0</v>
      </c>
    </row>
    <row r="5450" spans="1:15" x14ac:dyDescent="0.3">
      <c r="A5450" s="340" t="s">
        <v>891</v>
      </c>
      <c r="B5450" s="350">
        <v>46159</v>
      </c>
      <c r="C5450" s="350">
        <v>46159</v>
      </c>
      <c r="D5450" s="351">
        <v>46143</v>
      </c>
      <c r="E5450" s="340" t="s">
        <v>3434</v>
      </c>
      <c r="F5450" s="340" t="s">
        <v>1078</v>
      </c>
      <c r="G5450" s="340" t="s">
        <v>1007</v>
      </c>
      <c r="H5450" s="340"/>
      <c r="I5450" s="340" t="s">
        <v>1005</v>
      </c>
      <c r="K5450" s="343">
        <v>488.58</v>
      </c>
      <c r="L5450" s="343">
        <v>0</v>
      </c>
      <c r="M5450" s="343">
        <v>-987331.39</v>
      </c>
      <c r="O5450" s="343">
        <v>0</v>
      </c>
    </row>
    <row r="5451" spans="1:15" x14ac:dyDescent="0.3">
      <c r="A5451" s="340" t="s">
        <v>891</v>
      </c>
      <c r="B5451" s="350">
        <v>46159</v>
      </c>
      <c r="C5451" s="350">
        <v>46159</v>
      </c>
      <c r="D5451" s="351">
        <v>46143</v>
      </c>
      <c r="E5451" s="340" t="s">
        <v>3435</v>
      </c>
      <c r="F5451" s="340" t="s">
        <v>1078</v>
      </c>
      <c r="G5451" s="340" t="s">
        <v>2562</v>
      </c>
      <c r="H5451" s="340"/>
      <c r="I5451" s="340" t="s">
        <v>1005</v>
      </c>
      <c r="K5451" s="343">
        <v>3549.78</v>
      </c>
      <c r="L5451" s="343">
        <v>0</v>
      </c>
      <c r="M5451" s="343">
        <v>-983781.61</v>
      </c>
      <c r="O5451" s="343">
        <v>0</v>
      </c>
    </row>
    <row r="5452" spans="1:15" x14ac:dyDescent="0.3">
      <c r="A5452" s="340" t="s">
        <v>891</v>
      </c>
      <c r="B5452" s="350">
        <v>46159</v>
      </c>
      <c r="C5452" s="350">
        <v>46159</v>
      </c>
      <c r="D5452" s="351">
        <v>46143</v>
      </c>
      <c r="E5452" s="340" t="s">
        <v>3435</v>
      </c>
      <c r="F5452" s="340" t="s">
        <v>1078</v>
      </c>
      <c r="G5452" s="340" t="s">
        <v>1007</v>
      </c>
      <c r="H5452" s="340"/>
      <c r="I5452" s="340" t="s">
        <v>1005</v>
      </c>
      <c r="K5452" s="343">
        <v>2057.3000000000002</v>
      </c>
      <c r="L5452" s="343">
        <v>0</v>
      </c>
      <c r="M5452" s="343">
        <v>-981724.31</v>
      </c>
      <c r="O5452" s="343">
        <v>0</v>
      </c>
    </row>
    <row r="5453" spans="1:15" x14ac:dyDescent="0.3">
      <c r="A5453" s="340" t="s">
        <v>891</v>
      </c>
      <c r="B5453" s="350">
        <v>46159</v>
      </c>
      <c r="C5453" s="350">
        <v>46159</v>
      </c>
      <c r="D5453" s="351">
        <v>46143</v>
      </c>
      <c r="E5453" s="340" t="s">
        <v>3435</v>
      </c>
      <c r="F5453" s="340" t="s">
        <v>1078</v>
      </c>
      <c r="G5453" s="340" t="s">
        <v>1004</v>
      </c>
      <c r="H5453" s="340"/>
      <c r="I5453" s="340" t="s">
        <v>1005</v>
      </c>
      <c r="K5453" s="343">
        <v>5197</v>
      </c>
      <c r="L5453" s="343">
        <v>0</v>
      </c>
      <c r="M5453" s="343">
        <v>-976527.31</v>
      </c>
      <c r="O5453" s="343">
        <v>0</v>
      </c>
    </row>
    <row r="5454" spans="1:15" x14ac:dyDescent="0.3">
      <c r="A5454" s="340" t="s">
        <v>891</v>
      </c>
      <c r="B5454" s="350">
        <v>46159</v>
      </c>
      <c r="C5454" s="350">
        <v>46159</v>
      </c>
      <c r="D5454" s="351">
        <v>46143</v>
      </c>
      <c r="E5454" s="340" t="s">
        <v>3436</v>
      </c>
      <c r="F5454" s="340" t="s">
        <v>1078</v>
      </c>
      <c r="G5454" s="340" t="s">
        <v>768</v>
      </c>
      <c r="H5454" s="340"/>
      <c r="I5454" s="340" t="s">
        <v>768</v>
      </c>
      <c r="K5454" s="343">
        <v>7343.52</v>
      </c>
      <c r="L5454" s="343">
        <v>0</v>
      </c>
      <c r="M5454" s="343">
        <v>-969183.79</v>
      </c>
      <c r="O5454" s="343">
        <v>0</v>
      </c>
    </row>
    <row r="5455" spans="1:15" x14ac:dyDescent="0.3">
      <c r="A5455" s="340" t="s">
        <v>891</v>
      </c>
      <c r="B5455" s="350">
        <v>46159</v>
      </c>
      <c r="C5455" s="350">
        <v>46159</v>
      </c>
      <c r="D5455" s="351">
        <v>46143</v>
      </c>
      <c r="E5455" s="340" t="s">
        <v>3437</v>
      </c>
      <c r="F5455" s="340" t="s">
        <v>1078</v>
      </c>
      <c r="G5455" s="340" t="s">
        <v>3020</v>
      </c>
      <c r="H5455" s="340" t="s">
        <v>2440</v>
      </c>
      <c r="I5455" s="340" t="s">
        <v>771</v>
      </c>
      <c r="K5455" s="343">
        <v>0.06</v>
      </c>
      <c r="L5455" s="343">
        <v>0</v>
      </c>
      <c r="M5455" s="343">
        <v>-969183.73</v>
      </c>
      <c r="O5455" s="343">
        <v>0</v>
      </c>
    </row>
    <row r="5456" spans="1:15" x14ac:dyDescent="0.3">
      <c r="A5456" s="340" t="s">
        <v>891</v>
      </c>
      <c r="B5456" s="350">
        <v>46159</v>
      </c>
      <c r="C5456" s="350">
        <v>46159</v>
      </c>
      <c r="D5456" s="351">
        <v>46143</v>
      </c>
      <c r="E5456" s="340" t="s">
        <v>3437</v>
      </c>
      <c r="F5456" s="340" t="s">
        <v>1078</v>
      </c>
      <c r="G5456" s="340" t="s">
        <v>3022</v>
      </c>
      <c r="H5456" s="340" t="s">
        <v>2440</v>
      </c>
      <c r="I5456" s="340" t="s">
        <v>771</v>
      </c>
      <c r="K5456" s="343">
        <v>0.13</v>
      </c>
      <c r="L5456" s="343">
        <v>0</v>
      </c>
      <c r="M5456" s="343">
        <v>-969183.6</v>
      </c>
      <c r="O5456" s="343">
        <v>0</v>
      </c>
    </row>
    <row r="5457" spans="1:15" x14ac:dyDescent="0.3">
      <c r="A5457" s="340" t="s">
        <v>891</v>
      </c>
      <c r="B5457" s="350">
        <v>46159</v>
      </c>
      <c r="C5457" s="350">
        <v>46159</v>
      </c>
      <c r="D5457" s="351">
        <v>46143</v>
      </c>
      <c r="E5457" s="340" t="s">
        <v>3437</v>
      </c>
      <c r="F5457" s="340" t="s">
        <v>1078</v>
      </c>
      <c r="G5457" s="340" t="s">
        <v>3017</v>
      </c>
      <c r="H5457" s="340" t="s">
        <v>2440</v>
      </c>
      <c r="I5457" s="340" t="s">
        <v>771</v>
      </c>
      <c r="K5457" s="343">
        <v>2.95</v>
      </c>
      <c r="L5457" s="343">
        <v>0</v>
      </c>
      <c r="M5457" s="343">
        <v>-969180.65</v>
      </c>
      <c r="O5457" s="343">
        <v>0</v>
      </c>
    </row>
    <row r="5458" spans="1:15" x14ac:dyDescent="0.3">
      <c r="A5458" s="340" t="s">
        <v>891</v>
      </c>
      <c r="B5458" s="350">
        <v>46159</v>
      </c>
      <c r="C5458" s="350">
        <v>46159</v>
      </c>
      <c r="D5458" s="351">
        <v>46143</v>
      </c>
      <c r="E5458" s="340" t="s">
        <v>3437</v>
      </c>
      <c r="F5458" s="340" t="s">
        <v>1078</v>
      </c>
      <c r="G5458" s="340" t="s">
        <v>3206</v>
      </c>
      <c r="H5458" s="340" t="s">
        <v>2440</v>
      </c>
      <c r="I5458" s="340" t="s">
        <v>771</v>
      </c>
      <c r="K5458" s="343">
        <v>3.32</v>
      </c>
      <c r="L5458" s="343">
        <v>0</v>
      </c>
      <c r="M5458" s="343">
        <v>-969177.33</v>
      </c>
      <c r="O5458" s="343">
        <v>0</v>
      </c>
    </row>
    <row r="5459" spans="1:15" x14ac:dyDescent="0.3">
      <c r="A5459" s="340" t="s">
        <v>891</v>
      </c>
      <c r="B5459" s="350">
        <v>46159</v>
      </c>
      <c r="C5459" s="350">
        <v>46159</v>
      </c>
      <c r="D5459" s="351">
        <v>46143</v>
      </c>
      <c r="E5459" s="340" t="s">
        <v>3437</v>
      </c>
      <c r="F5459" s="340" t="s">
        <v>1078</v>
      </c>
      <c r="G5459" s="340" t="s">
        <v>3022</v>
      </c>
      <c r="H5459" s="340" t="s">
        <v>2462</v>
      </c>
      <c r="I5459" s="340" t="s">
        <v>771</v>
      </c>
      <c r="K5459" s="343">
        <v>0.1</v>
      </c>
      <c r="L5459" s="343">
        <v>0</v>
      </c>
      <c r="M5459" s="343">
        <v>-969177.23</v>
      </c>
      <c r="O5459" s="343">
        <v>0</v>
      </c>
    </row>
    <row r="5460" spans="1:15" x14ac:dyDescent="0.3">
      <c r="A5460" s="340" t="s">
        <v>891</v>
      </c>
      <c r="B5460" s="350">
        <v>46159</v>
      </c>
      <c r="C5460" s="350">
        <v>46159</v>
      </c>
      <c r="D5460" s="351">
        <v>46143</v>
      </c>
      <c r="E5460" s="340" t="s">
        <v>3437</v>
      </c>
      <c r="F5460" s="340" t="s">
        <v>1078</v>
      </c>
      <c r="G5460" s="340" t="s">
        <v>3206</v>
      </c>
      <c r="H5460" s="340" t="s">
        <v>2462</v>
      </c>
      <c r="I5460" s="340" t="s">
        <v>771</v>
      </c>
      <c r="K5460" s="343">
        <v>1.83</v>
      </c>
      <c r="L5460" s="343">
        <v>0</v>
      </c>
      <c r="M5460" s="343">
        <v>-969175.4</v>
      </c>
      <c r="O5460" s="343">
        <v>0</v>
      </c>
    </row>
    <row r="5461" spans="1:15" x14ac:dyDescent="0.3">
      <c r="A5461" s="340" t="s">
        <v>891</v>
      </c>
      <c r="B5461" s="350">
        <v>46159</v>
      </c>
      <c r="C5461" s="350">
        <v>46159</v>
      </c>
      <c r="D5461" s="351">
        <v>46143</v>
      </c>
      <c r="E5461" s="340" t="s">
        <v>3437</v>
      </c>
      <c r="F5461" s="340" t="s">
        <v>1078</v>
      </c>
      <c r="G5461" s="340" t="s">
        <v>3017</v>
      </c>
      <c r="H5461" s="340" t="s">
        <v>2462</v>
      </c>
      <c r="I5461" s="340" t="s">
        <v>771</v>
      </c>
      <c r="K5461" s="343">
        <v>2.95</v>
      </c>
      <c r="L5461" s="343">
        <v>0</v>
      </c>
      <c r="M5461" s="343">
        <v>-969172.45</v>
      </c>
      <c r="O5461" s="343">
        <v>0</v>
      </c>
    </row>
    <row r="5462" spans="1:15" x14ac:dyDescent="0.3">
      <c r="A5462" s="340" t="s">
        <v>891</v>
      </c>
      <c r="B5462" s="350">
        <v>46159</v>
      </c>
      <c r="C5462" s="350">
        <v>46159</v>
      </c>
      <c r="D5462" s="351">
        <v>46143</v>
      </c>
      <c r="E5462" s="340" t="s">
        <v>3437</v>
      </c>
      <c r="F5462" s="340" t="s">
        <v>1078</v>
      </c>
      <c r="G5462" s="340" t="s">
        <v>3020</v>
      </c>
      <c r="H5462" s="340" t="s">
        <v>2462</v>
      </c>
      <c r="I5462" s="340" t="s">
        <v>771</v>
      </c>
      <c r="K5462" s="343">
        <v>0.05</v>
      </c>
      <c r="L5462" s="343">
        <v>0</v>
      </c>
      <c r="M5462" s="343">
        <v>-969172.4</v>
      </c>
      <c r="O5462" s="343">
        <v>0</v>
      </c>
    </row>
    <row r="5463" spans="1:15" x14ac:dyDescent="0.3">
      <c r="A5463" s="340" t="s">
        <v>891</v>
      </c>
      <c r="B5463" s="350">
        <v>46159</v>
      </c>
      <c r="C5463" s="350">
        <v>46159</v>
      </c>
      <c r="D5463" s="351">
        <v>46143</v>
      </c>
      <c r="E5463" s="340" t="s">
        <v>3437</v>
      </c>
      <c r="F5463" s="340" t="s">
        <v>1078</v>
      </c>
      <c r="G5463" s="340" t="s">
        <v>3207</v>
      </c>
      <c r="H5463" s="340" t="s">
        <v>3208</v>
      </c>
      <c r="I5463" s="340" t="s">
        <v>771</v>
      </c>
      <c r="K5463" s="343">
        <v>0.15</v>
      </c>
      <c r="L5463" s="343">
        <v>0</v>
      </c>
      <c r="M5463" s="343">
        <v>-969172.25</v>
      </c>
      <c r="O5463" s="343">
        <v>0</v>
      </c>
    </row>
    <row r="5464" spans="1:15" x14ac:dyDescent="0.3">
      <c r="A5464" s="340" t="s">
        <v>891</v>
      </c>
      <c r="B5464" s="350">
        <v>46159</v>
      </c>
      <c r="C5464" s="350">
        <v>46159</v>
      </c>
      <c r="D5464" s="351">
        <v>46143</v>
      </c>
      <c r="E5464" s="340" t="s">
        <v>3437</v>
      </c>
      <c r="F5464" s="340" t="s">
        <v>1078</v>
      </c>
      <c r="G5464" s="340" t="s">
        <v>3209</v>
      </c>
      <c r="H5464" s="340" t="s">
        <v>3208</v>
      </c>
      <c r="I5464" s="340" t="s">
        <v>771</v>
      </c>
      <c r="K5464" s="343">
        <v>0.2</v>
      </c>
      <c r="L5464" s="343">
        <v>0</v>
      </c>
      <c r="M5464" s="343">
        <v>-969172.05</v>
      </c>
      <c r="O5464" s="343">
        <v>0</v>
      </c>
    </row>
    <row r="5465" spans="1:15" x14ac:dyDescent="0.3">
      <c r="A5465" s="340" t="s">
        <v>891</v>
      </c>
      <c r="B5465" s="350">
        <v>46159</v>
      </c>
      <c r="C5465" s="350">
        <v>46159</v>
      </c>
      <c r="D5465" s="351">
        <v>46143</v>
      </c>
      <c r="E5465" s="340" t="s">
        <v>3437</v>
      </c>
      <c r="F5465" s="340" t="s">
        <v>1078</v>
      </c>
      <c r="G5465" s="340" t="s">
        <v>3225</v>
      </c>
      <c r="H5465" s="340" t="s">
        <v>2528</v>
      </c>
      <c r="I5465" s="340" t="s">
        <v>771</v>
      </c>
      <c r="K5465" s="343">
        <v>0.14000000000000001</v>
      </c>
      <c r="L5465" s="343">
        <v>0</v>
      </c>
      <c r="M5465" s="343">
        <v>-969171.91</v>
      </c>
      <c r="O5465" s="343">
        <v>0</v>
      </c>
    </row>
    <row r="5466" spans="1:15" x14ac:dyDescent="0.3">
      <c r="A5466" s="340" t="s">
        <v>891</v>
      </c>
      <c r="B5466" s="350">
        <v>46159</v>
      </c>
      <c r="C5466" s="350">
        <v>46159</v>
      </c>
      <c r="D5466" s="351">
        <v>46143</v>
      </c>
      <c r="E5466" s="340" t="s">
        <v>3437</v>
      </c>
      <c r="F5466" s="340" t="s">
        <v>1078</v>
      </c>
      <c r="G5466" s="340" t="s">
        <v>3210</v>
      </c>
      <c r="H5466" s="340" t="s">
        <v>3208</v>
      </c>
      <c r="I5466" s="340" t="s">
        <v>771</v>
      </c>
      <c r="K5466" s="343">
        <v>0.28999999999999998</v>
      </c>
      <c r="L5466" s="343">
        <v>0</v>
      </c>
      <c r="M5466" s="343">
        <v>-969171.62</v>
      </c>
      <c r="O5466" s="343">
        <v>0</v>
      </c>
    </row>
    <row r="5467" spans="1:15" x14ac:dyDescent="0.3">
      <c r="A5467" s="340" t="s">
        <v>891</v>
      </c>
      <c r="B5467" s="350">
        <v>46159</v>
      </c>
      <c r="C5467" s="350">
        <v>46159</v>
      </c>
      <c r="D5467" s="351">
        <v>46143</v>
      </c>
      <c r="E5467" s="340" t="s">
        <v>3437</v>
      </c>
      <c r="F5467" s="340" t="s">
        <v>1078</v>
      </c>
      <c r="G5467" s="340" t="s">
        <v>3211</v>
      </c>
      <c r="H5467" s="340" t="s">
        <v>3208</v>
      </c>
      <c r="I5467" s="340" t="s">
        <v>771</v>
      </c>
      <c r="K5467" s="343">
        <v>2.95</v>
      </c>
      <c r="L5467" s="343">
        <v>0</v>
      </c>
      <c r="M5467" s="343">
        <v>-969168.67</v>
      </c>
      <c r="O5467" s="343">
        <v>0</v>
      </c>
    </row>
    <row r="5468" spans="1:15" x14ac:dyDescent="0.3">
      <c r="A5468" s="340" t="s">
        <v>891</v>
      </c>
      <c r="B5468" s="350">
        <v>46159</v>
      </c>
      <c r="C5468" s="350">
        <v>46159</v>
      </c>
      <c r="D5468" s="351">
        <v>46143</v>
      </c>
      <c r="E5468" s="340" t="s">
        <v>3437</v>
      </c>
      <c r="F5468" s="340" t="s">
        <v>1078</v>
      </c>
      <c r="G5468" s="340" t="s">
        <v>3212</v>
      </c>
      <c r="H5468" s="340" t="s">
        <v>3208</v>
      </c>
      <c r="I5468" s="340" t="s">
        <v>771</v>
      </c>
      <c r="K5468" s="343">
        <v>11.3</v>
      </c>
      <c r="L5468" s="343">
        <v>0</v>
      </c>
      <c r="M5468" s="343">
        <v>-969157.37</v>
      </c>
      <c r="O5468" s="343">
        <v>0</v>
      </c>
    </row>
    <row r="5469" spans="1:15" x14ac:dyDescent="0.3">
      <c r="A5469" s="340" t="s">
        <v>891</v>
      </c>
      <c r="B5469" s="350">
        <v>46159</v>
      </c>
      <c r="C5469" s="350">
        <v>46159</v>
      </c>
      <c r="D5469" s="351">
        <v>46143</v>
      </c>
      <c r="E5469" s="340" t="s">
        <v>3437</v>
      </c>
      <c r="F5469" s="340" t="s">
        <v>1078</v>
      </c>
      <c r="G5469" s="340" t="s">
        <v>3022</v>
      </c>
      <c r="H5469" s="340" t="s">
        <v>2520</v>
      </c>
      <c r="I5469" s="340" t="s">
        <v>771</v>
      </c>
      <c r="K5469" s="343">
        <v>0.18</v>
      </c>
      <c r="L5469" s="343">
        <v>0</v>
      </c>
      <c r="M5469" s="343">
        <v>-969157.19</v>
      </c>
      <c r="O5469" s="343">
        <v>0</v>
      </c>
    </row>
    <row r="5470" spans="1:15" x14ac:dyDescent="0.3">
      <c r="A5470" s="340" t="s">
        <v>891</v>
      </c>
      <c r="B5470" s="350">
        <v>46159</v>
      </c>
      <c r="C5470" s="350">
        <v>46159</v>
      </c>
      <c r="D5470" s="351">
        <v>46143</v>
      </c>
      <c r="E5470" s="340" t="s">
        <v>3437</v>
      </c>
      <c r="F5470" s="340" t="s">
        <v>1078</v>
      </c>
      <c r="G5470" s="340" t="s">
        <v>3020</v>
      </c>
      <c r="H5470" s="340" t="s">
        <v>2520</v>
      </c>
      <c r="I5470" s="340" t="s">
        <v>771</v>
      </c>
      <c r="K5470" s="343">
        <v>0.09</v>
      </c>
      <c r="L5470" s="343">
        <v>0</v>
      </c>
      <c r="M5470" s="343">
        <v>-969157.1</v>
      </c>
      <c r="O5470" s="343">
        <v>0</v>
      </c>
    </row>
    <row r="5471" spans="1:15" x14ac:dyDescent="0.3">
      <c r="A5471" s="340" t="s">
        <v>891</v>
      </c>
      <c r="B5471" s="350">
        <v>46159</v>
      </c>
      <c r="C5471" s="350">
        <v>46159</v>
      </c>
      <c r="D5471" s="351">
        <v>46143</v>
      </c>
      <c r="E5471" s="340" t="s">
        <v>3437</v>
      </c>
      <c r="F5471" s="340" t="s">
        <v>1078</v>
      </c>
      <c r="G5471" s="340" t="s">
        <v>3017</v>
      </c>
      <c r="H5471" s="340" t="s">
        <v>2520</v>
      </c>
      <c r="I5471" s="340" t="s">
        <v>771</v>
      </c>
      <c r="K5471" s="343">
        <v>2.95</v>
      </c>
      <c r="L5471" s="343">
        <v>0</v>
      </c>
      <c r="M5471" s="343">
        <v>-969154.15</v>
      </c>
      <c r="O5471" s="343">
        <v>0</v>
      </c>
    </row>
    <row r="5472" spans="1:15" x14ac:dyDescent="0.3">
      <c r="A5472" s="340" t="s">
        <v>891</v>
      </c>
      <c r="B5472" s="350">
        <v>46159</v>
      </c>
      <c r="C5472" s="350">
        <v>46159</v>
      </c>
      <c r="D5472" s="351">
        <v>46143</v>
      </c>
      <c r="E5472" s="340" t="s">
        <v>3437</v>
      </c>
      <c r="F5472" s="340" t="s">
        <v>1078</v>
      </c>
      <c r="G5472" s="340" t="s">
        <v>3206</v>
      </c>
      <c r="H5472" s="340" t="s">
        <v>2520</v>
      </c>
      <c r="I5472" s="340" t="s">
        <v>771</v>
      </c>
      <c r="K5472" s="343">
        <v>5.82</v>
      </c>
      <c r="L5472" s="343">
        <v>0</v>
      </c>
      <c r="M5472" s="343">
        <v>-969148.33</v>
      </c>
      <c r="O5472" s="343">
        <v>0</v>
      </c>
    </row>
    <row r="5473" spans="1:15" x14ac:dyDescent="0.3">
      <c r="A5473" s="340" t="s">
        <v>891</v>
      </c>
      <c r="B5473" s="350">
        <v>46159</v>
      </c>
      <c r="C5473" s="350">
        <v>46159</v>
      </c>
      <c r="D5473" s="351">
        <v>46143</v>
      </c>
      <c r="E5473" s="340" t="s">
        <v>3437</v>
      </c>
      <c r="F5473" s="340" t="s">
        <v>1078</v>
      </c>
      <c r="G5473" s="340" t="s">
        <v>3219</v>
      </c>
      <c r="H5473" s="340" t="s">
        <v>3220</v>
      </c>
      <c r="I5473" s="340" t="s">
        <v>771</v>
      </c>
      <c r="K5473" s="343">
        <v>0.09</v>
      </c>
      <c r="L5473" s="343">
        <v>0</v>
      </c>
      <c r="M5473" s="343">
        <v>-969148.24</v>
      </c>
      <c r="O5473" s="343">
        <v>0</v>
      </c>
    </row>
    <row r="5474" spans="1:15" x14ac:dyDescent="0.3">
      <c r="A5474" s="340" t="s">
        <v>891</v>
      </c>
      <c r="B5474" s="350">
        <v>46159</v>
      </c>
      <c r="C5474" s="350">
        <v>46159</v>
      </c>
      <c r="D5474" s="351">
        <v>46143</v>
      </c>
      <c r="E5474" s="340" t="s">
        <v>3437</v>
      </c>
      <c r="F5474" s="340" t="s">
        <v>1078</v>
      </c>
      <c r="G5474" s="340" t="s">
        <v>3221</v>
      </c>
      <c r="H5474" s="340" t="s">
        <v>3220</v>
      </c>
      <c r="I5474" s="340" t="s">
        <v>771</v>
      </c>
      <c r="K5474" s="343">
        <v>0.17</v>
      </c>
      <c r="L5474" s="343">
        <v>0</v>
      </c>
      <c r="M5474" s="343">
        <v>-969148.07</v>
      </c>
      <c r="O5474" s="343">
        <v>0</v>
      </c>
    </row>
    <row r="5475" spans="1:15" x14ac:dyDescent="0.3">
      <c r="A5475" s="340" t="s">
        <v>891</v>
      </c>
      <c r="B5475" s="350">
        <v>46159</v>
      </c>
      <c r="C5475" s="350">
        <v>46159</v>
      </c>
      <c r="D5475" s="351">
        <v>46143</v>
      </c>
      <c r="E5475" s="340" t="s">
        <v>3437</v>
      </c>
      <c r="F5475" s="340" t="s">
        <v>1078</v>
      </c>
      <c r="G5475" s="340" t="s">
        <v>3222</v>
      </c>
      <c r="H5475" s="340" t="s">
        <v>3220</v>
      </c>
      <c r="I5475" s="340" t="s">
        <v>771</v>
      </c>
      <c r="K5475" s="343">
        <v>0.2</v>
      </c>
      <c r="L5475" s="343">
        <v>0</v>
      </c>
      <c r="M5475" s="343">
        <v>-969147.87</v>
      </c>
      <c r="O5475" s="343">
        <v>0</v>
      </c>
    </row>
    <row r="5476" spans="1:15" x14ac:dyDescent="0.3">
      <c r="A5476" s="340" t="s">
        <v>891</v>
      </c>
      <c r="B5476" s="350">
        <v>46159</v>
      </c>
      <c r="C5476" s="350">
        <v>46159</v>
      </c>
      <c r="D5476" s="351">
        <v>46143</v>
      </c>
      <c r="E5476" s="340" t="s">
        <v>3437</v>
      </c>
      <c r="F5476" s="340" t="s">
        <v>1078</v>
      </c>
      <c r="G5476" s="340" t="s">
        <v>3223</v>
      </c>
      <c r="H5476" s="340" t="s">
        <v>3220</v>
      </c>
      <c r="I5476" s="340" t="s">
        <v>771</v>
      </c>
      <c r="K5476" s="343">
        <v>2.95</v>
      </c>
      <c r="L5476" s="343">
        <v>0</v>
      </c>
      <c r="M5476" s="343">
        <v>-969144.92</v>
      </c>
      <c r="O5476" s="343">
        <v>0</v>
      </c>
    </row>
    <row r="5477" spans="1:15" x14ac:dyDescent="0.3">
      <c r="A5477" s="340" t="s">
        <v>891</v>
      </c>
      <c r="B5477" s="350">
        <v>46159</v>
      </c>
      <c r="C5477" s="350">
        <v>46159</v>
      </c>
      <c r="D5477" s="351">
        <v>46143</v>
      </c>
      <c r="E5477" s="340" t="s">
        <v>3437</v>
      </c>
      <c r="F5477" s="340" t="s">
        <v>1078</v>
      </c>
      <c r="G5477" s="340" t="s">
        <v>3224</v>
      </c>
      <c r="H5477" s="340" t="s">
        <v>3220</v>
      </c>
      <c r="I5477" s="340" t="s">
        <v>771</v>
      </c>
      <c r="K5477" s="343">
        <v>5.48</v>
      </c>
      <c r="L5477" s="343">
        <v>0</v>
      </c>
      <c r="M5477" s="343">
        <v>-969139.44</v>
      </c>
      <c r="O5477" s="343">
        <v>0</v>
      </c>
    </row>
    <row r="5478" spans="1:15" x14ac:dyDescent="0.3">
      <c r="A5478" s="340" t="s">
        <v>891</v>
      </c>
      <c r="B5478" s="350">
        <v>46159</v>
      </c>
      <c r="C5478" s="350">
        <v>46159</v>
      </c>
      <c r="D5478" s="351">
        <v>46143</v>
      </c>
      <c r="E5478" s="340" t="s">
        <v>3437</v>
      </c>
      <c r="F5478" s="340" t="s">
        <v>1078</v>
      </c>
      <c r="G5478" s="340" t="s">
        <v>3017</v>
      </c>
      <c r="H5478" s="340" t="s">
        <v>2479</v>
      </c>
      <c r="I5478" s="340" t="s">
        <v>771</v>
      </c>
      <c r="K5478" s="343">
        <v>2.95</v>
      </c>
      <c r="L5478" s="343">
        <v>0</v>
      </c>
      <c r="M5478" s="343">
        <v>-969136.49</v>
      </c>
      <c r="O5478" s="343">
        <v>0</v>
      </c>
    </row>
    <row r="5479" spans="1:15" x14ac:dyDescent="0.3">
      <c r="A5479" s="340" t="s">
        <v>891</v>
      </c>
      <c r="B5479" s="350">
        <v>46159</v>
      </c>
      <c r="C5479" s="350">
        <v>46159</v>
      </c>
      <c r="D5479" s="351">
        <v>46143</v>
      </c>
      <c r="E5479" s="340" t="s">
        <v>3437</v>
      </c>
      <c r="F5479" s="340" t="s">
        <v>1078</v>
      </c>
      <c r="G5479" s="340" t="s">
        <v>3022</v>
      </c>
      <c r="H5479" s="340" t="s">
        <v>2479</v>
      </c>
      <c r="I5479" s="340" t="s">
        <v>771</v>
      </c>
      <c r="K5479" s="343">
        <v>0.06</v>
      </c>
      <c r="L5479" s="343">
        <v>0</v>
      </c>
      <c r="M5479" s="343">
        <v>-969136.43</v>
      </c>
      <c r="O5479" s="343">
        <v>0</v>
      </c>
    </row>
    <row r="5480" spans="1:15" x14ac:dyDescent="0.3">
      <c r="A5480" s="340" t="s">
        <v>891</v>
      </c>
      <c r="B5480" s="350">
        <v>46159</v>
      </c>
      <c r="C5480" s="350">
        <v>46159</v>
      </c>
      <c r="D5480" s="351">
        <v>46143</v>
      </c>
      <c r="E5480" s="340" t="s">
        <v>3437</v>
      </c>
      <c r="F5480" s="340" t="s">
        <v>1078</v>
      </c>
      <c r="G5480" s="340" t="s">
        <v>3020</v>
      </c>
      <c r="H5480" s="340" t="s">
        <v>2479</v>
      </c>
      <c r="I5480" s="340" t="s">
        <v>771</v>
      </c>
      <c r="K5480" s="343">
        <v>0.03</v>
      </c>
      <c r="L5480" s="343">
        <v>0</v>
      </c>
      <c r="M5480" s="343">
        <v>-969136.4</v>
      </c>
      <c r="O5480" s="343">
        <v>0</v>
      </c>
    </row>
    <row r="5481" spans="1:15" x14ac:dyDescent="0.3">
      <c r="A5481" s="340" t="s">
        <v>891</v>
      </c>
      <c r="B5481" s="350">
        <v>46159</v>
      </c>
      <c r="C5481" s="350">
        <v>46159</v>
      </c>
      <c r="D5481" s="351">
        <v>46143</v>
      </c>
      <c r="E5481" s="340" t="s">
        <v>3437</v>
      </c>
      <c r="F5481" s="340" t="s">
        <v>1078</v>
      </c>
      <c r="G5481" s="340" t="s">
        <v>3226</v>
      </c>
      <c r="H5481" s="340" t="s">
        <v>2528</v>
      </c>
      <c r="I5481" s="340" t="s">
        <v>771</v>
      </c>
      <c r="K5481" s="343">
        <v>0.27</v>
      </c>
      <c r="L5481" s="343">
        <v>0</v>
      </c>
      <c r="M5481" s="343">
        <v>-969136.13</v>
      </c>
      <c r="O5481" s="343">
        <v>0</v>
      </c>
    </row>
    <row r="5482" spans="1:15" x14ac:dyDescent="0.3">
      <c r="A5482" s="340" t="s">
        <v>891</v>
      </c>
      <c r="B5482" s="350">
        <v>46159</v>
      </c>
      <c r="C5482" s="350">
        <v>46159</v>
      </c>
      <c r="D5482" s="351">
        <v>46143</v>
      </c>
      <c r="E5482" s="340" t="s">
        <v>3437</v>
      </c>
      <c r="F5482" s="340" t="s">
        <v>1078</v>
      </c>
      <c r="G5482" s="340" t="s">
        <v>3227</v>
      </c>
      <c r="H5482" s="340" t="s">
        <v>2528</v>
      </c>
      <c r="I5482" s="340" t="s">
        <v>771</v>
      </c>
      <c r="K5482" s="343">
        <v>2.95</v>
      </c>
      <c r="L5482" s="343">
        <v>0</v>
      </c>
      <c r="M5482" s="343">
        <v>-969133.18</v>
      </c>
      <c r="O5482" s="343">
        <v>0</v>
      </c>
    </row>
    <row r="5483" spans="1:15" x14ac:dyDescent="0.3">
      <c r="A5483" s="340" t="s">
        <v>891</v>
      </c>
      <c r="B5483" s="350">
        <v>46159</v>
      </c>
      <c r="C5483" s="350">
        <v>46159</v>
      </c>
      <c r="D5483" s="351">
        <v>46143</v>
      </c>
      <c r="E5483" s="340" t="s">
        <v>3437</v>
      </c>
      <c r="F5483" s="340" t="s">
        <v>1078</v>
      </c>
      <c r="G5483" s="340" t="s">
        <v>3228</v>
      </c>
      <c r="H5483" s="340" t="s">
        <v>2528</v>
      </c>
      <c r="I5483" s="340" t="s">
        <v>771</v>
      </c>
      <c r="K5483" s="343">
        <v>10.39</v>
      </c>
      <c r="L5483" s="343">
        <v>0</v>
      </c>
      <c r="M5483" s="343">
        <v>-969122.79</v>
      </c>
      <c r="O5483" s="343">
        <v>0</v>
      </c>
    </row>
    <row r="5484" spans="1:15" x14ac:dyDescent="0.3">
      <c r="A5484" s="340" t="s">
        <v>891</v>
      </c>
      <c r="B5484" s="350">
        <v>46159</v>
      </c>
      <c r="C5484" s="350">
        <v>46159</v>
      </c>
      <c r="D5484" s="351">
        <v>46143</v>
      </c>
      <c r="E5484" s="340" t="s">
        <v>3437</v>
      </c>
      <c r="F5484" s="340" t="s">
        <v>1078</v>
      </c>
      <c r="G5484" s="340" t="s">
        <v>3229</v>
      </c>
      <c r="H5484" s="340" t="s">
        <v>2532</v>
      </c>
      <c r="I5484" s="340" t="s">
        <v>771</v>
      </c>
      <c r="K5484" s="343">
        <v>0.2</v>
      </c>
      <c r="L5484" s="343">
        <v>0</v>
      </c>
      <c r="M5484" s="343">
        <v>-969122.59</v>
      </c>
      <c r="O5484" s="343">
        <v>0</v>
      </c>
    </row>
    <row r="5485" spans="1:15" x14ac:dyDescent="0.3">
      <c r="A5485" s="340" t="s">
        <v>891</v>
      </c>
      <c r="B5485" s="350">
        <v>46159</v>
      </c>
      <c r="C5485" s="350">
        <v>46159</v>
      </c>
      <c r="D5485" s="351">
        <v>46143</v>
      </c>
      <c r="E5485" s="340" t="s">
        <v>3437</v>
      </c>
      <c r="F5485" s="340" t="s">
        <v>1078</v>
      </c>
      <c r="G5485" s="340" t="s">
        <v>3230</v>
      </c>
      <c r="H5485" s="340" t="s">
        <v>2532</v>
      </c>
      <c r="I5485" s="340" t="s">
        <v>771</v>
      </c>
      <c r="K5485" s="343">
        <v>2.95</v>
      </c>
      <c r="L5485" s="343">
        <v>0</v>
      </c>
      <c r="M5485" s="343">
        <v>-969119.64</v>
      </c>
      <c r="O5485" s="343">
        <v>0</v>
      </c>
    </row>
    <row r="5486" spans="1:15" x14ac:dyDescent="0.3">
      <c r="A5486" s="340" t="s">
        <v>891</v>
      </c>
      <c r="B5486" s="350">
        <v>46159</v>
      </c>
      <c r="C5486" s="350">
        <v>46159</v>
      </c>
      <c r="D5486" s="351">
        <v>46143</v>
      </c>
      <c r="E5486" s="340" t="s">
        <v>3437</v>
      </c>
      <c r="F5486" s="340" t="s">
        <v>1078</v>
      </c>
      <c r="G5486" s="340" t="s">
        <v>3213</v>
      </c>
      <c r="H5486" s="340" t="s">
        <v>2532</v>
      </c>
      <c r="I5486" s="340" t="s">
        <v>771</v>
      </c>
      <c r="K5486" s="343">
        <v>1.1100000000000001</v>
      </c>
      <c r="L5486" s="343">
        <v>0</v>
      </c>
      <c r="M5486" s="343">
        <v>-969118.53</v>
      </c>
      <c r="O5486" s="343">
        <v>0</v>
      </c>
    </row>
    <row r="5487" spans="1:15" x14ac:dyDescent="0.3">
      <c r="A5487" s="340" t="s">
        <v>891</v>
      </c>
      <c r="B5487" s="350">
        <v>46159</v>
      </c>
      <c r="C5487" s="350">
        <v>46159</v>
      </c>
      <c r="D5487" s="351">
        <v>46143</v>
      </c>
      <c r="E5487" s="340" t="s">
        <v>3437</v>
      </c>
      <c r="F5487" s="340" t="s">
        <v>1078</v>
      </c>
      <c r="G5487" s="340" t="s">
        <v>3231</v>
      </c>
      <c r="H5487" s="340" t="s">
        <v>2532</v>
      </c>
      <c r="I5487" s="340" t="s">
        <v>771</v>
      </c>
      <c r="K5487" s="343">
        <v>2.2200000000000002</v>
      </c>
      <c r="L5487" s="343">
        <v>0</v>
      </c>
      <c r="M5487" s="343">
        <v>-969116.31</v>
      </c>
      <c r="O5487" s="343">
        <v>0</v>
      </c>
    </row>
    <row r="5488" spans="1:15" x14ac:dyDescent="0.3">
      <c r="A5488" s="340" t="s">
        <v>891</v>
      </c>
      <c r="B5488" s="350">
        <v>46159</v>
      </c>
      <c r="C5488" s="350">
        <v>46159</v>
      </c>
      <c r="D5488" s="351">
        <v>46143</v>
      </c>
      <c r="E5488" s="340" t="s">
        <v>3437</v>
      </c>
      <c r="F5488" s="340" t="s">
        <v>1078</v>
      </c>
      <c r="G5488" s="340" t="s">
        <v>3232</v>
      </c>
      <c r="H5488" s="340" t="s">
        <v>2532</v>
      </c>
      <c r="I5488" s="340" t="s">
        <v>771</v>
      </c>
      <c r="K5488" s="343">
        <v>105.79</v>
      </c>
      <c r="L5488" s="343">
        <v>0</v>
      </c>
      <c r="M5488" s="343">
        <v>-969010.52</v>
      </c>
      <c r="O5488" s="343">
        <v>0</v>
      </c>
    </row>
    <row r="5489" spans="1:15" x14ac:dyDescent="0.3">
      <c r="A5489" s="340" t="s">
        <v>891</v>
      </c>
      <c r="B5489" s="350">
        <v>46159</v>
      </c>
      <c r="C5489" s="350">
        <v>46159</v>
      </c>
      <c r="D5489" s="351">
        <v>46143</v>
      </c>
      <c r="E5489" s="340" t="s">
        <v>3437</v>
      </c>
      <c r="F5489" s="340" t="s">
        <v>1078</v>
      </c>
      <c r="G5489" s="340" t="s">
        <v>3017</v>
      </c>
      <c r="H5489" s="340" t="s">
        <v>2511</v>
      </c>
      <c r="I5489" s="340" t="s">
        <v>771</v>
      </c>
      <c r="K5489" s="343">
        <v>2.95</v>
      </c>
      <c r="L5489" s="343">
        <v>0</v>
      </c>
      <c r="M5489" s="343">
        <v>-969007.57</v>
      </c>
      <c r="O5489" s="343">
        <v>0</v>
      </c>
    </row>
    <row r="5490" spans="1:15" x14ac:dyDescent="0.3">
      <c r="A5490" s="340" t="s">
        <v>891</v>
      </c>
      <c r="B5490" s="350">
        <v>46159</v>
      </c>
      <c r="C5490" s="350">
        <v>46159</v>
      </c>
      <c r="D5490" s="351">
        <v>46143</v>
      </c>
      <c r="E5490" s="340" t="s">
        <v>3437</v>
      </c>
      <c r="F5490" s="340" t="s">
        <v>1078</v>
      </c>
      <c r="G5490" s="340" t="s">
        <v>3206</v>
      </c>
      <c r="H5490" s="340" t="s">
        <v>2511</v>
      </c>
      <c r="I5490" s="340" t="s">
        <v>771</v>
      </c>
      <c r="K5490" s="343">
        <v>5.57</v>
      </c>
      <c r="L5490" s="343">
        <v>0</v>
      </c>
      <c r="M5490" s="343">
        <v>-969002</v>
      </c>
      <c r="O5490" s="343">
        <v>0</v>
      </c>
    </row>
    <row r="5491" spans="1:15" x14ac:dyDescent="0.3">
      <c r="A5491" s="340" t="s">
        <v>891</v>
      </c>
      <c r="B5491" s="350">
        <v>46159</v>
      </c>
      <c r="C5491" s="350">
        <v>46159</v>
      </c>
      <c r="D5491" s="351">
        <v>46143</v>
      </c>
      <c r="E5491" s="340" t="s">
        <v>3437</v>
      </c>
      <c r="F5491" s="340" t="s">
        <v>1078</v>
      </c>
      <c r="G5491" s="340" t="s">
        <v>3022</v>
      </c>
      <c r="H5491" s="340" t="s">
        <v>2511</v>
      </c>
      <c r="I5491" s="340" t="s">
        <v>771</v>
      </c>
      <c r="K5491" s="343">
        <v>0.17</v>
      </c>
      <c r="L5491" s="343">
        <v>0</v>
      </c>
      <c r="M5491" s="343">
        <v>-969001.83</v>
      </c>
      <c r="O5491" s="343">
        <v>0</v>
      </c>
    </row>
    <row r="5492" spans="1:15" x14ac:dyDescent="0.3">
      <c r="A5492" s="340" t="s">
        <v>891</v>
      </c>
      <c r="B5492" s="350">
        <v>46159</v>
      </c>
      <c r="C5492" s="350">
        <v>46159</v>
      </c>
      <c r="D5492" s="351">
        <v>46143</v>
      </c>
      <c r="E5492" s="340" t="s">
        <v>3437</v>
      </c>
      <c r="F5492" s="340" t="s">
        <v>1078</v>
      </c>
      <c r="G5492" s="340" t="s">
        <v>3020</v>
      </c>
      <c r="H5492" s="340" t="s">
        <v>2511</v>
      </c>
      <c r="I5492" s="340" t="s">
        <v>771</v>
      </c>
      <c r="K5492" s="343">
        <v>0.09</v>
      </c>
      <c r="L5492" s="343">
        <v>0</v>
      </c>
      <c r="M5492" s="343">
        <v>-969001.74</v>
      </c>
      <c r="O5492" s="343">
        <v>0</v>
      </c>
    </row>
    <row r="5493" spans="1:15" x14ac:dyDescent="0.3">
      <c r="A5493" s="340" t="s">
        <v>891</v>
      </c>
      <c r="B5493" s="350">
        <v>46159</v>
      </c>
      <c r="C5493" s="350">
        <v>46159</v>
      </c>
      <c r="D5493" s="351">
        <v>46143</v>
      </c>
      <c r="E5493" s="340" t="s">
        <v>3437</v>
      </c>
      <c r="F5493" s="340" t="s">
        <v>1078</v>
      </c>
      <c r="G5493" s="340" t="s">
        <v>3022</v>
      </c>
      <c r="H5493" s="340" t="s">
        <v>2533</v>
      </c>
      <c r="I5493" s="340" t="s">
        <v>771</v>
      </c>
      <c r="K5493" s="343">
        <v>0.1</v>
      </c>
      <c r="L5493" s="343">
        <v>0</v>
      </c>
      <c r="M5493" s="343">
        <v>-969001.64</v>
      </c>
      <c r="O5493" s="343">
        <v>0</v>
      </c>
    </row>
    <row r="5494" spans="1:15" x14ac:dyDescent="0.3">
      <c r="A5494" s="340" t="s">
        <v>891</v>
      </c>
      <c r="B5494" s="350">
        <v>46159</v>
      </c>
      <c r="C5494" s="350">
        <v>46159</v>
      </c>
      <c r="D5494" s="351">
        <v>46143</v>
      </c>
      <c r="E5494" s="340" t="s">
        <v>3437</v>
      </c>
      <c r="F5494" s="340" t="s">
        <v>1078</v>
      </c>
      <c r="G5494" s="340" t="s">
        <v>3206</v>
      </c>
      <c r="H5494" s="340" t="s">
        <v>2533</v>
      </c>
      <c r="I5494" s="340" t="s">
        <v>771</v>
      </c>
      <c r="K5494" s="343">
        <v>2.16</v>
      </c>
      <c r="L5494" s="343">
        <v>0</v>
      </c>
      <c r="M5494" s="343">
        <v>-968999.48</v>
      </c>
      <c r="O5494" s="343">
        <v>0</v>
      </c>
    </row>
    <row r="5495" spans="1:15" x14ac:dyDescent="0.3">
      <c r="A5495" s="340" t="s">
        <v>891</v>
      </c>
      <c r="B5495" s="350">
        <v>46159</v>
      </c>
      <c r="C5495" s="350">
        <v>46159</v>
      </c>
      <c r="D5495" s="351">
        <v>46143</v>
      </c>
      <c r="E5495" s="340" t="s">
        <v>3437</v>
      </c>
      <c r="F5495" s="340" t="s">
        <v>1078</v>
      </c>
      <c r="G5495" s="340" t="s">
        <v>3017</v>
      </c>
      <c r="H5495" s="340" t="s">
        <v>2533</v>
      </c>
      <c r="I5495" s="340" t="s">
        <v>771</v>
      </c>
      <c r="K5495" s="343">
        <v>2.95</v>
      </c>
      <c r="L5495" s="343">
        <v>0</v>
      </c>
      <c r="M5495" s="343">
        <v>-968996.53</v>
      </c>
      <c r="O5495" s="343">
        <v>0</v>
      </c>
    </row>
    <row r="5496" spans="1:15" x14ac:dyDescent="0.3">
      <c r="A5496" s="340" t="s">
        <v>891</v>
      </c>
      <c r="B5496" s="350">
        <v>46159</v>
      </c>
      <c r="C5496" s="350">
        <v>46159</v>
      </c>
      <c r="D5496" s="351">
        <v>46143</v>
      </c>
      <c r="E5496" s="340" t="s">
        <v>3437</v>
      </c>
      <c r="F5496" s="340" t="s">
        <v>1078</v>
      </c>
      <c r="G5496" s="340" t="s">
        <v>3020</v>
      </c>
      <c r="H5496" s="340" t="s">
        <v>2533</v>
      </c>
      <c r="I5496" s="340" t="s">
        <v>771</v>
      </c>
      <c r="K5496" s="343">
        <v>0.05</v>
      </c>
      <c r="L5496" s="343">
        <v>0</v>
      </c>
      <c r="M5496" s="343">
        <v>-968996.48</v>
      </c>
      <c r="O5496" s="343">
        <v>0</v>
      </c>
    </row>
    <row r="5497" spans="1:15" x14ac:dyDescent="0.3">
      <c r="A5497" s="340" t="s">
        <v>891</v>
      </c>
      <c r="B5497" s="350">
        <v>46159</v>
      </c>
      <c r="C5497" s="350">
        <v>46159</v>
      </c>
      <c r="D5497" s="351">
        <v>46143</v>
      </c>
      <c r="E5497" s="340" t="s">
        <v>3437</v>
      </c>
      <c r="F5497" s="340" t="s">
        <v>1078</v>
      </c>
      <c r="G5497" s="340" t="s">
        <v>3233</v>
      </c>
      <c r="H5497" s="340" t="s">
        <v>2486</v>
      </c>
      <c r="I5497" s="340" t="s">
        <v>771</v>
      </c>
      <c r="K5497" s="343">
        <v>0.09</v>
      </c>
      <c r="L5497" s="343">
        <v>0</v>
      </c>
      <c r="M5497" s="343">
        <v>-968996.39</v>
      </c>
      <c r="O5497" s="343">
        <v>0</v>
      </c>
    </row>
    <row r="5498" spans="1:15" x14ac:dyDescent="0.3">
      <c r="A5498" s="340" t="s">
        <v>891</v>
      </c>
      <c r="B5498" s="350">
        <v>46159</v>
      </c>
      <c r="C5498" s="350">
        <v>46159</v>
      </c>
      <c r="D5498" s="351">
        <v>46143</v>
      </c>
      <c r="E5498" s="340" t="s">
        <v>3437</v>
      </c>
      <c r="F5498" s="340" t="s">
        <v>1078</v>
      </c>
      <c r="G5498" s="340" t="s">
        <v>3234</v>
      </c>
      <c r="H5498" s="340" t="s">
        <v>2486</v>
      </c>
      <c r="I5498" s="340" t="s">
        <v>771</v>
      </c>
      <c r="K5498" s="343">
        <v>0.18</v>
      </c>
      <c r="L5498" s="343">
        <v>0</v>
      </c>
      <c r="M5498" s="343">
        <v>-968996.21</v>
      </c>
      <c r="O5498" s="343">
        <v>0</v>
      </c>
    </row>
    <row r="5499" spans="1:15" x14ac:dyDescent="0.3">
      <c r="A5499" s="340" t="s">
        <v>891</v>
      </c>
      <c r="B5499" s="350">
        <v>46159</v>
      </c>
      <c r="C5499" s="350">
        <v>46159</v>
      </c>
      <c r="D5499" s="351">
        <v>46143</v>
      </c>
      <c r="E5499" s="340" t="s">
        <v>3437</v>
      </c>
      <c r="F5499" s="340" t="s">
        <v>1078</v>
      </c>
      <c r="G5499" s="340" t="s">
        <v>3218</v>
      </c>
      <c r="H5499" s="340" t="s">
        <v>2486</v>
      </c>
      <c r="I5499" s="340" t="s">
        <v>771</v>
      </c>
      <c r="K5499" s="343">
        <v>2.95</v>
      </c>
      <c r="L5499" s="343">
        <v>0</v>
      </c>
      <c r="M5499" s="343">
        <v>-968993.26</v>
      </c>
      <c r="O5499" s="343">
        <v>0</v>
      </c>
    </row>
    <row r="5500" spans="1:15" x14ac:dyDescent="0.3">
      <c r="A5500" s="340" t="s">
        <v>891</v>
      </c>
      <c r="B5500" s="350">
        <v>46159</v>
      </c>
      <c r="C5500" s="350">
        <v>46159</v>
      </c>
      <c r="D5500" s="351">
        <v>46143</v>
      </c>
      <c r="E5500" s="340" t="s">
        <v>3437</v>
      </c>
      <c r="F5500" s="340" t="s">
        <v>1078</v>
      </c>
      <c r="G5500" s="340" t="s">
        <v>3235</v>
      </c>
      <c r="H5500" s="340" t="s">
        <v>2486</v>
      </c>
      <c r="I5500" s="340" t="s">
        <v>771</v>
      </c>
      <c r="K5500" s="343">
        <v>5.82</v>
      </c>
      <c r="L5500" s="343">
        <v>0</v>
      </c>
      <c r="M5500" s="343">
        <v>-968987.44</v>
      </c>
      <c r="O5500" s="343">
        <v>0</v>
      </c>
    </row>
    <row r="5501" spans="1:15" x14ac:dyDescent="0.3">
      <c r="A5501" s="340" t="s">
        <v>891</v>
      </c>
      <c r="B5501" s="350">
        <v>46159</v>
      </c>
      <c r="C5501" s="350">
        <v>46159</v>
      </c>
      <c r="D5501" s="351">
        <v>46143</v>
      </c>
      <c r="E5501" s="340" t="s">
        <v>3437</v>
      </c>
      <c r="F5501" s="340" t="s">
        <v>1078</v>
      </c>
      <c r="G5501" s="340" t="s">
        <v>3236</v>
      </c>
      <c r="H5501" s="340" t="s">
        <v>2445</v>
      </c>
      <c r="I5501" s="340" t="s">
        <v>771</v>
      </c>
      <c r="K5501" s="343">
        <v>2.95</v>
      </c>
      <c r="L5501" s="343">
        <v>0</v>
      </c>
      <c r="M5501" s="343">
        <v>-968984.49</v>
      </c>
      <c r="O5501" s="343">
        <v>0</v>
      </c>
    </row>
    <row r="5502" spans="1:15" x14ac:dyDescent="0.3">
      <c r="A5502" s="340" t="s">
        <v>891</v>
      </c>
      <c r="B5502" s="350">
        <v>46159</v>
      </c>
      <c r="C5502" s="350">
        <v>46159</v>
      </c>
      <c r="D5502" s="351">
        <v>46143</v>
      </c>
      <c r="E5502" s="340" t="s">
        <v>3437</v>
      </c>
      <c r="F5502" s="340" t="s">
        <v>1078</v>
      </c>
      <c r="G5502" s="340" t="s">
        <v>3237</v>
      </c>
      <c r="H5502" s="340" t="s">
        <v>2445</v>
      </c>
      <c r="I5502" s="340" t="s">
        <v>771</v>
      </c>
      <c r="K5502" s="343">
        <v>6.32</v>
      </c>
      <c r="L5502" s="343">
        <v>0</v>
      </c>
      <c r="M5502" s="343">
        <v>-968978.17</v>
      </c>
      <c r="O5502" s="343">
        <v>0</v>
      </c>
    </row>
    <row r="5503" spans="1:15" x14ac:dyDescent="0.3">
      <c r="A5503" s="340" t="s">
        <v>891</v>
      </c>
      <c r="B5503" s="350">
        <v>46159</v>
      </c>
      <c r="C5503" s="350">
        <v>46159</v>
      </c>
      <c r="D5503" s="351">
        <v>46143</v>
      </c>
      <c r="E5503" s="340" t="s">
        <v>3437</v>
      </c>
      <c r="F5503" s="340" t="s">
        <v>1078</v>
      </c>
      <c r="G5503" s="340" t="s">
        <v>3238</v>
      </c>
      <c r="H5503" s="340" t="s">
        <v>2445</v>
      </c>
      <c r="I5503" s="340" t="s">
        <v>771</v>
      </c>
      <c r="K5503" s="343">
        <v>0.19</v>
      </c>
      <c r="L5503" s="343">
        <v>0</v>
      </c>
      <c r="M5503" s="343">
        <v>-968977.98</v>
      </c>
      <c r="O5503" s="343">
        <v>0</v>
      </c>
    </row>
    <row r="5504" spans="1:15" x14ac:dyDescent="0.3">
      <c r="A5504" s="340" t="s">
        <v>891</v>
      </c>
      <c r="B5504" s="350">
        <v>46159</v>
      </c>
      <c r="C5504" s="350">
        <v>46159</v>
      </c>
      <c r="D5504" s="351">
        <v>46143</v>
      </c>
      <c r="E5504" s="340" t="s">
        <v>3437</v>
      </c>
      <c r="F5504" s="340" t="s">
        <v>1078</v>
      </c>
      <c r="G5504" s="340" t="s">
        <v>3239</v>
      </c>
      <c r="H5504" s="340" t="s">
        <v>2445</v>
      </c>
      <c r="I5504" s="340" t="s">
        <v>771</v>
      </c>
      <c r="K5504" s="343">
        <v>0.09</v>
      </c>
      <c r="L5504" s="343">
        <v>0</v>
      </c>
      <c r="M5504" s="343">
        <v>-968977.89</v>
      </c>
      <c r="O5504" s="343">
        <v>0</v>
      </c>
    </row>
    <row r="5505" spans="1:15" x14ac:dyDescent="0.3">
      <c r="A5505" s="340" t="s">
        <v>891</v>
      </c>
      <c r="B5505" s="350">
        <v>46159</v>
      </c>
      <c r="C5505" s="350">
        <v>46159</v>
      </c>
      <c r="D5505" s="351">
        <v>46143</v>
      </c>
      <c r="E5505" s="340" t="s">
        <v>3437</v>
      </c>
      <c r="F5505" s="340" t="s">
        <v>1078</v>
      </c>
      <c r="G5505" s="340" t="s">
        <v>3017</v>
      </c>
      <c r="H5505" s="340" t="s">
        <v>2521</v>
      </c>
      <c r="I5505" s="340" t="s">
        <v>771</v>
      </c>
      <c r="K5505" s="343">
        <v>2.95</v>
      </c>
      <c r="L5505" s="343">
        <v>0</v>
      </c>
      <c r="M5505" s="343">
        <v>-968974.94</v>
      </c>
      <c r="O5505" s="343">
        <v>0</v>
      </c>
    </row>
    <row r="5506" spans="1:15" x14ac:dyDescent="0.3">
      <c r="A5506" s="340" t="s">
        <v>891</v>
      </c>
      <c r="B5506" s="350">
        <v>46159</v>
      </c>
      <c r="C5506" s="350">
        <v>46159</v>
      </c>
      <c r="D5506" s="351">
        <v>46143</v>
      </c>
      <c r="E5506" s="340" t="s">
        <v>3437</v>
      </c>
      <c r="F5506" s="340" t="s">
        <v>1078</v>
      </c>
      <c r="G5506" s="340" t="s">
        <v>3206</v>
      </c>
      <c r="H5506" s="340" t="s">
        <v>2521</v>
      </c>
      <c r="I5506" s="340" t="s">
        <v>771</v>
      </c>
      <c r="K5506" s="343">
        <v>8.31</v>
      </c>
      <c r="L5506" s="343">
        <v>0</v>
      </c>
      <c r="M5506" s="343">
        <v>-968966.63</v>
      </c>
      <c r="O5506" s="343">
        <v>0</v>
      </c>
    </row>
    <row r="5507" spans="1:15" x14ac:dyDescent="0.3">
      <c r="A5507" s="340" t="s">
        <v>891</v>
      </c>
      <c r="B5507" s="350">
        <v>46159</v>
      </c>
      <c r="C5507" s="350">
        <v>46159</v>
      </c>
      <c r="D5507" s="351">
        <v>46143</v>
      </c>
      <c r="E5507" s="340" t="s">
        <v>3437</v>
      </c>
      <c r="F5507" s="340" t="s">
        <v>1078</v>
      </c>
      <c r="G5507" s="340" t="s">
        <v>3022</v>
      </c>
      <c r="H5507" s="340" t="s">
        <v>2521</v>
      </c>
      <c r="I5507" s="340" t="s">
        <v>771</v>
      </c>
      <c r="K5507" s="343">
        <v>0.23</v>
      </c>
      <c r="L5507" s="343">
        <v>0</v>
      </c>
      <c r="M5507" s="343">
        <v>-968966.4</v>
      </c>
      <c r="O5507" s="343">
        <v>0</v>
      </c>
    </row>
    <row r="5508" spans="1:15" x14ac:dyDescent="0.3">
      <c r="A5508" s="340" t="s">
        <v>891</v>
      </c>
      <c r="B5508" s="350">
        <v>46159</v>
      </c>
      <c r="C5508" s="350">
        <v>46159</v>
      </c>
      <c r="D5508" s="351">
        <v>46143</v>
      </c>
      <c r="E5508" s="340" t="s">
        <v>3437</v>
      </c>
      <c r="F5508" s="340" t="s">
        <v>1078</v>
      </c>
      <c r="G5508" s="340" t="s">
        <v>3020</v>
      </c>
      <c r="H5508" s="340" t="s">
        <v>2521</v>
      </c>
      <c r="I5508" s="340" t="s">
        <v>771</v>
      </c>
      <c r="K5508" s="343">
        <v>0.11</v>
      </c>
      <c r="L5508" s="343">
        <v>0</v>
      </c>
      <c r="M5508" s="343">
        <v>-968966.29</v>
      </c>
      <c r="O5508" s="343">
        <v>0</v>
      </c>
    </row>
    <row r="5509" spans="1:15" x14ac:dyDescent="0.3">
      <c r="A5509" s="340" t="s">
        <v>891</v>
      </c>
      <c r="B5509" s="350">
        <v>46159</v>
      </c>
      <c r="C5509" s="350">
        <v>46159</v>
      </c>
      <c r="D5509" s="351">
        <v>46143</v>
      </c>
      <c r="E5509" s="340" t="s">
        <v>3437</v>
      </c>
      <c r="F5509" s="340" t="s">
        <v>1078</v>
      </c>
      <c r="G5509" s="340" t="s">
        <v>3240</v>
      </c>
      <c r="H5509" s="340" t="s">
        <v>3241</v>
      </c>
      <c r="I5509" s="340" t="s">
        <v>771</v>
      </c>
      <c r="K5509" s="343">
        <v>0.09</v>
      </c>
      <c r="L5509" s="343">
        <v>0</v>
      </c>
      <c r="M5509" s="343">
        <v>-968966.2</v>
      </c>
      <c r="O5509" s="343">
        <v>0</v>
      </c>
    </row>
    <row r="5510" spans="1:15" x14ac:dyDescent="0.3">
      <c r="A5510" s="340" t="s">
        <v>891</v>
      </c>
      <c r="B5510" s="350">
        <v>46159</v>
      </c>
      <c r="C5510" s="350">
        <v>46159</v>
      </c>
      <c r="D5510" s="351">
        <v>46143</v>
      </c>
      <c r="E5510" s="340" t="s">
        <v>3437</v>
      </c>
      <c r="F5510" s="340" t="s">
        <v>1078</v>
      </c>
      <c r="G5510" s="340" t="s">
        <v>3242</v>
      </c>
      <c r="H5510" s="340" t="s">
        <v>3241</v>
      </c>
      <c r="I5510" s="340" t="s">
        <v>771</v>
      </c>
      <c r="K5510" s="343">
        <v>5.98</v>
      </c>
      <c r="L5510" s="343">
        <v>0</v>
      </c>
      <c r="M5510" s="343">
        <v>-968960.22</v>
      </c>
      <c r="O5510" s="343">
        <v>0</v>
      </c>
    </row>
    <row r="5511" spans="1:15" x14ac:dyDescent="0.3">
      <c r="A5511" s="340" t="s">
        <v>891</v>
      </c>
      <c r="B5511" s="350">
        <v>46159</v>
      </c>
      <c r="C5511" s="350">
        <v>46159</v>
      </c>
      <c r="D5511" s="351">
        <v>46143</v>
      </c>
      <c r="E5511" s="340" t="s">
        <v>3437</v>
      </c>
      <c r="F5511" s="340" t="s">
        <v>1078</v>
      </c>
      <c r="G5511" s="340" t="s">
        <v>3243</v>
      </c>
      <c r="H5511" s="340" t="s">
        <v>3241</v>
      </c>
      <c r="I5511" s="340" t="s">
        <v>771</v>
      </c>
      <c r="K5511" s="343">
        <v>0.18</v>
      </c>
      <c r="L5511" s="343">
        <v>0</v>
      </c>
      <c r="M5511" s="343">
        <v>-968960.04</v>
      </c>
      <c r="O5511" s="343">
        <v>0</v>
      </c>
    </row>
    <row r="5512" spans="1:15" x14ac:dyDescent="0.3">
      <c r="A5512" s="340" t="s">
        <v>891</v>
      </c>
      <c r="B5512" s="350">
        <v>46159</v>
      </c>
      <c r="C5512" s="350">
        <v>46159</v>
      </c>
      <c r="D5512" s="351">
        <v>46143</v>
      </c>
      <c r="E5512" s="340" t="s">
        <v>3437</v>
      </c>
      <c r="F5512" s="340" t="s">
        <v>1078</v>
      </c>
      <c r="G5512" s="340" t="s">
        <v>3244</v>
      </c>
      <c r="H5512" s="340" t="s">
        <v>3241</v>
      </c>
      <c r="I5512" s="340" t="s">
        <v>771</v>
      </c>
      <c r="K5512" s="343">
        <v>0.2</v>
      </c>
      <c r="L5512" s="343">
        <v>0</v>
      </c>
      <c r="M5512" s="343">
        <v>-968959.84</v>
      </c>
      <c r="O5512" s="343">
        <v>0</v>
      </c>
    </row>
    <row r="5513" spans="1:15" x14ac:dyDescent="0.3">
      <c r="A5513" s="340" t="s">
        <v>891</v>
      </c>
      <c r="B5513" s="350">
        <v>46159</v>
      </c>
      <c r="C5513" s="350">
        <v>46159</v>
      </c>
      <c r="D5513" s="351">
        <v>46143</v>
      </c>
      <c r="E5513" s="340" t="s">
        <v>3437</v>
      </c>
      <c r="F5513" s="340" t="s">
        <v>1078</v>
      </c>
      <c r="G5513" s="340" t="s">
        <v>3245</v>
      </c>
      <c r="H5513" s="340" t="s">
        <v>3241</v>
      </c>
      <c r="I5513" s="340" t="s">
        <v>771</v>
      </c>
      <c r="K5513" s="343">
        <v>2.95</v>
      </c>
      <c r="L5513" s="343">
        <v>0</v>
      </c>
      <c r="M5513" s="343">
        <v>-968956.89</v>
      </c>
      <c r="O5513" s="343">
        <v>0</v>
      </c>
    </row>
    <row r="5514" spans="1:15" x14ac:dyDescent="0.3">
      <c r="A5514" s="340" t="s">
        <v>891</v>
      </c>
      <c r="B5514" s="350">
        <v>46159</v>
      </c>
      <c r="C5514" s="350">
        <v>46159</v>
      </c>
      <c r="D5514" s="351">
        <v>46143</v>
      </c>
      <c r="E5514" s="340" t="s">
        <v>3437</v>
      </c>
      <c r="F5514" s="340" t="s">
        <v>1078</v>
      </c>
      <c r="G5514" s="340" t="s">
        <v>3017</v>
      </c>
      <c r="H5514" s="340" t="s">
        <v>2454</v>
      </c>
      <c r="I5514" s="340" t="s">
        <v>771</v>
      </c>
      <c r="K5514" s="343">
        <v>2.95</v>
      </c>
      <c r="L5514" s="343">
        <v>0</v>
      </c>
      <c r="M5514" s="343">
        <v>-968953.94</v>
      </c>
      <c r="O5514" s="343">
        <v>0</v>
      </c>
    </row>
    <row r="5515" spans="1:15" x14ac:dyDescent="0.3">
      <c r="A5515" s="340" t="s">
        <v>891</v>
      </c>
      <c r="B5515" s="350">
        <v>46159</v>
      </c>
      <c r="C5515" s="350">
        <v>46159</v>
      </c>
      <c r="D5515" s="351">
        <v>46143</v>
      </c>
      <c r="E5515" s="340" t="s">
        <v>3437</v>
      </c>
      <c r="F5515" s="340" t="s">
        <v>1078</v>
      </c>
      <c r="G5515" s="340" t="s">
        <v>3206</v>
      </c>
      <c r="H5515" s="340" t="s">
        <v>2454</v>
      </c>
      <c r="I5515" s="340" t="s">
        <v>771</v>
      </c>
      <c r="K5515" s="343">
        <v>2.83</v>
      </c>
      <c r="L5515" s="343">
        <v>0</v>
      </c>
      <c r="M5515" s="343">
        <v>-968951.11</v>
      </c>
      <c r="O5515" s="343">
        <v>0</v>
      </c>
    </row>
    <row r="5516" spans="1:15" x14ac:dyDescent="0.3">
      <c r="A5516" s="340" t="s">
        <v>891</v>
      </c>
      <c r="B5516" s="350">
        <v>46159</v>
      </c>
      <c r="C5516" s="350">
        <v>46159</v>
      </c>
      <c r="D5516" s="351">
        <v>46143</v>
      </c>
      <c r="E5516" s="340" t="s">
        <v>3437</v>
      </c>
      <c r="F5516" s="340" t="s">
        <v>1078</v>
      </c>
      <c r="G5516" s="340" t="s">
        <v>3022</v>
      </c>
      <c r="H5516" s="340" t="s">
        <v>2454</v>
      </c>
      <c r="I5516" s="340" t="s">
        <v>771</v>
      </c>
      <c r="K5516" s="343">
        <v>0.12</v>
      </c>
      <c r="L5516" s="343">
        <v>0</v>
      </c>
      <c r="M5516" s="343">
        <v>-968950.99</v>
      </c>
      <c r="O5516" s="343">
        <v>0</v>
      </c>
    </row>
    <row r="5517" spans="1:15" x14ac:dyDescent="0.3">
      <c r="A5517" s="340" t="s">
        <v>891</v>
      </c>
      <c r="B5517" s="350">
        <v>46159</v>
      </c>
      <c r="C5517" s="350">
        <v>46159</v>
      </c>
      <c r="D5517" s="351">
        <v>46143</v>
      </c>
      <c r="E5517" s="340" t="s">
        <v>3437</v>
      </c>
      <c r="F5517" s="340" t="s">
        <v>1078</v>
      </c>
      <c r="G5517" s="340" t="s">
        <v>3020</v>
      </c>
      <c r="H5517" s="340" t="s">
        <v>2454</v>
      </c>
      <c r="I5517" s="340" t="s">
        <v>771</v>
      </c>
      <c r="K5517" s="343">
        <v>0.06</v>
      </c>
      <c r="L5517" s="343">
        <v>0</v>
      </c>
      <c r="M5517" s="343">
        <v>-968950.93</v>
      </c>
      <c r="O5517" s="343">
        <v>0</v>
      </c>
    </row>
    <row r="5518" spans="1:15" x14ac:dyDescent="0.3">
      <c r="A5518" s="340" t="s">
        <v>891</v>
      </c>
      <c r="B5518" s="350">
        <v>46159</v>
      </c>
      <c r="C5518" s="350">
        <v>46159</v>
      </c>
      <c r="D5518" s="351">
        <v>46143</v>
      </c>
      <c r="E5518" s="340" t="s">
        <v>3437</v>
      </c>
      <c r="F5518" s="340" t="s">
        <v>1078</v>
      </c>
      <c r="G5518" s="340" t="s">
        <v>3246</v>
      </c>
      <c r="H5518" s="340" t="s">
        <v>3247</v>
      </c>
      <c r="I5518" s="340" t="s">
        <v>771</v>
      </c>
      <c r="K5518" s="343">
        <v>0.08</v>
      </c>
      <c r="L5518" s="343">
        <v>0</v>
      </c>
      <c r="M5518" s="343">
        <v>-968950.85</v>
      </c>
      <c r="O5518" s="343">
        <v>0</v>
      </c>
    </row>
    <row r="5519" spans="1:15" x14ac:dyDescent="0.3">
      <c r="A5519" s="340" t="s">
        <v>891</v>
      </c>
      <c r="B5519" s="350">
        <v>46159</v>
      </c>
      <c r="C5519" s="350">
        <v>46159</v>
      </c>
      <c r="D5519" s="351">
        <v>46143</v>
      </c>
      <c r="E5519" s="340" t="s">
        <v>3437</v>
      </c>
      <c r="F5519" s="340" t="s">
        <v>1078</v>
      </c>
      <c r="G5519" s="340" t="s">
        <v>3248</v>
      </c>
      <c r="H5519" s="340" t="s">
        <v>3247</v>
      </c>
      <c r="I5519" s="340" t="s">
        <v>771</v>
      </c>
      <c r="K5519" s="343">
        <v>0.16</v>
      </c>
      <c r="L5519" s="343">
        <v>0</v>
      </c>
      <c r="M5519" s="343">
        <v>-968950.69</v>
      </c>
      <c r="O5519" s="343">
        <v>0</v>
      </c>
    </row>
    <row r="5520" spans="1:15" x14ac:dyDescent="0.3">
      <c r="A5520" s="340" t="s">
        <v>891</v>
      </c>
      <c r="B5520" s="350">
        <v>46159</v>
      </c>
      <c r="C5520" s="350">
        <v>46159</v>
      </c>
      <c r="D5520" s="351">
        <v>46143</v>
      </c>
      <c r="E5520" s="340" t="s">
        <v>3437</v>
      </c>
      <c r="F5520" s="340" t="s">
        <v>1078</v>
      </c>
      <c r="G5520" s="340" t="s">
        <v>3249</v>
      </c>
      <c r="H5520" s="340" t="s">
        <v>3247</v>
      </c>
      <c r="I5520" s="340" t="s">
        <v>771</v>
      </c>
      <c r="K5520" s="343">
        <v>0.2</v>
      </c>
      <c r="L5520" s="343">
        <v>0</v>
      </c>
      <c r="M5520" s="343">
        <v>-968950.49</v>
      </c>
      <c r="O5520" s="343">
        <v>0</v>
      </c>
    </row>
    <row r="5521" spans="1:15" x14ac:dyDescent="0.3">
      <c r="A5521" s="340" t="s">
        <v>891</v>
      </c>
      <c r="B5521" s="350">
        <v>46159</v>
      </c>
      <c r="C5521" s="350">
        <v>46159</v>
      </c>
      <c r="D5521" s="351">
        <v>46143</v>
      </c>
      <c r="E5521" s="340" t="s">
        <v>3437</v>
      </c>
      <c r="F5521" s="340" t="s">
        <v>1078</v>
      </c>
      <c r="G5521" s="340" t="s">
        <v>3250</v>
      </c>
      <c r="H5521" s="340" t="s">
        <v>3247</v>
      </c>
      <c r="I5521" s="340" t="s">
        <v>771</v>
      </c>
      <c r="K5521" s="343">
        <v>2.95</v>
      </c>
      <c r="L5521" s="343">
        <v>0</v>
      </c>
      <c r="M5521" s="343">
        <v>-968947.54</v>
      </c>
      <c r="O5521" s="343">
        <v>0</v>
      </c>
    </row>
    <row r="5522" spans="1:15" x14ac:dyDescent="0.3">
      <c r="A5522" s="340" t="s">
        <v>891</v>
      </c>
      <c r="B5522" s="350">
        <v>46159</v>
      </c>
      <c r="C5522" s="350">
        <v>46159</v>
      </c>
      <c r="D5522" s="351">
        <v>46143</v>
      </c>
      <c r="E5522" s="340" t="s">
        <v>3437</v>
      </c>
      <c r="F5522" s="340" t="s">
        <v>1078</v>
      </c>
      <c r="G5522" s="340" t="s">
        <v>3251</v>
      </c>
      <c r="H5522" s="340" t="s">
        <v>3247</v>
      </c>
      <c r="I5522" s="340" t="s">
        <v>771</v>
      </c>
      <c r="K5522" s="343">
        <v>5.07</v>
      </c>
      <c r="L5522" s="343">
        <v>0</v>
      </c>
      <c r="M5522" s="343">
        <v>-968942.47</v>
      </c>
      <c r="O5522" s="343">
        <v>0</v>
      </c>
    </row>
    <row r="5523" spans="1:15" x14ac:dyDescent="0.3">
      <c r="A5523" s="340" t="s">
        <v>891</v>
      </c>
      <c r="B5523" s="350">
        <v>46159</v>
      </c>
      <c r="C5523" s="350">
        <v>46159</v>
      </c>
      <c r="D5523" s="351">
        <v>46143</v>
      </c>
      <c r="E5523" s="340" t="s">
        <v>3437</v>
      </c>
      <c r="F5523" s="340" t="s">
        <v>1078</v>
      </c>
      <c r="G5523" s="340" t="s">
        <v>3022</v>
      </c>
      <c r="H5523" s="340" t="s">
        <v>2527</v>
      </c>
      <c r="I5523" s="340" t="s">
        <v>771</v>
      </c>
      <c r="K5523" s="343">
        <v>0.28999999999999998</v>
      </c>
      <c r="L5523" s="343">
        <v>0</v>
      </c>
      <c r="M5523" s="343">
        <v>-968942.18</v>
      </c>
      <c r="O5523" s="343">
        <v>0</v>
      </c>
    </row>
    <row r="5524" spans="1:15" x14ac:dyDescent="0.3">
      <c r="A5524" s="340" t="s">
        <v>891</v>
      </c>
      <c r="B5524" s="350">
        <v>46159</v>
      </c>
      <c r="C5524" s="350">
        <v>46159</v>
      </c>
      <c r="D5524" s="351">
        <v>46143</v>
      </c>
      <c r="E5524" s="340" t="s">
        <v>3437</v>
      </c>
      <c r="F5524" s="340" t="s">
        <v>1078</v>
      </c>
      <c r="G5524" s="340" t="s">
        <v>3017</v>
      </c>
      <c r="H5524" s="340" t="s">
        <v>2527</v>
      </c>
      <c r="I5524" s="340" t="s">
        <v>771</v>
      </c>
      <c r="K5524" s="343">
        <v>2.95</v>
      </c>
      <c r="L5524" s="343">
        <v>0</v>
      </c>
      <c r="M5524" s="343">
        <v>-968939.23</v>
      </c>
      <c r="O5524" s="343">
        <v>0</v>
      </c>
    </row>
    <row r="5525" spans="1:15" x14ac:dyDescent="0.3">
      <c r="A5525" s="340" t="s">
        <v>891</v>
      </c>
      <c r="B5525" s="350">
        <v>46159</v>
      </c>
      <c r="C5525" s="350">
        <v>46159</v>
      </c>
      <c r="D5525" s="351">
        <v>46143</v>
      </c>
      <c r="E5525" s="340" t="s">
        <v>3437</v>
      </c>
      <c r="F5525" s="340" t="s">
        <v>1078</v>
      </c>
      <c r="G5525" s="340" t="s">
        <v>3206</v>
      </c>
      <c r="H5525" s="340" t="s">
        <v>2527</v>
      </c>
      <c r="I5525" s="340" t="s">
        <v>771</v>
      </c>
      <c r="K5525" s="343">
        <v>11.14</v>
      </c>
      <c r="L5525" s="343">
        <v>0</v>
      </c>
      <c r="M5525" s="343">
        <v>-968928.09</v>
      </c>
      <c r="O5525" s="343">
        <v>0</v>
      </c>
    </row>
    <row r="5526" spans="1:15" x14ac:dyDescent="0.3">
      <c r="A5526" s="340" t="s">
        <v>891</v>
      </c>
      <c r="B5526" s="350">
        <v>46159</v>
      </c>
      <c r="C5526" s="350">
        <v>46159</v>
      </c>
      <c r="D5526" s="351">
        <v>46143</v>
      </c>
      <c r="E5526" s="340" t="s">
        <v>3437</v>
      </c>
      <c r="F5526" s="340" t="s">
        <v>1078</v>
      </c>
      <c r="G5526" s="340" t="s">
        <v>3020</v>
      </c>
      <c r="H5526" s="340" t="s">
        <v>2527</v>
      </c>
      <c r="I5526" s="340" t="s">
        <v>771</v>
      </c>
      <c r="K5526" s="343">
        <v>0.14000000000000001</v>
      </c>
      <c r="L5526" s="343">
        <v>0</v>
      </c>
      <c r="M5526" s="343">
        <v>-968927.95</v>
      </c>
      <c r="O5526" s="343">
        <v>0</v>
      </c>
    </row>
    <row r="5527" spans="1:15" x14ac:dyDescent="0.3">
      <c r="A5527" s="340" t="s">
        <v>891</v>
      </c>
      <c r="B5527" s="350">
        <v>46159</v>
      </c>
      <c r="C5527" s="350">
        <v>46159</v>
      </c>
      <c r="D5527" s="351">
        <v>46143</v>
      </c>
      <c r="E5527" s="340" t="s">
        <v>3437</v>
      </c>
      <c r="F5527" s="340" t="s">
        <v>1078</v>
      </c>
      <c r="G5527" s="340" t="s">
        <v>3017</v>
      </c>
      <c r="H5527" s="340" t="s">
        <v>2524</v>
      </c>
      <c r="I5527" s="340" t="s">
        <v>771</v>
      </c>
      <c r="K5527" s="343">
        <v>2.95</v>
      </c>
      <c r="L5527" s="343">
        <v>0</v>
      </c>
      <c r="M5527" s="343">
        <v>-968925</v>
      </c>
      <c r="O5527" s="343">
        <v>0</v>
      </c>
    </row>
    <row r="5528" spans="1:15" x14ac:dyDescent="0.3">
      <c r="A5528" s="340" t="s">
        <v>891</v>
      </c>
      <c r="B5528" s="350">
        <v>46159</v>
      </c>
      <c r="C5528" s="350">
        <v>46159</v>
      </c>
      <c r="D5528" s="351">
        <v>46143</v>
      </c>
      <c r="E5528" s="340" t="s">
        <v>3437</v>
      </c>
      <c r="F5528" s="340" t="s">
        <v>1078</v>
      </c>
      <c r="G5528" s="340" t="s">
        <v>3206</v>
      </c>
      <c r="H5528" s="340" t="s">
        <v>2524</v>
      </c>
      <c r="I5528" s="340" t="s">
        <v>771</v>
      </c>
      <c r="K5528" s="343">
        <v>20.53</v>
      </c>
      <c r="L5528" s="343">
        <v>0</v>
      </c>
      <c r="M5528" s="343">
        <v>-968904.47</v>
      </c>
      <c r="O5528" s="343">
        <v>0</v>
      </c>
    </row>
    <row r="5529" spans="1:15" x14ac:dyDescent="0.3">
      <c r="A5529" s="340" t="s">
        <v>891</v>
      </c>
      <c r="B5529" s="350">
        <v>46159</v>
      </c>
      <c r="C5529" s="350">
        <v>46159</v>
      </c>
      <c r="D5529" s="351">
        <v>46143</v>
      </c>
      <c r="E5529" s="340" t="s">
        <v>3437</v>
      </c>
      <c r="F5529" s="340" t="s">
        <v>1078</v>
      </c>
      <c r="G5529" s="340" t="s">
        <v>3022</v>
      </c>
      <c r="H5529" s="340" t="s">
        <v>2524</v>
      </c>
      <c r="I5529" s="340" t="s">
        <v>771</v>
      </c>
      <c r="K5529" s="343">
        <v>0.48</v>
      </c>
      <c r="L5529" s="343">
        <v>0</v>
      </c>
      <c r="M5529" s="343">
        <v>-968903.99</v>
      </c>
      <c r="O5529" s="343">
        <v>0</v>
      </c>
    </row>
    <row r="5530" spans="1:15" x14ac:dyDescent="0.3">
      <c r="A5530" s="340" t="s">
        <v>891</v>
      </c>
      <c r="B5530" s="350">
        <v>46159</v>
      </c>
      <c r="C5530" s="350">
        <v>46159</v>
      </c>
      <c r="D5530" s="351">
        <v>46143</v>
      </c>
      <c r="E5530" s="340" t="s">
        <v>3437</v>
      </c>
      <c r="F5530" s="340" t="s">
        <v>1078</v>
      </c>
      <c r="G5530" s="340" t="s">
        <v>3020</v>
      </c>
      <c r="H5530" s="340" t="s">
        <v>2524</v>
      </c>
      <c r="I5530" s="340" t="s">
        <v>771</v>
      </c>
      <c r="K5530" s="343">
        <v>0.24</v>
      </c>
      <c r="L5530" s="343">
        <v>0</v>
      </c>
      <c r="M5530" s="343">
        <v>-968903.75</v>
      </c>
      <c r="O5530" s="343">
        <v>0</v>
      </c>
    </row>
    <row r="5531" spans="1:15" x14ac:dyDescent="0.3">
      <c r="A5531" s="340" t="s">
        <v>891</v>
      </c>
      <c r="B5531" s="350">
        <v>46159</v>
      </c>
      <c r="C5531" s="350">
        <v>46159</v>
      </c>
      <c r="D5531" s="351">
        <v>46143</v>
      </c>
      <c r="E5531" s="340" t="s">
        <v>3437</v>
      </c>
      <c r="F5531" s="340" t="s">
        <v>1078</v>
      </c>
      <c r="G5531" s="340" t="s">
        <v>3022</v>
      </c>
      <c r="H5531" s="340" t="s">
        <v>2448</v>
      </c>
      <c r="I5531" s="340" t="s">
        <v>771</v>
      </c>
      <c r="K5531" s="343">
        <v>0.13</v>
      </c>
      <c r="L5531" s="343">
        <v>0</v>
      </c>
      <c r="M5531" s="343">
        <v>-968903.62</v>
      </c>
      <c r="O5531" s="343">
        <v>0</v>
      </c>
    </row>
    <row r="5532" spans="1:15" x14ac:dyDescent="0.3">
      <c r="A5532" s="340" t="s">
        <v>891</v>
      </c>
      <c r="B5532" s="350">
        <v>46159</v>
      </c>
      <c r="C5532" s="350">
        <v>46159</v>
      </c>
      <c r="D5532" s="351">
        <v>46143</v>
      </c>
      <c r="E5532" s="340" t="s">
        <v>3437</v>
      </c>
      <c r="F5532" s="340" t="s">
        <v>1078</v>
      </c>
      <c r="G5532" s="340" t="s">
        <v>3020</v>
      </c>
      <c r="H5532" s="340" t="s">
        <v>2448</v>
      </c>
      <c r="I5532" s="340" t="s">
        <v>771</v>
      </c>
      <c r="K5532" s="343">
        <v>0.54</v>
      </c>
      <c r="L5532" s="343">
        <v>0</v>
      </c>
      <c r="M5532" s="343">
        <v>-968903.08</v>
      </c>
      <c r="O5532" s="343">
        <v>0</v>
      </c>
    </row>
    <row r="5533" spans="1:15" x14ac:dyDescent="0.3">
      <c r="A5533" s="340" t="s">
        <v>891</v>
      </c>
      <c r="B5533" s="350">
        <v>46159</v>
      </c>
      <c r="C5533" s="350">
        <v>46159</v>
      </c>
      <c r="D5533" s="351">
        <v>46143</v>
      </c>
      <c r="E5533" s="340" t="s">
        <v>3437</v>
      </c>
      <c r="F5533" s="340" t="s">
        <v>1078</v>
      </c>
      <c r="G5533" s="340" t="s">
        <v>3017</v>
      </c>
      <c r="H5533" s="340" t="s">
        <v>2448</v>
      </c>
      <c r="I5533" s="340" t="s">
        <v>771</v>
      </c>
      <c r="K5533" s="343">
        <v>2.95</v>
      </c>
      <c r="L5533" s="343">
        <v>0</v>
      </c>
      <c r="M5533" s="343">
        <v>-968900.13</v>
      </c>
      <c r="O5533" s="343">
        <v>0</v>
      </c>
    </row>
    <row r="5534" spans="1:15" x14ac:dyDescent="0.3">
      <c r="A5534" s="340" t="s">
        <v>891</v>
      </c>
      <c r="B5534" s="350">
        <v>46159</v>
      </c>
      <c r="C5534" s="350">
        <v>46159</v>
      </c>
      <c r="D5534" s="351">
        <v>46143</v>
      </c>
      <c r="E5534" s="340" t="s">
        <v>3437</v>
      </c>
      <c r="F5534" s="340" t="s">
        <v>1078</v>
      </c>
      <c r="G5534" s="340" t="s">
        <v>3206</v>
      </c>
      <c r="H5534" s="340" t="s">
        <v>2448</v>
      </c>
      <c r="I5534" s="340" t="s">
        <v>771</v>
      </c>
      <c r="K5534" s="343">
        <v>3.49</v>
      </c>
      <c r="L5534" s="343">
        <v>0</v>
      </c>
      <c r="M5534" s="343">
        <v>-968896.64</v>
      </c>
      <c r="O5534" s="343">
        <v>0</v>
      </c>
    </row>
    <row r="5535" spans="1:15" x14ac:dyDescent="0.3">
      <c r="A5535" s="340" t="s">
        <v>891</v>
      </c>
      <c r="B5535" s="350">
        <v>46159</v>
      </c>
      <c r="C5535" s="350">
        <v>46159</v>
      </c>
      <c r="D5535" s="351">
        <v>46143</v>
      </c>
      <c r="E5535" s="340" t="s">
        <v>3437</v>
      </c>
      <c r="F5535" s="340" t="s">
        <v>1078</v>
      </c>
      <c r="G5535" s="340" t="s">
        <v>3017</v>
      </c>
      <c r="H5535" s="340" t="s">
        <v>2487</v>
      </c>
      <c r="I5535" s="340" t="s">
        <v>771</v>
      </c>
      <c r="K5535" s="343">
        <v>2.95</v>
      </c>
      <c r="L5535" s="343">
        <v>0</v>
      </c>
      <c r="M5535" s="343">
        <v>-968893.69</v>
      </c>
      <c r="O5535" s="343">
        <v>0</v>
      </c>
    </row>
    <row r="5536" spans="1:15" x14ac:dyDescent="0.3">
      <c r="A5536" s="340" t="s">
        <v>891</v>
      </c>
      <c r="B5536" s="350">
        <v>46159</v>
      </c>
      <c r="C5536" s="350">
        <v>46159</v>
      </c>
      <c r="D5536" s="351">
        <v>46143</v>
      </c>
      <c r="E5536" s="340" t="s">
        <v>3437</v>
      </c>
      <c r="F5536" s="340" t="s">
        <v>1078</v>
      </c>
      <c r="G5536" s="340" t="s">
        <v>3206</v>
      </c>
      <c r="H5536" s="340" t="s">
        <v>2487</v>
      </c>
      <c r="I5536" s="340" t="s">
        <v>771</v>
      </c>
      <c r="K5536" s="343">
        <v>30.58</v>
      </c>
      <c r="L5536" s="343">
        <v>0</v>
      </c>
      <c r="M5536" s="343">
        <v>-968863.11</v>
      </c>
      <c r="O5536" s="343">
        <v>0</v>
      </c>
    </row>
    <row r="5537" spans="1:15" x14ac:dyDescent="0.3">
      <c r="A5537" s="340" t="s">
        <v>891</v>
      </c>
      <c r="B5537" s="350">
        <v>46159</v>
      </c>
      <c r="C5537" s="350">
        <v>46159</v>
      </c>
      <c r="D5537" s="351">
        <v>46143</v>
      </c>
      <c r="E5537" s="340" t="s">
        <v>3437</v>
      </c>
      <c r="F5537" s="340" t="s">
        <v>1078</v>
      </c>
      <c r="G5537" s="340" t="s">
        <v>3022</v>
      </c>
      <c r="H5537" s="340" t="s">
        <v>2487</v>
      </c>
      <c r="I5537" s="340" t="s">
        <v>771</v>
      </c>
      <c r="K5537" s="343">
        <v>0.68</v>
      </c>
      <c r="L5537" s="343">
        <v>0</v>
      </c>
      <c r="M5537" s="343">
        <v>-968862.43</v>
      </c>
      <c r="O5537" s="343">
        <v>0</v>
      </c>
    </row>
    <row r="5538" spans="1:15" x14ac:dyDescent="0.3">
      <c r="A5538" s="340" t="s">
        <v>891</v>
      </c>
      <c r="B5538" s="350">
        <v>46159</v>
      </c>
      <c r="C5538" s="350">
        <v>46159</v>
      </c>
      <c r="D5538" s="351">
        <v>46143</v>
      </c>
      <c r="E5538" s="340" t="s">
        <v>3437</v>
      </c>
      <c r="F5538" s="340" t="s">
        <v>1078</v>
      </c>
      <c r="G5538" s="340" t="s">
        <v>3020</v>
      </c>
      <c r="H5538" s="340" t="s">
        <v>2487</v>
      </c>
      <c r="I5538" s="340" t="s">
        <v>771</v>
      </c>
      <c r="K5538" s="343">
        <v>0.34</v>
      </c>
      <c r="L5538" s="343">
        <v>0</v>
      </c>
      <c r="M5538" s="343">
        <v>-968862.09</v>
      </c>
      <c r="O5538" s="343">
        <v>0</v>
      </c>
    </row>
    <row r="5539" spans="1:15" x14ac:dyDescent="0.3">
      <c r="A5539" s="340" t="s">
        <v>891</v>
      </c>
      <c r="B5539" s="350">
        <v>46159</v>
      </c>
      <c r="C5539" s="350">
        <v>46159</v>
      </c>
      <c r="D5539" s="351">
        <v>46143</v>
      </c>
      <c r="E5539" s="340" t="s">
        <v>3437</v>
      </c>
      <c r="F5539" s="340" t="s">
        <v>1078</v>
      </c>
      <c r="G5539" s="340" t="s">
        <v>3020</v>
      </c>
      <c r="H5539" s="340" t="s">
        <v>2500</v>
      </c>
      <c r="I5539" s="340" t="s">
        <v>771</v>
      </c>
      <c r="K5539" s="343">
        <v>0.05</v>
      </c>
      <c r="L5539" s="343">
        <v>0</v>
      </c>
      <c r="M5539" s="343">
        <v>-968862.04</v>
      </c>
      <c r="O5539" s="343">
        <v>0</v>
      </c>
    </row>
    <row r="5540" spans="1:15" x14ac:dyDescent="0.3">
      <c r="A5540" s="340" t="s">
        <v>891</v>
      </c>
      <c r="B5540" s="350">
        <v>46159</v>
      </c>
      <c r="C5540" s="350">
        <v>46159</v>
      </c>
      <c r="D5540" s="351">
        <v>46143</v>
      </c>
      <c r="E5540" s="340" t="s">
        <v>3437</v>
      </c>
      <c r="F5540" s="340" t="s">
        <v>1078</v>
      </c>
      <c r="G5540" s="340" t="s">
        <v>3017</v>
      </c>
      <c r="H5540" s="340" t="s">
        <v>2500</v>
      </c>
      <c r="I5540" s="340" t="s">
        <v>771</v>
      </c>
      <c r="K5540" s="343">
        <v>2.95</v>
      </c>
      <c r="L5540" s="343">
        <v>0</v>
      </c>
      <c r="M5540" s="343">
        <v>-968859.09</v>
      </c>
      <c r="O5540" s="343">
        <v>0</v>
      </c>
    </row>
    <row r="5541" spans="1:15" x14ac:dyDescent="0.3">
      <c r="A5541" s="340" t="s">
        <v>891</v>
      </c>
      <c r="B5541" s="350">
        <v>46159</v>
      </c>
      <c r="C5541" s="350">
        <v>46159</v>
      </c>
      <c r="D5541" s="351">
        <v>46143</v>
      </c>
      <c r="E5541" s="340" t="s">
        <v>3437</v>
      </c>
      <c r="F5541" s="340" t="s">
        <v>1078</v>
      </c>
      <c r="G5541" s="340" t="s">
        <v>3022</v>
      </c>
      <c r="H5541" s="340" t="s">
        <v>2500</v>
      </c>
      <c r="I5541" s="340" t="s">
        <v>771</v>
      </c>
      <c r="K5541" s="343">
        <v>0.1</v>
      </c>
      <c r="L5541" s="343">
        <v>0</v>
      </c>
      <c r="M5541" s="343">
        <v>-968858.99</v>
      </c>
      <c r="O5541" s="343">
        <v>0</v>
      </c>
    </row>
    <row r="5542" spans="1:15" x14ac:dyDescent="0.3">
      <c r="A5542" s="340" t="s">
        <v>891</v>
      </c>
      <c r="B5542" s="350">
        <v>46159</v>
      </c>
      <c r="C5542" s="350">
        <v>46159</v>
      </c>
      <c r="D5542" s="351">
        <v>46143</v>
      </c>
      <c r="E5542" s="340" t="s">
        <v>3437</v>
      </c>
      <c r="F5542" s="340" t="s">
        <v>1078</v>
      </c>
      <c r="G5542" s="340" t="s">
        <v>3206</v>
      </c>
      <c r="H5542" s="340" t="s">
        <v>2500</v>
      </c>
      <c r="I5542" s="340" t="s">
        <v>771</v>
      </c>
      <c r="K5542" s="343">
        <v>1.99</v>
      </c>
      <c r="L5542" s="343">
        <v>0</v>
      </c>
      <c r="M5542" s="343">
        <v>-968857</v>
      </c>
      <c r="O5542" s="343">
        <v>0</v>
      </c>
    </row>
    <row r="5543" spans="1:15" x14ac:dyDescent="0.3">
      <c r="A5543" s="340" t="s">
        <v>891</v>
      </c>
      <c r="B5543" s="350">
        <v>46159</v>
      </c>
      <c r="C5543" s="350">
        <v>46159</v>
      </c>
      <c r="D5543" s="351">
        <v>46143</v>
      </c>
      <c r="E5543" s="340" t="s">
        <v>3437</v>
      </c>
      <c r="F5543" s="340" t="s">
        <v>1078</v>
      </c>
      <c r="G5543" s="340" t="s">
        <v>3020</v>
      </c>
      <c r="H5543" s="340" t="s">
        <v>2507</v>
      </c>
      <c r="I5543" s="340" t="s">
        <v>771</v>
      </c>
      <c r="K5543" s="343">
        <v>0.18</v>
      </c>
      <c r="L5543" s="343">
        <v>0</v>
      </c>
      <c r="M5543" s="343">
        <v>-968856.82</v>
      </c>
      <c r="O5543" s="343">
        <v>0</v>
      </c>
    </row>
    <row r="5544" spans="1:15" x14ac:dyDescent="0.3">
      <c r="A5544" s="340" t="s">
        <v>891</v>
      </c>
      <c r="B5544" s="350">
        <v>46159</v>
      </c>
      <c r="C5544" s="350">
        <v>46159</v>
      </c>
      <c r="D5544" s="351">
        <v>46143</v>
      </c>
      <c r="E5544" s="340" t="s">
        <v>3437</v>
      </c>
      <c r="F5544" s="340" t="s">
        <v>1078</v>
      </c>
      <c r="G5544" s="340" t="s">
        <v>3214</v>
      </c>
      <c r="H5544" s="340" t="s">
        <v>2507</v>
      </c>
      <c r="I5544" s="340" t="s">
        <v>771</v>
      </c>
      <c r="K5544" s="343">
        <v>0.25</v>
      </c>
      <c r="L5544" s="343">
        <v>0</v>
      </c>
      <c r="M5544" s="343">
        <v>-968856.57</v>
      </c>
      <c r="O5544" s="343">
        <v>0</v>
      </c>
    </row>
    <row r="5545" spans="1:15" x14ac:dyDescent="0.3">
      <c r="A5545" s="340" t="s">
        <v>891</v>
      </c>
      <c r="B5545" s="350">
        <v>46159</v>
      </c>
      <c r="C5545" s="350">
        <v>46159</v>
      </c>
      <c r="D5545" s="351">
        <v>46143</v>
      </c>
      <c r="E5545" s="340" t="s">
        <v>3437</v>
      </c>
      <c r="F5545" s="340" t="s">
        <v>1078</v>
      </c>
      <c r="G5545" s="340" t="s">
        <v>3022</v>
      </c>
      <c r="H5545" s="340" t="s">
        <v>2507</v>
      </c>
      <c r="I5545" s="340" t="s">
        <v>771</v>
      </c>
      <c r="K5545" s="343">
        <v>0.35</v>
      </c>
      <c r="L5545" s="343">
        <v>0</v>
      </c>
      <c r="M5545" s="343">
        <v>-968856.22</v>
      </c>
      <c r="O5545" s="343">
        <v>0</v>
      </c>
    </row>
    <row r="5546" spans="1:15" x14ac:dyDescent="0.3">
      <c r="A5546" s="340" t="s">
        <v>891</v>
      </c>
      <c r="B5546" s="350">
        <v>46159</v>
      </c>
      <c r="C5546" s="350">
        <v>46159</v>
      </c>
      <c r="D5546" s="351">
        <v>46143</v>
      </c>
      <c r="E5546" s="340" t="s">
        <v>3437</v>
      </c>
      <c r="F5546" s="340" t="s">
        <v>1078</v>
      </c>
      <c r="G5546" s="340" t="s">
        <v>3215</v>
      </c>
      <c r="H5546" s="340" t="s">
        <v>2507</v>
      </c>
      <c r="I5546" s="340" t="s">
        <v>771</v>
      </c>
      <c r="K5546" s="343">
        <v>0.35</v>
      </c>
      <c r="L5546" s="343">
        <v>0</v>
      </c>
      <c r="M5546" s="343">
        <v>-968855.87</v>
      </c>
      <c r="O5546" s="343">
        <v>0</v>
      </c>
    </row>
    <row r="5547" spans="1:15" x14ac:dyDescent="0.3">
      <c r="A5547" s="340" t="s">
        <v>891</v>
      </c>
      <c r="B5547" s="350">
        <v>46159</v>
      </c>
      <c r="C5547" s="350">
        <v>46159</v>
      </c>
      <c r="D5547" s="351">
        <v>46143</v>
      </c>
      <c r="E5547" s="340" t="s">
        <v>3437</v>
      </c>
      <c r="F5547" s="340" t="s">
        <v>1078</v>
      </c>
      <c r="G5547" s="340" t="s">
        <v>3017</v>
      </c>
      <c r="H5547" s="340" t="s">
        <v>2507</v>
      </c>
      <c r="I5547" s="340" t="s">
        <v>771</v>
      </c>
      <c r="K5547" s="343">
        <v>2.95</v>
      </c>
      <c r="L5547" s="343">
        <v>0</v>
      </c>
      <c r="M5547" s="343">
        <v>-968852.92</v>
      </c>
      <c r="O5547" s="343">
        <v>0</v>
      </c>
    </row>
    <row r="5548" spans="1:15" x14ac:dyDescent="0.3">
      <c r="A5548" s="340" t="s">
        <v>891</v>
      </c>
      <c r="B5548" s="350">
        <v>46159</v>
      </c>
      <c r="C5548" s="350">
        <v>46159</v>
      </c>
      <c r="D5548" s="351">
        <v>46143</v>
      </c>
      <c r="E5548" s="340" t="s">
        <v>3437</v>
      </c>
      <c r="F5548" s="340" t="s">
        <v>1078</v>
      </c>
      <c r="G5548" s="340" t="s">
        <v>3216</v>
      </c>
      <c r="H5548" s="340" t="s">
        <v>2507</v>
      </c>
      <c r="I5548" s="340" t="s">
        <v>771</v>
      </c>
      <c r="K5548" s="343">
        <v>14.29</v>
      </c>
      <c r="L5548" s="343">
        <v>0</v>
      </c>
      <c r="M5548" s="343">
        <v>-968838.63</v>
      </c>
      <c r="O5548" s="343">
        <v>0</v>
      </c>
    </row>
    <row r="5549" spans="1:15" x14ac:dyDescent="0.3">
      <c r="A5549" s="340" t="s">
        <v>891</v>
      </c>
      <c r="B5549" s="350">
        <v>46159</v>
      </c>
      <c r="C5549" s="350">
        <v>46159</v>
      </c>
      <c r="D5549" s="351">
        <v>46143</v>
      </c>
      <c r="E5549" s="340" t="s">
        <v>3437</v>
      </c>
      <c r="F5549" s="340" t="s">
        <v>1078</v>
      </c>
      <c r="G5549" s="340" t="s">
        <v>3020</v>
      </c>
      <c r="H5549" s="340" t="s">
        <v>2446</v>
      </c>
      <c r="I5549" s="340" t="s">
        <v>771</v>
      </c>
      <c r="K5549" s="343">
        <v>0.16</v>
      </c>
      <c r="L5549" s="343">
        <v>0</v>
      </c>
      <c r="M5549" s="343">
        <v>-968838.47</v>
      </c>
      <c r="O5549" s="343">
        <v>0</v>
      </c>
    </row>
    <row r="5550" spans="1:15" x14ac:dyDescent="0.3">
      <c r="A5550" s="340" t="s">
        <v>891</v>
      </c>
      <c r="B5550" s="350">
        <v>46159</v>
      </c>
      <c r="C5550" s="350">
        <v>46159</v>
      </c>
      <c r="D5550" s="351">
        <v>46143</v>
      </c>
      <c r="E5550" s="340" t="s">
        <v>3437</v>
      </c>
      <c r="F5550" s="340" t="s">
        <v>1078</v>
      </c>
      <c r="G5550" s="340" t="s">
        <v>3214</v>
      </c>
      <c r="H5550" s="340" t="s">
        <v>2446</v>
      </c>
      <c r="I5550" s="340" t="s">
        <v>771</v>
      </c>
      <c r="K5550" s="343">
        <v>0.25</v>
      </c>
      <c r="L5550" s="343">
        <v>0</v>
      </c>
      <c r="M5550" s="343">
        <v>-968838.22</v>
      </c>
      <c r="O5550" s="343">
        <v>0</v>
      </c>
    </row>
    <row r="5551" spans="1:15" x14ac:dyDescent="0.3">
      <c r="A5551" s="340" t="s">
        <v>891</v>
      </c>
      <c r="B5551" s="350">
        <v>46159</v>
      </c>
      <c r="C5551" s="350">
        <v>46159</v>
      </c>
      <c r="D5551" s="351">
        <v>46143</v>
      </c>
      <c r="E5551" s="340" t="s">
        <v>3437</v>
      </c>
      <c r="F5551" s="340" t="s">
        <v>1078</v>
      </c>
      <c r="G5551" s="340" t="s">
        <v>3022</v>
      </c>
      <c r="H5551" s="340" t="s">
        <v>2446</v>
      </c>
      <c r="I5551" s="340" t="s">
        <v>771</v>
      </c>
      <c r="K5551" s="343">
        <v>0.33</v>
      </c>
      <c r="L5551" s="343">
        <v>0</v>
      </c>
      <c r="M5551" s="343">
        <v>-968837.89</v>
      </c>
      <c r="O5551" s="343">
        <v>0</v>
      </c>
    </row>
    <row r="5552" spans="1:15" x14ac:dyDescent="0.3">
      <c r="A5552" s="340" t="s">
        <v>891</v>
      </c>
      <c r="B5552" s="350">
        <v>46159</v>
      </c>
      <c r="C5552" s="350">
        <v>46159</v>
      </c>
      <c r="D5552" s="351">
        <v>46143</v>
      </c>
      <c r="E5552" s="340" t="s">
        <v>3437</v>
      </c>
      <c r="F5552" s="340" t="s">
        <v>1078</v>
      </c>
      <c r="G5552" s="340" t="s">
        <v>3215</v>
      </c>
      <c r="H5552" s="340" t="s">
        <v>2446</v>
      </c>
      <c r="I5552" s="340" t="s">
        <v>771</v>
      </c>
      <c r="K5552" s="343">
        <v>0.35</v>
      </c>
      <c r="L5552" s="343">
        <v>0</v>
      </c>
      <c r="M5552" s="343">
        <v>-968837.54</v>
      </c>
      <c r="O5552" s="343">
        <v>0</v>
      </c>
    </row>
    <row r="5553" spans="1:15" x14ac:dyDescent="0.3">
      <c r="A5553" s="340" t="s">
        <v>891</v>
      </c>
      <c r="B5553" s="350">
        <v>46159</v>
      </c>
      <c r="C5553" s="350">
        <v>46159</v>
      </c>
      <c r="D5553" s="351">
        <v>46143</v>
      </c>
      <c r="E5553" s="340" t="s">
        <v>3437</v>
      </c>
      <c r="F5553" s="340" t="s">
        <v>1078</v>
      </c>
      <c r="G5553" s="340" t="s">
        <v>3017</v>
      </c>
      <c r="H5553" s="340" t="s">
        <v>2446</v>
      </c>
      <c r="I5553" s="340" t="s">
        <v>771</v>
      </c>
      <c r="K5553" s="343">
        <v>2.95</v>
      </c>
      <c r="L5553" s="343">
        <v>0</v>
      </c>
      <c r="M5553" s="343">
        <v>-968834.59</v>
      </c>
      <c r="O5553" s="343">
        <v>0</v>
      </c>
    </row>
    <row r="5554" spans="1:15" x14ac:dyDescent="0.3">
      <c r="A5554" s="340" t="s">
        <v>891</v>
      </c>
      <c r="B5554" s="350">
        <v>46159</v>
      </c>
      <c r="C5554" s="350">
        <v>46159</v>
      </c>
      <c r="D5554" s="351">
        <v>46143</v>
      </c>
      <c r="E5554" s="340" t="s">
        <v>3437</v>
      </c>
      <c r="F5554" s="340" t="s">
        <v>1078</v>
      </c>
      <c r="G5554" s="340" t="s">
        <v>3216</v>
      </c>
      <c r="H5554" s="340" t="s">
        <v>2446</v>
      </c>
      <c r="I5554" s="340" t="s">
        <v>771</v>
      </c>
      <c r="K5554" s="343">
        <v>13.13</v>
      </c>
      <c r="L5554" s="343">
        <v>0</v>
      </c>
      <c r="M5554" s="343">
        <v>-968821.46</v>
      </c>
      <c r="O5554" s="343">
        <v>0</v>
      </c>
    </row>
    <row r="5555" spans="1:15" x14ac:dyDescent="0.3">
      <c r="A5555" s="340" t="s">
        <v>891</v>
      </c>
      <c r="B5555" s="350">
        <v>46159</v>
      </c>
      <c r="C5555" s="350">
        <v>46159</v>
      </c>
      <c r="D5555" s="351">
        <v>46143</v>
      </c>
      <c r="E5555" s="340" t="s">
        <v>3437</v>
      </c>
      <c r="F5555" s="340" t="s">
        <v>1078</v>
      </c>
      <c r="G5555" s="340" t="s">
        <v>3017</v>
      </c>
      <c r="H5555" s="340" t="s">
        <v>2510</v>
      </c>
      <c r="I5555" s="340" t="s">
        <v>771</v>
      </c>
      <c r="K5555" s="343">
        <v>2.95</v>
      </c>
      <c r="L5555" s="343">
        <v>0</v>
      </c>
      <c r="M5555" s="343">
        <v>-968818.51</v>
      </c>
      <c r="O5555" s="343">
        <v>0</v>
      </c>
    </row>
    <row r="5556" spans="1:15" x14ac:dyDescent="0.3">
      <c r="A5556" s="340" t="s">
        <v>891</v>
      </c>
      <c r="B5556" s="350">
        <v>46159</v>
      </c>
      <c r="C5556" s="350">
        <v>46159</v>
      </c>
      <c r="D5556" s="351">
        <v>46143</v>
      </c>
      <c r="E5556" s="340" t="s">
        <v>3437</v>
      </c>
      <c r="F5556" s="340" t="s">
        <v>1078</v>
      </c>
      <c r="G5556" s="340" t="s">
        <v>3022</v>
      </c>
      <c r="H5556" s="340" t="s">
        <v>2510</v>
      </c>
      <c r="I5556" s="340" t="s">
        <v>771</v>
      </c>
      <c r="K5556" s="343">
        <v>0.49</v>
      </c>
      <c r="L5556" s="343">
        <v>0</v>
      </c>
      <c r="M5556" s="343">
        <v>-968818.02</v>
      </c>
      <c r="O5556" s="343">
        <v>0</v>
      </c>
    </row>
    <row r="5557" spans="1:15" x14ac:dyDescent="0.3">
      <c r="A5557" s="340" t="s">
        <v>891</v>
      </c>
      <c r="B5557" s="350">
        <v>46159</v>
      </c>
      <c r="C5557" s="350">
        <v>46159</v>
      </c>
      <c r="D5557" s="351">
        <v>46143</v>
      </c>
      <c r="E5557" s="340" t="s">
        <v>3437</v>
      </c>
      <c r="F5557" s="340" t="s">
        <v>1078</v>
      </c>
      <c r="G5557" s="340" t="s">
        <v>3020</v>
      </c>
      <c r="H5557" s="340" t="s">
        <v>2510</v>
      </c>
      <c r="I5557" s="340" t="s">
        <v>771</v>
      </c>
      <c r="K5557" s="343">
        <v>2.0099999999999998</v>
      </c>
      <c r="L5557" s="343">
        <v>0</v>
      </c>
      <c r="M5557" s="343">
        <v>-968816.01</v>
      </c>
      <c r="O5557" s="343">
        <v>0</v>
      </c>
    </row>
    <row r="5558" spans="1:15" x14ac:dyDescent="0.3">
      <c r="A5558" s="340" t="s">
        <v>891</v>
      </c>
      <c r="B5558" s="350">
        <v>46159</v>
      </c>
      <c r="C5558" s="350">
        <v>46159</v>
      </c>
      <c r="D5558" s="351">
        <v>46143</v>
      </c>
      <c r="E5558" s="340" t="s">
        <v>3437</v>
      </c>
      <c r="F5558" s="340" t="s">
        <v>1078</v>
      </c>
      <c r="G5558" s="340" t="s">
        <v>3206</v>
      </c>
      <c r="H5558" s="340" t="s">
        <v>2510</v>
      </c>
      <c r="I5558" s="340" t="s">
        <v>771</v>
      </c>
      <c r="K5558" s="343">
        <v>20.94</v>
      </c>
      <c r="L5558" s="343">
        <v>0</v>
      </c>
      <c r="M5558" s="343">
        <v>-968795.07</v>
      </c>
      <c r="O5558" s="343">
        <v>0</v>
      </c>
    </row>
    <row r="5559" spans="1:15" x14ac:dyDescent="0.3">
      <c r="A5559" s="340" t="s">
        <v>891</v>
      </c>
      <c r="B5559" s="350">
        <v>46159</v>
      </c>
      <c r="C5559" s="350">
        <v>46159</v>
      </c>
      <c r="D5559" s="351">
        <v>46143</v>
      </c>
      <c r="E5559" s="340" t="s">
        <v>3437</v>
      </c>
      <c r="F5559" s="340" t="s">
        <v>1078</v>
      </c>
      <c r="G5559" s="340" t="s">
        <v>3022</v>
      </c>
      <c r="H5559" s="340" t="s">
        <v>2480</v>
      </c>
      <c r="I5559" s="340" t="s">
        <v>771</v>
      </c>
      <c r="K5559" s="343">
        <v>0.54</v>
      </c>
      <c r="L5559" s="343">
        <v>0</v>
      </c>
      <c r="M5559" s="343">
        <v>-968794.53</v>
      </c>
      <c r="O5559" s="343">
        <v>0</v>
      </c>
    </row>
    <row r="5560" spans="1:15" x14ac:dyDescent="0.3">
      <c r="A5560" s="340" t="s">
        <v>891</v>
      </c>
      <c r="B5560" s="350">
        <v>46159</v>
      </c>
      <c r="C5560" s="350">
        <v>46159</v>
      </c>
      <c r="D5560" s="351">
        <v>46143</v>
      </c>
      <c r="E5560" s="340" t="s">
        <v>3437</v>
      </c>
      <c r="F5560" s="340" t="s">
        <v>1078</v>
      </c>
      <c r="G5560" s="340" t="s">
        <v>3017</v>
      </c>
      <c r="H5560" s="340" t="s">
        <v>2480</v>
      </c>
      <c r="I5560" s="340" t="s">
        <v>771</v>
      </c>
      <c r="K5560" s="343">
        <v>2.95</v>
      </c>
      <c r="L5560" s="343">
        <v>0</v>
      </c>
      <c r="M5560" s="343">
        <v>-968791.58</v>
      </c>
      <c r="O5560" s="343">
        <v>0</v>
      </c>
    </row>
    <row r="5561" spans="1:15" x14ac:dyDescent="0.3">
      <c r="A5561" s="340" t="s">
        <v>891</v>
      </c>
      <c r="B5561" s="350">
        <v>46159</v>
      </c>
      <c r="C5561" s="350">
        <v>46159</v>
      </c>
      <c r="D5561" s="351">
        <v>46143</v>
      </c>
      <c r="E5561" s="340" t="s">
        <v>3437</v>
      </c>
      <c r="F5561" s="340" t="s">
        <v>1078</v>
      </c>
      <c r="G5561" s="340" t="s">
        <v>3020</v>
      </c>
      <c r="H5561" s="340" t="s">
        <v>2480</v>
      </c>
      <c r="I5561" s="340" t="s">
        <v>771</v>
      </c>
      <c r="K5561" s="343">
        <v>0.27</v>
      </c>
      <c r="L5561" s="343">
        <v>0</v>
      </c>
      <c r="M5561" s="343">
        <v>-968791.31</v>
      </c>
      <c r="O5561" s="343">
        <v>0</v>
      </c>
    </row>
    <row r="5562" spans="1:15" x14ac:dyDescent="0.3">
      <c r="A5562" s="340" t="s">
        <v>891</v>
      </c>
      <c r="B5562" s="350">
        <v>46159</v>
      </c>
      <c r="C5562" s="350">
        <v>46159</v>
      </c>
      <c r="D5562" s="351">
        <v>46143</v>
      </c>
      <c r="E5562" s="340" t="s">
        <v>3437</v>
      </c>
      <c r="F5562" s="340" t="s">
        <v>1078</v>
      </c>
      <c r="G5562" s="340" t="s">
        <v>3206</v>
      </c>
      <c r="H5562" s="340" t="s">
        <v>2480</v>
      </c>
      <c r="I5562" s="340" t="s">
        <v>771</v>
      </c>
      <c r="K5562" s="343">
        <v>23.43</v>
      </c>
      <c r="L5562" s="343">
        <v>0</v>
      </c>
      <c r="M5562" s="343">
        <v>-968767.88</v>
      </c>
      <c r="O5562" s="343">
        <v>0</v>
      </c>
    </row>
    <row r="5563" spans="1:15" x14ac:dyDescent="0.3">
      <c r="A5563" s="340" t="s">
        <v>891</v>
      </c>
      <c r="B5563" s="350">
        <v>46159</v>
      </c>
      <c r="C5563" s="350">
        <v>46159</v>
      </c>
      <c r="D5563" s="351">
        <v>46143</v>
      </c>
      <c r="E5563" s="340" t="s">
        <v>3437</v>
      </c>
      <c r="F5563" s="340" t="s">
        <v>1078</v>
      </c>
      <c r="G5563" s="340" t="s">
        <v>3252</v>
      </c>
      <c r="H5563" s="340" t="s">
        <v>3253</v>
      </c>
      <c r="I5563" s="340" t="s">
        <v>771</v>
      </c>
      <c r="K5563" s="343">
        <v>0.12</v>
      </c>
      <c r="L5563" s="343">
        <v>0</v>
      </c>
      <c r="M5563" s="343">
        <v>-968767.76</v>
      </c>
      <c r="O5563" s="343">
        <v>0</v>
      </c>
    </row>
    <row r="5564" spans="1:15" x14ac:dyDescent="0.3">
      <c r="A5564" s="340" t="s">
        <v>891</v>
      </c>
      <c r="B5564" s="350">
        <v>46159</v>
      </c>
      <c r="C5564" s="350">
        <v>46159</v>
      </c>
      <c r="D5564" s="351">
        <v>46143</v>
      </c>
      <c r="E5564" s="340" t="s">
        <v>3437</v>
      </c>
      <c r="F5564" s="340" t="s">
        <v>1078</v>
      </c>
      <c r="G5564" s="340" t="s">
        <v>3254</v>
      </c>
      <c r="H5564" s="340" t="s">
        <v>3253</v>
      </c>
      <c r="I5564" s="340" t="s">
        <v>771</v>
      </c>
      <c r="K5564" s="343">
        <v>0.2</v>
      </c>
      <c r="L5564" s="343">
        <v>0</v>
      </c>
      <c r="M5564" s="343">
        <v>-968767.56</v>
      </c>
      <c r="O5564" s="343">
        <v>0</v>
      </c>
    </row>
    <row r="5565" spans="1:15" x14ac:dyDescent="0.3">
      <c r="A5565" s="340" t="s">
        <v>891</v>
      </c>
      <c r="B5565" s="350">
        <v>46159</v>
      </c>
      <c r="C5565" s="350">
        <v>46159</v>
      </c>
      <c r="D5565" s="351">
        <v>46143</v>
      </c>
      <c r="E5565" s="340" t="s">
        <v>3437</v>
      </c>
      <c r="F5565" s="340" t="s">
        <v>1078</v>
      </c>
      <c r="G5565" s="340" t="s">
        <v>3255</v>
      </c>
      <c r="H5565" s="340" t="s">
        <v>3253</v>
      </c>
      <c r="I5565" s="340" t="s">
        <v>771</v>
      </c>
      <c r="K5565" s="343">
        <v>0.51</v>
      </c>
      <c r="L5565" s="343">
        <v>0</v>
      </c>
      <c r="M5565" s="343">
        <v>-968767.05</v>
      </c>
      <c r="O5565" s="343">
        <v>0</v>
      </c>
    </row>
    <row r="5566" spans="1:15" x14ac:dyDescent="0.3">
      <c r="A5566" s="340" t="s">
        <v>891</v>
      </c>
      <c r="B5566" s="350">
        <v>46159</v>
      </c>
      <c r="C5566" s="350">
        <v>46159</v>
      </c>
      <c r="D5566" s="351">
        <v>46143</v>
      </c>
      <c r="E5566" s="340" t="s">
        <v>3437</v>
      </c>
      <c r="F5566" s="340" t="s">
        <v>1078</v>
      </c>
      <c r="G5566" s="340" t="s">
        <v>3256</v>
      </c>
      <c r="H5566" s="340" t="s">
        <v>3253</v>
      </c>
      <c r="I5566" s="340" t="s">
        <v>771</v>
      </c>
      <c r="K5566" s="343">
        <v>2.95</v>
      </c>
      <c r="L5566" s="343">
        <v>0</v>
      </c>
      <c r="M5566" s="343">
        <v>-968764.1</v>
      </c>
      <c r="O5566" s="343">
        <v>0</v>
      </c>
    </row>
    <row r="5567" spans="1:15" x14ac:dyDescent="0.3">
      <c r="A5567" s="340" t="s">
        <v>891</v>
      </c>
      <c r="B5567" s="350">
        <v>46159</v>
      </c>
      <c r="C5567" s="350">
        <v>46159</v>
      </c>
      <c r="D5567" s="351">
        <v>46143</v>
      </c>
      <c r="E5567" s="340" t="s">
        <v>3437</v>
      </c>
      <c r="F5567" s="340" t="s">
        <v>1078</v>
      </c>
      <c r="G5567" s="340" t="s">
        <v>3257</v>
      </c>
      <c r="H5567" s="340" t="s">
        <v>3253</v>
      </c>
      <c r="I5567" s="340" t="s">
        <v>771</v>
      </c>
      <c r="K5567" s="343">
        <v>3.16</v>
      </c>
      <c r="L5567" s="343">
        <v>0</v>
      </c>
      <c r="M5567" s="343">
        <v>-968760.94</v>
      </c>
      <c r="O5567" s="343">
        <v>0</v>
      </c>
    </row>
    <row r="5568" spans="1:15" x14ac:dyDescent="0.3">
      <c r="A5568" s="340" t="s">
        <v>891</v>
      </c>
      <c r="B5568" s="350">
        <v>46159</v>
      </c>
      <c r="C5568" s="350">
        <v>46159</v>
      </c>
      <c r="D5568" s="351">
        <v>46143</v>
      </c>
      <c r="E5568" s="340" t="s">
        <v>3437</v>
      </c>
      <c r="F5568" s="340" t="s">
        <v>1078</v>
      </c>
      <c r="G5568" s="340" t="s">
        <v>3017</v>
      </c>
      <c r="H5568" s="340" t="s">
        <v>2508</v>
      </c>
      <c r="I5568" s="340" t="s">
        <v>771</v>
      </c>
      <c r="K5568" s="343">
        <v>2.95</v>
      </c>
      <c r="L5568" s="343">
        <v>0</v>
      </c>
      <c r="M5568" s="343">
        <v>-968757.99</v>
      </c>
      <c r="O5568" s="343">
        <v>0</v>
      </c>
    </row>
    <row r="5569" spans="1:15" x14ac:dyDescent="0.3">
      <c r="A5569" s="340" t="s">
        <v>891</v>
      </c>
      <c r="B5569" s="350">
        <v>46159</v>
      </c>
      <c r="C5569" s="350">
        <v>46159</v>
      </c>
      <c r="D5569" s="351">
        <v>46143</v>
      </c>
      <c r="E5569" s="340" t="s">
        <v>3437</v>
      </c>
      <c r="F5569" s="340" t="s">
        <v>1078</v>
      </c>
      <c r="G5569" s="340" t="s">
        <v>3206</v>
      </c>
      <c r="H5569" s="340" t="s">
        <v>2508</v>
      </c>
      <c r="I5569" s="340" t="s">
        <v>771</v>
      </c>
      <c r="K5569" s="343">
        <v>3.15</v>
      </c>
      <c r="L5569" s="343">
        <v>0</v>
      </c>
      <c r="M5569" s="343">
        <v>-968754.84</v>
      </c>
      <c r="O5569" s="343">
        <v>0</v>
      </c>
    </row>
    <row r="5570" spans="1:15" x14ac:dyDescent="0.3">
      <c r="A5570" s="340" t="s">
        <v>891</v>
      </c>
      <c r="B5570" s="350">
        <v>46159</v>
      </c>
      <c r="C5570" s="350">
        <v>46159</v>
      </c>
      <c r="D5570" s="351">
        <v>46143</v>
      </c>
      <c r="E5570" s="340" t="s">
        <v>3437</v>
      </c>
      <c r="F5570" s="340" t="s">
        <v>1078</v>
      </c>
      <c r="G5570" s="340" t="s">
        <v>3022</v>
      </c>
      <c r="H5570" s="340" t="s">
        <v>2508</v>
      </c>
      <c r="I5570" s="340" t="s">
        <v>771</v>
      </c>
      <c r="K5570" s="343">
        <v>0.12</v>
      </c>
      <c r="L5570" s="343">
        <v>0</v>
      </c>
      <c r="M5570" s="343">
        <v>-968754.72</v>
      </c>
      <c r="O5570" s="343">
        <v>0</v>
      </c>
    </row>
    <row r="5571" spans="1:15" x14ac:dyDescent="0.3">
      <c r="A5571" s="340" t="s">
        <v>891</v>
      </c>
      <c r="B5571" s="350">
        <v>46159</v>
      </c>
      <c r="C5571" s="350">
        <v>46159</v>
      </c>
      <c r="D5571" s="351">
        <v>46143</v>
      </c>
      <c r="E5571" s="340" t="s">
        <v>3437</v>
      </c>
      <c r="F5571" s="340" t="s">
        <v>1078</v>
      </c>
      <c r="G5571" s="340" t="s">
        <v>3020</v>
      </c>
      <c r="H5571" s="340" t="s">
        <v>2508</v>
      </c>
      <c r="I5571" s="340" t="s">
        <v>771</v>
      </c>
      <c r="K5571" s="343">
        <v>0.06</v>
      </c>
      <c r="L5571" s="343">
        <v>0</v>
      </c>
      <c r="M5571" s="343">
        <v>-968754.66</v>
      </c>
      <c r="O5571" s="343">
        <v>0</v>
      </c>
    </row>
    <row r="5572" spans="1:15" x14ac:dyDescent="0.3">
      <c r="A5572" s="340" t="s">
        <v>891</v>
      </c>
      <c r="B5572" s="350">
        <v>46159</v>
      </c>
      <c r="C5572" s="350">
        <v>46159</v>
      </c>
      <c r="D5572" s="351">
        <v>46143</v>
      </c>
      <c r="E5572" s="340" t="s">
        <v>3437</v>
      </c>
      <c r="F5572" s="340" t="s">
        <v>1078</v>
      </c>
      <c r="G5572" s="340" t="s">
        <v>3022</v>
      </c>
      <c r="H5572" s="340" t="s">
        <v>2526</v>
      </c>
      <c r="I5572" s="340" t="s">
        <v>771</v>
      </c>
      <c r="K5572" s="343">
        <v>0.12</v>
      </c>
      <c r="L5572" s="343">
        <v>0</v>
      </c>
      <c r="M5572" s="343">
        <v>-968754.54</v>
      </c>
      <c r="O5572" s="343">
        <v>0</v>
      </c>
    </row>
    <row r="5573" spans="1:15" x14ac:dyDescent="0.3">
      <c r="A5573" s="340" t="s">
        <v>891</v>
      </c>
      <c r="B5573" s="350">
        <v>46159</v>
      </c>
      <c r="C5573" s="350">
        <v>46159</v>
      </c>
      <c r="D5573" s="351">
        <v>46143</v>
      </c>
      <c r="E5573" s="340" t="s">
        <v>3437</v>
      </c>
      <c r="F5573" s="340" t="s">
        <v>1078</v>
      </c>
      <c r="G5573" s="340" t="s">
        <v>3017</v>
      </c>
      <c r="H5573" s="340" t="s">
        <v>2526</v>
      </c>
      <c r="I5573" s="340" t="s">
        <v>771</v>
      </c>
      <c r="K5573" s="343">
        <v>2.95</v>
      </c>
      <c r="L5573" s="343">
        <v>0</v>
      </c>
      <c r="M5573" s="343">
        <v>-968751.59</v>
      </c>
      <c r="O5573" s="343">
        <v>0</v>
      </c>
    </row>
    <row r="5574" spans="1:15" x14ac:dyDescent="0.3">
      <c r="A5574" s="340" t="s">
        <v>891</v>
      </c>
      <c r="B5574" s="350">
        <v>46159</v>
      </c>
      <c r="C5574" s="350">
        <v>46159</v>
      </c>
      <c r="D5574" s="351">
        <v>46143</v>
      </c>
      <c r="E5574" s="340" t="s">
        <v>3437</v>
      </c>
      <c r="F5574" s="340" t="s">
        <v>1078</v>
      </c>
      <c r="G5574" s="340" t="s">
        <v>3206</v>
      </c>
      <c r="H5574" s="340" t="s">
        <v>2526</v>
      </c>
      <c r="I5574" s="340" t="s">
        <v>771</v>
      </c>
      <c r="K5574" s="343">
        <v>3.16</v>
      </c>
      <c r="L5574" s="343">
        <v>0</v>
      </c>
      <c r="M5574" s="343">
        <v>-968748.43</v>
      </c>
      <c r="O5574" s="343">
        <v>0</v>
      </c>
    </row>
    <row r="5575" spans="1:15" x14ac:dyDescent="0.3">
      <c r="A5575" s="340" t="s">
        <v>891</v>
      </c>
      <c r="B5575" s="350">
        <v>46159</v>
      </c>
      <c r="C5575" s="350">
        <v>46159</v>
      </c>
      <c r="D5575" s="351">
        <v>46143</v>
      </c>
      <c r="E5575" s="340" t="s">
        <v>3437</v>
      </c>
      <c r="F5575" s="340" t="s">
        <v>1078</v>
      </c>
      <c r="G5575" s="340" t="s">
        <v>3020</v>
      </c>
      <c r="H5575" s="340" t="s">
        <v>2526</v>
      </c>
      <c r="I5575" s="340" t="s">
        <v>771</v>
      </c>
      <c r="K5575" s="343">
        <v>0.06</v>
      </c>
      <c r="L5575" s="343">
        <v>0</v>
      </c>
      <c r="M5575" s="343">
        <v>-968748.37</v>
      </c>
      <c r="O5575" s="343">
        <v>0</v>
      </c>
    </row>
    <row r="5576" spans="1:15" x14ac:dyDescent="0.3">
      <c r="A5576" s="340" t="s">
        <v>891</v>
      </c>
      <c r="B5576" s="350">
        <v>46159</v>
      </c>
      <c r="C5576" s="350">
        <v>46159</v>
      </c>
      <c r="D5576" s="351">
        <v>46143</v>
      </c>
      <c r="E5576" s="340" t="s">
        <v>3437</v>
      </c>
      <c r="F5576" s="340" t="s">
        <v>1078</v>
      </c>
      <c r="G5576" s="340" t="s">
        <v>3020</v>
      </c>
      <c r="H5576" s="340" t="s">
        <v>2514</v>
      </c>
      <c r="I5576" s="340" t="s">
        <v>771</v>
      </c>
      <c r="K5576" s="343">
        <v>0.25</v>
      </c>
      <c r="L5576" s="343">
        <v>0</v>
      </c>
      <c r="M5576" s="343">
        <v>-968748.12</v>
      </c>
      <c r="O5576" s="343">
        <v>0</v>
      </c>
    </row>
    <row r="5577" spans="1:15" x14ac:dyDescent="0.3">
      <c r="A5577" s="340" t="s">
        <v>891</v>
      </c>
      <c r="B5577" s="350">
        <v>46159</v>
      </c>
      <c r="C5577" s="350">
        <v>46159</v>
      </c>
      <c r="D5577" s="351">
        <v>46143</v>
      </c>
      <c r="E5577" s="340" t="s">
        <v>3437</v>
      </c>
      <c r="F5577" s="340" t="s">
        <v>1078</v>
      </c>
      <c r="G5577" s="340" t="s">
        <v>3022</v>
      </c>
      <c r="H5577" s="340" t="s">
        <v>2514</v>
      </c>
      <c r="I5577" s="340" t="s">
        <v>771</v>
      </c>
      <c r="K5577" s="343">
        <v>0.51</v>
      </c>
      <c r="L5577" s="343">
        <v>0</v>
      </c>
      <c r="M5577" s="343">
        <v>-968747.61</v>
      </c>
      <c r="O5577" s="343">
        <v>0</v>
      </c>
    </row>
    <row r="5578" spans="1:15" x14ac:dyDescent="0.3">
      <c r="A5578" s="340" t="s">
        <v>891</v>
      </c>
      <c r="B5578" s="350">
        <v>46159</v>
      </c>
      <c r="C5578" s="350">
        <v>46159</v>
      </c>
      <c r="D5578" s="351">
        <v>46143</v>
      </c>
      <c r="E5578" s="340" t="s">
        <v>3437</v>
      </c>
      <c r="F5578" s="340" t="s">
        <v>1078</v>
      </c>
      <c r="G5578" s="340" t="s">
        <v>3017</v>
      </c>
      <c r="H5578" s="340" t="s">
        <v>2514</v>
      </c>
      <c r="I5578" s="340" t="s">
        <v>771</v>
      </c>
      <c r="K5578" s="343">
        <v>2.95</v>
      </c>
      <c r="L5578" s="343">
        <v>0</v>
      </c>
      <c r="M5578" s="343">
        <v>-968744.66</v>
      </c>
      <c r="O5578" s="343">
        <v>0</v>
      </c>
    </row>
    <row r="5579" spans="1:15" x14ac:dyDescent="0.3">
      <c r="A5579" s="340" t="s">
        <v>891</v>
      </c>
      <c r="B5579" s="350">
        <v>46159</v>
      </c>
      <c r="C5579" s="350">
        <v>46159</v>
      </c>
      <c r="D5579" s="351">
        <v>46143</v>
      </c>
      <c r="E5579" s="340" t="s">
        <v>3437</v>
      </c>
      <c r="F5579" s="340" t="s">
        <v>1078</v>
      </c>
      <c r="G5579" s="340" t="s">
        <v>3206</v>
      </c>
      <c r="H5579" s="340" t="s">
        <v>2514</v>
      </c>
      <c r="I5579" s="340" t="s">
        <v>771</v>
      </c>
      <c r="K5579" s="343">
        <v>21.86</v>
      </c>
      <c r="L5579" s="343">
        <v>0</v>
      </c>
      <c r="M5579" s="343">
        <v>-968722.8</v>
      </c>
      <c r="O5579" s="343">
        <v>0</v>
      </c>
    </row>
    <row r="5580" spans="1:15" x14ac:dyDescent="0.3">
      <c r="A5580" s="340" t="s">
        <v>891</v>
      </c>
      <c r="B5580" s="350">
        <v>46159</v>
      </c>
      <c r="C5580" s="350">
        <v>46159</v>
      </c>
      <c r="D5580" s="351">
        <v>46143</v>
      </c>
      <c r="E5580" s="340" t="s">
        <v>3437</v>
      </c>
      <c r="F5580" s="340" t="s">
        <v>1078</v>
      </c>
      <c r="G5580" s="340" t="s">
        <v>3017</v>
      </c>
      <c r="H5580" s="340" t="s">
        <v>2469</v>
      </c>
      <c r="I5580" s="340" t="s">
        <v>771</v>
      </c>
      <c r="K5580" s="343">
        <v>2.95</v>
      </c>
      <c r="L5580" s="343">
        <v>0</v>
      </c>
      <c r="M5580" s="343">
        <v>-968719.85</v>
      </c>
      <c r="O5580" s="343">
        <v>0</v>
      </c>
    </row>
    <row r="5581" spans="1:15" x14ac:dyDescent="0.3">
      <c r="A5581" s="340" t="s">
        <v>891</v>
      </c>
      <c r="B5581" s="350">
        <v>46159</v>
      </c>
      <c r="C5581" s="350">
        <v>46159</v>
      </c>
      <c r="D5581" s="351">
        <v>46143</v>
      </c>
      <c r="E5581" s="340" t="s">
        <v>3437</v>
      </c>
      <c r="F5581" s="340" t="s">
        <v>1078</v>
      </c>
      <c r="G5581" s="340" t="s">
        <v>3206</v>
      </c>
      <c r="H5581" s="340" t="s">
        <v>2469</v>
      </c>
      <c r="I5581" s="340" t="s">
        <v>771</v>
      </c>
      <c r="K5581" s="343">
        <v>7.23</v>
      </c>
      <c r="L5581" s="343">
        <v>0</v>
      </c>
      <c r="M5581" s="343">
        <v>-968712.62</v>
      </c>
      <c r="O5581" s="343">
        <v>0</v>
      </c>
    </row>
    <row r="5582" spans="1:15" x14ac:dyDescent="0.3">
      <c r="A5582" s="340" t="s">
        <v>891</v>
      </c>
      <c r="B5582" s="350">
        <v>46159</v>
      </c>
      <c r="C5582" s="350">
        <v>46159</v>
      </c>
      <c r="D5582" s="351">
        <v>46143</v>
      </c>
      <c r="E5582" s="340" t="s">
        <v>3437</v>
      </c>
      <c r="F5582" s="340" t="s">
        <v>1078</v>
      </c>
      <c r="G5582" s="340" t="s">
        <v>3022</v>
      </c>
      <c r="H5582" s="340" t="s">
        <v>2469</v>
      </c>
      <c r="I5582" s="340" t="s">
        <v>771</v>
      </c>
      <c r="K5582" s="343">
        <v>0.21</v>
      </c>
      <c r="L5582" s="343">
        <v>0</v>
      </c>
      <c r="M5582" s="343">
        <v>-968712.41</v>
      </c>
      <c r="O5582" s="343">
        <v>0</v>
      </c>
    </row>
    <row r="5583" spans="1:15" x14ac:dyDescent="0.3">
      <c r="A5583" s="340" t="s">
        <v>891</v>
      </c>
      <c r="B5583" s="350">
        <v>46159</v>
      </c>
      <c r="C5583" s="350">
        <v>46159</v>
      </c>
      <c r="D5583" s="351">
        <v>46143</v>
      </c>
      <c r="E5583" s="340" t="s">
        <v>3437</v>
      </c>
      <c r="F5583" s="340" t="s">
        <v>1078</v>
      </c>
      <c r="G5583" s="340" t="s">
        <v>3020</v>
      </c>
      <c r="H5583" s="340" t="s">
        <v>2469</v>
      </c>
      <c r="I5583" s="340" t="s">
        <v>771</v>
      </c>
      <c r="K5583" s="343">
        <v>0.1</v>
      </c>
      <c r="L5583" s="343">
        <v>0</v>
      </c>
      <c r="M5583" s="343">
        <v>-968712.31</v>
      </c>
      <c r="O5583" s="343">
        <v>0</v>
      </c>
    </row>
    <row r="5584" spans="1:15" x14ac:dyDescent="0.3">
      <c r="A5584" s="340" t="s">
        <v>891</v>
      </c>
      <c r="B5584" s="350">
        <v>46159</v>
      </c>
      <c r="C5584" s="350">
        <v>46159</v>
      </c>
      <c r="D5584" s="351">
        <v>46143</v>
      </c>
      <c r="E5584" s="340" t="s">
        <v>3437</v>
      </c>
      <c r="F5584" s="340" t="s">
        <v>1078</v>
      </c>
      <c r="G5584" s="340" t="s">
        <v>3017</v>
      </c>
      <c r="H5584" s="340" t="s">
        <v>2447</v>
      </c>
      <c r="I5584" s="340" t="s">
        <v>771</v>
      </c>
      <c r="K5584" s="343">
        <v>2.95</v>
      </c>
      <c r="L5584" s="343">
        <v>0</v>
      </c>
      <c r="M5584" s="343">
        <v>-968709.36</v>
      </c>
      <c r="O5584" s="343">
        <v>0</v>
      </c>
    </row>
    <row r="5585" spans="1:15" x14ac:dyDescent="0.3">
      <c r="A5585" s="340" t="s">
        <v>891</v>
      </c>
      <c r="B5585" s="350">
        <v>46159</v>
      </c>
      <c r="C5585" s="350">
        <v>46159</v>
      </c>
      <c r="D5585" s="351">
        <v>46143</v>
      </c>
      <c r="E5585" s="340" t="s">
        <v>3437</v>
      </c>
      <c r="F5585" s="340" t="s">
        <v>1078</v>
      </c>
      <c r="G5585" s="340" t="s">
        <v>3206</v>
      </c>
      <c r="H5585" s="340" t="s">
        <v>2447</v>
      </c>
      <c r="I5585" s="340" t="s">
        <v>771</v>
      </c>
      <c r="K5585" s="343">
        <v>15.37</v>
      </c>
      <c r="L5585" s="343">
        <v>0</v>
      </c>
      <c r="M5585" s="343">
        <v>-968693.99</v>
      </c>
      <c r="O5585" s="343">
        <v>0</v>
      </c>
    </row>
    <row r="5586" spans="1:15" x14ac:dyDescent="0.3">
      <c r="A5586" s="340" t="s">
        <v>891</v>
      </c>
      <c r="B5586" s="350">
        <v>46159</v>
      </c>
      <c r="C5586" s="350">
        <v>46159</v>
      </c>
      <c r="D5586" s="351">
        <v>46143</v>
      </c>
      <c r="E5586" s="340" t="s">
        <v>3437</v>
      </c>
      <c r="F5586" s="340" t="s">
        <v>1078</v>
      </c>
      <c r="G5586" s="340" t="s">
        <v>3022</v>
      </c>
      <c r="H5586" s="340" t="s">
        <v>2447</v>
      </c>
      <c r="I5586" s="340" t="s">
        <v>771</v>
      </c>
      <c r="K5586" s="343">
        <v>0.37</v>
      </c>
      <c r="L5586" s="343">
        <v>0</v>
      </c>
      <c r="M5586" s="343">
        <v>-968693.62</v>
      </c>
      <c r="O5586" s="343">
        <v>0</v>
      </c>
    </row>
    <row r="5587" spans="1:15" x14ac:dyDescent="0.3">
      <c r="A5587" s="340" t="s">
        <v>891</v>
      </c>
      <c r="B5587" s="350">
        <v>46159</v>
      </c>
      <c r="C5587" s="350">
        <v>46159</v>
      </c>
      <c r="D5587" s="351">
        <v>46143</v>
      </c>
      <c r="E5587" s="340" t="s">
        <v>3437</v>
      </c>
      <c r="F5587" s="340" t="s">
        <v>1078</v>
      </c>
      <c r="G5587" s="340" t="s">
        <v>3020</v>
      </c>
      <c r="H5587" s="340" t="s">
        <v>2447</v>
      </c>
      <c r="I5587" s="340" t="s">
        <v>771</v>
      </c>
      <c r="K5587" s="343">
        <v>0.19</v>
      </c>
      <c r="L5587" s="343">
        <v>0</v>
      </c>
      <c r="M5587" s="343">
        <v>-968693.43</v>
      </c>
      <c r="O5587" s="343">
        <v>0</v>
      </c>
    </row>
    <row r="5588" spans="1:15" x14ac:dyDescent="0.3">
      <c r="A5588" s="340" t="s">
        <v>891</v>
      </c>
      <c r="B5588" s="350">
        <v>46159</v>
      </c>
      <c r="C5588" s="350">
        <v>46159</v>
      </c>
      <c r="D5588" s="351">
        <v>46143</v>
      </c>
      <c r="E5588" s="340" t="s">
        <v>3437</v>
      </c>
      <c r="F5588" s="340" t="s">
        <v>1078</v>
      </c>
      <c r="G5588" s="340" t="s">
        <v>3020</v>
      </c>
      <c r="H5588" s="340" t="s">
        <v>2457</v>
      </c>
      <c r="I5588" s="340" t="s">
        <v>771</v>
      </c>
      <c r="K5588" s="343">
        <v>0.33</v>
      </c>
      <c r="L5588" s="343">
        <v>0</v>
      </c>
      <c r="M5588" s="343">
        <v>-968693.1</v>
      </c>
      <c r="O5588" s="343">
        <v>0</v>
      </c>
    </row>
    <row r="5589" spans="1:15" x14ac:dyDescent="0.3">
      <c r="A5589" s="340" t="s">
        <v>891</v>
      </c>
      <c r="B5589" s="350">
        <v>46159</v>
      </c>
      <c r="C5589" s="350">
        <v>46159</v>
      </c>
      <c r="D5589" s="351">
        <v>46143</v>
      </c>
      <c r="E5589" s="340" t="s">
        <v>3437</v>
      </c>
      <c r="F5589" s="340" t="s">
        <v>1078</v>
      </c>
      <c r="G5589" s="340" t="s">
        <v>3022</v>
      </c>
      <c r="H5589" s="340" t="s">
        <v>2457</v>
      </c>
      <c r="I5589" s="340" t="s">
        <v>771</v>
      </c>
      <c r="K5589" s="343">
        <v>0.65</v>
      </c>
      <c r="L5589" s="343">
        <v>0</v>
      </c>
      <c r="M5589" s="343">
        <v>-968692.45</v>
      </c>
      <c r="O5589" s="343">
        <v>0</v>
      </c>
    </row>
    <row r="5590" spans="1:15" x14ac:dyDescent="0.3">
      <c r="A5590" s="340" t="s">
        <v>891</v>
      </c>
      <c r="B5590" s="350">
        <v>46159</v>
      </c>
      <c r="C5590" s="350">
        <v>46159</v>
      </c>
      <c r="D5590" s="351">
        <v>46143</v>
      </c>
      <c r="E5590" s="340" t="s">
        <v>3437</v>
      </c>
      <c r="F5590" s="340" t="s">
        <v>1078</v>
      </c>
      <c r="G5590" s="340" t="s">
        <v>3206</v>
      </c>
      <c r="H5590" s="340" t="s">
        <v>2457</v>
      </c>
      <c r="I5590" s="340" t="s">
        <v>771</v>
      </c>
      <c r="K5590" s="343">
        <v>29.17</v>
      </c>
      <c r="L5590" s="343">
        <v>0</v>
      </c>
      <c r="M5590" s="343">
        <v>-968663.28</v>
      </c>
      <c r="O5590" s="343">
        <v>0</v>
      </c>
    </row>
    <row r="5591" spans="1:15" x14ac:dyDescent="0.3">
      <c r="A5591" s="340" t="s">
        <v>891</v>
      </c>
      <c r="B5591" s="350">
        <v>46159</v>
      </c>
      <c r="C5591" s="350">
        <v>46159</v>
      </c>
      <c r="D5591" s="351">
        <v>46143</v>
      </c>
      <c r="E5591" s="340" t="s">
        <v>3437</v>
      </c>
      <c r="F5591" s="340" t="s">
        <v>1078</v>
      </c>
      <c r="G5591" s="340" t="s">
        <v>3017</v>
      </c>
      <c r="H5591" s="340" t="s">
        <v>2457</v>
      </c>
      <c r="I5591" s="340" t="s">
        <v>771</v>
      </c>
      <c r="K5591" s="343">
        <v>2.95</v>
      </c>
      <c r="L5591" s="343">
        <v>0</v>
      </c>
      <c r="M5591" s="343">
        <v>-968660.33</v>
      </c>
      <c r="O5591" s="343">
        <v>0</v>
      </c>
    </row>
    <row r="5592" spans="1:15" x14ac:dyDescent="0.3">
      <c r="A5592" s="340" t="s">
        <v>891</v>
      </c>
      <c r="B5592" s="350">
        <v>46159</v>
      </c>
      <c r="C5592" s="350">
        <v>46159</v>
      </c>
      <c r="D5592" s="351">
        <v>46143</v>
      </c>
      <c r="E5592" s="340" t="s">
        <v>3437</v>
      </c>
      <c r="F5592" s="340" t="s">
        <v>1078</v>
      </c>
      <c r="G5592" s="340" t="s">
        <v>3020</v>
      </c>
      <c r="H5592" s="340" t="s">
        <v>2529</v>
      </c>
      <c r="I5592" s="340" t="s">
        <v>771</v>
      </c>
      <c r="K5592" s="343">
        <v>0.4</v>
      </c>
      <c r="L5592" s="343">
        <v>0</v>
      </c>
      <c r="M5592" s="343">
        <v>-968659.93</v>
      </c>
      <c r="O5592" s="343">
        <v>0</v>
      </c>
    </row>
    <row r="5593" spans="1:15" x14ac:dyDescent="0.3">
      <c r="A5593" s="340" t="s">
        <v>891</v>
      </c>
      <c r="B5593" s="350">
        <v>46159</v>
      </c>
      <c r="C5593" s="350">
        <v>46159</v>
      </c>
      <c r="D5593" s="351">
        <v>46143</v>
      </c>
      <c r="E5593" s="340" t="s">
        <v>3437</v>
      </c>
      <c r="F5593" s="340" t="s">
        <v>1078</v>
      </c>
      <c r="G5593" s="340" t="s">
        <v>3022</v>
      </c>
      <c r="H5593" s="340" t="s">
        <v>2529</v>
      </c>
      <c r="I5593" s="340" t="s">
        <v>771</v>
      </c>
      <c r="K5593" s="343">
        <v>0.8</v>
      </c>
      <c r="L5593" s="343">
        <v>0</v>
      </c>
      <c r="M5593" s="343">
        <v>-968659.13</v>
      </c>
      <c r="O5593" s="343">
        <v>0</v>
      </c>
    </row>
    <row r="5594" spans="1:15" x14ac:dyDescent="0.3">
      <c r="A5594" s="340" t="s">
        <v>891</v>
      </c>
      <c r="B5594" s="350">
        <v>46159</v>
      </c>
      <c r="C5594" s="350">
        <v>46159</v>
      </c>
      <c r="D5594" s="351">
        <v>46143</v>
      </c>
      <c r="E5594" s="340" t="s">
        <v>3437</v>
      </c>
      <c r="F5594" s="340" t="s">
        <v>1078</v>
      </c>
      <c r="G5594" s="340" t="s">
        <v>3017</v>
      </c>
      <c r="H5594" s="340" t="s">
        <v>2529</v>
      </c>
      <c r="I5594" s="340" t="s">
        <v>771</v>
      </c>
      <c r="K5594" s="343">
        <v>2.95</v>
      </c>
      <c r="L5594" s="343">
        <v>0</v>
      </c>
      <c r="M5594" s="343">
        <v>-968656.18</v>
      </c>
      <c r="O5594" s="343">
        <v>0</v>
      </c>
    </row>
    <row r="5595" spans="1:15" x14ac:dyDescent="0.3">
      <c r="A5595" s="340" t="s">
        <v>891</v>
      </c>
      <c r="B5595" s="350">
        <v>46159</v>
      </c>
      <c r="C5595" s="350">
        <v>46159</v>
      </c>
      <c r="D5595" s="351">
        <v>46143</v>
      </c>
      <c r="E5595" s="340" t="s">
        <v>3437</v>
      </c>
      <c r="F5595" s="340" t="s">
        <v>1078</v>
      </c>
      <c r="G5595" s="340" t="s">
        <v>3206</v>
      </c>
      <c r="H5595" s="340" t="s">
        <v>2529</v>
      </c>
      <c r="I5595" s="340" t="s">
        <v>771</v>
      </c>
      <c r="K5595" s="343">
        <v>36.229999999999997</v>
      </c>
      <c r="L5595" s="343">
        <v>0</v>
      </c>
      <c r="M5595" s="343">
        <v>-968619.95</v>
      </c>
      <c r="O5595" s="343">
        <v>0</v>
      </c>
    </row>
    <row r="5596" spans="1:15" x14ac:dyDescent="0.3">
      <c r="A5596" s="340" t="s">
        <v>891</v>
      </c>
      <c r="B5596" s="350">
        <v>46159</v>
      </c>
      <c r="C5596" s="350">
        <v>46159</v>
      </c>
      <c r="D5596" s="351">
        <v>46143</v>
      </c>
      <c r="E5596" s="340" t="s">
        <v>3437</v>
      </c>
      <c r="F5596" s="340" t="s">
        <v>1078</v>
      </c>
      <c r="G5596" s="340" t="s">
        <v>3017</v>
      </c>
      <c r="H5596" s="340" t="s">
        <v>2455</v>
      </c>
      <c r="I5596" s="340" t="s">
        <v>771</v>
      </c>
      <c r="K5596" s="343">
        <v>2.95</v>
      </c>
      <c r="L5596" s="343">
        <v>0</v>
      </c>
      <c r="M5596" s="343">
        <v>-968617</v>
      </c>
      <c r="O5596" s="343">
        <v>0</v>
      </c>
    </row>
    <row r="5597" spans="1:15" x14ac:dyDescent="0.3">
      <c r="A5597" s="340" t="s">
        <v>891</v>
      </c>
      <c r="B5597" s="350">
        <v>46159</v>
      </c>
      <c r="C5597" s="350">
        <v>46159</v>
      </c>
      <c r="D5597" s="351">
        <v>46143</v>
      </c>
      <c r="E5597" s="340" t="s">
        <v>3437</v>
      </c>
      <c r="F5597" s="340" t="s">
        <v>1078</v>
      </c>
      <c r="G5597" s="340" t="s">
        <v>3206</v>
      </c>
      <c r="H5597" s="340" t="s">
        <v>2455</v>
      </c>
      <c r="I5597" s="340" t="s">
        <v>771</v>
      </c>
      <c r="K5597" s="343">
        <v>24.51</v>
      </c>
      <c r="L5597" s="343">
        <v>0</v>
      </c>
      <c r="M5597" s="343">
        <v>-968592.49</v>
      </c>
      <c r="O5597" s="343">
        <v>0</v>
      </c>
    </row>
    <row r="5598" spans="1:15" x14ac:dyDescent="0.3">
      <c r="A5598" s="340" t="s">
        <v>891</v>
      </c>
      <c r="B5598" s="350">
        <v>46159</v>
      </c>
      <c r="C5598" s="350">
        <v>46159</v>
      </c>
      <c r="D5598" s="351">
        <v>46143</v>
      </c>
      <c r="E5598" s="340" t="s">
        <v>3437</v>
      </c>
      <c r="F5598" s="340" t="s">
        <v>1078</v>
      </c>
      <c r="G5598" s="340" t="s">
        <v>3022</v>
      </c>
      <c r="H5598" s="340" t="s">
        <v>2455</v>
      </c>
      <c r="I5598" s="340" t="s">
        <v>771</v>
      </c>
      <c r="K5598" s="343">
        <v>0.56000000000000005</v>
      </c>
      <c r="L5598" s="343">
        <v>0</v>
      </c>
      <c r="M5598" s="343">
        <v>-968591.93</v>
      </c>
      <c r="O5598" s="343">
        <v>0</v>
      </c>
    </row>
    <row r="5599" spans="1:15" x14ac:dyDescent="0.3">
      <c r="A5599" s="340" t="s">
        <v>891</v>
      </c>
      <c r="B5599" s="350">
        <v>46159</v>
      </c>
      <c r="C5599" s="350">
        <v>46159</v>
      </c>
      <c r="D5599" s="351">
        <v>46143</v>
      </c>
      <c r="E5599" s="340" t="s">
        <v>3437</v>
      </c>
      <c r="F5599" s="340" t="s">
        <v>1078</v>
      </c>
      <c r="G5599" s="340" t="s">
        <v>3020</v>
      </c>
      <c r="H5599" s="340" t="s">
        <v>2455</v>
      </c>
      <c r="I5599" s="340" t="s">
        <v>771</v>
      </c>
      <c r="K5599" s="343">
        <v>0.28000000000000003</v>
      </c>
      <c r="L5599" s="343">
        <v>0</v>
      </c>
      <c r="M5599" s="343">
        <v>-968591.65</v>
      </c>
      <c r="O5599" s="343">
        <v>0</v>
      </c>
    </row>
    <row r="5600" spans="1:15" x14ac:dyDescent="0.3">
      <c r="A5600" s="340" t="s">
        <v>891</v>
      </c>
      <c r="B5600" s="350">
        <v>46159</v>
      </c>
      <c r="C5600" s="350">
        <v>46159</v>
      </c>
      <c r="D5600" s="351">
        <v>46143</v>
      </c>
      <c r="E5600" s="340" t="s">
        <v>3437</v>
      </c>
      <c r="F5600" s="340" t="s">
        <v>1078</v>
      </c>
      <c r="G5600" s="340" t="s">
        <v>3020</v>
      </c>
      <c r="H5600" s="340" t="s">
        <v>2523</v>
      </c>
      <c r="I5600" s="340" t="s">
        <v>771</v>
      </c>
      <c r="K5600" s="343">
        <v>0.05</v>
      </c>
      <c r="L5600" s="343">
        <v>0</v>
      </c>
      <c r="M5600" s="343">
        <v>-968591.6</v>
      </c>
      <c r="O5600" s="343">
        <v>0</v>
      </c>
    </row>
    <row r="5601" spans="1:15" x14ac:dyDescent="0.3">
      <c r="A5601" s="340" t="s">
        <v>891</v>
      </c>
      <c r="B5601" s="350">
        <v>46159</v>
      </c>
      <c r="C5601" s="350">
        <v>46159</v>
      </c>
      <c r="D5601" s="351">
        <v>46143</v>
      </c>
      <c r="E5601" s="340" t="s">
        <v>3437</v>
      </c>
      <c r="F5601" s="340" t="s">
        <v>1078</v>
      </c>
      <c r="G5601" s="340" t="s">
        <v>3022</v>
      </c>
      <c r="H5601" s="340" t="s">
        <v>2523</v>
      </c>
      <c r="I5601" s="340" t="s">
        <v>771</v>
      </c>
      <c r="K5601" s="343">
        <v>0.11</v>
      </c>
      <c r="L5601" s="343">
        <v>0</v>
      </c>
      <c r="M5601" s="343">
        <v>-968591.49</v>
      </c>
      <c r="O5601" s="343">
        <v>0</v>
      </c>
    </row>
    <row r="5602" spans="1:15" x14ac:dyDescent="0.3">
      <c r="A5602" s="340" t="s">
        <v>891</v>
      </c>
      <c r="B5602" s="350">
        <v>46159</v>
      </c>
      <c r="C5602" s="350">
        <v>46159</v>
      </c>
      <c r="D5602" s="351">
        <v>46143</v>
      </c>
      <c r="E5602" s="340" t="s">
        <v>3437</v>
      </c>
      <c r="F5602" s="340" t="s">
        <v>1078</v>
      </c>
      <c r="G5602" s="340" t="s">
        <v>3206</v>
      </c>
      <c r="H5602" s="340" t="s">
        <v>2523</v>
      </c>
      <c r="I5602" s="340" t="s">
        <v>771</v>
      </c>
      <c r="K5602" s="343">
        <v>2.33</v>
      </c>
      <c r="L5602" s="343">
        <v>0</v>
      </c>
      <c r="M5602" s="343">
        <v>-968589.16</v>
      </c>
      <c r="O5602" s="343">
        <v>0</v>
      </c>
    </row>
    <row r="5603" spans="1:15" x14ac:dyDescent="0.3">
      <c r="A5603" s="340" t="s">
        <v>891</v>
      </c>
      <c r="B5603" s="350">
        <v>46159</v>
      </c>
      <c r="C5603" s="350">
        <v>46159</v>
      </c>
      <c r="D5603" s="351">
        <v>46143</v>
      </c>
      <c r="E5603" s="340" t="s">
        <v>3437</v>
      </c>
      <c r="F5603" s="340" t="s">
        <v>1078</v>
      </c>
      <c r="G5603" s="340" t="s">
        <v>3017</v>
      </c>
      <c r="H5603" s="340" t="s">
        <v>2523</v>
      </c>
      <c r="I5603" s="340" t="s">
        <v>771</v>
      </c>
      <c r="K5603" s="343">
        <v>2.95</v>
      </c>
      <c r="L5603" s="343">
        <v>0</v>
      </c>
      <c r="M5603" s="343">
        <v>-968586.21</v>
      </c>
      <c r="O5603" s="343">
        <v>0</v>
      </c>
    </row>
    <row r="5604" spans="1:15" x14ac:dyDescent="0.3">
      <c r="A5604" s="340" t="s">
        <v>891</v>
      </c>
      <c r="B5604" s="350">
        <v>46159</v>
      </c>
      <c r="C5604" s="350">
        <v>46159</v>
      </c>
      <c r="D5604" s="351">
        <v>46143</v>
      </c>
      <c r="E5604" s="340" t="s">
        <v>3437</v>
      </c>
      <c r="F5604" s="340" t="s">
        <v>1078</v>
      </c>
      <c r="G5604" s="340" t="s">
        <v>3233</v>
      </c>
      <c r="H5604" s="340" t="s">
        <v>2509</v>
      </c>
      <c r="I5604" s="340" t="s">
        <v>771</v>
      </c>
      <c r="K5604" s="343">
        <v>0.03</v>
      </c>
      <c r="L5604" s="343">
        <v>0</v>
      </c>
      <c r="M5604" s="343">
        <v>-968586.18</v>
      </c>
      <c r="O5604" s="343">
        <v>0</v>
      </c>
    </row>
    <row r="5605" spans="1:15" x14ac:dyDescent="0.3">
      <c r="A5605" s="340" t="s">
        <v>891</v>
      </c>
      <c r="B5605" s="350">
        <v>46159</v>
      </c>
      <c r="C5605" s="350">
        <v>46159</v>
      </c>
      <c r="D5605" s="351">
        <v>46143</v>
      </c>
      <c r="E5605" s="340" t="s">
        <v>3437</v>
      </c>
      <c r="F5605" s="340" t="s">
        <v>1078</v>
      </c>
      <c r="G5605" s="340" t="s">
        <v>3234</v>
      </c>
      <c r="H5605" s="340" t="s">
        <v>2509</v>
      </c>
      <c r="I5605" s="340" t="s">
        <v>771</v>
      </c>
      <c r="K5605" s="343">
        <v>7.0000000000000007E-2</v>
      </c>
      <c r="L5605" s="343">
        <v>0</v>
      </c>
      <c r="M5605" s="343">
        <v>-968586.11</v>
      </c>
      <c r="O5605" s="343">
        <v>0</v>
      </c>
    </row>
    <row r="5606" spans="1:15" x14ac:dyDescent="0.3">
      <c r="A5606" s="340" t="s">
        <v>891</v>
      </c>
      <c r="B5606" s="350">
        <v>46159</v>
      </c>
      <c r="C5606" s="350">
        <v>46159</v>
      </c>
      <c r="D5606" s="351">
        <v>46143</v>
      </c>
      <c r="E5606" s="340" t="s">
        <v>3437</v>
      </c>
      <c r="F5606" s="340" t="s">
        <v>1078</v>
      </c>
      <c r="G5606" s="340" t="s">
        <v>3258</v>
      </c>
      <c r="H5606" s="340" t="s">
        <v>2509</v>
      </c>
      <c r="I5606" s="340" t="s">
        <v>771</v>
      </c>
      <c r="K5606" s="343">
        <v>0.25</v>
      </c>
      <c r="L5606" s="343">
        <v>0</v>
      </c>
      <c r="M5606" s="343">
        <v>-968585.86</v>
      </c>
      <c r="O5606" s="343">
        <v>0</v>
      </c>
    </row>
    <row r="5607" spans="1:15" x14ac:dyDescent="0.3">
      <c r="A5607" s="340" t="s">
        <v>891</v>
      </c>
      <c r="B5607" s="350">
        <v>46159</v>
      </c>
      <c r="C5607" s="350">
        <v>46159</v>
      </c>
      <c r="D5607" s="351">
        <v>46143</v>
      </c>
      <c r="E5607" s="340" t="s">
        <v>3437</v>
      </c>
      <c r="F5607" s="340" t="s">
        <v>1078</v>
      </c>
      <c r="G5607" s="340" t="s">
        <v>3259</v>
      </c>
      <c r="H5607" s="340" t="s">
        <v>2509</v>
      </c>
      <c r="I5607" s="340" t="s">
        <v>771</v>
      </c>
      <c r="K5607" s="343">
        <v>0.35</v>
      </c>
      <c r="L5607" s="343">
        <v>0</v>
      </c>
      <c r="M5607" s="343">
        <v>-968585.51</v>
      </c>
      <c r="O5607" s="343">
        <v>0</v>
      </c>
    </row>
    <row r="5608" spans="1:15" x14ac:dyDescent="0.3">
      <c r="A5608" s="340" t="s">
        <v>891</v>
      </c>
      <c r="B5608" s="350">
        <v>46159</v>
      </c>
      <c r="C5608" s="350">
        <v>46159</v>
      </c>
      <c r="D5608" s="351">
        <v>46143</v>
      </c>
      <c r="E5608" s="340" t="s">
        <v>3437</v>
      </c>
      <c r="F5608" s="340" t="s">
        <v>1078</v>
      </c>
      <c r="G5608" s="340" t="s">
        <v>3217</v>
      </c>
      <c r="H5608" s="340" t="s">
        <v>2509</v>
      </c>
      <c r="I5608" s="340" t="s">
        <v>771</v>
      </c>
      <c r="K5608" s="343">
        <v>0.42</v>
      </c>
      <c r="L5608" s="343">
        <v>0</v>
      </c>
      <c r="M5608" s="343">
        <v>-968585.09</v>
      </c>
      <c r="O5608" s="343">
        <v>0</v>
      </c>
    </row>
    <row r="5609" spans="1:15" x14ac:dyDescent="0.3">
      <c r="A5609" s="340" t="s">
        <v>891</v>
      </c>
      <c r="B5609" s="350">
        <v>46159</v>
      </c>
      <c r="C5609" s="350">
        <v>46159</v>
      </c>
      <c r="D5609" s="351">
        <v>46143</v>
      </c>
      <c r="E5609" s="340" t="s">
        <v>3437</v>
      </c>
      <c r="F5609" s="340" t="s">
        <v>1078</v>
      </c>
      <c r="G5609" s="340" t="s">
        <v>3218</v>
      </c>
      <c r="H5609" s="340" t="s">
        <v>2509</v>
      </c>
      <c r="I5609" s="340" t="s">
        <v>771</v>
      </c>
      <c r="K5609" s="343">
        <v>2.95</v>
      </c>
      <c r="L5609" s="343">
        <v>0</v>
      </c>
      <c r="M5609" s="343">
        <v>-968582.14</v>
      </c>
      <c r="O5609" s="343">
        <v>0</v>
      </c>
    </row>
    <row r="5610" spans="1:15" x14ac:dyDescent="0.3">
      <c r="A5610" s="340" t="s">
        <v>891</v>
      </c>
      <c r="B5610" s="350">
        <v>46159</v>
      </c>
      <c r="C5610" s="350">
        <v>46159</v>
      </c>
      <c r="D5610" s="351">
        <v>46143</v>
      </c>
      <c r="E5610" s="340" t="s">
        <v>3437</v>
      </c>
      <c r="F5610" s="340" t="s">
        <v>1078</v>
      </c>
      <c r="G5610" s="340" t="s">
        <v>3206</v>
      </c>
      <c r="H5610" s="340" t="s">
        <v>2444</v>
      </c>
      <c r="I5610" s="340" t="s">
        <v>771</v>
      </c>
      <c r="K5610" s="343">
        <v>2.66</v>
      </c>
      <c r="L5610" s="343">
        <v>0</v>
      </c>
      <c r="M5610" s="343">
        <v>-968579.48</v>
      </c>
      <c r="O5610" s="343">
        <v>0</v>
      </c>
    </row>
    <row r="5611" spans="1:15" x14ac:dyDescent="0.3">
      <c r="A5611" s="340" t="s">
        <v>891</v>
      </c>
      <c r="B5611" s="350">
        <v>46159</v>
      </c>
      <c r="C5611" s="350">
        <v>46159</v>
      </c>
      <c r="D5611" s="351">
        <v>46143</v>
      </c>
      <c r="E5611" s="340" t="s">
        <v>3437</v>
      </c>
      <c r="F5611" s="340" t="s">
        <v>1078</v>
      </c>
      <c r="G5611" s="340" t="s">
        <v>3022</v>
      </c>
      <c r="H5611" s="340" t="s">
        <v>2444</v>
      </c>
      <c r="I5611" s="340" t="s">
        <v>771</v>
      </c>
      <c r="K5611" s="343">
        <v>0.11</v>
      </c>
      <c r="L5611" s="343">
        <v>0</v>
      </c>
      <c r="M5611" s="343">
        <v>-968579.37</v>
      </c>
      <c r="O5611" s="343">
        <v>0</v>
      </c>
    </row>
    <row r="5612" spans="1:15" x14ac:dyDescent="0.3">
      <c r="A5612" s="340" t="s">
        <v>891</v>
      </c>
      <c r="B5612" s="350">
        <v>46159</v>
      </c>
      <c r="C5612" s="350">
        <v>46159</v>
      </c>
      <c r="D5612" s="351">
        <v>46143</v>
      </c>
      <c r="E5612" s="340" t="s">
        <v>3437</v>
      </c>
      <c r="F5612" s="340" t="s">
        <v>1078</v>
      </c>
      <c r="G5612" s="340" t="s">
        <v>3017</v>
      </c>
      <c r="H5612" s="340" t="s">
        <v>2444</v>
      </c>
      <c r="I5612" s="340" t="s">
        <v>771</v>
      </c>
      <c r="K5612" s="343">
        <v>2.95</v>
      </c>
      <c r="L5612" s="343">
        <v>0</v>
      </c>
      <c r="M5612" s="343">
        <v>-968576.42</v>
      </c>
      <c r="O5612" s="343">
        <v>0</v>
      </c>
    </row>
    <row r="5613" spans="1:15" x14ac:dyDescent="0.3">
      <c r="A5613" s="340" t="s">
        <v>891</v>
      </c>
      <c r="B5613" s="350">
        <v>46159</v>
      </c>
      <c r="C5613" s="350">
        <v>46159</v>
      </c>
      <c r="D5613" s="351">
        <v>46143</v>
      </c>
      <c r="E5613" s="340" t="s">
        <v>3437</v>
      </c>
      <c r="F5613" s="340" t="s">
        <v>1078</v>
      </c>
      <c r="G5613" s="340" t="s">
        <v>3020</v>
      </c>
      <c r="H5613" s="340" t="s">
        <v>2444</v>
      </c>
      <c r="I5613" s="340" t="s">
        <v>771</v>
      </c>
      <c r="K5613" s="343">
        <v>0.06</v>
      </c>
      <c r="L5613" s="343">
        <v>0</v>
      </c>
      <c r="M5613" s="343">
        <v>-968576.36</v>
      </c>
      <c r="O5613" s="343">
        <v>0</v>
      </c>
    </row>
    <row r="5614" spans="1:15" x14ac:dyDescent="0.3">
      <c r="A5614" s="340" t="s">
        <v>891</v>
      </c>
      <c r="B5614" s="350">
        <v>46159</v>
      </c>
      <c r="C5614" s="350">
        <v>46159</v>
      </c>
      <c r="D5614" s="351">
        <v>46143</v>
      </c>
      <c r="E5614" s="340" t="s">
        <v>3437</v>
      </c>
      <c r="F5614" s="340" t="s">
        <v>1078</v>
      </c>
      <c r="G5614" s="340" t="s">
        <v>3017</v>
      </c>
      <c r="H5614" s="340" t="s">
        <v>2494</v>
      </c>
      <c r="I5614" s="340" t="s">
        <v>771</v>
      </c>
      <c r="K5614" s="343">
        <v>2.95</v>
      </c>
      <c r="L5614" s="343">
        <v>0</v>
      </c>
      <c r="M5614" s="343">
        <v>-968573.41</v>
      </c>
      <c r="O5614" s="343">
        <v>0</v>
      </c>
    </row>
    <row r="5615" spans="1:15" x14ac:dyDescent="0.3">
      <c r="A5615" s="340" t="s">
        <v>891</v>
      </c>
      <c r="B5615" s="350">
        <v>46159</v>
      </c>
      <c r="C5615" s="350">
        <v>46159</v>
      </c>
      <c r="D5615" s="351">
        <v>46143</v>
      </c>
      <c r="E5615" s="340" t="s">
        <v>3437</v>
      </c>
      <c r="F5615" s="340" t="s">
        <v>1078</v>
      </c>
      <c r="G5615" s="340" t="s">
        <v>3022</v>
      </c>
      <c r="H5615" s="340" t="s">
        <v>2494</v>
      </c>
      <c r="I5615" s="340" t="s">
        <v>771</v>
      </c>
      <c r="K5615" s="343">
        <v>0.12</v>
      </c>
      <c r="L5615" s="343">
        <v>0</v>
      </c>
      <c r="M5615" s="343">
        <v>-968573.29</v>
      </c>
      <c r="O5615" s="343">
        <v>0</v>
      </c>
    </row>
    <row r="5616" spans="1:15" x14ac:dyDescent="0.3">
      <c r="A5616" s="340" t="s">
        <v>891</v>
      </c>
      <c r="B5616" s="350">
        <v>46159</v>
      </c>
      <c r="C5616" s="350">
        <v>46159</v>
      </c>
      <c r="D5616" s="351">
        <v>46143</v>
      </c>
      <c r="E5616" s="340" t="s">
        <v>3437</v>
      </c>
      <c r="F5616" s="340" t="s">
        <v>1078</v>
      </c>
      <c r="G5616" s="340" t="s">
        <v>3206</v>
      </c>
      <c r="H5616" s="340" t="s">
        <v>2494</v>
      </c>
      <c r="I5616" s="340" t="s">
        <v>771</v>
      </c>
      <c r="K5616" s="343">
        <v>2.99</v>
      </c>
      <c r="L5616" s="343">
        <v>0</v>
      </c>
      <c r="M5616" s="343">
        <v>-968570.3</v>
      </c>
      <c r="O5616" s="343">
        <v>0</v>
      </c>
    </row>
    <row r="5617" spans="1:15" x14ac:dyDescent="0.3">
      <c r="A5617" s="340" t="s">
        <v>891</v>
      </c>
      <c r="B5617" s="350">
        <v>46159</v>
      </c>
      <c r="C5617" s="350">
        <v>46159</v>
      </c>
      <c r="D5617" s="351">
        <v>46143</v>
      </c>
      <c r="E5617" s="340" t="s">
        <v>3437</v>
      </c>
      <c r="F5617" s="340" t="s">
        <v>1078</v>
      </c>
      <c r="G5617" s="340" t="s">
        <v>3020</v>
      </c>
      <c r="H5617" s="340" t="s">
        <v>2494</v>
      </c>
      <c r="I5617" s="340" t="s">
        <v>771</v>
      </c>
      <c r="K5617" s="343">
        <v>0.06</v>
      </c>
      <c r="L5617" s="343">
        <v>0</v>
      </c>
      <c r="M5617" s="343">
        <v>-968570.24</v>
      </c>
      <c r="O5617" s="343">
        <v>0</v>
      </c>
    </row>
    <row r="5618" spans="1:15" x14ac:dyDescent="0.3">
      <c r="A5618" s="340" t="s">
        <v>891</v>
      </c>
      <c r="B5618" s="350">
        <v>46159</v>
      </c>
      <c r="C5618" s="350">
        <v>46159</v>
      </c>
      <c r="D5618" s="351">
        <v>46143</v>
      </c>
      <c r="E5618" s="340" t="s">
        <v>3437</v>
      </c>
      <c r="F5618" s="340" t="s">
        <v>1078</v>
      </c>
      <c r="G5618" s="340" t="s">
        <v>3260</v>
      </c>
      <c r="H5618" s="340" t="s">
        <v>3261</v>
      </c>
      <c r="I5618" s="340" t="s">
        <v>771</v>
      </c>
      <c r="K5618" s="343">
        <v>0.17</v>
      </c>
      <c r="L5618" s="343">
        <v>0</v>
      </c>
      <c r="M5618" s="343">
        <v>-968570.07</v>
      </c>
      <c r="O5618" s="343">
        <v>0</v>
      </c>
    </row>
    <row r="5619" spans="1:15" x14ac:dyDescent="0.3">
      <c r="A5619" s="340" t="s">
        <v>891</v>
      </c>
      <c r="B5619" s="350">
        <v>46159</v>
      </c>
      <c r="C5619" s="350">
        <v>46159</v>
      </c>
      <c r="D5619" s="351">
        <v>46143</v>
      </c>
      <c r="E5619" s="340" t="s">
        <v>3437</v>
      </c>
      <c r="F5619" s="340" t="s">
        <v>1078</v>
      </c>
      <c r="G5619" s="340" t="s">
        <v>3262</v>
      </c>
      <c r="H5619" s="340" t="s">
        <v>3261</v>
      </c>
      <c r="I5619" s="340" t="s">
        <v>771</v>
      </c>
      <c r="K5619" s="343">
        <v>0.2</v>
      </c>
      <c r="L5619" s="343">
        <v>0</v>
      </c>
      <c r="M5619" s="343">
        <v>-968569.87</v>
      </c>
      <c r="O5619" s="343">
        <v>0</v>
      </c>
    </row>
    <row r="5620" spans="1:15" x14ac:dyDescent="0.3">
      <c r="A5620" s="340" t="s">
        <v>891</v>
      </c>
      <c r="B5620" s="350">
        <v>46159</v>
      </c>
      <c r="C5620" s="350">
        <v>46159</v>
      </c>
      <c r="D5620" s="351">
        <v>46143</v>
      </c>
      <c r="E5620" s="340" t="s">
        <v>3437</v>
      </c>
      <c r="F5620" s="340" t="s">
        <v>1078</v>
      </c>
      <c r="G5620" s="340" t="s">
        <v>3263</v>
      </c>
      <c r="H5620" s="340" t="s">
        <v>3261</v>
      </c>
      <c r="I5620" s="340" t="s">
        <v>771</v>
      </c>
      <c r="K5620" s="343">
        <v>0.34</v>
      </c>
      <c r="L5620" s="343">
        <v>0</v>
      </c>
      <c r="M5620" s="343">
        <v>-968569.53</v>
      </c>
      <c r="O5620" s="343">
        <v>0</v>
      </c>
    </row>
    <row r="5621" spans="1:15" x14ac:dyDescent="0.3">
      <c r="A5621" s="340" t="s">
        <v>891</v>
      </c>
      <c r="B5621" s="350">
        <v>46159</v>
      </c>
      <c r="C5621" s="350">
        <v>46159</v>
      </c>
      <c r="D5621" s="351">
        <v>46143</v>
      </c>
      <c r="E5621" s="340" t="s">
        <v>3437</v>
      </c>
      <c r="F5621" s="340" t="s">
        <v>1078</v>
      </c>
      <c r="G5621" s="340" t="s">
        <v>3264</v>
      </c>
      <c r="H5621" s="340" t="s">
        <v>3261</v>
      </c>
      <c r="I5621" s="340" t="s">
        <v>771</v>
      </c>
      <c r="K5621" s="343">
        <v>2.95</v>
      </c>
      <c r="L5621" s="343">
        <v>0</v>
      </c>
      <c r="M5621" s="343">
        <v>-968566.58</v>
      </c>
      <c r="O5621" s="343">
        <v>0</v>
      </c>
    </row>
    <row r="5622" spans="1:15" x14ac:dyDescent="0.3">
      <c r="A5622" s="340" t="s">
        <v>891</v>
      </c>
      <c r="B5622" s="350">
        <v>46159</v>
      </c>
      <c r="C5622" s="350">
        <v>46159</v>
      </c>
      <c r="D5622" s="351">
        <v>46143</v>
      </c>
      <c r="E5622" s="340" t="s">
        <v>3437</v>
      </c>
      <c r="F5622" s="340" t="s">
        <v>1078</v>
      </c>
      <c r="G5622" s="340" t="s">
        <v>3265</v>
      </c>
      <c r="H5622" s="340" t="s">
        <v>3261</v>
      </c>
      <c r="I5622" s="340" t="s">
        <v>771</v>
      </c>
      <c r="K5622" s="343">
        <v>13.88</v>
      </c>
      <c r="L5622" s="343">
        <v>0</v>
      </c>
      <c r="M5622" s="343">
        <v>-968552.7</v>
      </c>
      <c r="O5622" s="343">
        <v>0</v>
      </c>
    </row>
    <row r="5623" spans="1:15" x14ac:dyDescent="0.3">
      <c r="A5623" s="340" t="s">
        <v>891</v>
      </c>
      <c r="B5623" s="350">
        <v>46159</v>
      </c>
      <c r="C5623" s="350">
        <v>46159</v>
      </c>
      <c r="D5623" s="351">
        <v>46143</v>
      </c>
      <c r="E5623" s="340" t="s">
        <v>3437</v>
      </c>
      <c r="F5623" s="340" t="s">
        <v>1078</v>
      </c>
      <c r="G5623" s="340" t="s">
        <v>3206</v>
      </c>
      <c r="H5623" s="340" t="s">
        <v>2525</v>
      </c>
      <c r="I5623" s="340" t="s">
        <v>771</v>
      </c>
      <c r="K5623" s="343">
        <v>2.58</v>
      </c>
      <c r="L5623" s="343">
        <v>0</v>
      </c>
      <c r="M5623" s="343">
        <v>-968550.12</v>
      </c>
      <c r="O5623" s="343">
        <v>0</v>
      </c>
    </row>
    <row r="5624" spans="1:15" x14ac:dyDescent="0.3">
      <c r="A5624" s="340" t="s">
        <v>891</v>
      </c>
      <c r="B5624" s="350">
        <v>46159</v>
      </c>
      <c r="C5624" s="350">
        <v>46159</v>
      </c>
      <c r="D5624" s="351">
        <v>46143</v>
      </c>
      <c r="E5624" s="340" t="s">
        <v>3437</v>
      </c>
      <c r="F5624" s="340" t="s">
        <v>1078</v>
      </c>
      <c r="G5624" s="340" t="s">
        <v>3017</v>
      </c>
      <c r="H5624" s="340" t="s">
        <v>2525</v>
      </c>
      <c r="I5624" s="340" t="s">
        <v>771</v>
      </c>
      <c r="K5624" s="343">
        <v>2.95</v>
      </c>
      <c r="L5624" s="343">
        <v>0</v>
      </c>
      <c r="M5624" s="343">
        <v>-968547.17</v>
      </c>
      <c r="O5624" s="343">
        <v>0</v>
      </c>
    </row>
    <row r="5625" spans="1:15" x14ac:dyDescent="0.3">
      <c r="A5625" s="340" t="s">
        <v>891</v>
      </c>
      <c r="B5625" s="350">
        <v>46159</v>
      </c>
      <c r="C5625" s="350">
        <v>46159</v>
      </c>
      <c r="D5625" s="351">
        <v>46143</v>
      </c>
      <c r="E5625" s="340" t="s">
        <v>3437</v>
      </c>
      <c r="F5625" s="340" t="s">
        <v>1078</v>
      </c>
      <c r="G5625" s="340" t="s">
        <v>3020</v>
      </c>
      <c r="H5625" s="340" t="s">
        <v>2525</v>
      </c>
      <c r="I5625" s="340" t="s">
        <v>771</v>
      </c>
      <c r="K5625" s="343">
        <v>0.06</v>
      </c>
      <c r="L5625" s="343">
        <v>0</v>
      </c>
      <c r="M5625" s="343">
        <v>-968547.11</v>
      </c>
      <c r="O5625" s="343">
        <v>0</v>
      </c>
    </row>
    <row r="5626" spans="1:15" x14ac:dyDescent="0.3">
      <c r="A5626" s="340" t="s">
        <v>891</v>
      </c>
      <c r="B5626" s="350">
        <v>46159</v>
      </c>
      <c r="C5626" s="350">
        <v>46159</v>
      </c>
      <c r="D5626" s="351">
        <v>46143</v>
      </c>
      <c r="E5626" s="340" t="s">
        <v>3437</v>
      </c>
      <c r="F5626" s="340" t="s">
        <v>1078</v>
      </c>
      <c r="G5626" s="340" t="s">
        <v>3022</v>
      </c>
      <c r="H5626" s="340" t="s">
        <v>2525</v>
      </c>
      <c r="I5626" s="340" t="s">
        <v>771</v>
      </c>
      <c r="K5626" s="343">
        <v>0.11</v>
      </c>
      <c r="L5626" s="343">
        <v>0</v>
      </c>
      <c r="M5626" s="343">
        <v>-968547</v>
      </c>
      <c r="O5626" s="343">
        <v>0</v>
      </c>
    </row>
    <row r="5627" spans="1:15" x14ac:dyDescent="0.3">
      <c r="A5627" s="340" t="s">
        <v>891</v>
      </c>
      <c r="B5627" s="350">
        <v>46159</v>
      </c>
      <c r="C5627" s="350">
        <v>46159</v>
      </c>
      <c r="D5627" s="351">
        <v>46143</v>
      </c>
      <c r="E5627" s="340" t="s">
        <v>3437</v>
      </c>
      <c r="F5627" s="340" t="s">
        <v>1078</v>
      </c>
      <c r="G5627" s="340" t="s">
        <v>3020</v>
      </c>
      <c r="H5627" s="340" t="s">
        <v>2506</v>
      </c>
      <c r="I5627" s="340" t="s">
        <v>771</v>
      </c>
      <c r="K5627" s="343">
        <v>0.26</v>
      </c>
      <c r="L5627" s="343">
        <v>0</v>
      </c>
      <c r="M5627" s="343">
        <v>-968546.74</v>
      </c>
      <c r="O5627" s="343">
        <v>0</v>
      </c>
    </row>
    <row r="5628" spans="1:15" x14ac:dyDescent="0.3">
      <c r="A5628" s="340" t="s">
        <v>891</v>
      </c>
      <c r="B5628" s="350">
        <v>46159</v>
      </c>
      <c r="C5628" s="350">
        <v>46159</v>
      </c>
      <c r="D5628" s="351">
        <v>46143</v>
      </c>
      <c r="E5628" s="340" t="s">
        <v>3437</v>
      </c>
      <c r="F5628" s="340" t="s">
        <v>1078</v>
      </c>
      <c r="G5628" s="340" t="s">
        <v>3022</v>
      </c>
      <c r="H5628" s="340" t="s">
        <v>2506</v>
      </c>
      <c r="I5628" s="340" t="s">
        <v>771</v>
      </c>
      <c r="K5628" s="343">
        <v>0.52</v>
      </c>
      <c r="L5628" s="343">
        <v>0</v>
      </c>
      <c r="M5628" s="343">
        <v>-968546.22</v>
      </c>
      <c r="O5628" s="343">
        <v>0</v>
      </c>
    </row>
    <row r="5629" spans="1:15" x14ac:dyDescent="0.3">
      <c r="A5629" s="340" t="s">
        <v>891</v>
      </c>
      <c r="B5629" s="350">
        <v>46159</v>
      </c>
      <c r="C5629" s="350">
        <v>46159</v>
      </c>
      <c r="D5629" s="351">
        <v>46143</v>
      </c>
      <c r="E5629" s="340" t="s">
        <v>3437</v>
      </c>
      <c r="F5629" s="340" t="s">
        <v>1078</v>
      </c>
      <c r="G5629" s="340" t="s">
        <v>3017</v>
      </c>
      <c r="H5629" s="340" t="s">
        <v>2506</v>
      </c>
      <c r="I5629" s="340" t="s">
        <v>771</v>
      </c>
      <c r="K5629" s="343">
        <v>2.95</v>
      </c>
      <c r="L5629" s="343">
        <v>0</v>
      </c>
      <c r="M5629" s="343">
        <v>-968543.27</v>
      </c>
      <c r="O5629" s="343">
        <v>0</v>
      </c>
    </row>
    <row r="5630" spans="1:15" x14ac:dyDescent="0.3">
      <c r="A5630" s="340" t="s">
        <v>891</v>
      </c>
      <c r="B5630" s="350">
        <v>46159</v>
      </c>
      <c r="C5630" s="350">
        <v>46159</v>
      </c>
      <c r="D5630" s="351">
        <v>46143</v>
      </c>
      <c r="E5630" s="340" t="s">
        <v>3437</v>
      </c>
      <c r="F5630" s="340" t="s">
        <v>1078</v>
      </c>
      <c r="G5630" s="340" t="s">
        <v>3206</v>
      </c>
      <c r="H5630" s="340" t="s">
        <v>2506</v>
      </c>
      <c r="I5630" s="340" t="s">
        <v>771</v>
      </c>
      <c r="K5630" s="343">
        <v>22.6</v>
      </c>
      <c r="L5630" s="343">
        <v>0</v>
      </c>
      <c r="M5630" s="343">
        <v>-968520.67</v>
      </c>
      <c r="O5630" s="343">
        <v>0</v>
      </c>
    </row>
    <row r="5631" spans="1:15" x14ac:dyDescent="0.3">
      <c r="A5631" s="340" t="s">
        <v>891</v>
      </c>
      <c r="B5631" s="350">
        <v>46159</v>
      </c>
      <c r="C5631" s="350">
        <v>46159</v>
      </c>
      <c r="D5631" s="351">
        <v>46143</v>
      </c>
      <c r="E5631" s="340" t="s">
        <v>3437</v>
      </c>
      <c r="F5631" s="340" t="s">
        <v>1078</v>
      </c>
      <c r="G5631" s="340" t="s">
        <v>3260</v>
      </c>
      <c r="H5631" s="340" t="s">
        <v>3266</v>
      </c>
      <c r="I5631" s="340" t="s">
        <v>771</v>
      </c>
      <c r="K5631" s="343">
        <v>7.0000000000000007E-2</v>
      </c>
      <c r="L5631" s="343">
        <v>0</v>
      </c>
      <c r="M5631" s="343">
        <v>-968520.6</v>
      </c>
      <c r="O5631" s="343">
        <v>0</v>
      </c>
    </row>
    <row r="5632" spans="1:15" x14ac:dyDescent="0.3">
      <c r="A5632" s="340" t="s">
        <v>891</v>
      </c>
      <c r="B5632" s="350">
        <v>46159</v>
      </c>
      <c r="C5632" s="350">
        <v>46159</v>
      </c>
      <c r="D5632" s="351">
        <v>46143</v>
      </c>
      <c r="E5632" s="340" t="s">
        <v>3437</v>
      </c>
      <c r="F5632" s="340" t="s">
        <v>1078</v>
      </c>
      <c r="G5632" s="340" t="s">
        <v>3263</v>
      </c>
      <c r="H5632" s="340" t="s">
        <v>3266</v>
      </c>
      <c r="I5632" s="340" t="s">
        <v>771</v>
      </c>
      <c r="K5632" s="343">
        <v>0.15</v>
      </c>
      <c r="L5632" s="343">
        <v>0</v>
      </c>
      <c r="M5632" s="343">
        <v>-968520.45</v>
      </c>
      <c r="O5632" s="343">
        <v>0</v>
      </c>
    </row>
    <row r="5633" spans="1:15" x14ac:dyDescent="0.3">
      <c r="A5633" s="340" t="s">
        <v>891</v>
      </c>
      <c r="B5633" s="350">
        <v>46159</v>
      </c>
      <c r="C5633" s="350">
        <v>46159</v>
      </c>
      <c r="D5633" s="351">
        <v>46143</v>
      </c>
      <c r="E5633" s="340" t="s">
        <v>3437</v>
      </c>
      <c r="F5633" s="340" t="s">
        <v>1078</v>
      </c>
      <c r="G5633" s="340" t="s">
        <v>3262</v>
      </c>
      <c r="H5633" s="340" t="s">
        <v>3266</v>
      </c>
      <c r="I5633" s="340" t="s">
        <v>771</v>
      </c>
      <c r="K5633" s="343">
        <v>0.2</v>
      </c>
      <c r="L5633" s="343">
        <v>0</v>
      </c>
      <c r="M5633" s="343">
        <v>-968520.25</v>
      </c>
      <c r="O5633" s="343">
        <v>0</v>
      </c>
    </row>
    <row r="5634" spans="1:15" x14ac:dyDescent="0.3">
      <c r="A5634" s="340" t="s">
        <v>891</v>
      </c>
      <c r="B5634" s="350">
        <v>46159</v>
      </c>
      <c r="C5634" s="350">
        <v>46159</v>
      </c>
      <c r="D5634" s="351">
        <v>46143</v>
      </c>
      <c r="E5634" s="340" t="s">
        <v>3437</v>
      </c>
      <c r="F5634" s="340" t="s">
        <v>1078</v>
      </c>
      <c r="G5634" s="340" t="s">
        <v>3264</v>
      </c>
      <c r="H5634" s="340" t="s">
        <v>3266</v>
      </c>
      <c r="I5634" s="340" t="s">
        <v>771</v>
      </c>
      <c r="K5634" s="343">
        <v>2.95</v>
      </c>
      <c r="L5634" s="343">
        <v>0</v>
      </c>
      <c r="M5634" s="343">
        <v>-968517.3</v>
      </c>
      <c r="O5634" s="343">
        <v>0</v>
      </c>
    </row>
    <row r="5635" spans="1:15" x14ac:dyDescent="0.3">
      <c r="A5635" s="340" t="s">
        <v>891</v>
      </c>
      <c r="B5635" s="350">
        <v>46159</v>
      </c>
      <c r="C5635" s="350">
        <v>46159</v>
      </c>
      <c r="D5635" s="351">
        <v>46143</v>
      </c>
      <c r="E5635" s="340" t="s">
        <v>3437</v>
      </c>
      <c r="F5635" s="340" t="s">
        <v>1078</v>
      </c>
      <c r="G5635" s="340" t="s">
        <v>3265</v>
      </c>
      <c r="H5635" s="340" t="s">
        <v>3266</v>
      </c>
      <c r="I5635" s="340" t="s">
        <v>771</v>
      </c>
      <c r="K5635" s="343">
        <v>4.32</v>
      </c>
      <c r="L5635" s="343">
        <v>0</v>
      </c>
      <c r="M5635" s="343">
        <v>-968512.98</v>
      </c>
      <c r="O5635" s="343">
        <v>0</v>
      </c>
    </row>
    <row r="5636" spans="1:15" x14ac:dyDescent="0.3">
      <c r="A5636" s="340" t="s">
        <v>891</v>
      </c>
      <c r="B5636" s="350">
        <v>46159</v>
      </c>
      <c r="C5636" s="350">
        <v>46159</v>
      </c>
      <c r="D5636" s="351">
        <v>46143</v>
      </c>
      <c r="E5636" s="340" t="s">
        <v>3437</v>
      </c>
      <c r="F5636" s="340" t="s">
        <v>1078</v>
      </c>
      <c r="G5636" s="340" t="s">
        <v>3022</v>
      </c>
      <c r="H5636" s="340" t="s">
        <v>2522</v>
      </c>
      <c r="I5636" s="340" t="s">
        <v>771</v>
      </c>
      <c r="K5636" s="343">
        <v>0.13</v>
      </c>
      <c r="L5636" s="343">
        <v>0</v>
      </c>
      <c r="M5636" s="343">
        <v>-968512.85</v>
      </c>
      <c r="O5636" s="343">
        <v>0</v>
      </c>
    </row>
    <row r="5637" spans="1:15" x14ac:dyDescent="0.3">
      <c r="A5637" s="340" t="s">
        <v>891</v>
      </c>
      <c r="B5637" s="350">
        <v>46159</v>
      </c>
      <c r="C5637" s="350">
        <v>46159</v>
      </c>
      <c r="D5637" s="351">
        <v>46143</v>
      </c>
      <c r="E5637" s="340" t="s">
        <v>3437</v>
      </c>
      <c r="F5637" s="340" t="s">
        <v>1078</v>
      </c>
      <c r="G5637" s="340" t="s">
        <v>3020</v>
      </c>
      <c r="H5637" s="340" t="s">
        <v>2522</v>
      </c>
      <c r="I5637" s="340" t="s">
        <v>771</v>
      </c>
      <c r="K5637" s="343">
        <v>7.0000000000000007E-2</v>
      </c>
      <c r="L5637" s="343">
        <v>0</v>
      </c>
      <c r="M5637" s="343">
        <v>-968512.78</v>
      </c>
      <c r="O5637" s="343">
        <v>0</v>
      </c>
    </row>
    <row r="5638" spans="1:15" x14ac:dyDescent="0.3">
      <c r="A5638" s="340" t="s">
        <v>891</v>
      </c>
      <c r="B5638" s="350">
        <v>46159</v>
      </c>
      <c r="C5638" s="350">
        <v>46159</v>
      </c>
      <c r="D5638" s="351">
        <v>46143</v>
      </c>
      <c r="E5638" s="340" t="s">
        <v>3437</v>
      </c>
      <c r="F5638" s="340" t="s">
        <v>1078</v>
      </c>
      <c r="G5638" s="340" t="s">
        <v>3017</v>
      </c>
      <c r="H5638" s="340" t="s">
        <v>2522</v>
      </c>
      <c r="I5638" s="340" t="s">
        <v>771</v>
      </c>
      <c r="K5638" s="343">
        <v>2.95</v>
      </c>
      <c r="L5638" s="343">
        <v>0</v>
      </c>
      <c r="M5638" s="343">
        <v>-968509.83</v>
      </c>
      <c r="O5638" s="343">
        <v>0</v>
      </c>
    </row>
    <row r="5639" spans="1:15" x14ac:dyDescent="0.3">
      <c r="A5639" s="340" t="s">
        <v>891</v>
      </c>
      <c r="B5639" s="350">
        <v>46159</v>
      </c>
      <c r="C5639" s="350">
        <v>46159</v>
      </c>
      <c r="D5639" s="351">
        <v>46143</v>
      </c>
      <c r="E5639" s="340" t="s">
        <v>3437</v>
      </c>
      <c r="F5639" s="340" t="s">
        <v>1078</v>
      </c>
      <c r="G5639" s="340" t="s">
        <v>3206</v>
      </c>
      <c r="H5639" s="340" t="s">
        <v>2522</v>
      </c>
      <c r="I5639" s="340" t="s">
        <v>771</v>
      </c>
      <c r="K5639" s="343">
        <v>3.49</v>
      </c>
      <c r="L5639" s="343">
        <v>0</v>
      </c>
      <c r="M5639" s="343">
        <v>-968506.34</v>
      </c>
      <c r="O5639" s="343">
        <v>0</v>
      </c>
    </row>
    <row r="5640" spans="1:15" x14ac:dyDescent="0.3">
      <c r="A5640" s="340" t="s">
        <v>891</v>
      </c>
      <c r="B5640" s="350">
        <v>46159</v>
      </c>
      <c r="C5640" s="350">
        <v>46159</v>
      </c>
      <c r="D5640" s="351">
        <v>46143</v>
      </c>
      <c r="E5640" s="340" t="s">
        <v>3437</v>
      </c>
      <c r="F5640" s="340" t="s">
        <v>1078</v>
      </c>
      <c r="G5640" s="340" t="s">
        <v>3022</v>
      </c>
      <c r="I5640" s="340" t="s">
        <v>771</v>
      </c>
      <c r="K5640" s="343">
        <v>0.18</v>
      </c>
      <c r="L5640" s="343">
        <v>0</v>
      </c>
      <c r="M5640" s="343">
        <v>-968506.16</v>
      </c>
      <c r="O5640" s="343">
        <v>0</v>
      </c>
    </row>
    <row r="5641" spans="1:15" x14ac:dyDescent="0.3">
      <c r="A5641" s="340" t="s">
        <v>891</v>
      </c>
      <c r="B5641" s="350">
        <v>46159</v>
      </c>
      <c r="C5641" s="350">
        <v>46159</v>
      </c>
      <c r="D5641" s="351">
        <v>46143</v>
      </c>
      <c r="E5641" s="340" t="s">
        <v>3437</v>
      </c>
      <c r="F5641" s="340" t="s">
        <v>1078</v>
      </c>
      <c r="G5641" s="340" t="s">
        <v>3022</v>
      </c>
      <c r="I5641" s="340" t="s">
        <v>771</v>
      </c>
      <c r="K5641" s="343">
        <v>0.25</v>
      </c>
      <c r="L5641" s="343">
        <v>0</v>
      </c>
      <c r="M5641" s="343">
        <v>-968505.91</v>
      </c>
      <c r="O5641" s="343">
        <v>0</v>
      </c>
    </row>
    <row r="5642" spans="1:15" x14ac:dyDescent="0.3">
      <c r="A5642" s="340" t="s">
        <v>891</v>
      </c>
      <c r="B5642" s="350">
        <v>46159</v>
      </c>
      <c r="C5642" s="350">
        <v>46159</v>
      </c>
      <c r="D5642" s="351">
        <v>46143</v>
      </c>
      <c r="E5642" s="340" t="s">
        <v>3437</v>
      </c>
      <c r="F5642" s="340" t="s">
        <v>1078</v>
      </c>
      <c r="G5642" s="340" t="s">
        <v>3023</v>
      </c>
      <c r="I5642" s="340" t="s">
        <v>771</v>
      </c>
      <c r="K5642" s="343">
        <v>0.37</v>
      </c>
      <c r="L5642" s="343">
        <v>0</v>
      </c>
      <c r="M5642" s="343">
        <v>-968505.54</v>
      </c>
      <c r="O5642" s="343">
        <v>0</v>
      </c>
    </row>
    <row r="5643" spans="1:15" x14ac:dyDescent="0.3">
      <c r="A5643" s="340" t="s">
        <v>891</v>
      </c>
      <c r="B5643" s="350">
        <v>46159</v>
      </c>
      <c r="C5643" s="350">
        <v>46159</v>
      </c>
      <c r="D5643" s="351">
        <v>46143</v>
      </c>
      <c r="E5643" s="340" t="s">
        <v>3437</v>
      </c>
      <c r="F5643" s="340" t="s">
        <v>1078</v>
      </c>
      <c r="G5643" s="340" t="s">
        <v>3024</v>
      </c>
      <c r="I5643" s="340" t="s">
        <v>771</v>
      </c>
      <c r="K5643" s="343">
        <v>0.75</v>
      </c>
      <c r="L5643" s="343">
        <v>0</v>
      </c>
      <c r="M5643" s="343">
        <v>-968504.79</v>
      </c>
      <c r="O5643" s="343">
        <v>0</v>
      </c>
    </row>
    <row r="5644" spans="1:15" x14ac:dyDescent="0.3">
      <c r="A5644" s="340" t="s">
        <v>891</v>
      </c>
      <c r="B5644" s="350">
        <v>46159</v>
      </c>
      <c r="C5644" s="350">
        <v>46159</v>
      </c>
      <c r="D5644" s="351">
        <v>46143</v>
      </c>
      <c r="E5644" s="340" t="s">
        <v>3437</v>
      </c>
      <c r="F5644" s="340" t="s">
        <v>1078</v>
      </c>
      <c r="G5644" s="340" t="s">
        <v>3025</v>
      </c>
      <c r="I5644" s="340" t="s">
        <v>771</v>
      </c>
      <c r="K5644" s="343">
        <v>2.12</v>
      </c>
      <c r="L5644" s="343">
        <v>0</v>
      </c>
      <c r="M5644" s="343">
        <v>-968502.67</v>
      </c>
      <c r="O5644" s="343">
        <v>0</v>
      </c>
    </row>
    <row r="5645" spans="1:15" x14ac:dyDescent="0.3">
      <c r="A5645" s="340" t="s">
        <v>891</v>
      </c>
      <c r="B5645" s="350">
        <v>46159</v>
      </c>
      <c r="C5645" s="350">
        <v>46159</v>
      </c>
      <c r="D5645" s="351">
        <v>46143</v>
      </c>
      <c r="E5645" s="340" t="s">
        <v>3437</v>
      </c>
      <c r="F5645" s="340" t="s">
        <v>1078</v>
      </c>
      <c r="G5645" s="340" t="s">
        <v>3017</v>
      </c>
      <c r="I5645" s="340" t="s">
        <v>771</v>
      </c>
      <c r="K5645" s="343">
        <v>2.2599999999999998</v>
      </c>
      <c r="L5645" s="343">
        <v>0</v>
      </c>
      <c r="M5645" s="343">
        <v>-968500.41</v>
      </c>
      <c r="O5645" s="343">
        <v>0</v>
      </c>
    </row>
    <row r="5646" spans="1:15" x14ac:dyDescent="0.3">
      <c r="A5646" s="340" t="s">
        <v>891</v>
      </c>
      <c r="B5646" s="350">
        <v>46159</v>
      </c>
      <c r="C5646" s="350">
        <v>46159</v>
      </c>
      <c r="D5646" s="351">
        <v>46143</v>
      </c>
      <c r="E5646" s="340" t="s">
        <v>3437</v>
      </c>
      <c r="F5646" s="340" t="s">
        <v>1078</v>
      </c>
      <c r="G5646" s="340" t="s">
        <v>3026</v>
      </c>
      <c r="I5646" s="340" t="s">
        <v>771</v>
      </c>
      <c r="K5646" s="343">
        <v>2.4900000000000002</v>
      </c>
      <c r="L5646" s="343">
        <v>0</v>
      </c>
      <c r="M5646" s="343">
        <v>-968497.92</v>
      </c>
      <c r="O5646" s="343">
        <v>0</v>
      </c>
    </row>
    <row r="5647" spans="1:15" x14ac:dyDescent="0.3">
      <c r="A5647" s="340" t="s">
        <v>891</v>
      </c>
      <c r="B5647" s="350">
        <v>46159</v>
      </c>
      <c r="C5647" s="350">
        <v>46159</v>
      </c>
      <c r="D5647" s="351">
        <v>46143</v>
      </c>
      <c r="E5647" s="340" t="s">
        <v>3437</v>
      </c>
      <c r="F5647" s="340" t="s">
        <v>1078</v>
      </c>
      <c r="G5647" s="340" t="s">
        <v>3021</v>
      </c>
      <c r="I5647" s="340" t="s">
        <v>771</v>
      </c>
      <c r="K5647" s="343">
        <v>4.6100000000000003</v>
      </c>
      <c r="L5647" s="343">
        <v>0</v>
      </c>
      <c r="M5647" s="343">
        <v>-968493.31</v>
      </c>
      <c r="O5647" s="343">
        <v>0</v>
      </c>
    </row>
    <row r="5648" spans="1:15" x14ac:dyDescent="0.3">
      <c r="A5648" s="340" t="s">
        <v>891</v>
      </c>
      <c r="B5648" s="350">
        <v>46159</v>
      </c>
      <c r="C5648" s="350">
        <v>46159</v>
      </c>
      <c r="D5648" s="351">
        <v>46143</v>
      </c>
      <c r="E5648" s="340" t="s">
        <v>3437</v>
      </c>
      <c r="F5648" s="340" t="s">
        <v>1078</v>
      </c>
      <c r="G5648" s="340" t="s">
        <v>3005</v>
      </c>
      <c r="I5648" s="340" t="s">
        <v>771</v>
      </c>
      <c r="K5648" s="343">
        <v>8.51</v>
      </c>
      <c r="L5648" s="343">
        <v>0</v>
      </c>
      <c r="M5648" s="343">
        <v>-968484.8</v>
      </c>
      <c r="O5648" s="343">
        <v>0</v>
      </c>
    </row>
    <row r="5649" spans="1:15" x14ac:dyDescent="0.3">
      <c r="A5649" s="340" t="s">
        <v>891</v>
      </c>
      <c r="B5649" s="350">
        <v>46159</v>
      </c>
      <c r="C5649" s="350">
        <v>46159</v>
      </c>
      <c r="D5649" s="351">
        <v>46143</v>
      </c>
      <c r="E5649" s="340" t="s">
        <v>3437</v>
      </c>
      <c r="F5649" s="340" t="s">
        <v>1078</v>
      </c>
      <c r="G5649" s="340" t="s">
        <v>3018</v>
      </c>
      <c r="I5649" s="340" t="s">
        <v>771</v>
      </c>
      <c r="K5649" s="343">
        <v>0.06</v>
      </c>
      <c r="L5649" s="343">
        <v>0</v>
      </c>
      <c r="M5649" s="343">
        <v>-968484.74</v>
      </c>
      <c r="O5649" s="343">
        <v>0</v>
      </c>
    </row>
    <row r="5650" spans="1:15" x14ac:dyDescent="0.3">
      <c r="A5650" s="340" t="s">
        <v>891</v>
      </c>
      <c r="B5650" s="350">
        <v>46159</v>
      </c>
      <c r="C5650" s="350">
        <v>46159</v>
      </c>
      <c r="D5650" s="351">
        <v>46143</v>
      </c>
      <c r="E5650" s="340" t="s">
        <v>3437</v>
      </c>
      <c r="F5650" s="340" t="s">
        <v>1078</v>
      </c>
      <c r="G5650" s="340" t="s">
        <v>3016</v>
      </c>
      <c r="I5650" s="340" t="s">
        <v>771</v>
      </c>
      <c r="K5650" s="343">
        <v>0.01</v>
      </c>
      <c r="L5650" s="343">
        <v>0</v>
      </c>
      <c r="M5650" s="343">
        <v>-968484.73</v>
      </c>
      <c r="O5650" s="343">
        <v>0</v>
      </c>
    </row>
    <row r="5651" spans="1:15" x14ac:dyDescent="0.3">
      <c r="A5651" s="340" t="s">
        <v>891</v>
      </c>
      <c r="B5651" s="350">
        <v>46159</v>
      </c>
      <c r="C5651" s="350">
        <v>46159</v>
      </c>
      <c r="D5651" s="351">
        <v>46143</v>
      </c>
      <c r="E5651" s="340" t="s">
        <v>3437</v>
      </c>
      <c r="F5651" s="340" t="s">
        <v>1078</v>
      </c>
      <c r="G5651" s="340" t="s">
        <v>3020</v>
      </c>
      <c r="I5651" s="340" t="s">
        <v>771</v>
      </c>
      <c r="K5651" s="343">
        <v>0.09</v>
      </c>
      <c r="L5651" s="343">
        <v>0</v>
      </c>
      <c r="M5651" s="343">
        <v>-968484.64</v>
      </c>
      <c r="O5651" s="343">
        <v>0</v>
      </c>
    </row>
    <row r="5652" spans="1:15" x14ac:dyDescent="0.3">
      <c r="A5652" s="340" t="s">
        <v>891</v>
      </c>
      <c r="B5652" s="350">
        <v>46159</v>
      </c>
      <c r="C5652" s="350">
        <v>46159</v>
      </c>
      <c r="D5652" s="351">
        <v>46143</v>
      </c>
      <c r="E5652" s="340" t="s">
        <v>3437</v>
      </c>
      <c r="F5652" s="340" t="s">
        <v>1078</v>
      </c>
      <c r="G5652" s="340" t="s">
        <v>3019</v>
      </c>
      <c r="I5652" s="340" t="s">
        <v>771</v>
      </c>
      <c r="K5652" s="343">
        <v>0.01</v>
      </c>
      <c r="L5652" s="343">
        <v>0</v>
      </c>
      <c r="M5652" s="343">
        <v>-968484.63</v>
      </c>
      <c r="O5652" s="343">
        <v>0</v>
      </c>
    </row>
    <row r="5653" spans="1:15" x14ac:dyDescent="0.3">
      <c r="A5653" s="340" t="s">
        <v>891</v>
      </c>
      <c r="B5653" s="350">
        <v>46159</v>
      </c>
      <c r="C5653" s="350">
        <v>46159</v>
      </c>
      <c r="D5653" s="351">
        <v>46143</v>
      </c>
      <c r="E5653" s="340" t="s">
        <v>3437</v>
      </c>
      <c r="F5653" s="340" t="s">
        <v>1078</v>
      </c>
      <c r="G5653" s="340" t="s">
        <v>3016</v>
      </c>
      <c r="I5653" s="340" t="s">
        <v>771</v>
      </c>
      <c r="K5653" s="343">
        <v>0.02</v>
      </c>
      <c r="L5653" s="343">
        <v>0</v>
      </c>
      <c r="M5653" s="343">
        <v>-968484.61</v>
      </c>
      <c r="O5653" s="343">
        <v>0</v>
      </c>
    </row>
    <row r="5654" spans="1:15" x14ac:dyDescent="0.3">
      <c r="A5654" s="340" t="s">
        <v>891</v>
      </c>
      <c r="B5654" s="350">
        <v>46159</v>
      </c>
      <c r="C5654" s="350">
        <v>46159</v>
      </c>
      <c r="D5654" s="351">
        <v>46143</v>
      </c>
      <c r="E5654" s="340" t="s">
        <v>3437</v>
      </c>
      <c r="F5654" s="340" t="s">
        <v>1078</v>
      </c>
      <c r="G5654" s="340" t="s">
        <v>3020</v>
      </c>
      <c r="I5654" s="340" t="s">
        <v>771</v>
      </c>
      <c r="K5654" s="343">
        <v>0.13</v>
      </c>
      <c r="L5654" s="343">
        <v>0</v>
      </c>
      <c r="M5654" s="343">
        <v>-968484.48</v>
      </c>
      <c r="O5654" s="343">
        <v>0</v>
      </c>
    </row>
    <row r="5655" spans="1:15" x14ac:dyDescent="0.3">
      <c r="A5655" s="340" t="s">
        <v>891</v>
      </c>
      <c r="B5655" s="350">
        <v>46159</v>
      </c>
      <c r="C5655" s="350">
        <v>46159</v>
      </c>
      <c r="D5655" s="351">
        <v>46143</v>
      </c>
      <c r="E5655" s="340" t="s">
        <v>3437</v>
      </c>
      <c r="F5655" s="340" t="s">
        <v>1078</v>
      </c>
      <c r="G5655" s="340" t="s">
        <v>3019</v>
      </c>
      <c r="I5655" s="340" t="s">
        <v>771</v>
      </c>
      <c r="K5655" s="343">
        <v>0.01</v>
      </c>
      <c r="L5655" s="343">
        <v>0</v>
      </c>
      <c r="M5655" s="343">
        <v>-968484.47</v>
      </c>
      <c r="O5655" s="343">
        <v>0</v>
      </c>
    </row>
    <row r="5656" spans="1:15" x14ac:dyDescent="0.3">
      <c r="A5656" s="340" t="s">
        <v>891</v>
      </c>
      <c r="B5656" s="350">
        <v>46159</v>
      </c>
      <c r="C5656" s="350">
        <v>46159</v>
      </c>
      <c r="D5656" s="351">
        <v>46143</v>
      </c>
      <c r="E5656" s="340" t="s">
        <v>3437</v>
      </c>
      <c r="F5656" s="340" t="s">
        <v>1078</v>
      </c>
      <c r="G5656" s="340" t="s">
        <v>3016</v>
      </c>
      <c r="I5656" s="340" t="s">
        <v>771</v>
      </c>
      <c r="K5656" s="343">
        <v>0.03</v>
      </c>
      <c r="L5656" s="343">
        <v>0</v>
      </c>
      <c r="M5656" s="343">
        <v>-968484.44</v>
      </c>
      <c r="O5656" s="343">
        <v>0</v>
      </c>
    </row>
    <row r="5657" spans="1:15" x14ac:dyDescent="0.3">
      <c r="A5657" s="340" t="s">
        <v>891</v>
      </c>
      <c r="B5657" s="350">
        <v>46159</v>
      </c>
      <c r="C5657" s="350">
        <v>46159</v>
      </c>
      <c r="D5657" s="351">
        <v>46143</v>
      </c>
      <c r="E5657" s="340" t="s">
        <v>3437</v>
      </c>
      <c r="F5657" s="340" t="s">
        <v>1078</v>
      </c>
      <c r="G5657" s="340" t="s">
        <v>3020</v>
      </c>
      <c r="I5657" s="340" t="s">
        <v>771</v>
      </c>
      <c r="K5657" s="343">
        <v>0.15</v>
      </c>
      <c r="L5657" s="343">
        <v>0</v>
      </c>
      <c r="M5657" s="343">
        <v>-968484.29</v>
      </c>
      <c r="O5657" s="343">
        <v>0</v>
      </c>
    </row>
    <row r="5658" spans="1:15" x14ac:dyDescent="0.3">
      <c r="A5658" s="340" t="s">
        <v>891</v>
      </c>
      <c r="B5658" s="350">
        <v>46159</v>
      </c>
      <c r="C5658" s="350">
        <v>46159</v>
      </c>
      <c r="D5658" s="351">
        <v>46143</v>
      </c>
      <c r="E5658" s="340" t="s">
        <v>3437</v>
      </c>
      <c r="F5658" s="340" t="s">
        <v>1078</v>
      </c>
      <c r="G5658" s="340" t="s">
        <v>3022</v>
      </c>
      <c r="I5658" s="340" t="s">
        <v>771</v>
      </c>
      <c r="K5658" s="343">
        <v>0.31</v>
      </c>
      <c r="L5658" s="343">
        <v>0</v>
      </c>
      <c r="M5658" s="343">
        <v>-968483.98</v>
      </c>
      <c r="O5658" s="343">
        <v>0</v>
      </c>
    </row>
    <row r="5659" spans="1:15" x14ac:dyDescent="0.3">
      <c r="A5659" s="340" t="s">
        <v>891</v>
      </c>
      <c r="B5659" s="350">
        <v>46159</v>
      </c>
      <c r="C5659" s="350">
        <v>46159</v>
      </c>
      <c r="D5659" s="351">
        <v>46143</v>
      </c>
      <c r="E5659" s="340" t="s">
        <v>3437</v>
      </c>
      <c r="F5659" s="340" t="s">
        <v>1078</v>
      </c>
      <c r="G5659" s="340" t="s">
        <v>3023</v>
      </c>
      <c r="I5659" s="340" t="s">
        <v>771</v>
      </c>
      <c r="K5659" s="343">
        <v>0.56999999999999995</v>
      </c>
      <c r="L5659" s="343">
        <v>0</v>
      </c>
      <c r="M5659" s="343">
        <v>-968483.41</v>
      </c>
      <c r="O5659" s="343">
        <v>0</v>
      </c>
    </row>
    <row r="5660" spans="1:15" x14ac:dyDescent="0.3">
      <c r="A5660" s="340" t="s">
        <v>891</v>
      </c>
      <c r="B5660" s="350">
        <v>46159</v>
      </c>
      <c r="C5660" s="350">
        <v>46159</v>
      </c>
      <c r="D5660" s="351">
        <v>46143</v>
      </c>
      <c r="E5660" s="340" t="s">
        <v>3437</v>
      </c>
      <c r="F5660" s="340" t="s">
        <v>1078</v>
      </c>
      <c r="G5660" s="340" t="s">
        <v>3024</v>
      </c>
      <c r="I5660" s="340" t="s">
        <v>771</v>
      </c>
      <c r="K5660" s="343">
        <v>1.1499999999999999</v>
      </c>
      <c r="L5660" s="343">
        <v>0</v>
      </c>
      <c r="M5660" s="343">
        <v>-968482.26</v>
      </c>
      <c r="O5660" s="343">
        <v>0</v>
      </c>
    </row>
    <row r="5661" spans="1:15" x14ac:dyDescent="0.3">
      <c r="A5661" s="340" t="s">
        <v>891</v>
      </c>
      <c r="B5661" s="350">
        <v>46159</v>
      </c>
      <c r="C5661" s="350">
        <v>46159</v>
      </c>
      <c r="D5661" s="351">
        <v>46143</v>
      </c>
      <c r="E5661" s="340" t="s">
        <v>3437</v>
      </c>
      <c r="F5661" s="340" t="s">
        <v>1078</v>
      </c>
      <c r="G5661" s="340" t="s">
        <v>3017</v>
      </c>
      <c r="I5661" s="340" t="s">
        <v>771</v>
      </c>
      <c r="K5661" s="343">
        <v>2.2599999999999998</v>
      </c>
      <c r="L5661" s="343">
        <v>0</v>
      </c>
      <c r="M5661" s="343">
        <v>-968480</v>
      </c>
      <c r="O5661" s="343">
        <v>0</v>
      </c>
    </row>
    <row r="5662" spans="1:15" x14ac:dyDescent="0.3">
      <c r="A5662" s="340" t="s">
        <v>891</v>
      </c>
      <c r="B5662" s="350">
        <v>46159</v>
      </c>
      <c r="C5662" s="350">
        <v>46159</v>
      </c>
      <c r="D5662" s="351">
        <v>46143</v>
      </c>
      <c r="E5662" s="340" t="s">
        <v>3437</v>
      </c>
      <c r="F5662" s="340" t="s">
        <v>1078</v>
      </c>
      <c r="G5662" s="340" t="s">
        <v>3025</v>
      </c>
      <c r="I5662" s="340" t="s">
        <v>771</v>
      </c>
      <c r="K5662" s="343">
        <v>3.27</v>
      </c>
      <c r="L5662" s="343">
        <v>0</v>
      </c>
      <c r="M5662" s="343">
        <v>-968476.73</v>
      </c>
      <c r="O5662" s="343">
        <v>0</v>
      </c>
    </row>
    <row r="5663" spans="1:15" x14ac:dyDescent="0.3">
      <c r="A5663" s="340" t="s">
        <v>891</v>
      </c>
      <c r="B5663" s="350">
        <v>46159</v>
      </c>
      <c r="C5663" s="350">
        <v>46159</v>
      </c>
      <c r="D5663" s="351">
        <v>46143</v>
      </c>
      <c r="E5663" s="340" t="s">
        <v>3437</v>
      </c>
      <c r="F5663" s="340" t="s">
        <v>1078</v>
      </c>
      <c r="G5663" s="340" t="s">
        <v>3026</v>
      </c>
      <c r="I5663" s="340" t="s">
        <v>771</v>
      </c>
      <c r="K5663" s="343">
        <v>3.83</v>
      </c>
      <c r="L5663" s="343">
        <v>0</v>
      </c>
      <c r="M5663" s="343">
        <v>-968472.9</v>
      </c>
      <c r="O5663" s="343">
        <v>0</v>
      </c>
    </row>
    <row r="5664" spans="1:15" x14ac:dyDescent="0.3">
      <c r="A5664" s="340" t="s">
        <v>891</v>
      </c>
      <c r="B5664" s="350">
        <v>46159</v>
      </c>
      <c r="C5664" s="350">
        <v>46159</v>
      </c>
      <c r="D5664" s="351">
        <v>46143</v>
      </c>
      <c r="E5664" s="340" t="s">
        <v>3437</v>
      </c>
      <c r="F5664" s="340" t="s">
        <v>1078</v>
      </c>
      <c r="G5664" s="340" t="s">
        <v>3021</v>
      </c>
      <c r="I5664" s="340" t="s">
        <v>771</v>
      </c>
      <c r="K5664" s="343">
        <v>4.6100000000000003</v>
      </c>
      <c r="L5664" s="343">
        <v>0</v>
      </c>
      <c r="M5664" s="343">
        <v>-968468.29</v>
      </c>
      <c r="O5664" s="343">
        <v>0</v>
      </c>
    </row>
    <row r="5665" spans="1:15" x14ac:dyDescent="0.3">
      <c r="A5665" s="340" t="s">
        <v>891</v>
      </c>
      <c r="B5665" s="350">
        <v>46159</v>
      </c>
      <c r="C5665" s="350">
        <v>46159</v>
      </c>
      <c r="D5665" s="351">
        <v>46143</v>
      </c>
      <c r="E5665" s="340" t="s">
        <v>3437</v>
      </c>
      <c r="F5665" s="340" t="s">
        <v>1078</v>
      </c>
      <c r="G5665" s="340" t="s">
        <v>3005</v>
      </c>
      <c r="I5665" s="340" t="s">
        <v>771</v>
      </c>
      <c r="K5665" s="343">
        <v>13.09</v>
      </c>
      <c r="L5665" s="343">
        <v>0</v>
      </c>
      <c r="M5665" s="343">
        <v>-968455.2</v>
      </c>
      <c r="O5665" s="343">
        <v>0</v>
      </c>
    </row>
    <row r="5666" spans="1:15" x14ac:dyDescent="0.3">
      <c r="A5666" s="340" t="s">
        <v>891</v>
      </c>
      <c r="B5666" s="350">
        <v>46159</v>
      </c>
      <c r="C5666" s="350">
        <v>46159</v>
      </c>
      <c r="D5666" s="351">
        <v>46143</v>
      </c>
      <c r="E5666" s="340" t="s">
        <v>3437</v>
      </c>
      <c r="F5666" s="340" t="s">
        <v>1078</v>
      </c>
      <c r="G5666" s="340" t="s">
        <v>3018</v>
      </c>
      <c r="I5666" s="340" t="s">
        <v>771</v>
      </c>
      <c r="K5666" s="343">
        <v>0.09</v>
      </c>
      <c r="L5666" s="343">
        <v>0</v>
      </c>
      <c r="M5666" s="343">
        <v>-968455.11</v>
      </c>
      <c r="O5666" s="343">
        <v>0</v>
      </c>
    </row>
    <row r="5667" spans="1:15" x14ac:dyDescent="0.3">
      <c r="A5667" s="340" t="s">
        <v>891</v>
      </c>
      <c r="B5667" s="350">
        <v>46159</v>
      </c>
      <c r="C5667" s="350">
        <v>46159</v>
      </c>
      <c r="D5667" s="351">
        <v>46143</v>
      </c>
      <c r="E5667" s="340" t="s">
        <v>3437</v>
      </c>
      <c r="F5667" s="340" t="s">
        <v>1078</v>
      </c>
      <c r="G5667" s="340" t="s">
        <v>3016</v>
      </c>
      <c r="I5667" s="340" t="s">
        <v>771</v>
      </c>
      <c r="K5667" s="343">
        <v>0.02</v>
      </c>
      <c r="L5667" s="343">
        <v>0</v>
      </c>
      <c r="M5667" s="343">
        <v>-968455.09</v>
      </c>
      <c r="O5667" s="343">
        <v>0</v>
      </c>
    </row>
    <row r="5668" spans="1:15" x14ac:dyDescent="0.3">
      <c r="A5668" s="340" t="s">
        <v>891</v>
      </c>
      <c r="B5668" s="350">
        <v>46159</v>
      </c>
      <c r="C5668" s="350">
        <v>46159</v>
      </c>
      <c r="D5668" s="351">
        <v>46143</v>
      </c>
      <c r="E5668" s="340" t="s">
        <v>3437</v>
      </c>
      <c r="F5668" s="340" t="s">
        <v>1078</v>
      </c>
      <c r="G5668" s="340" t="s">
        <v>3022</v>
      </c>
      <c r="I5668" s="340" t="s">
        <v>771</v>
      </c>
      <c r="K5668" s="343">
        <v>0.28000000000000003</v>
      </c>
      <c r="L5668" s="343">
        <v>0</v>
      </c>
      <c r="M5668" s="343">
        <v>-968454.81</v>
      </c>
      <c r="O5668" s="343">
        <v>0</v>
      </c>
    </row>
    <row r="5669" spans="1:15" x14ac:dyDescent="0.3">
      <c r="A5669" s="340" t="s">
        <v>891</v>
      </c>
      <c r="B5669" s="350">
        <v>46159</v>
      </c>
      <c r="C5669" s="350">
        <v>46159</v>
      </c>
      <c r="D5669" s="351">
        <v>46143</v>
      </c>
      <c r="E5669" s="340" t="s">
        <v>3437</v>
      </c>
      <c r="F5669" s="340" t="s">
        <v>1078</v>
      </c>
      <c r="G5669" s="340" t="s">
        <v>3020</v>
      </c>
      <c r="I5669" s="340" t="s">
        <v>771</v>
      </c>
      <c r="K5669" s="343">
        <v>0.14000000000000001</v>
      </c>
      <c r="L5669" s="343">
        <v>0</v>
      </c>
      <c r="M5669" s="343">
        <v>-968454.67</v>
      </c>
      <c r="O5669" s="343">
        <v>0</v>
      </c>
    </row>
    <row r="5670" spans="1:15" x14ac:dyDescent="0.3">
      <c r="A5670" s="340" t="s">
        <v>891</v>
      </c>
      <c r="B5670" s="350">
        <v>46159</v>
      </c>
      <c r="C5670" s="350">
        <v>46159</v>
      </c>
      <c r="D5670" s="351">
        <v>46143</v>
      </c>
      <c r="E5670" s="340" t="s">
        <v>3437</v>
      </c>
      <c r="F5670" s="340" t="s">
        <v>1078</v>
      </c>
      <c r="G5670" s="340" t="s">
        <v>3018</v>
      </c>
      <c r="I5670" s="340" t="s">
        <v>771</v>
      </c>
      <c r="K5670" s="343">
        <v>0.03</v>
      </c>
      <c r="L5670" s="343">
        <v>0</v>
      </c>
      <c r="M5670" s="343">
        <v>-968454.64</v>
      </c>
      <c r="O5670" s="343">
        <v>0</v>
      </c>
    </row>
    <row r="5671" spans="1:15" x14ac:dyDescent="0.3">
      <c r="A5671" s="340" t="s">
        <v>891</v>
      </c>
      <c r="B5671" s="350">
        <v>46159</v>
      </c>
      <c r="C5671" s="350">
        <v>46159</v>
      </c>
      <c r="D5671" s="351">
        <v>46143</v>
      </c>
      <c r="E5671" s="340" t="s">
        <v>3437</v>
      </c>
      <c r="F5671" s="340" t="s">
        <v>1078</v>
      </c>
      <c r="G5671" s="340" t="s">
        <v>3016</v>
      </c>
      <c r="I5671" s="340" t="s">
        <v>771</v>
      </c>
      <c r="K5671" s="343">
        <v>0.01</v>
      </c>
      <c r="L5671" s="343">
        <v>0</v>
      </c>
      <c r="M5671" s="343">
        <v>-968454.63</v>
      </c>
      <c r="O5671" s="343">
        <v>0</v>
      </c>
    </row>
    <row r="5672" spans="1:15" x14ac:dyDescent="0.3">
      <c r="A5672" s="340" t="s">
        <v>891</v>
      </c>
      <c r="B5672" s="350">
        <v>46159</v>
      </c>
      <c r="C5672" s="350">
        <v>46159</v>
      </c>
      <c r="D5672" s="351">
        <v>46143</v>
      </c>
      <c r="E5672" s="340" t="s">
        <v>3437</v>
      </c>
      <c r="F5672" s="340" t="s">
        <v>1078</v>
      </c>
      <c r="G5672" s="340" t="s">
        <v>3016</v>
      </c>
      <c r="I5672" s="340" t="s">
        <v>771</v>
      </c>
      <c r="K5672" s="343">
        <v>0.02</v>
      </c>
      <c r="L5672" s="343">
        <v>0</v>
      </c>
      <c r="M5672" s="343">
        <v>-968454.61</v>
      </c>
      <c r="O5672" s="343">
        <v>0</v>
      </c>
    </row>
    <row r="5673" spans="1:15" x14ac:dyDescent="0.3">
      <c r="A5673" s="340" t="s">
        <v>891</v>
      </c>
      <c r="B5673" s="350">
        <v>46159</v>
      </c>
      <c r="C5673" s="350">
        <v>46159</v>
      </c>
      <c r="D5673" s="351">
        <v>46143</v>
      </c>
      <c r="E5673" s="340" t="s">
        <v>3437</v>
      </c>
      <c r="F5673" s="340" t="s">
        <v>1078</v>
      </c>
      <c r="G5673" s="340" t="s">
        <v>3020</v>
      </c>
      <c r="I5673" s="340" t="s">
        <v>771</v>
      </c>
      <c r="K5673" s="343">
        <v>0.05</v>
      </c>
      <c r="L5673" s="343">
        <v>0</v>
      </c>
      <c r="M5673" s="343">
        <v>-968454.56</v>
      </c>
      <c r="O5673" s="343">
        <v>0</v>
      </c>
    </row>
    <row r="5674" spans="1:15" x14ac:dyDescent="0.3">
      <c r="A5674" s="340" t="s">
        <v>891</v>
      </c>
      <c r="B5674" s="350">
        <v>46159</v>
      </c>
      <c r="C5674" s="350">
        <v>46159</v>
      </c>
      <c r="D5674" s="351">
        <v>46143</v>
      </c>
      <c r="E5674" s="340" t="s">
        <v>3437</v>
      </c>
      <c r="F5674" s="340" t="s">
        <v>1078</v>
      </c>
      <c r="G5674" s="340" t="s">
        <v>3020</v>
      </c>
      <c r="I5674" s="340" t="s">
        <v>771</v>
      </c>
      <c r="K5674" s="343">
        <v>0.1</v>
      </c>
      <c r="L5674" s="343">
        <v>0</v>
      </c>
      <c r="M5674" s="343">
        <v>-968454.46</v>
      </c>
      <c r="O5674" s="343">
        <v>0</v>
      </c>
    </row>
    <row r="5675" spans="1:15" x14ac:dyDescent="0.3">
      <c r="A5675" s="340" t="s">
        <v>891</v>
      </c>
      <c r="B5675" s="350">
        <v>46159</v>
      </c>
      <c r="C5675" s="350">
        <v>46159</v>
      </c>
      <c r="D5675" s="351">
        <v>46143</v>
      </c>
      <c r="E5675" s="340" t="s">
        <v>3437</v>
      </c>
      <c r="F5675" s="340" t="s">
        <v>1078</v>
      </c>
      <c r="G5675" s="340" t="s">
        <v>3022</v>
      </c>
      <c r="I5675" s="340" t="s">
        <v>771</v>
      </c>
      <c r="K5675" s="343">
        <v>0.1</v>
      </c>
      <c r="L5675" s="343">
        <v>0</v>
      </c>
      <c r="M5675" s="343">
        <v>-968454.36</v>
      </c>
      <c r="O5675" s="343">
        <v>0</v>
      </c>
    </row>
    <row r="5676" spans="1:15" x14ac:dyDescent="0.3">
      <c r="A5676" s="340" t="s">
        <v>891</v>
      </c>
      <c r="B5676" s="350">
        <v>46159</v>
      </c>
      <c r="C5676" s="350">
        <v>46159</v>
      </c>
      <c r="D5676" s="351">
        <v>46143</v>
      </c>
      <c r="E5676" s="340" t="s">
        <v>3437</v>
      </c>
      <c r="F5676" s="340" t="s">
        <v>1078</v>
      </c>
      <c r="G5676" s="340" t="s">
        <v>3023</v>
      </c>
      <c r="I5676" s="340" t="s">
        <v>771</v>
      </c>
      <c r="K5676" s="343">
        <v>0.2</v>
      </c>
      <c r="L5676" s="343">
        <v>0</v>
      </c>
      <c r="M5676" s="343">
        <v>-968454.16</v>
      </c>
      <c r="O5676" s="343">
        <v>0</v>
      </c>
    </row>
    <row r="5677" spans="1:15" x14ac:dyDescent="0.3">
      <c r="A5677" s="340" t="s">
        <v>891</v>
      </c>
      <c r="B5677" s="350">
        <v>46159</v>
      </c>
      <c r="C5677" s="350">
        <v>46159</v>
      </c>
      <c r="D5677" s="351">
        <v>46143</v>
      </c>
      <c r="E5677" s="340" t="s">
        <v>3437</v>
      </c>
      <c r="F5677" s="340" t="s">
        <v>1078</v>
      </c>
      <c r="G5677" s="340" t="s">
        <v>3022</v>
      </c>
      <c r="I5677" s="340" t="s">
        <v>771</v>
      </c>
      <c r="K5677" s="343">
        <v>0.2</v>
      </c>
      <c r="L5677" s="343">
        <v>0</v>
      </c>
      <c r="M5677" s="343">
        <v>-968453.96</v>
      </c>
      <c r="O5677" s="343">
        <v>0</v>
      </c>
    </row>
    <row r="5678" spans="1:15" x14ac:dyDescent="0.3">
      <c r="A5678" s="340" t="s">
        <v>891</v>
      </c>
      <c r="B5678" s="350">
        <v>46159</v>
      </c>
      <c r="C5678" s="350">
        <v>46159</v>
      </c>
      <c r="D5678" s="351">
        <v>46143</v>
      </c>
      <c r="E5678" s="340" t="s">
        <v>3437</v>
      </c>
      <c r="F5678" s="340" t="s">
        <v>1078</v>
      </c>
      <c r="G5678" s="340" t="s">
        <v>3024</v>
      </c>
      <c r="I5678" s="340" t="s">
        <v>771</v>
      </c>
      <c r="K5678" s="343">
        <v>0.41</v>
      </c>
      <c r="L5678" s="343">
        <v>0</v>
      </c>
      <c r="M5678" s="343">
        <v>-968453.55</v>
      </c>
      <c r="O5678" s="343">
        <v>0</v>
      </c>
    </row>
    <row r="5679" spans="1:15" x14ac:dyDescent="0.3">
      <c r="A5679" s="340" t="s">
        <v>891</v>
      </c>
      <c r="B5679" s="350">
        <v>46159</v>
      </c>
      <c r="C5679" s="350">
        <v>46159</v>
      </c>
      <c r="D5679" s="351">
        <v>46143</v>
      </c>
      <c r="E5679" s="340" t="s">
        <v>3437</v>
      </c>
      <c r="F5679" s="340" t="s">
        <v>1078</v>
      </c>
      <c r="G5679" s="340" t="s">
        <v>3025</v>
      </c>
      <c r="I5679" s="340" t="s">
        <v>771</v>
      </c>
      <c r="K5679" s="343">
        <v>1.1599999999999999</v>
      </c>
      <c r="L5679" s="343">
        <v>0</v>
      </c>
      <c r="M5679" s="343">
        <v>-968452.39</v>
      </c>
      <c r="O5679" s="343">
        <v>0</v>
      </c>
    </row>
    <row r="5680" spans="1:15" x14ac:dyDescent="0.3">
      <c r="A5680" s="340" t="s">
        <v>891</v>
      </c>
      <c r="B5680" s="350">
        <v>46159</v>
      </c>
      <c r="C5680" s="350">
        <v>46159</v>
      </c>
      <c r="D5680" s="351">
        <v>46143</v>
      </c>
      <c r="E5680" s="340" t="s">
        <v>3437</v>
      </c>
      <c r="F5680" s="340" t="s">
        <v>1078</v>
      </c>
      <c r="G5680" s="340" t="s">
        <v>3026</v>
      </c>
      <c r="I5680" s="340" t="s">
        <v>771</v>
      </c>
      <c r="K5680" s="343">
        <v>1.36</v>
      </c>
      <c r="L5680" s="343">
        <v>0</v>
      </c>
      <c r="M5680" s="343">
        <v>-968451.03</v>
      </c>
      <c r="O5680" s="343">
        <v>0</v>
      </c>
    </row>
    <row r="5681" spans="1:15" x14ac:dyDescent="0.3">
      <c r="A5681" s="340" t="s">
        <v>891</v>
      </c>
      <c r="B5681" s="350">
        <v>46159</v>
      </c>
      <c r="C5681" s="350">
        <v>46159</v>
      </c>
      <c r="D5681" s="351">
        <v>46143</v>
      </c>
      <c r="E5681" s="340" t="s">
        <v>3437</v>
      </c>
      <c r="F5681" s="340" t="s">
        <v>1078</v>
      </c>
      <c r="G5681" s="340" t="s">
        <v>3017</v>
      </c>
      <c r="I5681" s="340" t="s">
        <v>771</v>
      </c>
      <c r="K5681" s="343">
        <v>2.2599999999999998</v>
      </c>
      <c r="L5681" s="343">
        <v>0</v>
      </c>
      <c r="M5681" s="343">
        <v>-968448.77</v>
      </c>
      <c r="O5681" s="343">
        <v>0</v>
      </c>
    </row>
    <row r="5682" spans="1:15" x14ac:dyDescent="0.3">
      <c r="A5682" s="340" t="s">
        <v>891</v>
      </c>
      <c r="B5682" s="350">
        <v>46159</v>
      </c>
      <c r="C5682" s="350">
        <v>46159</v>
      </c>
      <c r="D5682" s="351">
        <v>46143</v>
      </c>
      <c r="E5682" s="340" t="s">
        <v>3437</v>
      </c>
      <c r="F5682" s="340" t="s">
        <v>1078</v>
      </c>
      <c r="G5682" s="340" t="s">
        <v>3021</v>
      </c>
      <c r="I5682" s="340" t="s">
        <v>771</v>
      </c>
      <c r="K5682" s="343">
        <v>4.6100000000000003</v>
      </c>
      <c r="L5682" s="343">
        <v>0</v>
      </c>
      <c r="M5682" s="343">
        <v>-968444.16</v>
      </c>
      <c r="O5682" s="343">
        <v>0</v>
      </c>
    </row>
    <row r="5683" spans="1:15" x14ac:dyDescent="0.3">
      <c r="A5683" s="340" t="s">
        <v>891</v>
      </c>
      <c r="B5683" s="350">
        <v>46159</v>
      </c>
      <c r="C5683" s="350">
        <v>46159</v>
      </c>
      <c r="D5683" s="351">
        <v>46143</v>
      </c>
      <c r="E5683" s="340" t="s">
        <v>3437</v>
      </c>
      <c r="F5683" s="340" t="s">
        <v>1078</v>
      </c>
      <c r="G5683" s="340" t="s">
        <v>3005</v>
      </c>
      <c r="I5683" s="340" t="s">
        <v>771</v>
      </c>
      <c r="K5683" s="343">
        <v>4.6500000000000004</v>
      </c>
      <c r="L5683" s="343">
        <v>0</v>
      </c>
      <c r="M5683" s="343">
        <v>-968439.51</v>
      </c>
      <c r="O5683" s="343">
        <v>0</v>
      </c>
    </row>
    <row r="5684" spans="1:15" x14ac:dyDescent="0.3">
      <c r="A5684" s="340" t="s">
        <v>891</v>
      </c>
      <c r="B5684" s="350">
        <v>46159</v>
      </c>
      <c r="C5684" s="350">
        <v>46159</v>
      </c>
      <c r="D5684" s="351">
        <v>46143</v>
      </c>
      <c r="E5684" s="340" t="s">
        <v>3437</v>
      </c>
      <c r="F5684" s="340" t="s">
        <v>1078</v>
      </c>
      <c r="G5684" s="340" t="s">
        <v>3019</v>
      </c>
      <c r="I5684" s="340" t="s">
        <v>771</v>
      </c>
      <c r="K5684" s="343">
        <v>0.01</v>
      </c>
      <c r="L5684" s="343">
        <v>0</v>
      </c>
      <c r="M5684" s="343">
        <v>-968439.5</v>
      </c>
      <c r="O5684" s="343">
        <v>0</v>
      </c>
    </row>
    <row r="5685" spans="1:15" x14ac:dyDescent="0.3">
      <c r="A5685" s="340" t="s">
        <v>891</v>
      </c>
      <c r="B5685" s="350">
        <v>46159</v>
      </c>
      <c r="C5685" s="350">
        <v>46159</v>
      </c>
      <c r="D5685" s="351">
        <v>46143</v>
      </c>
      <c r="E5685" s="340" t="s">
        <v>3437</v>
      </c>
      <c r="F5685" s="340" t="s">
        <v>1078</v>
      </c>
      <c r="G5685" s="340" t="s">
        <v>3016</v>
      </c>
      <c r="I5685" s="340" t="s">
        <v>771</v>
      </c>
      <c r="K5685" s="343">
        <v>0.01</v>
      </c>
      <c r="L5685" s="343">
        <v>0</v>
      </c>
      <c r="M5685" s="343">
        <v>-968439.49</v>
      </c>
      <c r="O5685" s="343">
        <v>0</v>
      </c>
    </row>
    <row r="5686" spans="1:15" x14ac:dyDescent="0.3">
      <c r="A5686" s="340" t="s">
        <v>891</v>
      </c>
      <c r="B5686" s="350">
        <v>46159</v>
      </c>
      <c r="C5686" s="350">
        <v>46159</v>
      </c>
      <c r="D5686" s="351">
        <v>46143</v>
      </c>
      <c r="E5686" s="340" t="s">
        <v>3437</v>
      </c>
      <c r="F5686" s="340" t="s">
        <v>1078</v>
      </c>
      <c r="G5686" s="340" t="s">
        <v>3016</v>
      </c>
      <c r="I5686" s="340" t="s">
        <v>771</v>
      </c>
      <c r="K5686" s="343">
        <v>0.02</v>
      </c>
      <c r="L5686" s="343">
        <v>0</v>
      </c>
      <c r="M5686" s="343">
        <v>-968439.47</v>
      </c>
      <c r="O5686" s="343">
        <v>0</v>
      </c>
    </row>
    <row r="5687" spans="1:15" x14ac:dyDescent="0.3">
      <c r="A5687" s="340" t="s">
        <v>891</v>
      </c>
      <c r="B5687" s="350">
        <v>46159</v>
      </c>
      <c r="C5687" s="350">
        <v>46159</v>
      </c>
      <c r="D5687" s="351">
        <v>46143</v>
      </c>
      <c r="E5687" s="340" t="s">
        <v>3437</v>
      </c>
      <c r="F5687" s="340" t="s">
        <v>1078</v>
      </c>
      <c r="G5687" s="340" t="s">
        <v>3018</v>
      </c>
      <c r="I5687" s="340" t="s">
        <v>771</v>
      </c>
      <c r="K5687" s="343">
        <v>0.06</v>
      </c>
      <c r="L5687" s="343">
        <v>0</v>
      </c>
      <c r="M5687" s="343">
        <v>-968439.41</v>
      </c>
      <c r="O5687" s="343">
        <v>0</v>
      </c>
    </row>
    <row r="5688" spans="1:15" x14ac:dyDescent="0.3">
      <c r="A5688" s="340" t="s">
        <v>891</v>
      </c>
      <c r="B5688" s="350">
        <v>46159</v>
      </c>
      <c r="C5688" s="350">
        <v>46159</v>
      </c>
      <c r="D5688" s="351">
        <v>46143</v>
      </c>
      <c r="E5688" s="340" t="s">
        <v>3437</v>
      </c>
      <c r="F5688" s="340" t="s">
        <v>1078</v>
      </c>
      <c r="G5688" s="340" t="s">
        <v>3020</v>
      </c>
      <c r="I5688" s="340" t="s">
        <v>771</v>
      </c>
      <c r="K5688" s="343">
        <v>0.09</v>
      </c>
      <c r="L5688" s="343">
        <v>0</v>
      </c>
      <c r="M5688" s="343">
        <v>-968439.32</v>
      </c>
      <c r="O5688" s="343">
        <v>0</v>
      </c>
    </row>
    <row r="5689" spans="1:15" x14ac:dyDescent="0.3">
      <c r="A5689" s="340" t="s">
        <v>891</v>
      </c>
      <c r="B5689" s="350">
        <v>46159</v>
      </c>
      <c r="C5689" s="350">
        <v>46159</v>
      </c>
      <c r="D5689" s="351">
        <v>46143</v>
      </c>
      <c r="E5689" s="340" t="s">
        <v>3437</v>
      </c>
      <c r="F5689" s="340" t="s">
        <v>1078</v>
      </c>
      <c r="G5689" s="340" t="s">
        <v>3020</v>
      </c>
      <c r="I5689" s="340" t="s">
        <v>771</v>
      </c>
      <c r="K5689" s="343">
        <v>0.12</v>
      </c>
      <c r="L5689" s="343">
        <v>0</v>
      </c>
      <c r="M5689" s="343">
        <v>-968439.2</v>
      </c>
      <c r="O5689" s="343">
        <v>0</v>
      </c>
    </row>
    <row r="5690" spans="1:15" x14ac:dyDescent="0.3">
      <c r="A5690" s="340" t="s">
        <v>891</v>
      </c>
      <c r="B5690" s="350">
        <v>46159</v>
      </c>
      <c r="C5690" s="350">
        <v>46159</v>
      </c>
      <c r="D5690" s="351">
        <v>46143</v>
      </c>
      <c r="E5690" s="340" t="s">
        <v>3437</v>
      </c>
      <c r="F5690" s="340" t="s">
        <v>1078</v>
      </c>
      <c r="G5690" s="340" t="s">
        <v>3022</v>
      </c>
      <c r="I5690" s="340" t="s">
        <v>771</v>
      </c>
      <c r="K5690" s="343">
        <v>0.18</v>
      </c>
      <c r="L5690" s="343">
        <v>0</v>
      </c>
      <c r="M5690" s="343">
        <v>-968439.02</v>
      </c>
      <c r="O5690" s="343">
        <v>0</v>
      </c>
    </row>
    <row r="5691" spans="1:15" x14ac:dyDescent="0.3">
      <c r="A5691" s="340" t="s">
        <v>891</v>
      </c>
      <c r="B5691" s="350">
        <v>46159</v>
      </c>
      <c r="C5691" s="350">
        <v>46159</v>
      </c>
      <c r="D5691" s="351">
        <v>46143</v>
      </c>
      <c r="E5691" s="340" t="s">
        <v>3437</v>
      </c>
      <c r="F5691" s="340" t="s">
        <v>1078</v>
      </c>
      <c r="G5691" s="340" t="s">
        <v>3023</v>
      </c>
      <c r="I5691" s="340" t="s">
        <v>771</v>
      </c>
      <c r="K5691" s="343">
        <v>0.36</v>
      </c>
      <c r="L5691" s="343">
        <v>0</v>
      </c>
      <c r="M5691" s="343">
        <v>-968438.66</v>
      </c>
      <c r="O5691" s="343">
        <v>0</v>
      </c>
    </row>
    <row r="5692" spans="1:15" x14ac:dyDescent="0.3">
      <c r="A5692" s="340" t="s">
        <v>891</v>
      </c>
      <c r="B5692" s="350">
        <v>46159</v>
      </c>
      <c r="C5692" s="350">
        <v>46159</v>
      </c>
      <c r="D5692" s="351">
        <v>46143</v>
      </c>
      <c r="E5692" s="340" t="s">
        <v>3437</v>
      </c>
      <c r="F5692" s="340" t="s">
        <v>1078</v>
      </c>
      <c r="G5692" s="340" t="s">
        <v>3024</v>
      </c>
      <c r="I5692" s="340" t="s">
        <v>771</v>
      </c>
      <c r="K5692" s="343">
        <v>0.74</v>
      </c>
      <c r="L5692" s="343">
        <v>0</v>
      </c>
      <c r="M5692" s="343">
        <v>-968437.92</v>
      </c>
      <c r="O5692" s="343">
        <v>0</v>
      </c>
    </row>
    <row r="5693" spans="1:15" x14ac:dyDescent="0.3">
      <c r="A5693" s="340" t="s">
        <v>891</v>
      </c>
      <c r="B5693" s="350">
        <v>46159</v>
      </c>
      <c r="C5693" s="350">
        <v>46159</v>
      </c>
      <c r="D5693" s="351">
        <v>46143</v>
      </c>
      <c r="E5693" s="340" t="s">
        <v>3437</v>
      </c>
      <c r="F5693" s="340" t="s">
        <v>1078</v>
      </c>
      <c r="G5693" s="340" t="s">
        <v>3025</v>
      </c>
      <c r="I5693" s="340" t="s">
        <v>771</v>
      </c>
      <c r="K5693" s="343">
        <v>2.11</v>
      </c>
      <c r="L5693" s="343">
        <v>0</v>
      </c>
      <c r="M5693" s="343">
        <v>-968435.81</v>
      </c>
      <c r="O5693" s="343">
        <v>0</v>
      </c>
    </row>
    <row r="5694" spans="1:15" x14ac:dyDescent="0.3">
      <c r="A5694" s="340" t="s">
        <v>891</v>
      </c>
      <c r="B5694" s="350">
        <v>46159</v>
      </c>
      <c r="C5694" s="350">
        <v>46159</v>
      </c>
      <c r="D5694" s="351">
        <v>46143</v>
      </c>
      <c r="E5694" s="340" t="s">
        <v>3437</v>
      </c>
      <c r="F5694" s="340" t="s">
        <v>1078</v>
      </c>
      <c r="G5694" s="340" t="s">
        <v>3017</v>
      </c>
      <c r="I5694" s="340" t="s">
        <v>771</v>
      </c>
      <c r="K5694" s="343">
        <v>2.2599999999999998</v>
      </c>
      <c r="L5694" s="343">
        <v>0</v>
      </c>
      <c r="M5694" s="343">
        <v>-968433.55</v>
      </c>
      <c r="O5694" s="343">
        <v>0</v>
      </c>
    </row>
    <row r="5695" spans="1:15" x14ac:dyDescent="0.3">
      <c r="A5695" s="340" t="s">
        <v>891</v>
      </c>
      <c r="B5695" s="350">
        <v>46159</v>
      </c>
      <c r="C5695" s="350">
        <v>46159</v>
      </c>
      <c r="D5695" s="351">
        <v>46143</v>
      </c>
      <c r="E5695" s="340" t="s">
        <v>3437</v>
      </c>
      <c r="F5695" s="340" t="s">
        <v>1078</v>
      </c>
      <c r="G5695" s="340" t="s">
        <v>3026</v>
      </c>
      <c r="I5695" s="340" t="s">
        <v>771</v>
      </c>
      <c r="K5695" s="343">
        <v>2.4700000000000002</v>
      </c>
      <c r="L5695" s="343">
        <v>0</v>
      </c>
      <c r="M5695" s="343">
        <v>-968431.08</v>
      </c>
      <c r="O5695" s="343">
        <v>0</v>
      </c>
    </row>
    <row r="5696" spans="1:15" x14ac:dyDescent="0.3">
      <c r="A5696" s="340" t="s">
        <v>891</v>
      </c>
      <c r="B5696" s="350">
        <v>46159</v>
      </c>
      <c r="C5696" s="350">
        <v>46159</v>
      </c>
      <c r="D5696" s="351">
        <v>46143</v>
      </c>
      <c r="E5696" s="340" t="s">
        <v>3437</v>
      </c>
      <c r="F5696" s="340" t="s">
        <v>1078</v>
      </c>
      <c r="G5696" s="340" t="s">
        <v>3021</v>
      </c>
      <c r="I5696" s="340" t="s">
        <v>771</v>
      </c>
      <c r="K5696" s="343">
        <v>4.6100000000000003</v>
      </c>
      <c r="L5696" s="343">
        <v>0</v>
      </c>
      <c r="M5696" s="343">
        <v>-968426.47</v>
      </c>
      <c r="O5696" s="343">
        <v>0</v>
      </c>
    </row>
    <row r="5697" spans="1:15" x14ac:dyDescent="0.3">
      <c r="A5697" s="340" t="s">
        <v>891</v>
      </c>
      <c r="B5697" s="350">
        <v>46159</v>
      </c>
      <c r="C5697" s="350">
        <v>46159</v>
      </c>
      <c r="D5697" s="351">
        <v>46143</v>
      </c>
      <c r="E5697" s="340" t="s">
        <v>3437</v>
      </c>
      <c r="F5697" s="340" t="s">
        <v>1078</v>
      </c>
      <c r="G5697" s="340" t="s">
        <v>3005</v>
      </c>
      <c r="I5697" s="340" t="s">
        <v>771</v>
      </c>
      <c r="K5697" s="343">
        <v>8.43</v>
      </c>
      <c r="L5697" s="343">
        <v>0</v>
      </c>
      <c r="M5697" s="343">
        <v>-968418.04</v>
      </c>
      <c r="O5697" s="343">
        <v>0</v>
      </c>
    </row>
    <row r="5698" spans="1:15" x14ac:dyDescent="0.3">
      <c r="A5698" s="340" t="s">
        <v>891</v>
      </c>
      <c r="B5698" s="350">
        <v>46159</v>
      </c>
      <c r="C5698" s="350">
        <v>46159</v>
      </c>
      <c r="D5698" s="351">
        <v>46143</v>
      </c>
      <c r="E5698" s="340" t="s">
        <v>3437</v>
      </c>
      <c r="F5698" s="340" t="s">
        <v>1078</v>
      </c>
      <c r="G5698" s="340" t="s">
        <v>3022</v>
      </c>
      <c r="I5698" s="340" t="s">
        <v>771</v>
      </c>
      <c r="K5698" s="343">
        <v>0.25</v>
      </c>
      <c r="L5698" s="343">
        <v>0</v>
      </c>
      <c r="M5698" s="343">
        <v>-968417.79</v>
      </c>
      <c r="O5698" s="343">
        <v>0</v>
      </c>
    </row>
    <row r="5699" spans="1:15" x14ac:dyDescent="0.3">
      <c r="A5699" s="340" t="s">
        <v>891</v>
      </c>
      <c r="B5699" s="350">
        <v>46159</v>
      </c>
      <c r="C5699" s="350">
        <v>46159</v>
      </c>
      <c r="D5699" s="351">
        <v>46143</v>
      </c>
      <c r="E5699" s="340" t="s">
        <v>3437</v>
      </c>
      <c r="F5699" s="340" t="s">
        <v>1078</v>
      </c>
      <c r="G5699" s="340" t="s">
        <v>3019</v>
      </c>
      <c r="I5699" s="340" t="s">
        <v>771</v>
      </c>
      <c r="K5699" s="343">
        <v>0.01</v>
      </c>
      <c r="L5699" s="343">
        <v>0</v>
      </c>
      <c r="M5699" s="343">
        <v>-968417.78</v>
      </c>
      <c r="O5699" s="343">
        <v>0</v>
      </c>
    </row>
    <row r="5700" spans="1:15" x14ac:dyDescent="0.3">
      <c r="A5700" s="340" t="s">
        <v>891</v>
      </c>
      <c r="B5700" s="350">
        <v>46159</v>
      </c>
      <c r="C5700" s="350">
        <v>46159</v>
      </c>
      <c r="D5700" s="351">
        <v>46143</v>
      </c>
      <c r="E5700" s="340" t="s">
        <v>3437</v>
      </c>
      <c r="F5700" s="340" t="s">
        <v>1078</v>
      </c>
      <c r="G5700" s="340" t="s">
        <v>3016</v>
      </c>
      <c r="I5700" s="340" t="s">
        <v>771</v>
      </c>
      <c r="K5700" s="343">
        <v>0.01</v>
      </c>
      <c r="L5700" s="343">
        <v>0</v>
      </c>
      <c r="M5700" s="343">
        <v>-968417.77</v>
      </c>
      <c r="O5700" s="343">
        <v>0</v>
      </c>
    </row>
    <row r="5701" spans="1:15" x14ac:dyDescent="0.3">
      <c r="A5701" s="340" t="s">
        <v>891</v>
      </c>
      <c r="B5701" s="350">
        <v>46159</v>
      </c>
      <c r="C5701" s="350">
        <v>46159</v>
      </c>
      <c r="D5701" s="351">
        <v>46143</v>
      </c>
      <c r="E5701" s="340" t="s">
        <v>3437</v>
      </c>
      <c r="F5701" s="340" t="s">
        <v>1078</v>
      </c>
      <c r="G5701" s="340" t="s">
        <v>3016</v>
      </c>
      <c r="I5701" s="340" t="s">
        <v>771</v>
      </c>
      <c r="K5701" s="343">
        <v>0.02</v>
      </c>
      <c r="L5701" s="343">
        <v>0</v>
      </c>
      <c r="M5701" s="343">
        <v>-968417.75</v>
      </c>
      <c r="O5701" s="343">
        <v>0</v>
      </c>
    </row>
    <row r="5702" spans="1:15" x14ac:dyDescent="0.3">
      <c r="A5702" s="340" t="s">
        <v>891</v>
      </c>
      <c r="B5702" s="350">
        <v>46159</v>
      </c>
      <c r="C5702" s="350">
        <v>46159</v>
      </c>
      <c r="D5702" s="351">
        <v>46143</v>
      </c>
      <c r="E5702" s="340" t="s">
        <v>3437</v>
      </c>
      <c r="F5702" s="340" t="s">
        <v>1078</v>
      </c>
      <c r="G5702" s="340" t="s">
        <v>3018</v>
      </c>
      <c r="I5702" s="340" t="s">
        <v>771</v>
      </c>
      <c r="K5702" s="343">
        <v>0.05</v>
      </c>
      <c r="L5702" s="343">
        <v>0</v>
      </c>
      <c r="M5702" s="343">
        <v>-968417.7</v>
      </c>
      <c r="O5702" s="343">
        <v>0</v>
      </c>
    </row>
    <row r="5703" spans="1:15" x14ac:dyDescent="0.3">
      <c r="A5703" s="340" t="s">
        <v>891</v>
      </c>
      <c r="B5703" s="350">
        <v>46159</v>
      </c>
      <c r="C5703" s="350">
        <v>46159</v>
      </c>
      <c r="D5703" s="351">
        <v>46143</v>
      </c>
      <c r="E5703" s="340" t="s">
        <v>3437</v>
      </c>
      <c r="F5703" s="340" t="s">
        <v>1078</v>
      </c>
      <c r="G5703" s="340" t="s">
        <v>3020</v>
      </c>
      <c r="I5703" s="340" t="s">
        <v>771</v>
      </c>
      <c r="K5703" s="343">
        <v>0.08</v>
      </c>
      <c r="L5703" s="343">
        <v>0</v>
      </c>
      <c r="M5703" s="343">
        <v>-968417.62</v>
      </c>
      <c r="O5703" s="343">
        <v>0</v>
      </c>
    </row>
    <row r="5704" spans="1:15" x14ac:dyDescent="0.3">
      <c r="A5704" s="340" t="s">
        <v>891</v>
      </c>
      <c r="B5704" s="350">
        <v>46159</v>
      </c>
      <c r="C5704" s="350">
        <v>46159</v>
      </c>
      <c r="D5704" s="351">
        <v>46143</v>
      </c>
      <c r="E5704" s="340" t="s">
        <v>3437</v>
      </c>
      <c r="F5704" s="340" t="s">
        <v>1078</v>
      </c>
      <c r="G5704" s="340" t="s">
        <v>3020</v>
      </c>
      <c r="I5704" s="340" t="s">
        <v>771</v>
      </c>
      <c r="K5704" s="343">
        <v>0.12</v>
      </c>
      <c r="L5704" s="343">
        <v>0</v>
      </c>
      <c r="M5704" s="343">
        <v>-968417.5</v>
      </c>
      <c r="O5704" s="343">
        <v>0</v>
      </c>
    </row>
    <row r="5705" spans="1:15" x14ac:dyDescent="0.3">
      <c r="A5705" s="340" t="s">
        <v>891</v>
      </c>
      <c r="B5705" s="350">
        <v>46159</v>
      </c>
      <c r="C5705" s="350">
        <v>46159</v>
      </c>
      <c r="D5705" s="351">
        <v>46143</v>
      </c>
      <c r="E5705" s="340" t="s">
        <v>3437</v>
      </c>
      <c r="F5705" s="340" t="s">
        <v>1078</v>
      </c>
      <c r="G5705" s="340" t="s">
        <v>3022</v>
      </c>
      <c r="I5705" s="340" t="s">
        <v>771</v>
      </c>
      <c r="K5705" s="343">
        <v>0.15</v>
      </c>
      <c r="L5705" s="343">
        <v>0</v>
      </c>
      <c r="M5705" s="343">
        <v>-968417.35</v>
      </c>
      <c r="O5705" s="343">
        <v>0</v>
      </c>
    </row>
    <row r="5706" spans="1:15" x14ac:dyDescent="0.3">
      <c r="A5706" s="340" t="s">
        <v>891</v>
      </c>
      <c r="B5706" s="350">
        <v>46159</v>
      </c>
      <c r="C5706" s="350">
        <v>46159</v>
      </c>
      <c r="D5706" s="351">
        <v>46143</v>
      </c>
      <c r="E5706" s="340" t="s">
        <v>3437</v>
      </c>
      <c r="F5706" s="340" t="s">
        <v>1078</v>
      </c>
      <c r="G5706" s="340" t="s">
        <v>3022</v>
      </c>
      <c r="I5706" s="340" t="s">
        <v>771</v>
      </c>
      <c r="K5706" s="343">
        <v>0.23</v>
      </c>
      <c r="L5706" s="343">
        <v>0</v>
      </c>
      <c r="M5706" s="343">
        <v>-968417.12</v>
      </c>
      <c r="O5706" s="343">
        <v>0</v>
      </c>
    </row>
    <row r="5707" spans="1:15" x14ac:dyDescent="0.3">
      <c r="A5707" s="340" t="s">
        <v>891</v>
      </c>
      <c r="B5707" s="350">
        <v>46159</v>
      </c>
      <c r="C5707" s="350">
        <v>46159</v>
      </c>
      <c r="D5707" s="351">
        <v>46143</v>
      </c>
      <c r="E5707" s="340" t="s">
        <v>3437</v>
      </c>
      <c r="F5707" s="340" t="s">
        <v>1078</v>
      </c>
      <c r="G5707" s="340" t="s">
        <v>3023</v>
      </c>
      <c r="I5707" s="340" t="s">
        <v>771</v>
      </c>
      <c r="K5707" s="343">
        <v>0.31</v>
      </c>
      <c r="L5707" s="343">
        <v>0</v>
      </c>
      <c r="M5707" s="343">
        <v>-968416.81</v>
      </c>
      <c r="O5707" s="343">
        <v>0</v>
      </c>
    </row>
    <row r="5708" spans="1:15" x14ac:dyDescent="0.3">
      <c r="A5708" s="340" t="s">
        <v>891</v>
      </c>
      <c r="B5708" s="350">
        <v>46159</v>
      </c>
      <c r="C5708" s="350">
        <v>46159</v>
      </c>
      <c r="D5708" s="351">
        <v>46143</v>
      </c>
      <c r="E5708" s="340" t="s">
        <v>3437</v>
      </c>
      <c r="F5708" s="340" t="s">
        <v>1078</v>
      </c>
      <c r="G5708" s="340" t="s">
        <v>3024</v>
      </c>
      <c r="I5708" s="340" t="s">
        <v>771</v>
      </c>
      <c r="K5708" s="343">
        <v>0.63</v>
      </c>
      <c r="L5708" s="343">
        <v>0</v>
      </c>
      <c r="M5708" s="343">
        <v>-968416.18</v>
      </c>
      <c r="O5708" s="343">
        <v>0</v>
      </c>
    </row>
    <row r="5709" spans="1:15" x14ac:dyDescent="0.3">
      <c r="A5709" s="340" t="s">
        <v>891</v>
      </c>
      <c r="B5709" s="350">
        <v>46159</v>
      </c>
      <c r="C5709" s="350">
        <v>46159</v>
      </c>
      <c r="D5709" s="351">
        <v>46143</v>
      </c>
      <c r="E5709" s="340" t="s">
        <v>3437</v>
      </c>
      <c r="F5709" s="340" t="s">
        <v>1078</v>
      </c>
      <c r="G5709" s="340" t="s">
        <v>3025</v>
      </c>
      <c r="I5709" s="340" t="s">
        <v>771</v>
      </c>
      <c r="K5709" s="343">
        <v>1.8</v>
      </c>
      <c r="L5709" s="343">
        <v>0</v>
      </c>
      <c r="M5709" s="343">
        <v>-968414.38</v>
      </c>
      <c r="O5709" s="343">
        <v>0</v>
      </c>
    </row>
    <row r="5710" spans="1:15" x14ac:dyDescent="0.3">
      <c r="A5710" s="340" t="s">
        <v>891</v>
      </c>
      <c r="B5710" s="350">
        <v>46159</v>
      </c>
      <c r="C5710" s="350">
        <v>46159</v>
      </c>
      <c r="D5710" s="351">
        <v>46143</v>
      </c>
      <c r="E5710" s="340" t="s">
        <v>3437</v>
      </c>
      <c r="F5710" s="340" t="s">
        <v>1078</v>
      </c>
      <c r="G5710" s="340" t="s">
        <v>3026</v>
      </c>
      <c r="I5710" s="340" t="s">
        <v>771</v>
      </c>
      <c r="K5710" s="343">
        <v>2.1</v>
      </c>
      <c r="L5710" s="343">
        <v>0</v>
      </c>
      <c r="M5710" s="343">
        <v>-968412.28</v>
      </c>
      <c r="O5710" s="343">
        <v>0</v>
      </c>
    </row>
    <row r="5711" spans="1:15" x14ac:dyDescent="0.3">
      <c r="A5711" s="340" t="s">
        <v>891</v>
      </c>
      <c r="B5711" s="350">
        <v>46159</v>
      </c>
      <c r="C5711" s="350">
        <v>46159</v>
      </c>
      <c r="D5711" s="351">
        <v>46143</v>
      </c>
      <c r="E5711" s="340" t="s">
        <v>3437</v>
      </c>
      <c r="F5711" s="340" t="s">
        <v>1078</v>
      </c>
      <c r="G5711" s="340" t="s">
        <v>3017</v>
      </c>
      <c r="I5711" s="340" t="s">
        <v>771</v>
      </c>
      <c r="K5711" s="343">
        <v>2.2599999999999998</v>
      </c>
      <c r="L5711" s="343">
        <v>0</v>
      </c>
      <c r="M5711" s="343">
        <v>-968410.02</v>
      </c>
      <c r="O5711" s="343">
        <v>0</v>
      </c>
    </row>
    <row r="5712" spans="1:15" x14ac:dyDescent="0.3">
      <c r="A5712" s="340" t="s">
        <v>891</v>
      </c>
      <c r="B5712" s="350">
        <v>46159</v>
      </c>
      <c r="C5712" s="350">
        <v>46159</v>
      </c>
      <c r="D5712" s="351">
        <v>46143</v>
      </c>
      <c r="E5712" s="340" t="s">
        <v>3437</v>
      </c>
      <c r="F5712" s="340" t="s">
        <v>1078</v>
      </c>
      <c r="G5712" s="340" t="s">
        <v>3021</v>
      </c>
      <c r="I5712" s="340" t="s">
        <v>771</v>
      </c>
      <c r="K5712" s="343">
        <v>4.6100000000000003</v>
      </c>
      <c r="L5712" s="343">
        <v>0</v>
      </c>
      <c r="M5712" s="343">
        <v>-968405.41</v>
      </c>
      <c r="O5712" s="343">
        <v>0</v>
      </c>
    </row>
    <row r="5713" spans="1:15" x14ac:dyDescent="0.3">
      <c r="A5713" s="340" t="s">
        <v>891</v>
      </c>
      <c r="B5713" s="350">
        <v>46159</v>
      </c>
      <c r="C5713" s="350">
        <v>46159</v>
      </c>
      <c r="D5713" s="351">
        <v>46143</v>
      </c>
      <c r="E5713" s="340" t="s">
        <v>3437</v>
      </c>
      <c r="F5713" s="340" t="s">
        <v>1078</v>
      </c>
      <c r="G5713" s="340" t="s">
        <v>3005</v>
      </c>
      <c r="I5713" s="340" t="s">
        <v>771</v>
      </c>
      <c r="K5713" s="343">
        <v>7.2</v>
      </c>
      <c r="L5713" s="343">
        <v>0</v>
      </c>
      <c r="M5713" s="343">
        <v>-968398.21</v>
      </c>
      <c r="O5713" s="343">
        <v>0</v>
      </c>
    </row>
    <row r="5714" spans="1:15" x14ac:dyDescent="0.3">
      <c r="A5714" s="340" t="s">
        <v>891</v>
      </c>
      <c r="B5714" s="350">
        <v>46159</v>
      </c>
      <c r="C5714" s="350">
        <v>46159</v>
      </c>
      <c r="D5714" s="351">
        <v>46143</v>
      </c>
      <c r="E5714" s="340" t="s">
        <v>3437</v>
      </c>
      <c r="F5714" s="340" t="s">
        <v>1078</v>
      </c>
      <c r="G5714" s="340" t="s">
        <v>3019</v>
      </c>
      <c r="I5714" s="340" t="s">
        <v>771</v>
      </c>
      <c r="K5714" s="343">
        <v>0.09</v>
      </c>
      <c r="L5714" s="343">
        <v>0</v>
      </c>
      <c r="M5714" s="343">
        <v>-968398.12</v>
      </c>
      <c r="O5714" s="343">
        <v>0</v>
      </c>
    </row>
    <row r="5715" spans="1:15" x14ac:dyDescent="0.3">
      <c r="A5715" s="340" t="s">
        <v>891</v>
      </c>
      <c r="B5715" s="350">
        <v>46159</v>
      </c>
      <c r="C5715" s="350">
        <v>46159</v>
      </c>
      <c r="D5715" s="351">
        <v>46143</v>
      </c>
      <c r="E5715" s="340" t="s">
        <v>3437</v>
      </c>
      <c r="F5715" s="340" t="s">
        <v>1078</v>
      </c>
      <c r="G5715" s="340" t="s">
        <v>3016</v>
      </c>
      <c r="I5715" s="340" t="s">
        <v>771</v>
      </c>
      <c r="K5715" s="343">
        <v>0.14000000000000001</v>
      </c>
      <c r="L5715" s="343">
        <v>0</v>
      </c>
      <c r="M5715" s="343">
        <v>-968397.98</v>
      </c>
      <c r="O5715" s="343">
        <v>0</v>
      </c>
    </row>
    <row r="5716" spans="1:15" x14ac:dyDescent="0.3">
      <c r="A5716" s="340" t="s">
        <v>891</v>
      </c>
      <c r="B5716" s="350">
        <v>46159</v>
      </c>
      <c r="C5716" s="350">
        <v>46159</v>
      </c>
      <c r="D5716" s="351">
        <v>46143</v>
      </c>
      <c r="E5716" s="340" t="s">
        <v>3437</v>
      </c>
      <c r="F5716" s="340" t="s">
        <v>1078</v>
      </c>
      <c r="G5716" s="340" t="s">
        <v>3016</v>
      </c>
      <c r="I5716" s="340" t="s">
        <v>771</v>
      </c>
      <c r="K5716" s="343">
        <v>0.21</v>
      </c>
      <c r="L5716" s="343">
        <v>0</v>
      </c>
      <c r="M5716" s="343">
        <v>-968397.77</v>
      </c>
      <c r="O5716" s="343">
        <v>0</v>
      </c>
    </row>
    <row r="5717" spans="1:15" x14ac:dyDescent="0.3">
      <c r="A5717" s="340" t="s">
        <v>891</v>
      </c>
      <c r="B5717" s="350">
        <v>46159</v>
      </c>
      <c r="C5717" s="350">
        <v>46159</v>
      </c>
      <c r="D5717" s="351">
        <v>46143</v>
      </c>
      <c r="E5717" s="340" t="s">
        <v>3437</v>
      </c>
      <c r="F5717" s="340" t="s">
        <v>1078</v>
      </c>
      <c r="G5717" s="340" t="s">
        <v>3020</v>
      </c>
      <c r="I5717" s="340" t="s">
        <v>771</v>
      </c>
      <c r="K5717" s="343">
        <v>0.83</v>
      </c>
      <c r="L5717" s="343">
        <v>0</v>
      </c>
      <c r="M5717" s="343">
        <v>-968396.94</v>
      </c>
      <c r="O5717" s="343">
        <v>0</v>
      </c>
    </row>
    <row r="5718" spans="1:15" x14ac:dyDescent="0.3">
      <c r="A5718" s="340" t="s">
        <v>891</v>
      </c>
      <c r="B5718" s="350">
        <v>46159</v>
      </c>
      <c r="C5718" s="350">
        <v>46159</v>
      </c>
      <c r="D5718" s="351">
        <v>46143</v>
      </c>
      <c r="E5718" s="340" t="s">
        <v>3437</v>
      </c>
      <c r="F5718" s="340" t="s">
        <v>1078</v>
      </c>
      <c r="G5718" s="340" t="s">
        <v>3018</v>
      </c>
      <c r="I5718" s="340" t="s">
        <v>771</v>
      </c>
      <c r="K5718" s="343">
        <v>0.87</v>
      </c>
      <c r="L5718" s="343">
        <v>0</v>
      </c>
      <c r="M5718" s="343">
        <v>-968396.07</v>
      </c>
      <c r="O5718" s="343">
        <v>0</v>
      </c>
    </row>
    <row r="5719" spans="1:15" x14ac:dyDescent="0.3">
      <c r="A5719" s="340" t="s">
        <v>891</v>
      </c>
      <c r="B5719" s="350">
        <v>46159</v>
      </c>
      <c r="C5719" s="350">
        <v>46159</v>
      </c>
      <c r="D5719" s="351">
        <v>46143</v>
      </c>
      <c r="E5719" s="340" t="s">
        <v>3437</v>
      </c>
      <c r="F5719" s="340" t="s">
        <v>1078</v>
      </c>
      <c r="G5719" s="340" t="s">
        <v>3020</v>
      </c>
      <c r="I5719" s="340" t="s">
        <v>771</v>
      </c>
      <c r="K5719" s="343">
        <v>1.26</v>
      </c>
      <c r="L5719" s="343">
        <v>0</v>
      </c>
      <c r="M5719" s="343">
        <v>-968394.81</v>
      </c>
      <c r="O5719" s="343">
        <v>0</v>
      </c>
    </row>
    <row r="5720" spans="1:15" x14ac:dyDescent="0.3">
      <c r="A5720" s="340" t="s">
        <v>891</v>
      </c>
      <c r="B5720" s="350">
        <v>46159</v>
      </c>
      <c r="C5720" s="350">
        <v>46159</v>
      </c>
      <c r="D5720" s="351">
        <v>46143</v>
      </c>
      <c r="E5720" s="340" t="s">
        <v>3437</v>
      </c>
      <c r="F5720" s="340" t="s">
        <v>1078</v>
      </c>
      <c r="G5720" s="340" t="s">
        <v>3022</v>
      </c>
      <c r="I5720" s="340" t="s">
        <v>771</v>
      </c>
      <c r="K5720" s="343">
        <v>1.65</v>
      </c>
      <c r="L5720" s="343">
        <v>0</v>
      </c>
      <c r="M5720" s="343">
        <v>-968393.16</v>
      </c>
      <c r="O5720" s="343">
        <v>0</v>
      </c>
    </row>
    <row r="5721" spans="1:15" x14ac:dyDescent="0.3">
      <c r="A5721" s="340" t="s">
        <v>891</v>
      </c>
      <c r="B5721" s="350">
        <v>46159</v>
      </c>
      <c r="C5721" s="350">
        <v>46159</v>
      </c>
      <c r="D5721" s="351">
        <v>46143</v>
      </c>
      <c r="E5721" s="340" t="s">
        <v>3437</v>
      </c>
      <c r="F5721" s="340" t="s">
        <v>1078</v>
      </c>
      <c r="G5721" s="340" t="s">
        <v>3017</v>
      </c>
      <c r="I5721" s="340" t="s">
        <v>771</v>
      </c>
      <c r="K5721" s="343">
        <v>2.2599999999999998</v>
      </c>
      <c r="L5721" s="343">
        <v>0</v>
      </c>
      <c r="M5721" s="343">
        <v>-968390.9</v>
      </c>
      <c r="O5721" s="343">
        <v>0</v>
      </c>
    </row>
    <row r="5722" spans="1:15" x14ac:dyDescent="0.3">
      <c r="A5722" s="340" t="s">
        <v>891</v>
      </c>
      <c r="B5722" s="350">
        <v>46159</v>
      </c>
      <c r="C5722" s="350">
        <v>46159</v>
      </c>
      <c r="D5722" s="351">
        <v>46143</v>
      </c>
      <c r="E5722" s="340" t="s">
        <v>3437</v>
      </c>
      <c r="F5722" s="340" t="s">
        <v>1078</v>
      </c>
      <c r="G5722" s="340" t="s">
        <v>3023</v>
      </c>
      <c r="I5722" s="340" t="s">
        <v>771</v>
      </c>
      <c r="K5722" s="343">
        <v>5.09</v>
      </c>
      <c r="L5722" s="343">
        <v>0</v>
      </c>
      <c r="M5722" s="343">
        <v>-968385.81</v>
      </c>
      <c r="O5722" s="343">
        <v>0</v>
      </c>
    </row>
    <row r="5723" spans="1:15" x14ac:dyDescent="0.3">
      <c r="A5723" s="340" t="s">
        <v>891</v>
      </c>
      <c r="B5723" s="350">
        <v>46159</v>
      </c>
      <c r="C5723" s="350">
        <v>46159</v>
      </c>
      <c r="D5723" s="351">
        <v>46143</v>
      </c>
      <c r="E5723" s="340" t="s">
        <v>3437</v>
      </c>
      <c r="F5723" s="340" t="s">
        <v>1078</v>
      </c>
      <c r="G5723" s="340" t="s">
        <v>3024</v>
      </c>
      <c r="I5723" s="340" t="s">
        <v>771</v>
      </c>
      <c r="K5723" s="343">
        <v>10.39</v>
      </c>
      <c r="L5723" s="343">
        <v>0</v>
      </c>
      <c r="M5723" s="343">
        <v>-968375.42</v>
      </c>
      <c r="O5723" s="343">
        <v>0</v>
      </c>
    </row>
    <row r="5724" spans="1:15" x14ac:dyDescent="0.3">
      <c r="A5724" s="340" t="s">
        <v>891</v>
      </c>
      <c r="B5724" s="350">
        <v>46159</v>
      </c>
      <c r="C5724" s="350">
        <v>46159</v>
      </c>
      <c r="D5724" s="351">
        <v>46143</v>
      </c>
      <c r="E5724" s="340" t="s">
        <v>3437</v>
      </c>
      <c r="F5724" s="340" t="s">
        <v>1078</v>
      </c>
      <c r="G5724" s="340" t="s">
        <v>3025</v>
      </c>
      <c r="I5724" s="340" t="s">
        <v>771</v>
      </c>
      <c r="K5724" s="343">
        <v>29.41</v>
      </c>
      <c r="L5724" s="343">
        <v>0</v>
      </c>
      <c r="M5724" s="343">
        <v>-968346.01</v>
      </c>
      <c r="O5724" s="343">
        <v>0</v>
      </c>
    </row>
    <row r="5725" spans="1:15" x14ac:dyDescent="0.3">
      <c r="A5725" s="340" t="s">
        <v>891</v>
      </c>
      <c r="B5725" s="350">
        <v>46159</v>
      </c>
      <c r="C5725" s="350">
        <v>46159</v>
      </c>
      <c r="D5725" s="351">
        <v>46143</v>
      </c>
      <c r="E5725" s="340" t="s">
        <v>3437</v>
      </c>
      <c r="F5725" s="340" t="s">
        <v>1078</v>
      </c>
      <c r="G5725" s="340" t="s">
        <v>3026</v>
      </c>
      <c r="I5725" s="340" t="s">
        <v>771</v>
      </c>
      <c r="K5725" s="343">
        <v>34.43</v>
      </c>
      <c r="L5725" s="343">
        <v>0</v>
      </c>
      <c r="M5725" s="343">
        <v>-968311.58</v>
      </c>
      <c r="O5725" s="343">
        <v>0</v>
      </c>
    </row>
    <row r="5726" spans="1:15" x14ac:dyDescent="0.3">
      <c r="A5726" s="340" t="s">
        <v>891</v>
      </c>
      <c r="B5726" s="350">
        <v>46159</v>
      </c>
      <c r="C5726" s="350">
        <v>46159</v>
      </c>
      <c r="D5726" s="351">
        <v>46143</v>
      </c>
      <c r="E5726" s="340" t="s">
        <v>3437</v>
      </c>
      <c r="F5726" s="340" t="s">
        <v>1078</v>
      </c>
      <c r="G5726" s="340" t="s">
        <v>3005</v>
      </c>
      <c r="I5726" s="340" t="s">
        <v>771</v>
      </c>
      <c r="K5726" s="343">
        <v>117.77</v>
      </c>
      <c r="L5726" s="343">
        <v>0</v>
      </c>
      <c r="M5726" s="343">
        <v>-968193.81</v>
      </c>
      <c r="O5726" s="343">
        <v>0</v>
      </c>
    </row>
    <row r="5727" spans="1:15" x14ac:dyDescent="0.3">
      <c r="A5727" s="340" t="s">
        <v>891</v>
      </c>
      <c r="B5727" s="350">
        <v>46159</v>
      </c>
      <c r="C5727" s="350">
        <v>46159</v>
      </c>
      <c r="D5727" s="351">
        <v>46143</v>
      </c>
      <c r="E5727" s="340" t="s">
        <v>3437</v>
      </c>
      <c r="F5727" s="340" t="s">
        <v>1078</v>
      </c>
      <c r="G5727" s="340" t="s">
        <v>3017</v>
      </c>
      <c r="I5727" s="340" t="s">
        <v>771</v>
      </c>
      <c r="K5727" s="343">
        <v>2.2599999999999998</v>
      </c>
      <c r="L5727" s="343">
        <v>0</v>
      </c>
      <c r="M5727" s="343">
        <v>-968191.55</v>
      </c>
      <c r="O5727" s="343">
        <v>0</v>
      </c>
    </row>
    <row r="5728" spans="1:15" x14ac:dyDescent="0.3">
      <c r="A5728" s="340" t="s">
        <v>891</v>
      </c>
      <c r="B5728" s="350">
        <v>46159</v>
      </c>
      <c r="C5728" s="350">
        <v>46159</v>
      </c>
      <c r="D5728" s="351">
        <v>46143</v>
      </c>
      <c r="E5728" s="340" t="s">
        <v>3437</v>
      </c>
      <c r="F5728" s="340" t="s">
        <v>1078</v>
      </c>
      <c r="G5728" s="340" t="s">
        <v>3022</v>
      </c>
      <c r="I5728" s="340" t="s">
        <v>771</v>
      </c>
      <c r="K5728" s="343">
        <v>2.52</v>
      </c>
      <c r="L5728" s="343">
        <v>0</v>
      </c>
      <c r="M5728" s="343">
        <v>-968189.03</v>
      </c>
      <c r="O5728" s="343">
        <v>0</v>
      </c>
    </row>
    <row r="5729" spans="1:15" x14ac:dyDescent="0.3">
      <c r="A5729" s="340" t="s">
        <v>891</v>
      </c>
      <c r="B5729" s="350">
        <v>46159</v>
      </c>
      <c r="C5729" s="350">
        <v>46159</v>
      </c>
      <c r="D5729" s="351">
        <v>46143</v>
      </c>
      <c r="E5729" s="340" t="s">
        <v>3437</v>
      </c>
      <c r="F5729" s="340" t="s">
        <v>1078</v>
      </c>
      <c r="G5729" s="340" t="s">
        <v>3021</v>
      </c>
      <c r="I5729" s="340" t="s">
        <v>771</v>
      </c>
      <c r="K5729" s="343">
        <v>4.6100000000000003</v>
      </c>
      <c r="L5729" s="343">
        <v>0</v>
      </c>
      <c r="M5729" s="343">
        <v>-968184.42</v>
      </c>
      <c r="O5729" s="343">
        <v>0</v>
      </c>
    </row>
    <row r="5730" spans="1:15" x14ac:dyDescent="0.3">
      <c r="A5730" s="340" t="s">
        <v>891</v>
      </c>
      <c r="B5730" s="350">
        <v>46159</v>
      </c>
      <c r="C5730" s="350">
        <v>46159</v>
      </c>
      <c r="D5730" s="351">
        <v>46143</v>
      </c>
      <c r="E5730" s="340" t="s">
        <v>3437</v>
      </c>
      <c r="F5730" s="340" t="s">
        <v>1078</v>
      </c>
      <c r="G5730" s="340" t="s">
        <v>3019</v>
      </c>
      <c r="I5730" s="340" t="s">
        <v>771</v>
      </c>
      <c r="K5730" s="343">
        <v>0.01</v>
      </c>
      <c r="L5730" s="343">
        <v>0</v>
      </c>
      <c r="M5730" s="343">
        <v>-968184.41</v>
      </c>
      <c r="O5730" s="343">
        <v>0</v>
      </c>
    </row>
    <row r="5731" spans="1:15" x14ac:dyDescent="0.3">
      <c r="A5731" s="340" t="s">
        <v>891</v>
      </c>
      <c r="B5731" s="350">
        <v>46159</v>
      </c>
      <c r="C5731" s="350">
        <v>46159</v>
      </c>
      <c r="D5731" s="351">
        <v>46143</v>
      </c>
      <c r="E5731" s="340" t="s">
        <v>3437</v>
      </c>
      <c r="F5731" s="340" t="s">
        <v>1078</v>
      </c>
      <c r="G5731" s="340" t="s">
        <v>3016</v>
      </c>
      <c r="I5731" s="340" t="s">
        <v>771</v>
      </c>
      <c r="K5731" s="343">
        <v>0.01</v>
      </c>
      <c r="L5731" s="343">
        <v>0</v>
      </c>
      <c r="M5731" s="343">
        <v>-968184.4</v>
      </c>
      <c r="O5731" s="343">
        <v>0</v>
      </c>
    </row>
    <row r="5732" spans="1:15" x14ac:dyDescent="0.3">
      <c r="A5732" s="340" t="s">
        <v>891</v>
      </c>
      <c r="B5732" s="350">
        <v>46159</v>
      </c>
      <c r="C5732" s="350">
        <v>46159</v>
      </c>
      <c r="D5732" s="351">
        <v>46143</v>
      </c>
      <c r="E5732" s="340" t="s">
        <v>3437</v>
      </c>
      <c r="F5732" s="340" t="s">
        <v>1078</v>
      </c>
      <c r="G5732" s="340" t="s">
        <v>3016</v>
      </c>
      <c r="I5732" s="340" t="s">
        <v>771</v>
      </c>
      <c r="K5732" s="343">
        <v>0.02</v>
      </c>
      <c r="L5732" s="343">
        <v>0</v>
      </c>
      <c r="M5732" s="343">
        <v>-968184.38</v>
      </c>
      <c r="O5732" s="343">
        <v>0</v>
      </c>
    </row>
    <row r="5733" spans="1:15" x14ac:dyDescent="0.3">
      <c r="A5733" s="340" t="s">
        <v>891</v>
      </c>
      <c r="B5733" s="350">
        <v>46159</v>
      </c>
      <c r="C5733" s="350">
        <v>46159</v>
      </c>
      <c r="D5733" s="351">
        <v>46143</v>
      </c>
      <c r="E5733" s="340" t="s">
        <v>3437</v>
      </c>
      <c r="F5733" s="340" t="s">
        <v>1078</v>
      </c>
      <c r="G5733" s="340" t="s">
        <v>3018</v>
      </c>
      <c r="I5733" s="340" t="s">
        <v>771</v>
      </c>
      <c r="K5733" s="343">
        <v>0.05</v>
      </c>
      <c r="L5733" s="343">
        <v>0</v>
      </c>
      <c r="M5733" s="343">
        <v>-968184.33</v>
      </c>
      <c r="O5733" s="343">
        <v>0</v>
      </c>
    </row>
    <row r="5734" spans="1:15" x14ac:dyDescent="0.3">
      <c r="A5734" s="340" t="s">
        <v>891</v>
      </c>
      <c r="B5734" s="350">
        <v>46159</v>
      </c>
      <c r="C5734" s="350">
        <v>46159</v>
      </c>
      <c r="D5734" s="351">
        <v>46143</v>
      </c>
      <c r="E5734" s="340" t="s">
        <v>3437</v>
      </c>
      <c r="F5734" s="340" t="s">
        <v>1078</v>
      </c>
      <c r="G5734" s="340" t="s">
        <v>3020</v>
      </c>
      <c r="I5734" s="340" t="s">
        <v>771</v>
      </c>
      <c r="K5734" s="343">
        <v>7.0000000000000007E-2</v>
      </c>
      <c r="L5734" s="343">
        <v>0</v>
      </c>
      <c r="M5734" s="343">
        <v>-968184.26</v>
      </c>
      <c r="O5734" s="343">
        <v>0</v>
      </c>
    </row>
    <row r="5735" spans="1:15" x14ac:dyDescent="0.3">
      <c r="A5735" s="340" t="s">
        <v>891</v>
      </c>
      <c r="B5735" s="350">
        <v>46159</v>
      </c>
      <c r="C5735" s="350">
        <v>46159</v>
      </c>
      <c r="D5735" s="351">
        <v>46143</v>
      </c>
      <c r="E5735" s="340" t="s">
        <v>3437</v>
      </c>
      <c r="F5735" s="340" t="s">
        <v>1078</v>
      </c>
      <c r="G5735" s="340" t="s">
        <v>3020</v>
      </c>
      <c r="I5735" s="340" t="s">
        <v>771</v>
      </c>
      <c r="K5735" s="343">
        <v>0.12</v>
      </c>
      <c r="L5735" s="343">
        <v>0</v>
      </c>
      <c r="M5735" s="343">
        <v>-968184.14</v>
      </c>
      <c r="O5735" s="343">
        <v>0</v>
      </c>
    </row>
    <row r="5736" spans="1:15" x14ac:dyDescent="0.3">
      <c r="A5736" s="340" t="s">
        <v>891</v>
      </c>
      <c r="B5736" s="350">
        <v>46159</v>
      </c>
      <c r="C5736" s="350">
        <v>46159</v>
      </c>
      <c r="D5736" s="351">
        <v>46143</v>
      </c>
      <c r="E5736" s="340" t="s">
        <v>3437</v>
      </c>
      <c r="F5736" s="340" t="s">
        <v>1078</v>
      </c>
      <c r="G5736" s="340" t="s">
        <v>3022</v>
      </c>
      <c r="I5736" s="340" t="s">
        <v>771</v>
      </c>
      <c r="K5736" s="343">
        <v>0.15</v>
      </c>
      <c r="L5736" s="343">
        <v>0</v>
      </c>
      <c r="M5736" s="343">
        <v>-968183.99</v>
      </c>
      <c r="O5736" s="343">
        <v>0</v>
      </c>
    </row>
    <row r="5737" spans="1:15" x14ac:dyDescent="0.3">
      <c r="A5737" s="340" t="s">
        <v>891</v>
      </c>
      <c r="B5737" s="350">
        <v>46159</v>
      </c>
      <c r="C5737" s="350">
        <v>46159</v>
      </c>
      <c r="D5737" s="351">
        <v>46143</v>
      </c>
      <c r="E5737" s="340" t="s">
        <v>3437</v>
      </c>
      <c r="F5737" s="340" t="s">
        <v>1078</v>
      </c>
      <c r="G5737" s="340" t="s">
        <v>3022</v>
      </c>
      <c r="I5737" s="340" t="s">
        <v>771</v>
      </c>
      <c r="K5737" s="343">
        <v>0.23</v>
      </c>
      <c r="L5737" s="343">
        <v>0</v>
      </c>
      <c r="M5737" s="343">
        <v>-968183.76</v>
      </c>
      <c r="O5737" s="343">
        <v>0</v>
      </c>
    </row>
    <row r="5738" spans="1:15" x14ac:dyDescent="0.3">
      <c r="A5738" s="340" t="s">
        <v>891</v>
      </c>
      <c r="B5738" s="350">
        <v>46159</v>
      </c>
      <c r="C5738" s="350">
        <v>46159</v>
      </c>
      <c r="D5738" s="351">
        <v>46143</v>
      </c>
      <c r="E5738" s="340" t="s">
        <v>3437</v>
      </c>
      <c r="F5738" s="340" t="s">
        <v>1078</v>
      </c>
      <c r="G5738" s="340" t="s">
        <v>3023</v>
      </c>
      <c r="I5738" s="340" t="s">
        <v>771</v>
      </c>
      <c r="K5738" s="343">
        <v>0.3</v>
      </c>
      <c r="L5738" s="343">
        <v>0</v>
      </c>
      <c r="M5738" s="343">
        <v>-968183.46</v>
      </c>
      <c r="O5738" s="343">
        <v>0</v>
      </c>
    </row>
    <row r="5739" spans="1:15" x14ac:dyDescent="0.3">
      <c r="A5739" s="340" t="s">
        <v>891</v>
      </c>
      <c r="B5739" s="350">
        <v>46159</v>
      </c>
      <c r="C5739" s="350">
        <v>46159</v>
      </c>
      <c r="D5739" s="351">
        <v>46143</v>
      </c>
      <c r="E5739" s="340" t="s">
        <v>3437</v>
      </c>
      <c r="F5739" s="340" t="s">
        <v>1078</v>
      </c>
      <c r="G5739" s="340" t="s">
        <v>3024</v>
      </c>
      <c r="I5739" s="340" t="s">
        <v>771</v>
      </c>
      <c r="K5739" s="343">
        <v>0.62</v>
      </c>
      <c r="L5739" s="343">
        <v>0</v>
      </c>
      <c r="M5739" s="343">
        <v>-968182.84</v>
      </c>
      <c r="O5739" s="343">
        <v>0</v>
      </c>
    </row>
    <row r="5740" spans="1:15" x14ac:dyDescent="0.3">
      <c r="A5740" s="340" t="s">
        <v>891</v>
      </c>
      <c r="B5740" s="350">
        <v>46159</v>
      </c>
      <c r="C5740" s="350">
        <v>46159</v>
      </c>
      <c r="D5740" s="351">
        <v>46143</v>
      </c>
      <c r="E5740" s="340" t="s">
        <v>3437</v>
      </c>
      <c r="F5740" s="340" t="s">
        <v>1078</v>
      </c>
      <c r="G5740" s="340" t="s">
        <v>3005</v>
      </c>
      <c r="I5740" s="340" t="s">
        <v>771</v>
      </c>
      <c r="K5740" s="343">
        <v>6.98</v>
      </c>
      <c r="L5740" s="343">
        <v>0</v>
      </c>
      <c r="M5740" s="343">
        <v>-968175.86</v>
      </c>
      <c r="O5740" s="343">
        <v>0</v>
      </c>
    </row>
    <row r="5741" spans="1:15" x14ac:dyDescent="0.3">
      <c r="A5741" s="340" t="s">
        <v>891</v>
      </c>
      <c r="B5741" s="350">
        <v>46159</v>
      </c>
      <c r="C5741" s="350">
        <v>46159</v>
      </c>
      <c r="D5741" s="351">
        <v>46143</v>
      </c>
      <c r="E5741" s="340" t="s">
        <v>3437</v>
      </c>
      <c r="F5741" s="340" t="s">
        <v>1078</v>
      </c>
      <c r="G5741" s="340" t="s">
        <v>3025</v>
      </c>
      <c r="I5741" s="340" t="s">
        <v>771</v>
      </c>
      <c r="K5741" s="343">
        <v>1.74</v>
      </c>
      <c r="L5741" s="343">
        <v>0</v>
      </c>
      <c r="M5741" s="343">
        <v>-968174.12</v>
      </c>
      <c r="O5741" s="343">
        <v>0</v>
      </c>
    </row>
    <row r="5742" spans="1:15" x14ac:dyDescent="0.3">
      <c r="A5742" s="340" t="s">
        <v>891</v>
      </c>
      <c r="B5742" s="350">
        <v>46159</v>
      </c>
      <c r="C5742" s="350">
        <v>46159</v>
      </c>
      <c r="D5742" s="351">
        <v>46143</v>
      </c>
      <c r="E5742" s="340" t="s">
        <v>3437</v>
      </c>
      <c r="F5742" s="340" t="s">
        <v>1078</v>
      </c>
      <c r="G5742" s="340" t="s">
        <v>3026</v>
      </c>
      <c r="I5742" s="340" t="s">
        <v>771</v>
      </c>
      <c r="K5742" s="343">
        <v>2.04</v>
      </c>
      <c r="L5742" s="343">
        <v>0</v>
      </c>
      <c r="M5742" s="343">
        <v>-968172.08</v>
      </c>
      <c r="O5742" s="343">
        <v>0</v>
      </c>
    </row>
    <row r="5743" spans="1:15" x14ac:dyDescent="0.3">
      <c r="A5743" s="340" t="s">
        <v>891</v>
      </c>
      <c r="B5743" s="350">
        <v>46159</v>
      </c>
      <c r="C5743" s="350">
        <v>46159</v>
      </c>
      <c r="D5743" s="351">
        <v>46143</v>
      </c>
      <c r="E5743" s="340" t="s">
        <v>3437</v>
      </c>
      <c r="F5743" s="340" t="s">
        <v>1078</v>
      </c>
      <c r="G5743" s="340" t="s">
        <v>3021</v>
      </c>
      <c r="I5743" s="340" t="s">
        <v>771</v>
      </c>
      <c r="K5743" s="343">
        <v>4.6100000000000003</v>
      </c>
      <c r="L5743" s="343">
        <v>0</v>
      </c>
      <c r="M5743" s="343">
        <v>-968167.47</v>
      </c>
      <c r="O5743" s="343">
        <v>0</v>
      </c>
    </row>
    <row r="5744" spans="1:15" x14ac:dyDescent="0.3">
      <c r="A5744" s="340" t="s">
        <v>891</v>
      </c>
      <c r="B5744" s="350">
        <v>46159</v>
      </c>
      <c r="C5744" s="350">
        <v>46159</v>
      </c>
      <c r="D5744" s="351">
        <v>46143</v>
      </c>
      <c r="E5744" s="340" t="s">
        <v>3437</v>
      </c>
      <c r="F5744" s="340" t="s">
        <v>1078</v>
      </c>
      <c r="G5744" s="340" t="s">
        <v>3019</v>
      </c>
      <c r="I5744" s="340" t="s">
        <v>771</v>
      </c>
      <c r="K5744" s="343">
        <v>0.02</v>
      </c>
      <c r="L5744" s="343">
        <v>0</v>
      </c>
      <c r="M5744" s="343">
        <v>-968167.45</v>
      </c>
      <c r="O5744" s="343">
        <v>0</v>
      </c>
    </row>
    <row r="5745" spans="1:15" x14ac:dyDescent="0.3">
      <c r="A5745" s="340" t="s">
        <v>891</v>
      </c>
      <c r="B5745" s="350">
        <v>46159</v>
      </c>
      <c r="C5745" s="350">
        <v>46159</v>
      </c>
      <c r="D5745" s="351">
        <v>46143</v>
      </c>
      <c r="E5745" s="340" t="s">
        <v>3437</v>
      </c>
      <c r="F5745" s="340" t="s">
        <v>1078</v>
      </c>
      <c r="G5745" s="340" t="s">
        <v>3016</v>
      </c>
      <c r="I5745" s="340" t="s">
        <v>771</v>
      </c>
      <c r="K5745" s="343">
        <v>0.03</v>
      </c>
      <c r="L5745" s="343">
        <v>0</v>
      </c>
      <c r="M5745" s="343">
        <v>-968167.42</v>
      </c>
      <c r="O5745" s="343">
        <v>0</v>
      </c>
    </row>
    <row r="5746" spans="1:15" x14ac:dyDescent="0.3">
      <c r="A5746" s="340" t="s">
        <v>891</v>
      </c>
      <c r="B5746" s="350">
        <v>46159</v>
      </c>
      <c r="C5746" s="350">
        <v>46159</v>
      </c>
      <c r="D5746" s="351">
        <v>46143</v>
      </c>
      <c r="E5746" s="340" t="s">
        <v>3437</v>
      </c>
      <c r="F5746" s="340" t="s">
        <v>1078</v>
      </c>
      <c r="G5746" s="340" t="s">
        <v>3016</v>
      </c>
      <c r="I5746" s="340" t="s">
        <v>771</v>
      </c>
      <c r="K5746" s="343">
        <v>0.04</v>
      </c>
      <c r="L5746" s="343">
        <v>0</v>
      </c>
      <c r="M5746" s="343">
        <v>-968167.38</v>
      </c>
      <c r="O5746" s="343">
        <v>0</v>
      </c>
    </row>
    <row r="5747" spans="1:15" x14ac:dyDescent="0.3">
      <c r="A5747" s="340" t="s">
        <v>891</v>
      </c>
      <c r="B5747" s="350">
        <v>46159</v>
      </c>
      <c r="C5747" s="350">
        <v>46159</v>
      </c>
      <c r="D5747" s="351">
        <v>46143</v>
      </c>
      <c r="E5747" s="340" t="s">
        <v>3437</v>
      </c>
      <c r="F5747" s="340" t="s">
        <v>1078</v>
      </c>
      <c r="G5747" s="340" t="s">
        <v>3018</v>
      </c>
      <c r="I5747" s="340" t="s">
        <v>771</v>
      </c>
      <c r="K5747" s="343">
        <v>0.15</v>
      </c>
      <c r="L5747" s="343">
        <v>0</v>
      </c>
      <c r="M5747" s="343">
        <v>-968167.23</v>
      </c>
      <c r="O5747" s="343">
        <v>0</v>
      </c>
    </row>
    <row r="5748" spans="1:15" x14ac:dyDescent="0.3">
      <c r="A5748" s="340" t="s">
        <v>891</v>
      </c>
      <c r="B5748" s="350">
        <v>46159</v>
      </c>
      <c r="C5748" s="350">
        <v>46159</v>
      </c>
      <c r="D5748" s="351">
        <v>46143</v>
      </c>
      <c r="E5748" s="340" t="s">
        <v>3437</v>
      </c>
      <c r="F5748" s="340" t="s">
        <v>1078</v>
      </c>
      <c r="G5748" s="340" t="s">
        <v>3020</v>
      </c>
      <c r="I5748" s="340" t="s">
        <v>771</v>
      </c>
      <c r="K5748" s="343">
        <v>0.21</v>
      </c>
      <c r="L5748" s="343">
        <v>0</v>
      </c>
      <c r="M5748" s="343">
        <v>-968167.02</v>
      </c>
      <c r="O5748" s="343">
        <v>0</v>
      </c>
    </row>
    <row r="5749" spans="1:15" x14ac:dyDescent="0.3">
      <c r="A5749" s="340" t="s">
        <v>891</v>
      </c>
      <c r="B5749" s="350">
        <v>46159</v>
      </c>
      <c r="C5749" s="350">
        <v>46159</v>
      </c>
      <c r="D5749" s="351">
        <v>46143</v>
      </c>
      <c r="E5749" s="340" t="s">
        <v>3437</v>
      </c>
      <c r="F5749" s="340" t="s">
        <v>1078</v>
      </c>
      <c r="G5749" s="340" t="s">
        <v>3020</v>
      </c>
      <c r="I5749" s="340" t="s">
        <v>771</v>
      </c>
      <c r="K5749" s="343">
        <v>0.22</v>
      </c>
      <c r="L5749" s="343">
        <v>0</v>
      </c>
      <c r="M5749" s="343">
        <v>-968166.8</v>
      </c>
      <c r="O5749" s="343">
        <v>0</v>
      </c>
    </row>
    <row r="5750" spans="1:15" x14ac:dyDescent="0.3">
      <c r="A5750" s="340" t="s">
        <v>891</v>
      </c>
      <c r="B5750" s="350">
        <v>46159</v>
      </c>
      <c r="C5750" s="350">
        <v>46159</v>
      </c>
      <c r="D5750" s="351">
        <v>46143</v>
      </c>
      <c r="E5750" s="340" t="s">
        <v>3437</v>
      </c>
      <c r="F5750" s="340" t="s">
        <v>1078</v>
      </c>
      <c r="G5750" s="340" t="s">
        <v>3022</v>
      </c>
      <c r="I5750" s="340" t="s">
        <v>771</v>
      </c>
      <c r="K5750" s="343">
        <v>0.41</v>
      </c>
      <c r="L5750" s="343">
        <v>0</v>
      </c>
      <c r="M5750" s="343">
        <v>-968166.39</v>
      </c>
      <c r="O5750" s="343">
        <v>0</v>
      </c>
    </row>
    <row r="5751" spans="1:15" x14ac:dyDescent="0.3">
      <c r="A5751" s="340" t="s">
        <v>891</v>
      </c>
      <c r="B5751" s="350">
        <v>46159</v>
      </c>
      <c r="C5751" s="350">
        <v>46159</v>
      </c>
      <c r="D5751" s="351">
        <v>46143</v>
      </c>
      <c r="E5751" s="340" t="s">
        <v>3437</v>
      </c>
      <c r="F5751" s="340" t="s">
        <v>1078</v>
      </c>
      <c r="G5751" s="340" t="s">
        <v>3022</v>
      </c>
      <c r="I5751" s="340" t="s">
        <v>771</v>
      </c>
      <c r="K5751" s="343">
        <v>0.45</v>
      </c>
      <c r="L5751" s="343">
        <v>0</v>
      </c>
      <c r="M5751" s="343">
        <v>-968165.94</v>
      </c>
      <c r="O5751" s="343">
        <v>0</v>
      </c>
    </row>
    <row r="5752" spans="1:15" x14ac:dyDescent="0.3">
      <c r="A5752" s="340" t="s">
        <v>891</v>
      </c>
      <c r="B5752" s="350">
        <v>46159</v>
      </c>
      <c r="C5752" s="350">
        <v>46159</v>
      </c>
      <c r="D5752" s="351">
        <v>46143</v>
      </c>
      <c r="E5752" s="340" t="s">
        <v>3437</v>
      </c>
      <c r="F5752" s="340" t="s">
        <v>1078</v>
      </c>
      <c r="G5752" s="340" t="s">
        <v>3023</v>
      </c>
      <c r="I5752" s="340" t="s">
        <v>771</v>
      </c>
      <c r="K5752" s="343">
        <v>0.91</v>
      </c>
      <c r="L5752" s="343">
        <v>0</v>
      </c>
      <c r="M5752" s="343">
        <v>-968165.03</v>
      </c>
      <c r="O5752" s="343">
        <v>0</v>
      </c>
    </row>
    <row r="5753" spans="1:15" x14ac:dyDescent="0.3">
      <c r="A5753" s="340" t="s">
        <v>891</v>
      </c>
      <c r="B5753" s="350">
        <v>46159</v>
      </c>
      <c r="C5753" s="350">
        <v>46159</v>
      </c>
      <c r="D5753" s="351">
        <v>46143</v>
      </c>
      <c r="E5753" s="340" t="s">
        <v>3437</v>
      </c>
      <c r="F5753" s="340" t="s">
        <v>1078</v>
      </c>
      <c r="G5753" s="340" t="s">
        <v>3024</v>
      </c>
      <c r="I5753" s="340" t="s">
        <v>771</v>
      </c>
      <c r="K5753" s="343">
        <v>1.85</v>
      </c>
      <c r="L5753" s="343">
        <v>0</v>
      </c>
      <c r="M5753" s="343">
        <v>-968163.18</v>
      </c>
      <c r="O5753" s="343">
        <v>0</v>
      </c>
    </row>
    <row r="5754" spans="1:15" x14ac:dyDescent="0.3">
      <c r="A5754" s="340" t="s">
        <v>891</v>
      </c>
      <c r="B5754" s="350">
        <v>46159</v>
      </c>
      <c r="C5754" s="350">
        <v>46159</v>
      </c>
      <c r="D5754" s="351">
        <v>46143</v>
      </c>
      <c r="E5754" s="340" t="s">
        <v>3437</v>
      </c>
      <c r="F5754" s="340" t="s">
        <v>1078</v>
      </c>
      <c r="G5754" s="340" t="s">
        <v>3017</v>
      </c>
      <c r="I5754" s="340" t="s">
        <v>771</v>
      </c>
      <c r="K5754" s="343">
        <v>2.2599999999999998</v>
      </c>
      <c r="L5754" s="343">
        <v>0</v>
      </c>
      <c r="M5754" s="343">
        <v>-968160.92</v>
      </c>
      <c r="O5754" s="343">
        <v>0</v>
      </c>
    </row>
    <row r="5755" spans="1:15" x14ac:dyDescent="0.3">
      <c r="A5755" s="340" t="s">
        <v>891</v>
      </c>
      <c r="B5755" s="350">
        <v>46159</v>
      </c>
      <c r="C5755" s="350">
        <v>46159</v>
      </c>
      <c r="D5755" s="351">
        <v>46143</v>
      </c>
      <c r="E5755" s="340" t="s">
        <v>3437</v>
      </c>
      <c r="F5755" s="340" t="s">
        <v>1078</v>
      </c>
      <c r="G5755" s="340" t="s">
        <v>3021</v>
      </c>
      <c r="I5755" s="340" t="s">
        <v>771</v>
      </c>
      <c r="K5755" s="343">
        <v>4.6100000000000003</v>
      </c>
      <c r="L5755" s="343">
        <v>0</v>
      </c>
      <c r="M5755" s="343">
        <v>-968156.31</v>
      </c>
      <c r="O5755" s="343">
        <v>0</v>
      </c>
    </row>
    <row r="5756" spans="1:15" x14ac:dyDescent="0.3">
      <c r="A5756" s="340" t="s">
        <v>891</v>
      </c>
      <c r="B5756" s="350">
        <v>46159</v>
      </c>
      <c r="C5756" s="350">
        <v>46159</v>
      </c>
      <c r="D5756" s="351">
        <v>46143</v>
      </c>
      <c r="E5756" s="340" t="s">
        <v>3437</v>
      </c>
      <c r="F5756" s="340" t="s">
        <v>1078</v>
      </c>
      <c r="G5756" s="340" t="s">
        <v>3025</v>
      </c>
      <c r="I5756" s="340" t="s">
        <v>771</v>
      </c>
      <c r="K5756" s="343">
        <v>5.23</v>
      </c>
      <c r="L5756" s="343">
        <v>0</v>
      </c>
      <c r="M5756" s="343">
        <v>-968151.08</v>
      </c>
      <c r="O5756" s="343">
        <v>0</v>
      </c>
    </row>
    <row r="5757" spans="1:15" x14ac:dyDescent="0.3">
      <c r="A5757" s="340" t="s">
        <v>891</v>
      </c>
      <c r="B5757" s="350">
        <v>46159</v>
      </c>
      <c r="C5757" s="350">
        <v>46159</v>
      </c>
      <c r="D5757" s="351">
        <v>46143</v>
      </c>
      <c r="E5757" s="340" t="s">
        <v>3437</v>
      </c>
      <c r="F5757" s="340" t="s">
        <v>1078</v>
      </c>
      <c r="G5757" s="340" t="s">
        <v>3026</v>
      </c>
      <c r="I5757" s="340" t="s">
        <v>771</v>
      </c>
      <c r="K5757" s="343">
        <v>6.12</v>
      </c>
      <c r="L5757" s="343">
        <v>0</v>
      </c>
      <c r="M5757" s="343">
        <v>-968144.96</v>
      </c>
      <c r="O5757" s="343">
        <v>0</v>
      </c>
    </row>
    <row r="5758" spans="1:15" x14ac:dyDescent="0.3">
      <c r="A5758" s="340" t="s">
        <v>891</v>
      </c>
      <c r="B5758" s="350">
        <v>46159</v>
      </c>
      <c r="C5758" s="350">
        <v>46159</v>
      </c>
      <c r="D5758" s="351">
        <v>46143</v>
      </c>
      <c r="E5758" s="340" t="s">
        <v>3437</v>
      </c>
      <c r="F5758" s="340" t="s">
        <v>1078</v>
      </c>
      <c r="G5758" s="340" t="s">
        <v>3005</v>
      </c>
      <c r="I5758" s="340" t="s">
        <v>771</v>
      </c>
      <c r="K5758" s="343">
        <v>20.94</v>
      </c>
      <c r="L5758" s="343">
        <v>0</v>
      </c>
      <c r="M5758" s="343">
        <v>-968124.02</v>
      </c>
      <c r="O5758" s="343">
        <v>0</v>
      </c>
    </row>
    <row r="5759" spans="1:15" x14ac:dyDescent="0.3">
      <c r="A5759" s="340" t="s">
        <v>891</v>
      </c>
      <c r="B5759" s="350">
        <v>46159</v>
      </c>
      <c r="C5759" s="350">
        <v>46159</v>
      </c>
      <c r="D5759" s="351">
        <v>46143</v>
      </c>
      <c r="E5759" s="340" t="s">
        <v>3437</v>
      </c>
      <c r="F5759" s="340" t="s">
        <v>1078</v>
      </c>
      <c r="G5759" s="340" t="s">
        <v>3019</v>
      </c>
      <c r="I5759" s="340" t="s">
        <v>771</v>
      </c>
      <c r="K5759" s="343">
        <v>0.01</v>
      </c>
      <c r="L5759" s="343">
        <v>0</v>
      </c>
      <c r="M5759" s="343">
        <v>-968124.01</v>
      </c>
      <c r="O5759" s="343">
        <v>0</v>
      </c>
    </row>
    <row r="5760" spans="1:15" x14ac:dyDescent="0.3">
      <c r="A5760" s="340" t="s">
        <v>891</v>
      </c>
      <c r="B5760" s="350">
        <v>46159</v>
      </c>
      <c r="C5760" s="350">
        <v>46159</v>
      </c>
      <c r="D5760" s="351">
        <v>46143</v>
      </c>
      <c r="E5760" s="340" t="s">
        <v>3437</v>
      </c>
      <c r="F5760" s="340" t="s">
        <v>1078</v>
      </c>
      <c r="G5760" s="340" t="s">
        <v>3016</v>
      </c>
      <c r="I5760" s="340" t="s">
        <v>771</v>
      </c>
      <c r="K5760" s="343">
        <v>0.01</v>
      </c>
      <c r="L5760" s="343">
        <v>0</v>
      </c>
      <c r="M5760" s="343">
        <v>-968124</v>
      </c>
      <c r="O5760" s="343">
        <v>0</v>
      </c>
    </row>
    <row r="5761" spans="1:15" x14ac:dyDescent="0.3">
      <c r="A5761" s="340" t="s">
        <v>891</v>
      </c>
      <c r="B5761" s="350">
        <v>46159</v>
      </c>
      <c r="C5761" s="350">
        <v>46159</v>
      </c>
      <c r="D5761" s="351">
        <v>46143</v>
      </c>
      <c r="E5761" s="340" t="s">
        <v>3437</v>
      </c>
      <c r="F5761" s="340" t="s">
        <v>1078</v>
      </c>
      <c r="G5761" s="340" t="s">
        <v>3016</v>
      </c>
      <c r="I5761" s="340" t="s">
        <v>771</v>
      </c>
      <c r="K5761" s="343">
        <v>0.02</v>
      </c>
      <c r="L5761" s="343">
        <v>0</v>
      </c>
      <c r="M5761" s="343">
        <v>-968123.98</v>
      </c>
      <c r="O5761" s="343">
        <v>0</v>
      </c>
    </row>
    <row r="5762" spans="1:15" x14ac:dyDescent="0.3">
      <c r="A5762" s="340" t="s">
        <v>891</v>
      </c>
      <c r="B5762" s="350">
        <v>46159</v>
      </c>
      <c r="C5762" s="350">
        <v>46159</v>
      </c>
      <c r="D5762" s="351">
        <v>46143</v>
      </c>
      <c r="E5762" s="340" t="s">
        <v>3437</v>
      </c>
      <c r="F5762" s="340" t="s">
        <v>1078</v>
      </c>
      <c r="G5762" s="340" t="s">
        <v>3018</v>
      </c>
      <c r="I5762" s="340" t="s">
        <v>771</v>
      </c>
      <c r="K5762" s="343">
        <v>0.05</v>
      </c>
      <c r="L5762" s="343">
        <v>0</v>
      </c>
      <c r="M5762" s="343">
        <v>-968123.93</v>
      </c>
      <c r="O5762" s="343">
        <v>0</v>
      </c>
    </row>
    <row r="5763" spans="1:15" x14ac:dyDescent="0.3">
      <c r="A5763" s="340" t="s">
        <v>891</v>
      </c>
      <c r="B5763" s="350">
        <v>46159</v>
      </c>
      <c r="C5763" s="350">
        <v>46159</v>
      </c>
      <c r="D5763" s="351">
        <v>46143</v>
      </c>
      <c r="E5763" s="340" t="s">
        <v>3437</v>
      </c>
      <c r="F5763" s="340" t="s">
        <v>1078</v>
      </c>
      <c r="G5763" s="340" t="s">
        <v>3020</v>
      </c>
      <c r="I5763" s="340" t="s">
        <v>771</v>
      </c>
      <c r="K5763" s="343">
        <v>0.08</v>
      </c>
      <c r="L5763" s="343">
        <v>0</v>
      </c>
      <c r="M5763" s="343">
        <v>-968123.85</v>
      </c>
      <c r="O5763" s="343">
        <v>0</v>
      </c>
    </row>
    <row r="5764" spans="1:15" x14ac:dyDescent="0.3">
      <c r="A5764" s="340" t="s">
        <v>891</v>
      </c>
      <c r="B5764" s="350">
        <v>46159</v>
      </c>
      <c r="C5764" s="350">
        <v>46159</v>
      </c>
      <c r="D5764" s="351">
        <v>46143</v>
      </c>
      <c r="E5764" s="340" t="s">
        <v>3437</v>
      </c>
      <c r="F5764" s="340" t="s">
        <v>1078</v>
      </c>
      <c r="G5764" s="340" t="s">
        <v>3020</v>
      </c>
      <c r="I5764" s="340" t="s">
        <v>771</v>
      </c>
      <c r="K5764" s="343">
        <v>0.12</v>
      </c>
      <c r="L5764" s="343">
        <v>0</v>
      </c>
      <c r="M5764" s="343">
        <v>-968123.73</v>
      </c>
      <c r="O5764" s="343">
        <v>0</v>
      </c>
    </row>
    <row r="5765" spans="1:15" x14ac:dyDescent="0.3">
      <c r="A5765" s="340" t="s">
        <v>891</v>
      </c>
      <c r="B5765" s="350">
        <v>46159</v>
      </c>
      <c r="C5765" s="350">
        <v>46159</v>
      </c>
      <c r="D5765" s="351">
        <v>46143</v>
      </c>
      <c r="E5765" s="340" t="s">
        <v>3437</v>
      </c>
      <c r="F5765" s="340" t="s">
        <v>1078</v>
      </c>
      <c r="G5765" s="340" t="s">
        <v>3022</v>
      </c>
      <c r="I5765" s="340" t="s">
        <v>771</v>
      </c>
      <c r="K5765" s="343">
        <v>0.15</v>
      </c>
      <c r="L5765" s="343">
        <v>0</v>
      </c>
      <c r="M5765" s="343">
        <v>-968123.58</v>
      </c>
      <c r="O5765" s="343">
        <v>0</v>
      </c>
    </row>
    <row r="5766" spans="1:15" x14ac:dyDescent="0.3">
      <c r="A5766" s="340" t="s">
        <v>891</v>
      </c>
      <c r="B5766" s="350">
        <v>46159</v>
      </c>
      <c r="C5766" s="350">
        <v>46159</v>
      </c>
      <c r="D5766" s="351">
        <v>46143</v>
      </c>
      <c r="E5766" s="340" t="s">
        <v>3437</v>
      </c>
      <c r="F5766" s="340" t="s">
        <v>1078</v>
      </c>
      <c r="G5766" s="340" t="s">
        <v>3022</v>
      </c>
      <c r="I5766" s="340" t="s">
        <v>771</v>
      </c>
      <c r="K5766" s="343">
        <v>0.23</v>
      </c>
      <c r="L5766" s="343">
        <v>0</v>
      </c>
      <c r="M5766" s="343">
        <v>-968123.35</v>
      </c>
      <c r="O5766" s="343">
        <v>0</v>
      </c>
    </row>
    <row r="5767" spans="1:15" x14ac:dyDescent="0.3">
      <c r="A5767" s="340" t="s">
        <v>891</v>
      </c>
      <c r="B5767" s="350">
        <v>46159</v>
      </c>
      <c r="C5767" s="350">
        <v>46159</v>
      </c>
      <c r="D5767" s="351">
        <v>46143</v>
      </c>
      <c r="E5767" s="340" t="s">
        <v>3437</v>
      </c>
      <c r="F5767" s="340" t="s">
        <v>1078</v>
      </c>
      <c r="G5767" s="340" t="s">
        <v>3023</v>
      </c>
      <c r="I5767" s="340" t="s">
        <v>771</v>
      </c>
      <c r="K5767" s="343">
        <v>0.31</v>
      </c>
      <c r="L5767" s="343">
        <v>0</v>
      </c>
      <c r="M5767" s="343">
        <v>-968123.04</v>
      </c>
      <c r="O5767" s="343">
        <v>0</v>
      </c>
    </row>
    <row r="5768" spans="1:15" x14ac:dyDescent="0.3">
      <c r="A5768" s="340" t="s">
        <v>891</v>
      </c>
      <c r="B5768" s="350">
        <v>46159</v>
      </c>
      <c r="C5768" s="350">
        <v>46159</v>
      </c>
      <c r="D5768" s="351">
        <v>46143</v>
      </c>
      <c r="E5768" s="340" t="s">
        <v>3437</v>
      </c>
      <c r="F5768" s="340" t="s">
        <v>1078</v>
      </c>
      <c r="G5768" s="340" t="s">
        <v>3024</v>
      </c>
      <c r="I5768" s="340" t="s">
        <v>771</v>
      </c>
      <c r="K5768" s="343">
        <v>0.63</v>
      </c>
      <c r="L5768" s="343">
        <v>0</v>
      </c>
      <c r="M5768" s="343">
        <v>-968122.41</v>
      </c>
      <c r="O5768" s="343">
        <v>0</v>
      </c>
    </row>
    <row r="5769" spans="1:15" x14ac:dyDescent="0.3">
      <c r="A5769" s="340" t="s">
        <v>891</v>
      </c>
      <c r="B5769" s="350">
        <v>46159</v>
      </c>
      <c r="C5769" s="350">
        <v>46159</v>
      </c>
      <c r="D5769" s="351">
        <v>46143</v>
      </c>
      <c r="E5769" s="340" t="s">
        <v>3437</v>
      </c>
      <c r="F5769" s="340" t="s">
        <v>1078</v>
      </c>
      <c r="G5769" s="340" t="s">
        <v>3025</v>
      </c>
      <c r="I5769" s="340" t="s">
        <v>771</v>
      </c>
      <c r="K5769" s="343">
        <v>1.8</v>
      </c>
      <c r="L5769" s="343">
        <v>0</v>
      </c>
      <c r="M5769" s="343">
        <v>-968120.61</v>
      </c>
      <c r="O5769" s="343">
        <v>0</v>
      </c>
    </row>
    <row r="5770" spans="1:15" x14ac:dyDescent="0.3">
      <c r="A5770" s="340" t="s">
        <v>891</v>
      </c>
      <c r="B5770" s="350">
        <v>46159</v>
      </c>
      <c r="C5770" s="350">
        <v>46159</v>
      </c>
      <c r="D5770" s="351">
        <v>46143</v>
      </c>
      <c r="E5770" s="340" t="s">
        <v>3437</v>
      </c>
      <c r="F5770" s="340" t="s">
        <v>1078</v>
      </c>
      <c r="G5770" s="340" t="s">
        <v>3026</v>
      </c>
      <c r="I5770" s="340" t="s">
        <v>771</v>
      </c>
      <c r="K5770" s="343">
        <v>2.1</v>
      </c>
      <c r="L5770" s="343">
        <v>0</v>
      </c>
      <c r="M5770" s="343">
        <v>-968118.51</v>
      </c>
      <c r="O5770" s="343">
        <v>0</v>
      </c>
    </row>
    <row r="5771" spans="1:15" x14ac:dyDescent="0.3">
      <c r="A5771" s="340" t="s">
        <v>891</v>
      </c>
      <c r="B5771" s="350">
        <v>46159</v>
      </c>
      <c r="C5771" s="350">
        <v>46159</v>
      </c>
      <c r="D5771" s="351">
        <v>46143</v>
      </c>
      <c r="E5771" s="340" t="s">
        <v>3437</v>
      </c>
      <c r="F5771" s="340" t="s">
        <v>1078</v>
      </c>
      <c r="G5771" s="340" t="s">
        <v>3017</v>
      </c>
      <c r="I5771" s="340" t="s">
        <v>771</v>
      </c>
      <c r="K5771" s="343">
        <v>2.2599999999999998</v>
      </c>
      <c r="L5771" s="343">
        <v>0</v>
      </c>
      <c r="M5771" s="343">
        <v>-968116.25</v>
      </c>
      <c r="O5771" s="343">
        <v>0</v>
      </c>
    </row>
    <row r="5772" spans="1:15" x14ac:dyDescent="0.3">
      <c r="A5772" s="340" t="s">
        <v>891</v>
      </c>
      <c r="B5772" s="350">
        <v>46159</v>
      </c>
      <c r="C5772" s="350">
        <v>46159</v>
      </c>
      <c r="D5772" s="351">
        <v>46143</v>
      </c>
      <c r="E5772" s="340" t="s">
        <v>3437</v>
      </c>
      <c r="F5772" s="340" t="s">
        <v>1078</v>
      </c>
      <c r="G5772" s="340" t="s">
        <v>3021</v>
      </c>
      <c r="I5772" s="340" t="s">
        <v>771</v>
      </c>
      <c r="K5772" s="343">
        <v>4.6100000000000003</v>
      </c>
      <c r="L5772" s="343">
        <v>0</v>
      </c>
      <c r="M5772" s="343">
        <v>-968111.64</v>
      </c>
      <c r="O5772" s="343">
        <v>0</v>
      </c>
    </row>
    <row r="5773" spans="1:15" x14ac:dyDescent="0.3">
      <c r="A5773" s="340" t="s">
        <v>891</v>
      </c>
      <c r="B5773" s="350">
        <v>46159</v>
      </c>
      <c r="C5773" s="350">
        <v>46159</v>
      </c>
      <c r="D5773" s="351">
        <v>46143</v>
      </c>
      <c r="E5773" s="340" t="s">
        <v>3437</v>
      </c>
      <c r="F5773" s="340" t="s">
        <v>1078</v>
      </c>
      <c r="G5773" s="340" t="s">
        <v>3005</v>
      </c>
      <c r="I5773" s="340" t="s">
        <v>771</v>
      </c>
      <c r="K5773" s="343">
        <v>7.2</v>
      </c>
      <c r="L5773" s="343">
        <v>0</v>
      </c>
      <c r="M5773" s="343">
        <v>-968104.44</v>
      </c>
      <c r="O5773" s="343">
        <v>0</v>
      </c>
    </row>
    <row r="5774" spans="1:15" x14ac:dyDescent="0.3">
      <c r="A5774" s="340" t="s">
        <v>891</v>
      </c>
      <c r="B5774" s="350">
        <v>46159</v>
      </c>
      <c r="C5774" s="350">
        <v>46159</v>
      </c>
      <c r="D5774" s="351">
        <v>46143</v>
      </c>
      <c r="E5774" s="340" t="s">
        <v>3437</v>
      </c>
      <c r="F5774" s="340" t="s">
        <v>1078</v>
      </c>
      <c r="G5774" s="340" t="s">
        <v>3005</v>
      </c>
      <c r="I5774" s="340" t="s">
        <v>771</v>
      </c>
      <c r="K5774" s="343">
        <v>9.81</v>
      </c>
      <c r="L5774" s="343">
        <v>0</v>
      </c>
      <c r="M5774" s="343">
        <v>-968094.63</v>
      </c>
      <c r="O5774" s="343">
        <v>0</v>
      </c>
    </row>
    <row r="5775" spans="1:15" x14ac:dyDescent="0.3">
      <c r="A5775" s="340" t="s">
        <v>891</v>
      </c>
      <c r="B5775" s="350">
        <v>46159</v>
      </c>
      <c r="C5775" s="350">
        <v>46159</v>
      </c>
      <c r="D5775" s="351">
        <v>46143</v>
      </c>
      <c r="E5775" s="340" t="s">
        <v>3437</v>
      </c>
      <c r="F5775" s="340" t="s">
        <v>1078</v>
      </c>
      <c r="G5775" s="340" t="s">
        <v>3023</v>
      </c>
      <c r="I5775" s="340" t="s">
        <v>771</v>
      </c>
      <c r="K5775" s="343">
        <v>0.42</v>
      </c>
      <c r="L5775" s="343">
        <v>0</v>
      </c>
      <c r="M5775" s="343">
        <v>-968094.21</v>
      </c>
      <c r="O5775" s="343">
        <v>0</v>
      </c>
    </row>
    <row r="5776" spans="1:15" x14ac:dyDescent="0.3">
      <c r="A5776" s="340" t="s">
        <v>891</v>
      </c>
      <c r="B5776" s="350">
        <v>46159</v>
      </c>
      <c r="C5776" s="350">
        <v>46159</v>
      </c>
      <c r="D5776" s="351">
        <v>46143</v>
      </c>
      <c r="E5776" s="340" t="s">
        <v>3437</v>
      </c>
      <c r="F5776" s="340" t="s">
        <v>1078</v>
      </c>
      <c r="G5776" s="340" t="s">
        <v>3018</v>
      </c>
      <c r="I5776" s="340" t="s">
        <v>771</v>
      </c>
      <c r="K5776" s="343">
        <v>7.0000000000000007E-2</v>
      </c>
      <c r="L5776" s="343">
        <v>0</v>
      </c>
      <c r="M5776" s="343">
        <v>-968094.14</v>
      </c>
      <c r="O5776" s="343">
        <v>0</v>
      </c>
    </row>
    <row r="5777" spans="1:15" x14ac:dyDescent="0.3">
      <c r="A5777" s="340" t="s">
        <v>891</v>
      </c>
      <c r="B5777" s="350">
        <v>46159</v>
      </c>
      <c r="C5777" s="350">
        <v>46159</v>
      </c>
      <c r="D5777" s="351">
        <v>46143</v>
      </c>
      <c r="E5777" s="340" t="s">
        <v>3437</v>
      </c>
      <c r="F5777" s="340" t="s">
        <v>1078</v>
      </c>
      <c r="G5777" s="340" t="s">
        <v>3016</v>
      </c>
      <c r="I5777" s="340" t="s">
        <v>771</v>
      </c>
      <c r="K5777" s="343">
        <v>0.02</v>
      </c>
      <c r="L5777" s="343">
        <v>0</v>
      </c>
      <c r="M5777" s="343">
        <v>-968094.12</v>
      </c>
      <c r="O5777" s="343">
        <v>0</v>
      </c>
    </row>
    <row r="5778" spans="1:15" x14ac:dyDescent="0.3">
      <c r="A5778" s="340" t="s">
        <v>891</v>
      </c>
      <c r="B5778" s="350">
        <v>46159</v>
      </c>
      <c r="C5778" s="350">
        <v>46159</v>
      </c>
      <c r="D5778" s="351">
        <v>46143</v>
      </c>
      <c r="E5778" s="340" t="s">
        <v>3437</v>
      </c>
      <c r="F5778" s="340" t="s">
        <v>1078</v>
      </c>
      <c r="G5778" s="340" t="s">
        <v>3022</v>
      </c>
      <c r="I5778" s="340" t="s">
        <v>771</v>
      </c>
      <c r="K5778" s="343">
        <v>0.21</v>
      </c>
      <c r="L5778" s="343">
        <v>0</v>
      </c>
      <c r="M5778" s="343">
        <v>-968093.91</v>
      </c>
      <c r="O5778" s="343">
        <v>0</v>
      </c>
    </row>
    <row r="5779" spans="1:15" x14ac:dyDescent="0.3">
      <c r="A5779" s="340" t="s">
        <v>891</v>
      </c>
      <c r="B5779" s="350">
        <v>46159</v>
      </c>
      <c r="C5779" s="350">
        <v>46159</v>
      </c>
      <c r="D5779" s="351">
        <v>46143</v>
      </c>
      <c r="E5779" s="340" t="s">
        <v>3437</v>
      </c>
      <c r="F5779" s="340" t="s">
        <v>1078</v>
      </c>
      <c r="G5779" s="340" t="s">
        <v>3019</v>
      </c>
      <c r="I5779" s="340" t="s">
        <v>771</v>
      </c>
      <c r="K5779" s="343">
        <v>0.01</v>
      </c>
      <c r="L5779" s="343">
        <v>0</v>
      </c>
      <c r="M5779" s="343">
        <v>-968093.9</v>
      </c>
      <c r="O5779" s="343">
        <v>0</v>
      </c>
    </row>
    <row r="5780" spans="1:15" x14ac:dyDescent="0.3">
      <c r="A5780" s="340" t="s">
        <v>891</v>
      </c>
      <c r="B5780" s="350">
        <v>46159</v>
      </c>
      <c r="C5780" s="350">
        <v>46159</v>
      </c>
      <c r="D5780" s="351">
        <v>46143</v>
      </c>
      <c r="E5780" s="340" t="s">
        <v>3437</v>
      </c>
      <c r="F5780" s="340" t="s">
        <v>1078</v>
      </c>
      <c r="G5780" s="340" t="s">
        <v>3016</v>
      </c>
      <c r="I5780" s="340" t="s">
        <v>771</v>
      </c>
      <c r="K5780" s="343">
        <v>0.02</v>
      </c>
      <c r="L5780" s="343">
        <v>0</v>
      </c>
      <c r="M5780" s="343">
        <v>-968093.88</v>
      </c>
      <c r="O5780" s="343">
        <v>0</v>
      </c>
    </row>
    <row r="5781" spans="1:15" x14ac:dyDescent="0.3">
      <c r="A5781" s="340" t="s">
        <v>891</v>
      </c>
      <c r="B5781" s="350">
        <v>46159</v>
      </c>
      <c r="C5781" s="350">
        <v>46159</v>
      </c>
      <c r="D5781" s="351">
        <v>46143</v>
      </c>
      <c r="E5781" s="340" t="s">
        <v>3437</v>
      </c>
      <c r="F5781" s="340" t="s">
        <v>1078</v>
      </c>
      <c r="G5781" s="340" t="s">
        <v>3020</v>
      </c>
      <c r="I5781" s="340" t="s">
        <v>771</v>
      </c>
      <c r="K5781" s="343">
        <v>0.11</v>
      </c>
      <c r="L5781" s="343">
        <v>0</v>
      </c>
      <c r="M5781" s="343">
        <v>-968093.77</v>
      </c>
      <c r="O5781" s="343">
        <v>0</v>
      </c>
    </row>
    <row r="5782" spans="1:15" x14ac:dyDescent="0.3">
      <c r="A5782" s="340" t="s">
        <v>891</v>
      </c>
      <c r="B5782" s="350">
        <v>46159</v>
      </c>
      <c r="C5782" s="350">
        <v>46159</v>
      </c>
      <c r="D5782" s="351">
        <v>46143</v>
      </c>
      <c r="E5782" s="340" t="s">
        <v>3437</v>
      </c>
      <c r="F5782" s="340" t="s">
        <v>1078</v>
      </c>
      <c r="G5782" s="340" t="s">
        <v>3020</v>
      </c>
      <c r="I5782" s="340" t="s">
        <v>771</v>
      </c>
      <c r="K5782" s="343">
        <v>0.13</v>
      </c>
      <c r="L5782" s="343">
        <v>0</v>
      </c>
      <c r="M5782" s="343">
        <v>-968093.64</v>
      </c>
      <c r="O5782" s="343">
        <v>0</v>
      </c>
    </row>
    <row r="5783" spans="1:15" x14ac:dyDescent="0.3">
      <c r="A5783" s="340" t="s">
        <v>891</v>
      </c>
      <c r="B5783" s="350">
        <v>46159</v>
      </c>
      <c r="C5783" s="350">
        <v>46159</v>
      </c>
      <c r="D5783" s="351">
        <v>46143</v>
      </c>
      <c r="E5783" s="340" t="s">
        <v>3437</v>
      </c>
      <c r="F5783" s="340" t="s">
        <v>1078</v>
      </c>
      <c r="G5783" s="340" t="s">
        <v>3022</v>
      </c>
      <c r="I5783" s="340" t="s">
        <v>771</v>
      </c>
      <c r="K5783" s="343">
        <v>0.27</v>
      </c>
      <c r="L5783" s="343">
        <v>0</v>
      </c>
      <c r="M5783" s="343">
        <v>-968093.37</v>
      </c>
      <c r="O5783" s="343">
        <v>0</v>
      </c>
    </row>
    <row r="5784" spans="1:15" x14ac:dyDescent="0.3">
      <c r="A5784" s="340" t="s">
        <v>891</v>
      </c>
      <c r="B5784" s="350">
        <v>46159</v>
      </c>
      <c r="C5784" s="350">
        <v>46159</v>
      </c>
      <c r="D5784" s="351">
        <v>46143</v>
      </c>
      <c r="E5784" s="340" t="s">
        <v>3437</v>
      </c>
      <c r="F5784" s="340" t="s">
        <v>1078</v>
      </c>
      <c r="G5784" s="340" t="s">
        <v>3024</v>
      </c>
      <c r="I5784" s="340" t="s">
        <v>771</v>
      </c>
      <c r="K5784" s="343">
        <v>0.87</v>
      </c>
      <c r="L5784" s="343">
        <v>0</v>
      </c>
      <c r="M5784" s="343">
        <v>-968092.5</v>
      </c>
      <c r="O5784" s="343">
        <v>0</v>
      </c>
    </row>
    <row r="5785" spans="1:15" x14ac:dyDescent="0.3">
      <c r="A5785" s="340" t="s">
        <v>891</v>
      </c>
      <c r="B5785" s="350">
        <v>46159</v>
      </c>
      <c r="C5785" s="350">
        <v>46159</v>
      </c>
      <c r="D5785" s="351">
        <v>46143</v>
      </c>
      <c r="E5785" s="340" t="s">
        <v>3437</v>
      </c>
      <c r="F5785" s="340" t="s">
        <v>1078</v>
      </c>
      <c r="G5785" s="340" t="s">
        <v>3017</v>
      </c>
      <c r="I5785" s="340" t="s">
        <v>771</v>
      </c>
      <c r="K5785" s="343">
        <v>2.2599999999999998</v>
      </c>
      <c r="L5785" s="343">
        <v>0</v>
      </c>
      <c r="M5785" s="343">
        <v>-968090.24</v>
      </c>
      <c r="O5785" s="343">
        <v>0</v>
      </c>
    </row>
    <row r="5786" spans="1:15" x14ac:dyDescent="0.3">
      <c r="A5786" s="340" t="s">
        <v>891</v>
      </c>
      <c r="B5786" s="350">
        <v>46159</v>
      </c>
      <c r="C5786" s="350">
        <v>46159</v>
      </c>
      <c r="D5786" s="351">
        <v>46143</v>
      </c>
      <c r="E5786" s="340" t="s">
        <v>3437</v>
      </c>
      <c r="F5786" s="340" t="s">
        <v>1078</v>
      </c>
      <c r="G5786" s="340" t="s">
        <v>3025</v>
      </c>
      <c r="I5786" s="340" t="s">
        <v>771</v>
      </c>
      <c r="K5786" s="343">
        <v>2.4500000000000002</v>
      </c>
      <c r="L5786" s="343">
        <v>0</v>
      </c>
      <c r="M5786" s="343">
        <v>-968087.79</v>
      </c>
      <c r="O5786" s="343">
        <v>0</v>
      </c>
    </row>
    <row r="5787" spans="1:15" x14ac:dyDescent="0.3">
      <c r="A5787" s="340" t="s">
        <v>891</v>
      </c>
      <c r="B5787" s="350">
        <v>46159</v>
      </c>
      <c r="C5787" s="350">
        <v>46159</v>
      </c>
      <c r="D5787" s="351">
        <v>46143</v>
      </c>
      <c r="E5787" s="340" t="s">
        <v>3437</v>
      </c>
      <c r="F5787" s="340" t="s">
        <v>1078</v>
      </c>
      <c r="G5787" s="340" t="s">
        <v>3026</v>
      </c>
      <c r="I5787" s="340" t="s">
        <v>771</v>
      </c>
      <c r="K5787" s="343">
        <v>2.87</v>
      </c>
      <c r="L5787" s="343">
        <v>0</v>
      </c>
      <c r="M5787" s="343">
        <v>-968084.92</v>
      </c>
      <c r="O5787" s="343">
        <v>0</v>
      </c>
    </row>
    <row r="5788" spans="1:15" x14ac:dyDescent="0.3">
      <c r="A5788" s="340" t="s">
        <v>891</v>
      </c>
      <c r="B5788" s="350">
        <v>46159</v>
      </c>
      <c r="C5788" s="350">
        <v>46159</v>
      </c>
      <c r="D5788" s="351">
        <v>46143</v>
      </c>
      <c r="E5788" s="340" t="s">
        <v>3437</v>
      </c>
      <c r="F5788" s="340" t="s">
        <v>1078</v>
      </c>
      <c r="G5788" s="340" t="s">
        <v>3020</v>
      </c>
      <c r="I5788" s="340" t="s">
        <v>771</v>
      </c>
      <c r="K5788" s="343">
        <v>0.13</v>
      </c>
      <c r="L5788" s="343">
        <v>0</v>
      </c>
      <c r="M5788" s="343">
        <v>-968084.79</v>
      </c>
      <c r="O5788" s="343">
        <v>0</v>
      </c>
    </row>
    <row r="5789" spans="1:15" x14ac:dyDescent="0.3">
      <c r="A5789" s="340" t="s">
        <v>891</v>
      </c>
      <c r="B5789" s="350">
        <v>46159</v>
      </c>
      <c r="C5789" s="350">
        <v>46159</v>
      </c>
      <c r="D5789" s="351">
        <v>46143</v>
      </c>
      <c r="E5789" s="340" t="s">
        <v>3437</v>
      </c>
      <c r="F5789" s="340" t="s">
        <v>1078</v>
      </c>
      <c r="G5789" s="340" t="s">
        <v>3021</v>
      </c>
      <c r="I5789" s="340" t="s">
        <v>771</v>
      </c>
      <c r="K5789" s="343">
        <v>4.6100000000000003</v>
      </c>
      <c r="L5789" s="343">
        <v>0</v>
      </c>
      <c r="M5789" s="343">
        <v>-968080.18</v>
      </c>
      <c r="O5789" s="343">
        <v>0</v>
      </c>
    </row>
    <row r="5790" spans="1:15" x14ac:dyDescent="0.3">
      <c r="A5790" s="340" t="s">
        <v>891</v>
      </c>
      <c r="B5790" s="350">
        <v>46159</v>
      </c>
      <c r="C5790" s="350">
        <v>46159</v>
      </c>
      <c r="D5790" s="351">
        <v>46143</v>
      </c>
      <c r="E5790" s="340" t="s">
        <v>3437</v>
      </c>
      <c r="F5790" s="340" t="s">
        <v>1078</v>
      </c>
      <c r="G5790" s="340" t="s">
        <v>3018</v>
      </c>
      <c r="I5790" s="340" t="s">
        <v>771</v>
      </c>
      <c r="K5790" s="343">
        <v>7.0000000000000007E-2</v>
      </c>
      <c r="L5790" s="343">
        <v>0</v>
      </c>
      <c r="M5790" s="343">
        <v>-968080.11</v>
      </c>
      <c r="O5790" s="343">
        <v>0</v>
      </c>
    </row>
    <row r="5791" spans="1:15" x14ac:dyDescent="0.3">
      <c r="A5791" s="340" t="s">
        <v>891</v>
      </c>
      <c r="B5791" s="350">
        <v>46159</v>
      </c>
      <c r="C5791" s="350">
        <v>46159</v>
      </c>
      <c r="D5791" s="351">
        <v>46143</v>
      </c>
      <c r="E5791" s="340" t="s">
        <v>3437</v>
      </c>
      <c r="F5791" s="340" t="s">
        <v>1078</v>
      </c>
      <c r="G5791" s="340" t="s">
        <v>3020</v>
      </c>
      <c r="I5791" s="340" t="s">
        <v>771</v>
      </c>
      <c r="K5791" s="343">
        <v>0.1</v>
      </c>
      <c r="L5791" s="343">
        <v>0</v>
      </c>
      <c r="M5791" s="343">
        <v>-968080.01</v>
      </c>
      <c r="O5791" s="343">
        <v>0</v>
      </c>
    </row>
    <row r="5792" spans="1:15" x14ac:dyDescent="0.3">
      <c r="A5792" s="340" t="s">
        <v>891</v>
      </c>
      <c r="B5792" s="350">
        <v>46159</v>
      </c>
      <c r="C5792" s="350">
        <v>46159</v>
      </c>
      <c r="D5792" s="351">
        <v>46143</v>
      </c>
      <c r="E5792" s="340" t="s">
        <v>3437</v>
      </c>
      <c r="F5792" s="340" t="s">
        <v>1078</v>
      </c>
      <c r="G5792" s="340" t="s">
        <v>3022</v>
      </c>
      <c r="I5792" s="340" t="s">
        <v>771</v>
      </c>
      <c r="K5792" s="343">
        <v>0.19</v>
      </c>
      <c r="L5792" s="343">
        <v>0</v>
      </c>
      <c r="M5792" s="343">
        <v>-968079.82</v>
      </c>
      <c r="O5792" s="343">
        <v>0</v>
      </c>
    </row>
    <row r="5793" spans="1:15" x14ac:dyDescent="0.3">
      <c r="A5793" s="340" t="s">
        <v>891</v>
      </c>
      <c r="B5793" s="350">
        <v>46159</v>
      </c>
      <c r="C5793" s="350">
        <v>46159</v>
      </c>
      <c r="D5793" s="351">
        <v>46143</v>
      </c>
      <c r="E5793" s="340" t="s">
        <v>3437</v>
      </c>
      <c r="F5793" s="340" t="s">
        <v>1078</v>
      </c>
      <c r="G5793" s="340" t="s">
        <v>3023</v>
      </c>
      <c r="I5793" s="340" t="s">
        <v>771</v>
      </c>
      <c r="K5793" s="343">
        <v>0.39</v>
      </c>
      <c r="L5793" s="343">
        <v>0</v>
      </c>
      <c r="M5793" s="343">
        <v>-968079.43</v>
      </c>
      <c r="O5793" s="343">
        <v>0</v>
      </c>
    </row>
    <row r="5794" spans="1:15" x14ac:dyDescent="0.3">
      <c r="A5794" s="340" t="s">
        <v>891</v>
      </c>
      <c r="B5794" s="350">
        <v>46159</v>
      </c>
      <c r="C5794" s="350">
        <v>46159</v>
      </c>
      <c r="D5794" s="351">
        <v>46143</v>
      </c>
      <c r="E5794" s="340" t="s">
        <v>3437</v>
      </c>
      <c r="F5794" s="340" t="s">
        <v>1078</v>
      </c>
      <c r="G5794" s="340" t="s">
        <v>3024</v>
      </c>
      <c r="I5794" s="340" t="s">
        <v>771</v>
      </c>
      <c r="K5794" s="343">
        <v>0.79</v>
      </c>
      <c r="L5794" s="343">
        <v>0</v>
      </c>
      <c r="M5794" s="343">
        <v>-968078.64</v>
      </c>
      <c r="O5794" s="343">
        <v>0</v>
      </c>
    </row>
    <row r="5795" spans="1:15" x14ac:dyDescent="0.3">
      <c r="A5795" s="340" t="s">
        <v>891</v>
      </c>
      <c r="B5795" s="350">
        <v>46159</v>
      </c>
      <c r="C5795" s="350">
        <v>46159</v>
      </c>
      <c r="D5795" s="351">
        <v>46143</v>
      </c>
      <c r="E5795" s="340" t="s">
        <v>3437</v>
      </c>
      <c r="F5795" s="340" t="s">
        <v>1078</v>
      </c>
      <c r="G5795" s="340" t="s">
        <v>3025</v>
      </c>
      <c r="I5795" s="340" t="s">
        <v>771</v>
      </c>
      <c r="K5795" s="343">
        <v>2.25</v>
      </c>
      <c r="L5795" s="343">
        <v>0</v>
      </c>
      <c r="M5795" s="343">
        <v>-968076.39</v>
      </c>
      <c r="O5795" s="343">
        <v>0</v>
      </c>
    </row>
    <row r="5796" spans="1:15" x14ac:dyDescent="0.3">
      <c r="A5796" s="340" t="s">
        <v>891</v>
      </c>
      <c r="B5796" s="350">
        <v>46159</v>
      </c>
      <c r="C5796" s="350">
        <v>46159</v>
      </c>
      <c r="D5796" s="351">
        <v>46143</v>
      </c>
      <c r="E5796" s="340" t="s">
        <v>3437</v>
      </c>
      <c r="F5796" s="340" t="s">
        <v>1078</v>
      </c>
      <c r="G5796" s="340" t="s">
        <v>3017</v>
      </c>
      <c r="I5796" s="340" t="s">
        <v>771</v>
      </c>
      <c r="K5796" s="343">
        <v>2.2599999999999998</v>
      </c>
      <c r="L5796" s="343">
        <v>0</v>
      </c>
      <c r="M5796" s="343">
        <v>-968074.13</v>
      </c>
      <c r="O5796" s="343">
        <v>0</v>
      </c>
    </row>
    <row r="5797" spans="1:15" x14ac:dyDescent="0.3">
      <c r="A5797" s="340" t="s">
        <v>891</v>
      </c>
      <c r="B5797" s="350">
        <v>46159</v>
      </c>
      <c r="C5797" s="350">
        <v>46159</v>
      </c>
      <c r="D5797" s="351">
        <v>46143</v>
      </c>
      <c r="E5797" s="340" t="s">
        <v>3437</v>
      </c>
      <c r="F5797" s="340" t="s">
        <v>1078</v>
      </c>
      <c r="G5797" s="340" t="s">
        <v>3026</v>
      </c>
      <c r="I5797" s="340" t="s">
        <v>771</v>
      </c>
      <c r="K5797" s="343">
        <v>2.64</v>
      </c>
      <c r="L5797" s="343">
        <v>0</v>
      </c>
      <c r="M5797" s="343">
        <v>-968071.49</v>
      </c>
      <c r="O5797" s="343">
        <v>0</v>
      </c>
    </row>
    <row r="5798" spans="1:15" x14ac:dyDescent="0.3">
      <c r="A5798" s="340" t="s">
        <v>891</v>
      </c>
      <c r="B5798" s="350">
        <v>46159</v>
      </c>
      <c r="C5798" s="350">
        <v>46159</v>
      </c>
      <c r="D5798" s="351">
        <v>46143</v>
      </c>
      <c r="E5798" s="340" t="s">
        <v>3437</v>
      </c>
      <c r="F5798" s="340" t="s">
        <v>1078</v>
      </c>
      <c r="G5798" s="340" t="s">
        <v>3021</v>
      </c>
      <c r="I5798" s="340" t="s">
        <v>771</v>
      </c>
      <c r="K5798" s="343">
        <v>4.6100000000000003</v>
      </c>
      <c r="L5798" s="343">
        <v>0</v>
      </c>
      <c r="M5798" s="343">
        <v>-968066.88</v>
      </c>
      <c r="O5798" s="343">
        <v>0</v>
      </c>
    </row>
    <row r="5799" spans="1:15" x14ac:dyDescent="0.3">
      <c r="A5799" s="340" t="s">
        <v>891</v>
      </c>
      <c r="B5799" s="350">
        <v>46159</v>
      </c>
      <c r="C5799" s="350">
        <v>46159</v>
      </c>
      <c r="D5799" s="351">
        <v>46143</v>
      </c>
      <c r="E5799" s="340" t="s">
        <v>3437</v>
      </c>
      <c r="F5799" s="340" t="s">
        <v>1078</v>
      </c>
      <c r="G5799" s="340" t="s">
        <v>3005</v>
      </c>
      <c r="I5799" s="340" t="s">
        <v>771</v>
      </c>
      <c r="K5799" s="343">
        <v>9.01</v>
      </c>
      <c r="L5799" s="343">
        <v>0</v>
      </c>
      <c r="M5799" s="343">
        <v>-968057.87</v>
      </c>
      <c r="O5799" s="343">
        <v>0</v>
      </c>
    </row>
    <row r="5800" spans="1:15" x14ac:dyDescent="0.3">
      <c r="A5800" s="340" t="s">
        <v>891</v>
      </c>
      <c r="B5800" s="350">
        <v>46159</v>
      </c>
      <c r="C5800" s="350">
        <v>46159</v>
      </c>
      <c r="D5800" s="351">
        <v>46143</v>
      </c>
      <c r="E5800" s="340" t="s">
        <v>3437</v>
      </c>
      <c r="F5800" s="340" t="s">
        <v>1078</v>
      </c>
      <c r="G5800" s="340" t="s">
        <v>3016</v>
      </c>
      <c r="I5800" s="340" t="s">
        <v>771</v>
      </c>
      <c r="K5800" s="343">
        <v>0.02</v>
      </c>
      <c r="L5800" s="343">
        <v>0</v>
      </c>
      <c r="M5800" s="343">
        <v>-968057.85</v>
      </c>
      <c r="O5800" s="343">
        <v>0</v>
      </c>
    </row>
    <row r="5801" spans="1:15" x14ac:dyDescent="0.3">
      <c r="A5801" s="340" t="s">
        <v>891</v>
      </c>
      <c r="B5801" s="350">
        <v>46159</v>
      </c>
      <c r="C5801" s="350">
        <v>46159</v>
      </c>
      <c r="D5801" s="351">
        <v>46143</v>
      </c>
      <c r="E5801" s="340" t="s">
        <v>3437</v>
      </c>
      <c r="F5801" s="340" t="s">
        <v>1078</v>
      </c>
      <c r="G5801" s="340" t="s">
        <v>3019</v>
      </c>
      <c r="I5801" s="340" t="s">
        <v>771</v>
      </c>
      <c r="K5801" s="343">
        <v>0.01</v>
      </c>
      <c r="L5801" s="343">
        <v>0</v>
      </c>
      <c r="M5801" s="343">
        <v>-968057.84</v>
      </c>
      <c r="O5801" s="343">
        <v>0</v>
      </c>
    </row>
    <row r="5802" spans="1:15" x14ac:dyDescent="0.3">
      <c r="A5802" s="340" t="s">
        <v>891</v>
      </c>
      <c r="B5802" s="350">
        <v>46159</v>
      </c>
      <c r="C5802" s="350">
        <v>46159</v>
      </c>
      <c r="D5802" s="351">
        <v>46143</v>
      </c>
      <c r="E5802" s="340" t="s">
        <v>3437</v>
      </c>
      <c r="F5802" s="340" t="s">
        <v>1078</v>
      </c>
      <c r="G5802" s="340" t="s">
        <v>3016</v>
      </c>
      <c r="I5802" s="340" t="s">
        <v>771</v>
      </c>
      <c r="K5802" s="343">
        <v>0.02</v>
      </c>
      <c r="L5802" s="343">
        <v>0</v>
      </c>
      <c r="M5802" s="343">
        <v>-968057.82</v>
      </c>
      <c r="O5802" s="343">
        <v>0</v>
      </c>
    </row>
    <row r="5803" spans="1:15" x14ac:dyDescent="0.3">
      <c r="A5803" s="340" t="s">
        <v>891</v>
      </c>
      <c r="B5803" s="350">
        <v>46159</v>
      </c>
      <c r="C5803" s="350">
        <v>46159</v>
      </c>
      <c r="D5803" s="351">
        <v>46143</v>
      </c>
      <c r="E5803" s="340" t="s">
        <v>3437</v>
      </c>
      <c r="F5803" s="340" t="s">
        <v>1078</v>
      </c>
      <c r="G5803" s="340" t="s">
        <v>3022</v>
      </c>
      <c r="I5803" s="340" t="s">
        <v>771</v>
      </c>
      <c r="K5803" s="343">
        <v>0.26</v>
      </c>
      <c r="L5803" s="343">
        <v>0</v>
      </c>
      <c r="M5803" s="343">
        <v>-968057.56</v>
      </c>
      <c r="O5803" s="343">
        <v>0</v>
      </c>
    </row>
    <row r="5804" spans="1:15" x14ac:dyDescent="0.3">
      <c r="A5804" s="340" t="s">
        <v>891</v>
      </c>
      <c r="B5804" s="350">
        <v>46159</v>
      </c>
      <c r="C5804" s="350">
        <v>46159</v>
      </c>
      <c r="D5804" s="351">
        <v>46143</v>
      </c>
      <c r="E5804" s="340" t="s">
        <v>3437</v>
      </c>
      <c r="F5804" s="340" t="s">
        <v>1078</v>
      </c>
      <c r="G5804" s="340" t="s">
        <v>3016</v>
      </c>
      <c r="I5804" s="340" t="s">
        <v>771</v>
      </c>
      <c r="K5804" s="343">
        <v>0.15</v>
      </c>
      <c r="L5804" s="343">
        <v>0</v>
      </c>
      <c r="M5804" s="343">
        <v>-968057.41</v>
      </c>
      <c r="O5804" s="343">
        <v>0</v>
      </c>
    </row>
    <row r="5805" spans="1:15" x14ac:dyDescent="0.3">
      <c r="A5805" s="340" t="s">
        <v>891</v>
      </c>
      <c r="B5805" s="350">
        <v>46159</v>
      </c>
      <c r="C5805" s="350">
        <v>46159</v>
      </c>
      <c r="D5805" s="351">
        <v>46143</v>
      </c>
      <c r="E5805" s="340" t="s">
        <v>3437</v>
      </c>
      <c r="F5805" s="340" t="s">
        <v>1078</v>
      </c>
      <c r="G5805" s="340" t="s">
        <v>3016</v>
      </c>
      <c r="I5805" s="340" t="s">
        <v>771</v>
      </c>
      <c r="K5805" s="343">
        <v>0.19</v>
      </c>
      <c r="L5805" s="343">
        <v>0</v>
      </c>
      <c r="M5805" s="343">
        <v>-968057.22</v>
      </c>
      <c r="O5805" s="343">
        <v>0</v>
      </c>
    </row>
    <row r="5806" spans="1:15" x14ac:dyDescent="0.3">
      <c r="A5806" s="340" t="s">
        <v>891</v>
      </c>
      <c r="B5806" s="350">
        <v>46159</v>
      </c>
      <c r="C5806" s="350">
        <v>46159</v>
      </c>
      <c r="D5806" s="351">
        <v>46143</v>
      </c>
      <c r="E5806" s="340" t="s">
        <v>3437</v>
      </c>
      <c r="F5806" s="340" t="s">
        <v>1078</v>
      </c>
      <c r="G5806" s="340" t="s">
        <v>3018</v>
      </c>
      <c r="I5806" s="340" t="s">
        <v>771</v>
      </c>
      <c r="K5806" s="343">
        <v>0.82</v>
      </c>
      <c r="L5806" s="343">
        <v>0</v>
      </c>
      <c r="M5806" s="343">
        <v>-968056.4</v>
      </c>
      <c r="O5806" s="343">
        <v>0</v>
      </c>
    </row>
    <row r="5807" spans="1:15" x14ac:dyDescent="0.3">
      <c r="A5807" s="340" t="s">
        <v>891</v>
      </c>
      <c r="B5807" s="350">
        <v>46159</v>
      </c>
      <c r="C5807" s="350">
        <v>46159</v>
      </c>
      <c r="D5807" s="351">
        <v>46143</v>
      </c>
      <c r="E5807" s="340" t="s">
        <v>3437</v>
      </c>
      <c r="F5807" s="340" t="s">
        <v>1078</v>
      </c>
      <c r="G5807" s="340" t="s">
        <v>3019</v>
      </c>
      <c r="I5807" s="340" t="s">
        <v>771</v>
      </c>
      <c r="K5807" s="343">
        <v>0.83</v>
      </c>
      <c r="L5807" s="343">
        <v>0</v>
      </c>
      <c r="M5807" s="343">
        <v>-968055.57</v>
      </c>
      <c r="O5807" s="343">
        <v>0</v>
      </c>
    </row>
    <row r="5808" spans="1:15" x14ac:dyDescent="0.3">
      <c r="A5808" s="340" t="s">
        <v>891</v>
      </c>
      <c r="B5808" s="350">
        <v>46159</v>
      </c>
      <c r="C5808" s="350">
        <v>46159</v>
      </c>
      <c r="D5808" s="351">
        <v>46143</v>
      </c>
      <c r="E5808" s="340" t="s">
        <v>3437</v>
      </c>
      <c r="F5808" s="340" t="s">
        <v>1078</v>
      </c>
      <c r="G5808" s="340" t="s">
        <v>3020</v>
      </c>
      <c r="I5808" s="340" t="s">
        <v>771</v>
      </c>
      <c r="K5808" s="343">
        <v>1.19</v>
      </c>
      <c r="L5808" s="343">
        <v>0</v>
      </c>
      <c r="M5808" s="343">
        <v>-968054.38</v>
      </c>
      <c r="O5808" s="343">
        <v>0</v>
      </c>
    </row>
    <row r="5809" spans="1:15" x14ac:dyDescent="0.3">
      <c r="A5809" s="340" t="s">
        <v>891</v>
      </c>
      <c r="B5809" s="350">
        <v>46159</v>
      </c>
      <c r="C5809" s="350">
        <v>46159</v>
      </c>
      <c r="D5809" s="351">
        <v>46143</v>
      </c>
      <c r="E5809" s="340" t="s">
        <v>3437</v>
      </c>
      <c r="F5809" s="340" t="s">
        <v>1078</v>
      </c>
      <c r="G5809" s="340" t="s">
        <v>3022</v>
      </c>
      <c r="I5809" s="340" t="s">
        <v>771</v>
      </c>
      <c r="K5809" s="343">
        <v>2.37</v>
      </c>
      <c r="L5809" s="343">
        <v>0</v>
      </c>
      <c r="M5809" s="343">
        <v>-968052.01</v>
      </c>
      <c r="O5809" s="343">
        <v>0</v>
      </c>
    </row>
    <row r="5810" spans="1:15" x14ac:dyDescent="0.3">
      <c r="A5810" s="340" t="s">
        <v>891</v>
      </c>
      <c r="B5810" s="350">
        <v>46159</v>
      </c>
      <c r="C5810" s="350">
        <v>46159</v>
      </c>
      <c r="D5810" s="351">
        <v>46143</v>
      </c>
      <c r="E5810" s="340" t="s">
        <v>3437</v>
      </c>
      <c r="F5810" s="340" t="s">
        <v>1078</v>
      </c>
      <c r="G5810" s="340" t="s">
        <v>3023</v>
      </c>
      <c r="I5810" s="340" t="s">
        <v>771</v>
      </c>
      <c r="K5810" s="343">
        <v>4.95</v>
      </c>
      <c r="L5810" s="343">
        <v>0</v>
      </c>
      <c r="M5810" s="343">
        <v>-968047.06</v>
      </c>
      <c r="O5810" s="343">
        <v>0</v>
      </c>
    </row>
    <row r="5811" spans="1:15" x14ac:dyDescent="0.3">
      <c r="A5811" s="340" t="s">
        <v>891</v>
      </c>
      <c r="B5811" s="350">
        <v>46159</v>
      </c>
      <c r="C5811" s="350">
        <v>46159</v>
      </c>
      <c r="D5811" s="351">
        <v>46143</v>
      </c>
      <c r="E5811" s="340" t="s">
        <v>3437</v>
      </c>
      <c r="F5811" s="340" t="s">
        <v>1078</v>
      </c>
      <c r="G5811" s="340" t="s">
        <v>3024</v>
      </c>
      <c r="I5811" s="340" t="s">
        <v>771</v>
      </c>
      <c r="K5811" s="343">
        <v>5.18</v>
      </c>
      <c r="L5811" s="343">
        <v>0</v>
      </c>
      <c r="M5811" s="343">
        <v>-968041.88</v>
      </c>
      <c r="O5811" s="343">
        <v>0</v>
      </c>
    </row>
    <row r="5812" spans="1:15" x14ac:dyDescent="0.3">
      <c r="A5812" s="340" t="s">
        <v>891</v>
      </c>
      <c r="B5812" s="350">
        <v>46159</v>
      </c>
      <c r="C5812" s="350">
        <v>46159</v>
      </c>
      <c r="D5812" s="351">
        <v>46143</v>
      </c>
      <c r="E5812" s="340" t="s">
        <v>3437</v>
      </c>
      <c r="F5812" s="340" t="s">
        <v>1078</v>
      </c>
      <c r="G5812" s="340" t="s">
        <v>3021</v>
      </c>
      <c r="I5812" s="340" t="s">
        <v>771</v>
      </c>
      <c r="K5812" s="343">
        <v>21.3</v>
      </c>
      <c r="L5812" s="343">
        <v>0</v>
      </c>
      <c r="M5812" s="343">
        <v>-968020.58</v>
      </c>
      <c r="O5812" s="343">
        <v>0</v>
      </c>
    </row>
    <row r="5813" spans="1:15" x14ac:dyDescent="0.3">
      <c r="A5813" s="340" t="s">
        <v>891</v>
      </c>
      <c r="B5813" s="350">
        <v>46159</v>
      </c>
      <c r="C5813" s="350">
        <v>46159</v>
      </c>
      <c r="D5813" s="351">
        <v>46143</v>
      </c>
      <c r="E5813" s="340" t="s">
        <v>3437</v>
      </c>
      <c r="F5813" s="340" t="s">
        <v>1078</v>
      </c>
      <c r="G5813" s="340" t="s">
        <v>3025</v>
      </c>
      <c r="I5813" s="340" t="s">
        <v>771</v>
      </c>
      <c r="K5813" s="343">
        <v>25.57</v>
      </c>
      <c r="L5813" s="343">
        <v>0</v>
      </c>
      <c r="M5813" s="343">
        <v>-967995.01</v>
      </c>
      <c r="O5813" s="343">
        <v>0</v>
      </c>
    </row>
    <row r="5814" spans="1:15" x14ac:dyDescent="0.3">
      <c r="A5814" s="340" t="s">
        <v>891</v>
      </c>
      <c r="B5814" s="350">
        <v>46159</v>
      </c>
      <c r="C5814" s="350">
        <v>46159</v>
      </c>
      <c r="D5814" s="351">
        <v>46143</v>
      </c>
      <c r="E5814" s="340" t="s">
        <v>3437</v>
      </c>
      <c r="F5814" s="340" t="s">
        <v>1078</v>
      </c>
      <c r="G5814" s="340" t="s">
        <v>3026</v>
      </c>
      <c r="I5814" s="340" t="s">
        <v>771</v>
      </c>
      <c r="K5814" s="343">
        <v>25.61</v>
      </c>
      <c r="L5814" s="343">
        <v>0</v>
      </c>
      <c r="M5814" s="343">
        <v>-967969.4</v>
      </c>
      <c r="O5814" s="343">
        <v>0</v>
      </c>
    </row>
    <row r="5815" spans="1:15" x14ac:dyDescent="0.3">
      <c r="A5815" s="340" t="s">
        <v>891</v>
      </c>
      <c r="B5815" s="350">
        <v>46159</v>
      </c>
      <c r="C5815" s="350">
        <v>46159</v>
      </c>
      <c r="D5815" s="351">
        <v>46143</v>
      </c>
      <c r="E5815" s="340" t="s">
        <v>3437</v>
      </c>
      <c r="F5815" s="340" t="s">
        <v>1078</v>
      </c>
      <c r="G5815" s="340" t="s">
        <v>3005</v>
      </c>
      <c r="I5815" s="340" t="s">
        <v>771</v>
      </c>
      <c r="K5815" s="343">
        <v>110.5</v>
      </c>
      <c r="L5815" s="343">
        <v>0</v>
      </c>
      <c r="M5815" s="343">
        <v>-967858.9</v>
      </c>
      <c r="O5815" s="343">
        <v>0</v>
      </c>
    </row>
    <row r="5816" spans="1:15" x14ac:dyDescent="0.3">
      <c r="A5816" s="340" t="s">
        <v>891</v>
      </c>
      <c r="B5816" s="350">
        <v>46159</v>
      </c>
      <c r="C5816" s="350">
        <v>46159</v>
      </c>
      <c r="D5816" s="351">
        <v>46143</v>
      </c>
      <c r="E5816" s="340" t="s">
        <v>3437</v>
      </c>
      <c r="F5816" s="340" t="s">
        <v>1078</v>
      </c>
      <c r="G5816" s="340" t="s">
        <v>3017</v>
      </c>
      <c r="I5816" s="340" t="s">
        <v>771</v>
      </c>
      <c r="K5816" s="343">
        <v>11.13</v>
      </c>
      <c r="L5816" s="343">
        <v>0</v>
      </c>
      <c r="M5816" s="343">
        <v>-967847.77</v>
      </c>
      <c r="O5816" s="343">
        <v>0</v>
      </c>
    </row>
    <row r="5817" spans="1:15" x14ac:dyDescent="0.3">
      <c r="A5817" s="340" t="s">
        <v>891</v>
      </c>
      <c r="B5817" s="350">
        <v>46159</v>
      </c>
      <c r="C5817" s="350">
        <v>46159</v>
      </c>
      <c r="D5817" s="351">
        <v>46143</v>
      </c>
      <c r="E5817" s="340" t="s">
        <v>3437</v>
      </c>
      <c r="F5817" s="340" t="s">
        <v>1078</v>
      </c>
      <c r="G5817" s="340" t="s">
        <v>3022</v>
      </c>
      <c r="I5817" s="340" t="s">
        <v>771</v>
      </c>
      <c r="K5817" s="343">
        <v>1.83</v>
      </c>
      <c r="L5817" s="343">
        <v>0</v>
      </c>
      <c r="M5817" s="343">
        <v>-967845.94</v>
      </c>
      <c r="O5817" s="343">
        <v>0</v>
      </c>
    </row>
    <row r="5818" spans="1:15" x14ac:dyDescent="0.3">
      <c r="A5818" s="340" t="s">
        <v>891</v>
      </c>
      <c r="B5818" s="350">
        <v>46159</v>
      </c>
      <c r="C5818" s="350">
        <v>46159</v>
      </c>
      <c r="D5818" s="351">
        <v>46143</v>
      </c>
      <c r="E5818" s="340" t="s">
        <v>3437</v>
      </c>
      <c r="F5818" s="340" t="s">
        <v>1078</v>
      </c>
      <c r="G5818" s="340" t="s">
        <v>3020</v>
      </c>
      <c r="I5818" s="340" t="s">
        <v>771</v>
      </c>
      <c r="K5818" s="343">
        <v>0.92</v>
      </c>
      <c r="L5818" s="343">
        <v>0</v>
      </c>
      <c r="M5818" s="343">
        <v>-967845.02</v>
      </c>
      <c r="O5818" s="343">
        <v>0</v>
      </c>
    </row>
    <row r="5819" spans="1:15" x14ac:dyDescent="0.3">
      <c r="A5819" s="340" t="s">
        <v>891</v>
      </c>
      <c r="B5819" s="350">
        <v>46159</v>
      </c>
      <c r="C5819" s="350">
        <v>46159</v>
      </c>
      <c r="D5819" s="351">
        <v>46143</v>
      </c>
      <c r="E5819" s="340" t="s">
        <v>3437</v>
      </c>
      <c r="F5819" s="340" t="s">
        <v>1078</v>
      </c>
      <c r="G5819" s="340" t="s">
        <v>3022</v>
      </c>
      <c r="I5819" s="340" t="s">
        <v>771</v>
      </c>
      <c r="K5819" s="343">
        <v>0.14000000000000001</v>
      </c>
      <c r="L5819" s="343">
        <v>0</v>
      </c>
      <c r="M5819" s="343">
        <v>-967844.88</v>
      </c>
      <c r="O5819" s="343">
        <v>0</v>
      </c>
    </row>
    <row r="5820" spans="1:15" x14ac:dyDescent="0.3">
      <c r="A5820" s="340" t="s">
        <v>891</v>
      </c>
      <c r="B5820" s="350">
        <v>46159</v>
      </c>
      <c r="C5820" s="350">
        <v>46159</v>
      </c>
      <c r="D5820" s="351">
        <v>46143</v>
      </c>
      <c r="E5820" s="340" t="s">
        <v>3437</v>
      </c>
      <c r="F5820" s="340" t="s">
        <v>1078</v>
      </c>
      <c r="G5820" s="340" t="s">
        <v>3017</v>
      </c>
      <c r="I5820" s="340" t="s">
        <v>771</v>
      </c>
      <c r="K5820" s="343">
        <v>2.2599999999999998</v>
      </c>
      <c r="L5820" s="343">
        <v>0</v>
      </c>
      <c r="M5820" s="343">
        <v>-967842.62</v>
      </c>
      <c r="O5820" s="343">
        <v>0</v>
      </c>
    </row>
    <row r="5821" spans="1:15" x14ac:dyDescent="0.3">
      <c r="A5821" s="340" t="s">
        <v>891</v>
      </c>
      <c r="B5821" s="350">
        <v>46159</v>
      </c>
      <c r="C5821" s="350">
        <v>46159</v>
      </c>
      <c r="D5821" s="351">
        <v>46143</v>
      </c>
      <c r="E5821" s="340" t="s">
        <v>3437</v>
      </c>
      <c r="F5821" s="340" t="s">
        <v>1078</v>
      </c>
      <c r="G5821" s="340" t="s">
        <v>3021</v>
      </c>
      <c r="I5821" s="340" t="s">
        <v>771</v>
      </c>
      <c r="K5821" s="343">
        <v>4.6100000000000003</v>
      </c>
      <c r="L5821" s="343">
        <v>0</v>
      </c>
      <c r="M5821" s="343">
        <v>-967838.01</v>
      </c>
      <c r="O5821" s="343">
        <v>0</v>
      </c>
    </row>
    <row r="5822" spans="1:15" x14ac:dyDescent="0.3">
      <c r="A5822" s="340" t="s">
        <v>891</v>
      </c>
      <c r="B5822" s="350">
        <v>46159</v>
      </c>
      <c r="C5822" s="350">
        <v>46159</v>
      </c>
      <c r="D5822" s="351">
        <v>46143</v>
      </c>
      <c r="E5822" s="340" t="s">
        <v>3437</v>
      </c>
      <c r="F5822" s="340" t="s">
        <v>1078</v>
      </c>
      <c r="G5822" s="340" t="s">
        <v>3020</v>
      </c>
      <c r="I5822" s="340" t="s">
        <v>771</v>
      </c>
      <c r="K5822" s="343">
        <v>7.0000000000000007E-2</v>
      </c>
      <c r="L5822" s="343">
        <v>0</v>
      </c>
      <c r="M5822" s="343">
        <v>-967837.94</v>
      </c>
      <c r="O5822" s="343">
        <v>0</v>
      </c>
    </row>
    <row r="5823" spans="1:15" x14ac:dyDescent="0.3">
      <c r="A5823" s="340" t="s">
        <v>891</v>
      </c>
      <c r="B5823" s="350">
        <v>46159</v>
      </c>
      <c r="C5823" s="350">
        <v>46159</v>
      </c>
      <c r="D5823" s="351">
        <v>46143</v>
      </c>
      <c r="E5823" s="340" t="s">
        <v>3437</v>
      </c>
      <c r="F5823" s="340" t="s">
        <v>1078</v>
      </c>
      <c r="G5823" s="340" t="s">
        <v>3016</v>
      </c>
      <c r="I5823" s="340" t="s">
        <v>771</v>
      </c>
      <c r="K5823" s="343">
        <v>0.01</v>
      </c>
      <c r="L5823" s="343">
        <v>0</v>
      </c>
      <c r="M5823" s="343">
        <v>-967837.93</v>
      </c>
      <c r="O5823" s="343">
        <v>0</v>
      </c>
    </row>
    <row r="5824" spans="1:15" x14ac:dyDescent="0.3">
      <c r="A5824" s="340" t="s">
        <v>891</v>
      </c>
      <c r="B5824" s="350">
        <v>46159</v>
      </c>
      <c r="C5824" s="350">
        <v>46159</v>
      </c>
      <c r="D5824" s="351">
        <v>46143</v>
      </c>
      <c r="E5824" s="340" t="s">
        <v>3437</v>
      </c>
      <c r="F5824" s="340" t="s">
        <v>1078</v>
      </c>
      <c r="G5824" s="340" t="s">
        <v>3005</v>
      </c>
      <c r="I5824" s="340" t="s">
        <v>771</v>
      </c>
      <c r="K5824" s="343">
        <v>11.34</v>
      </c>
      <c r="L5824" s="343">
        <v>0</v>
      </c>
      <c r="M5824" s="343">
        <v>-967826.59</v>
      </c>
      <c r="O5824" s="343">
        <v>0</v>
      </c>
    </row>
    <row r="5825" spans="1:15" x14ac:dyDescent="0.3">
      <c r="A5825" s="340" t="s">
        <v>891</v>
      </c>
      <c r="B5825" s="350">
        <v>46159</v>
      </c>
      <c r="C5825" s="350">
        <v>46159</v>
      </c>
      <c r="D5825" s="351">
        <v>46143</v>
      </c>
      <c r="E5825" s="340" t="s">
        <v>3437</v>
      </c>
      <c r="F5825" s="340" t="s">
        <v>1078</v>
      </c>
      <c r="G5825" s="340" t="s">
        <v>3023</v>
      </c>
      <c r="I5825" s="340" t="s">
        <v>771</v>
      </c>
      <c r="K5825" s="343">
        <v>0.49</v>
      </c>
      <c r="L5825" s="343">
        <v>0</v>
      </c>
      <c r="M5825" s="343">
        <v>-967826.1</v>
      </c>
      <c r="O5825" s="343">
        <v>0</v>
      </c>
    </row>
    <row r="5826" spans="1:15" x14ac:dyDescent="0.3">
      <c r="A5826" s="340" t="s">
        <v>891</v>
      </c>
      <c r="B5826" s="350">
        <v>46159</v>
      </c>
      <c r="C5826" s="350">
        <v>46159</v>
      </c>
      <c r="D5826" s="351">
        <v>46143</v>
      </c>
      <c r="E5826" s="340" t="s">
        <v>3437</v>
      </c>
      <c r="F5826" s="340" t="s">
        <v>1078</v>
      </c>
      <c r="G5826" s="340" t="s">
        <v>3018</v>
      </c>
      <c r="I5826" s="340" t="s">
        <v>771</v>
      </c>
      <c r="K5826" s="343">
        <v>0.08</v>
      </c>
      <c r="L5826" s="343">
        <v>0</v>
      </c>
      <c r="M5826" s="343">
        <v>-967826.02</v>
      </c>
      <c r="O5826" s="343">
        <v>0</v>
      </c>
    </row>
    <row r="5827" spans="1:15" x14ac:dyDescent="0.3">
      <c r="A5827" s="340" t="s">
        <v>891</v>
      </c>
      <c r="B5827" s="350">
        <v>46159</v>
      </c>
      <c r="C5827" s="350">
        <v>46159</v>
      </c>
      <c r="D5827" s="351">
        <v>46143</v>
      </c>
      <c r="E5827" s="340" t="s">
        <v>3437</v>
      </c>
      <c r="F5827" s="340" t="s">
        <v>1078</v>
      </c>
      <c r="G5827" s="340" t="s">
        <v>3025</v>
      </c>
      <c r="I5827" s="340" t="s">
        <v>771</v>
      </c>
      <c r="K5827" s="343">
        <v>2.83</v>
      </c>
      <c r="L5827" s="343">
        <v>0</v>
      </c>
      <c r="M5827" s="343">
        <v>-967823.19</v>
      </c>
      <c r="O5827" s="343">
        <v>0</v>
      </c>
    </row>
    <row r="5828" spans="1:15" x14ac:dyDescent="0.3">
      <c r="A5828" s="340" t="s">
        <v>891</v>
      </c>
      <c r="B5828" s="350">
        <v>46159</v>
      </c>
      <c r="C5828" s="350">
        <v>46159</v>
      </c>
      <c r="D5828" s="351">
        <v>46143</v>
      </c>
      <c r="E5828" s="340" t="s">
        <v>3437</v>
      </c>
      <c r="F5828" s="340" t="s">
        <v>1078</v>
      </c>
      <c r="G5828" s="340" t="s">
        <v>3024</v>
      </c>
      <c r="I5828" s="340" t="s">
        <v>771</v>
      </c>
      <c r="K5828" s="343">
        <v>1</v>
      </c>
      <c r="L5828" s="343">
        <v>0</v>
      </c>
      <c r="M5828" s="343">
        <v>-967822.19</v>
      </c>
      <c r="O5828" s="343">
        <v>0</v>
      </c>
    </row>
    <row r="5829" spans="1:15" x14ac:dyDescent="0.3">
      <c r="A5829" s="340" t="s">
        <v>891</v>
      </c>
      <c r="B5829" s="350">
        <v>46159</v>
      </c>
      <c r="C5829" s="350">
        <v>46159</v>
      </c>
      <c r="D5829" s="351">
        <v>46143</v>
      </c>
      <c r="E5829" s="340" t="s">
        <v>3437</v>
      </c>
      <c r="F5829" s="340" t="s">
        <v>1078</v>
      </c>
      <c r="G5829" s="340" t="s">
        <v>3019</v>
      </c>
      <c r="I5829" s="340" t="s">
        <v>771</v>
      </c>
      <c r="K5829" s="343">
        <v>0.01</v>
      </c>
      <c r="L5829" s="343">
        <v>0</v>
      </c>
      <c r="M5829" s="343">
        <v>-967822.18</v>
      </c>
      <c r="O5829" s="343">
        <v>0</v>
      </c>
    </row>
    <row r="5830" spans="1:15" x14ac:dyDescent="0.3">
      <c r="A5830" s="340" t="s">
        <v>891</v>
      </c>
      <c r="B5830" s="350">
        <v>46159</v>
      </c>
      <c r="C5830" s="350">
        <v>46159</v>
      </c>
      <c r="D5830" s="351">
        <v>46143</v>
      </c>
      <c r="E5830" s="340" t="s">
        <v>3437</v>
      </c>
      <c r="F5830" s="340" t="s">
        <v>1078</v>
      </c>
      <c r="G5830" s="340" t="s">
        <v>3016</v>
      </c>
      <c r="I5830" s="340" t="s">
        <v>771</v>
      </c>
      <c r="K5830" s="343">
        <v>0.02</v>
      </c>
      <c r="L5830" s="343">
        <v>0</v>
      </c>
      <c r="M5830" s="343">
        <v>-967822.16</v>
      </c>
      <c r="O5830" s="343">
        <v>0</v>
      </c>
    </row>
    <row r="5831" spans="1:15" x14ac:dyDescent="0.3">
      <c r="A5831" s="340" t="s">
        <v>891</v>
      </c>
      <c r="B5831" s="350">
        <v>46159</v>
      </c>
      <c r="C5831" s="350">
        <v>46159</v>
      </c>
      <c r="D5831" s="351">
        <v>46143</v>
      </c>
      <c r="E5831" s="340" t="s">
        <v>3437</v>
      </c>
      <c r="F5831" s="340" t="s">
        <v>1078</v>
      </c>
      <c r="G5831" s="340" t="s">
        <v>3022</v>
      </c>
      <c r="I5831" s="340" t="s">
        <v>771</v>
      </c>
      <c r="K5831" s="343">
        <v>0.28999999999999998</v>
      </c>
      <c r="L5831" s="343">
        <v>0</v>
      </c>
      <c r="M5831" s="343">
        <v>-967821.87</v>
      </c>
      <c r="O5831" s="343">
        <v>0</v>
      </c>
    </row>
    <row r="5832" spans="1:15" x14ac:dyDescent="0.3">
      <c r="A5832" s="340" t="s">
        <v>891</v>
      </c>
      <c r="B5832" s="350">
        <v>46159</v>
      </c>
      <c r="C5832" s="350">
        <v>46159</v>
      </c>
      <c r="D5832" s="351">
        <v>46143</v>
      </c>
      <c r="E5832" s="340" t="s">
        <v>3437</v>
      </c>
      <c r="F5832" s="340" t="s">
        <v>1078</v>
      </c>
      <c r="G5832" s="340" t="s">
        <v>3020</v>
      </c>
      <c r="I5832" s="340" t="s">
        <v>771</v>
      </c>
      <c r="K5832" s="343">
        <v>0.14000000000000001</v>
      </c>
      <c r="L5832" s="343">
        <v>0</v>
      </c>
      <c r="M5832" s="343">
        <v>-967821.73</v>
      </c>
      <c r="O5832" s="343">
        <v>0</v>
      </c>
    </row>
    <row r="5833" spans="1:15" x14ac:dyDescent="0.3">
      <c r="A5833" s="340" t="s">
        <v>891</v>
      </c>
      <c r="B5833" s="350">
        <v>46159</v>
      </c>
      <c r="C5833" s="350">
        <v>46159</v>
      </c>
      <c r="D5833" s="351">
        <v>46143</v>
      </c>
      <c r="E5833" s="340" t="s">
        <v>3437</v>
      </c>
      <c r="F5833" s="340" t="s">
        <v>1078</v>
      </c>
      <c r="G5833" s="340" t="s">
        <v>3016</v>
      </c>
      <c r="I5833" s="340" t="s">
        <v>771</v>
      </c>
      <c r="K5833" s="343">
        <v>0.02</v>
      </c>
      <c r="L5833" s="343">
        <v>0</v>
      </c>
      <c r="M5833" s="343">
        <v>-967821.71</v>
      </c>
      <c r="O5833" s="343">
        <v>0</v>
      </c>
    </row>
    <row r="5834" spans="1:15" x14ac:dyDescent="0.3">
      <c r="A5834" s="340" t="s">
        <v>891</v>
      </c>
      <c r="B5834" s="350">
        <v>46159</v>
      </c>
      <c r="C5834" s="350">
        <v>46159</v>
      </c>
      <c r="D5834" s="351">
        <v>46143</v>
      </c>
      <c r="E5834" s="340" t="s">
        <v>3437</v>
      </c>
      <c r="F5834" s="340" t="s">
        <v>1078</v>
      </c>
      <c r="G5834" s="340" t="s">
        <v>3020</v>
      </c>
      <c r="I5834" s="340" t="s">
        <v>771</v>
      </c>
      <c r="K5834" s="343">
        <v>0.12</v>
      </c>
      <c r="L5834" s="343">
        <v>0</v>
      </c>
      <c r="M5834" s="343">
        <v>-967821.59</v>
      </c>
      <c r="O5834" s="343">
        <v>0</v>
      </c>
    </row>
    <row r="5835" spans="1:15" x14ac:dyDescent="0.3">
      <c r="A5835" s="340" t="s">
        <v>891</v>
      </c>
      <c r="B5835" s="350">
        <v>46159</v>
      </c>
      <c r="C5835" s="350">
        <v>46159</v>
      </c>
      <c r="D5835" s="351">
        <v>46143</v>
      </c>
      <c r="E5835" s="340" t="s">
        <v>3437</v>
      </c>
      <c r="F5835" s="340" t="s">
        <v>1078</v>
      </c>
      <c r="G5835" s="340" t="s">
        <v>3022</v>
      </c>
      <c r="I5835" s="340" t="s">
        <v>771</v>
      </c>
      <c r="K5835" s="343">
        <v>0.24</v>
      </c>
      <c r="L5835" s="343">
        <v>0</v>
      </c>
      <c r="M5835" s="343">
        <v>-967821.35</v>
      </c>
      <c r="O5835" s="343">
        <v>0</v>
      </c>
    </row>
    <row r="5836" spans="1:15" x14ac:dyDescent="0.3">
      <c r="A5836" s="340" t="s">
        <v>891</v>
      </c>
      <c r="B5836" s="350">
        <v>46159</v>
      </c>
      <c r="C5836" s="350">
        <v>46159</v>
      </c>
      <c r="D5836" s="351">
        <v>46143</v>
      </c>
      <c r="E5836" s="340" t="s">
        <v>3437</v>
      </c>
      <c r="F5836" s="340" t="s">
        <v>1078</v>
      </c>
      <c r="G5836" s="340" t="s">
        <v>3017</v>
      </c>
      <c r="I5836" s="340" t="s">
        <v>771</v>
      </c>
      <c r="K5836" s="343">
        <v>2.2599999999999998</v>
      </c>
      <c r="L5836" s="343">
        <v>0</v>
      </c>
      <c r="M5836" s="343">
        <v>-967819.09</v>
      </c>
      <c r="O5836" s="343">
        <v>0</v>
      </c>
    </row>
    <row r="5837" spans="1:15" x14ac:dyDescent="0.3">
      <c r="A5837" s="340" t="s">
        <v>891</v>
      </c>
      <c r="B5837" s="350">
        <v>46159</v>
      </c>
      <c r="C5837" s="350">
        <v>46159</v>
      </c>
      <c r="D5837" s="351">
        <v>46143</v>
      </c>
      <c r="E5837" s="340" t="s">
        <v>3437</v>
      </c>
      <c r="F5837" s="340" t="s">
        <v>1078</v>
      </c>
      <c r="G5837" s="340" t="s">
        <v>3026</v>
      </c>
      <c r="I5837" s="340" t="s">
        <v>771</v>
      </c>
      <c r="K5837" s="343">
        <v>3.32</v>
      </c>
      <c r="L5837" s="343">
        <v>0</v>
      </c>
      <c r="M5837" s="343">
        <v>-967815.77</v>
      </c>
      <c r="O5837" s="343">
        <v>0</v>
      </c>
    </row>
    <row r="5838" spans="1:15" x14ac:dyDescent="0.3">
      <c r="A5838" s="340" t="s">
        <v>891</v>
      </c>
      <c r="B5838" s="350">
        <v>46159</v>
      </c>
      <c r="C5838" s="350">
        <v>46159</v>
      </c>
      <c r="D5838" s="351">
        <v>46143</v>
      </c>
      <c r="E5838" s="340" t="s">
        <v>3437</v>
      </c>
      <c r="F5838" s="340" t="s">
        <v>1078</v>
      </c>
      <c r="G5838" s="340" t="s">
        <v>3021</v>
      </c>
      <c r="I5838" s="340" t="s">
        <v>771</v>
      </c>
      <c r="K5838" s="343">
        <v>4.6100000000000003</v>
      </c>
      <c r="L5838" s="343">
        <v>0</v>
      </c>
      <c r="M5838" s="343">
        <v>-967811.16</v>
      </c>
      <c r="O5838" s="343">
        <v>0</v>
      </c>
    </row>
    <row r="5839" spans="1:15" x14ac:dyDescent="0.3">
      <c r="A5839" s="340" t="s">
        <v>891</v>
      </c>
      <c r="B5839" s="350">
        <v>46159</v>
      </c>
      <c r="C5839" s="350">
        <v>46159</v>
      </c>
      <c r="D5839" s="351">
        <v>46143</v>
      </c>
      <c r="E5839" s="340" t="s">
        <v>3437</v>
      </c>
      <c r="F5839" s="340" t="s">
        <v>1078</v>
      </c>
      <c r="G5839" s="340" t="s">
        <v>3019</v>
      </c>
      <c r="I5839" s="340" t="s">
        <v>771</v>
      </c>
      <c r="K5839" s="343">
        <v>0.01</v>
      </c>
      <c r="L5839" s="343">
        <v>0</v>
      </c>
      <c r="M5839" s="343">
        <v>-967811.15</v>
      </c>
      <c r="O5839" s="343">
        <v>0</v>
      </c>
    </row>
    <row r="5840" spans="1:15" x14ac:dyDescent="0.3">
      <c r="A5840" s="340" t="s">
        <v>891</v>
      </c>
      <c r="B5840" s="350">
        <v>46159</v>
      </c>
      <c r="C5840" s="350">
        <v>46159</v>
      </c>
      <c r="D5840" s="351">
        <v>46143</v>
      </c>
      <c r="E5840" s="340" t="s">
        <v>3437</v>
      </c>
      <c r="F5840" s="340" t="s">
        <v>1078</v>
      </c>
      <c r="G5840" s="340" t="s">
        <v>3016</v>
      </c>
      <c r="I5840" s="340" t="s">
        <v>771</v>
      </c>
      <c r="K5840" s="343">
        <v>0.02</v>
      </c>
      <c r="L5840" s="343">
        <v>0</v>
      </c>
      <c r="M5840" s="343">
        <v>-967811.13</v>
      </c>
      <c r="O5840" s="343">
        <v>0</v>
      </c>
    </row>
    <row r="5841" spans="1:15" x14ac:dyDescent="0.3">
      <c r="A5841" s="340" t="s">
        <v>891</v>
      </c>
      <c r="B5841" s="350">
        <v>46159</v>
      </c>
      <c r="C5841" s="350">
        <v>46159</v>
      </c>
      <c r="D5841" s="351">
        <v>46143</v>
      </c>
      <c r="E5841" s="340" t="s">
        <v>3437</v>
      </c>
      <c r="F5841" s="340" t="s">
        <v>1078</v>
      </c>
      <c r="G5841" s="340" t="s">
        <v>3020</v>
      </c>
      <c r="I5841" s="340" t="s">
        <v>771</v>
      </c>
      <c r="K5841" s="343">
        <v>0.11</v>
      </c>
      <c r="L5841" s="343">
        <v>0</v>
      </c>
      <c r="M5841" s="343">
        <v>-967811.02</v>
      </c>
      <c r="O5841" s="343">
        <v>0</v>
      </c>
    </row>
    <row r="5842" spans="1:15" x14ac:dyDescent="0.3">
      <c r="A5842" s="340" t="s">
        <v>891</v>
      </c>
      <c r="B5842" s="350">
        <v>46159</v>
      </c>
      <c r="C5842" s="350">
        <v>46159</v>
      </c>
      <c r="D5842" s="351">
        <v>46143</v>
      </c>
      <c r="E5842" s="340" t="s">
        <v>3437</v>
      </c>
      <c r="F5842" s="340" t="s">
        <v>1078</v>
      </c>
      <c r="G5842" s="340" t="s">
        <v>3020</v>
      </c>
      <c r="I5842" s="340" t="s">
        <v>771</v>
      </c>
      <c r="K5842" s="343">
        <v>0.14000000000000001</v>
      </c>
      <c r="L5842" s="343">
        <v>0</v>
      </c>
      <c r="M5842" s="343">
        <v>-967810.88</v>
      </c>
      <c r="O5842" s="343">
        <v>0</v>
      </c>
    </row>
    <row r="5843" spans="1:15" x14ac:dyDescent="0.3">
      <c r="A5843" s="340" t="s">
        <v>891</v>
      </c>
      <c r="B5843" s="350">
        <v>46159</v>
      </c>
      <c r="C5843" s="350">
        <v>46159</v>
      </c>
      <c r="D5843" s="351">
        <v>46143</v>
      </c>
      <c r="E5843" s="340" t="s">
        <v>3437</v>
      </c>
      <c r="F5843" s="340" t="s">
        <v>1078</v>
      </c>
      <c r="G5843" s="340" t="s">
        <v>3022</v>
      </c>
      <c r="I5843" s="340" t="s">
        <v>771</v>
      </c>
      <c r="K5843" s="343">
        <v>0.28000000000000003</v>
      </c>
      <c r="L5843" s="343">
        <v>0</v>
      </c>
      <c r="M5843" s="343">
        <v>-967810.6</v>
      </c>
      <c r="O5843" s="343">
        <v>0</v>
      </c>
    </row>
    <row r="5844" spans="1:15" x14ac:dyDescent="0.3">
      <c r="A5844" s="340" t="s">
        <v>891</v>
      </c>
      <c r="B5844" s="350">
        <v>46159</v>
      </c>
      <c r="C5844" s="350">
        <v>46159</v>
      </c>
      <c r="D5844" s="351">
        <v>46143</v>
      </c>
      <c r="E5844" s="340" t="s">
        <v>3437</v>
      </c>
      <c r="F5844" s="340" t="s">
        <v>1078</v>
      </c>
      <c r="G5844" s="340" t="s">
        <v>3024</v>
      </c>
      <c r="I5844" s="340" t="s">
        <v>771</v>
      </c>
      <c r="K5844" s="343">
        <v>0.94</v>
      </c>
      <c r="L5844" s="343">
        <v>0</v>
      </c>
      <c r="M5844" s="343">
        <v>-967809.66</v>
      </c>
      <c r="O5844" s="343">
        <v>0</v>
      </c>
    </row>
    <row r="5845" spans="1:15" x14ac:dyDescent="0.3">
      <c r="A5845" s="340" t="s">
        <v>891</v>
      </c>
      <c r="B5845" s="350">
        <v>46159</v>
      </c>
      <c r="C5845" s="350">
        <v>46159</v>
      </c>
      <c r="D5845" s="351">
        <v>46143</v>
      </c>
      <c r="E5845" s="340" t="s">
        <v>3437</v>
      </c>
      <c r="F5845" s="340" t="s">
        <v>1078</v>
      </c>
      <c r="G5845" s="340" t="s">
        <v>3017</v>
      </c>
      <c r="I5845" s="340" t="s">
        <v>771</v>
      </c>
      <c r="K5845" s="343">
        <v>2.2599999999999998</v>
      </c>
      <c r="L5845" s="343">
        <v>0</v>
      </c>
      <c r="M5845" s="343">
        <v>-967807.4</v>
      </c>
      <c r="O5845" s="343">
        <v>0</v>
      </c>
    </row>
    <row r="5846" spans="1:15" x14ac:dyDescent="0.3">
      <c r="A5846" s="340" t="s">
        <v>891</v>
      </c>
      <c r="B5846" s="350">
        <v>46159</v>
      </c>
      <c r="C5846" s="350">
        <v>46159</v>
      </c>
      <c r="D5846" s="351">
        <v>46143</v>
      </c>
      <c r="E5846" s="340" t="s">
        <v>3437</v>
      </c>
      <c r="F5846" s="340" t="s">
        <v>1078</v>
      </c>
      <c r="G5846" s="340" t="s">
        <v>3025</v>
      </c>
      <c r="I5846" s="340" t="s">
        <v>771</v>
      </c>
      <c r="K5846" s="343">
        <v>2.65</v>
      </c>
      <c r="L5846" s="343">
        <v>0</v>
      </c>
      <c r="M5846" s="343">
        <v>-967804.75</v>
      </c>
      <c r="O5846" s="343">
        <v>0</v>
      </c>
    </row>
    <row r="5847" spans="1:15" x14ac:dyDescent="0.3">
      <c r="A5847" s="340" t="s">
        <v>891</v>
      </c>
      <c r="B5847" s="350">
        <v>46159</v>
      </c>
      <c r="C5847" s="350">
        <v>46159</v>
      </c>
      <c r="D5847" s="351">
        <v>46143</v>
      </c>
      <c r="E5847" s="340" t="s">
        <v>3437</v>
      </c>
      <c r="F5847" s="340" t="s">
        <v>1078</v>
      </c>
      <c r="G5847" s="340" t="s">
        <v>3026</v>
      </c>
      <c r="I5847" s="340" t="s">
        <v>771</v>
      </c>
      <c r="K5847" s="343">
        <v>3.1</v>
      </c>
      <c r="L5847" s="343">
        <v>0</v>
      </c>
      <c r="M5847" s="343">
        <v>-967801.65</v>
      </c>
      <c r="O5847" s="343">
        <v>0</v>
      </c>
    </row>
    <row r="5848" spans="1:15" x14ac:dyDescent="0.3">
      <c r="A5848" s="340" t="s">
        <v>891</v>
      </c>
      <c r="B5848" s="350">
        <v>46159</v>
      </c>
      <c r="C5848" s="350">
        <v>46159</v>
      </c>
      <c r="D5848" s="351">
        <v>46143</v>
      </c>
      <c r="E5848" s="340" t="s">
        <v>3437</v>
      </c>
      <c r="F5848" s="340" t="s">
        <v>1078</v>
      </c>
      <c r="G5848" s="340" t="s">
        <v>3021</v>
      </c>
      <c r="I5848" s="340" t="s">
        <v>771</v>
      </c>
      <c r="K5848" s="343">
        <v>4.6100000000000003</v>
      </c>
      <c r="L5848" s="343">
        <v>0</v>
      </c>
      <c r="M5848" s="343">
        <v>-967797.04</v>
      </c>
      <c r="O5848" s="343">
        <v>0</v>
      </c>
    </row>
    <row r="5849" spans="1:15" x14ac:dyDescent="0.3">
      <c r="A5849" s="340" t="s">
        <v>891</v>
      </c>
      <c r="B5849" s="350">
        <v>46159</v>
      </c>
      <c r="C5849" s="350">
        <v>46159</v>
      </c>
      <c r="D5849" s="351">
        <v>46143</v>
      </c>
      <c r="E5849" s="340" t="s">
        <v>3437</v>
      </c>
      <c r="F5849" s="340" t="s">
        <v>1078</v>
      </c>
      <c r="G5849" s="340" t="s">
        <v>3005</v>
      </c>
      <c r="I5849" s="340" t="s">
        <v>771</v>
      </c>
      <c r="K5849" s="343">
        <v>10.61</v>
      </c>
      <c r="L5849" s="343">
        <v>0</v>
      </c>
      <c r="M5849" s="343">
        <v>-967786.43</v>
      </c>
      <c r="O5849" s="343">
        <v>0</v>
      </c>
    </row>
    <row r="5850" spans="1:15" x14ac:dyDescent="0.3">
      <c r="A5850" s="340" t="s">
        <v>891</v>
      </c>
      <c r="B5850" s="350">
        <v>46159</v>
      </c>
      <c r="C5850" s="350">
        <v>46159</v>
      </c>
      <c r="D5850" s="351">
        <v>46143</v>
      </c>
      <c r="E5850" s="340" t="s">
        <v>3437</v>
      </c>
      <c r="F5850" s="340" t="s">
        <v>1078</v>
      </c>
      <c r="G5850" s="340" t="s">
        <v>3023</v>
      </c>
      <c r="I5850" s="340" t="s">
        <v>771</v>
      </c>
      <c r="K5850" s="343">
        <v>0.46</v>
      </c>
      <c r="L5850" s="343">
        <v>0</v>
      </c>
      <c r="M5850" s="343">
        <v>-967785.97</v>
      </c>
      <c r="O5850" s="343">
        <v>0</v>
      </c>
    </row>
    <row r="5851" spans="1:15" x14ac:dyDescent="0.3">
      <c r="A5851" s="340" t="s">
        <v>891</v>
      </c>
      <c r="B5851" s="350">
        <v>46159</v>
      </c>
      <c r="C5851" s="350">
        <v>46159</v>
      </c>
      <c r="D5851" s="351">
        <v>46143</v>
      </c>
      <c r="E5851" s="340" t="s">
        <v>3437</v>
      </c>
      <c r="F5851" s="340" t="s">
        <v>1078</v>
      </c>
      <c r="G5851" s="340" t="s">
        <v>3018</v>
      </c>
      <c r="I5851" s="340" t="s">
        <v>771</v>
      </c>
      <c r="K5851" s="343">
        <v>0.08</v>
      </c>
      <c r="L5851" s="343">
        <v>0</v>
      </c>
      <c r="M5851" s="343">
        <v>-967785.89</v>
      </c>
      <c r="O5851" s="343">
        <v>0</v>
      </c>
    </row>
    <row r="5852" spans="1:15" x14ac:dyDescent="0.3">
      <c r="A5852" s="340" t="s">
        <v>891</v>
      </c>
      <c r="B5852" s="350">
        <v>46159</v>
      </c>
      <c r="C5852" s="350">
        <v>46159</v>
      </c>
      <c r="D5852" s="351">
        <v>46143</v>
      </c>
      <c r="E5852" s="340" t="s">
        <v>3437</v>
      </c>
      <c r="F5852" s="340" t="s">
        <v>1078</v>
      </c>
      <c r="G5852" s="340" t="s">
        <v>3016</v>
      </c>
      <c r="I5852" s="340" t="s">
        <v>771</v>
      </c>
      <c r="K5852" s="343">
        <v>0.02</v>
      </c>
      <c r="L5852" s="343">
        <v>0</v>
      </c>
      <c r="M5852" s="343">
        <v>-967785.87</v>
      </c>
      <c r="O5852" s="343">
        <v>0</v>
      </c>
    </row>
    <row r="5853" spans="1:15" x14ac:dyDescent="0.3">
      <c r="A5853" s="340" t="s">
        <v>891</v>
      </c>
      <c r="B5853" s="350">
        <v>46159</v>
      </c>
      <c r="C5853" s="350">
        <v>46159</v>
      </c>
      <c r="D5853" s="351">
        <v>46143</v>
      </c>
      <c r="E5853" s="340" t="s">
        <v>3437</v>
      </c>
      <c r="F5853" s="340" t="s">
        <v>1078</v>
      </c>
      <c r="G5853" s="340" t="s">
        <v>3022</v>
      </c>
      <c r="I5853" s="340" t="s">
        <v>771</v>
      </c>
      <c r="K5853" s="343">
        <v>0.23</v>
      </c>
      <c r="L5853" s="343">
        <v>0</v>
      </c>
      <c r="M5853" s="343">
        <v>-967785.64</v>
      </c>
      <c r="O5853" s="343">
        <v>0</v>
      </c>
    </row>
    <row r="5854" spans="1:15" x14ac:dyDescent="0.3">
      <c r="A5854" s="340" t="s">
        <v>891</v>
      </c>
      <c r="B5854" s="350">
        <v>46159</v>
      </c>
      <c r="C5854" s="350">
        <v>46159</v>
      </c>
      <c r="D5854" s="351">
        <v>46143</v>
      </c>
      <c r="E5854" s="340" t="s">
        <v>3437</v>
      </c>
      <c r="F5854" s="340" t="s">
        <v>1078</v>
      </c>
      <c r="G5854" s="340" t="s">
        <v>3019</v>
      </c>
      <c r="I5854" s="340" t="s">
        <v>771</v>
      </c>
      <c r="K5854" s="343">
        <v>0.01</v>
      </c>
      <c r="L5854" s="343">
        <v>0</v>
      </c>
      <c r="M5854" s="343">
        <v>-967785.63</v>
      </c>
      <c r="O5854" s="343">
        <v>0</v>
      </c>
    </row>
    <row r="5855" spans="1:15" x14ac:dyDescent="0.3">
      <c r="A5855" s="340" t="s">
        <v>891</v>
      </c>
      <c r="B5855" s="350">
        <v>46159</v>
      </c>
      <c r="C5855" s="350">
        <v>46159</v>
      </c>
      <c r="D5855" s="351">
        <v>46143</v>
      </c>
      <c r="E5855" s="340" t="s">
        <v>3437</v>
      </c>
      <c r="F5855" s="340" t="s">
        <v>1078</v>
      </c>
      <c r="G5855" s="340" t="s">
        <v>3016</v>
      </c>
      <c r="I5855" s="340" t="s">
        <v>771</v>
      </c>
      <c r="K5855" s="343">
        <v>0.01</v>
      </c>
      <c r="L5855" s="343">
        <v>0</v>
      </c>
      <c r="M5855" s="343">
        <v>-967785.62</v>
      </c>
      <c r="O5855" s="343">
        <v>0</v>
      </c>
    </row>
    <row r="5856" spans="1:15" x14ac:dyDescent="0.3">
      <c r="A5856" s="340" t="s">
        <v>891</v>
      </c>
      <c r="B5856" s="350">
        <v>46159</v>
      </c>
      <c r="C5856" s="350">
        <v>46159</v>
      </c>
      <c r="D5856" s="351">
        <v>46143</v>
      </c>
      <c r="E5856" s="340" t="s">
        <v>3437</v>
      </c>
      <c r="F5856" s="340" t="s">
        <v>1078</v>
      </c>
      <c r="G5856" s="340" t="s">
        <v>3016</v>
      </c>
      <c r="I5856" s="340" t="s">
        <v>771</v>
      </c>
      <c r="K5856" s="343">
        <v>0.02</v>
      </c>
      <c r="L5856" s="343">
        <v>0</v>
      </c>
      <c r="M5856" s="343">
        <v>-967785.6</v>
      </c>
      <c r="O5856" s="343">
        <v>0</v>
      </c>
    </row>
    <row r="5857" spans="1:15" x14ac:dyDescent="0.3">
      <c r="A5857" s="340" t="s">
        <v>891</v>
      </c>
      <c r="B5857" s="350">
        <v>46159</v>
      </c>
      <c r="C5857" s="350">
        <v>46159</v>
      </c>
      <c r="D5857" s="351">
        <v>46143</v>
      </c>
      <c r="E5857" s="340" t="s">
        <v>3437</v>
      </c>
      <c r="F5857" s="340" t="s">
        <v>1078</v>
      </c>
      <c r="G5857" s="340" t="s">
        <v>3018</v>
      </c>
      <c r="I5857" s="340" t="s">
        <v>771</v>
      </c>
      <c r="K5857" s="343">
        <v>0.05</v>
      </c>
      <c r="L5857" s="343">
        <v>0</v>
      </c>
      <c r="M5857" s="343">
        <v>-967785.55</v>
      </c>
      <c r="O5857" s="343">
        <v>0</v>
      </c>
    </row>
    <row r="5858" spans="1:15" x14ac:dyDescent="0.3">
      <c r="A5858" s="340" t="s">
        <v>891</v>
      </c>
      <c r="B5858" s="350">
        <v>46159</v>
      </c>
      <c r="C5858" s="350">
        <v>46159</v>
      </c>
      <c r="D5858" s="351">
        <v>46143</v>
      </c>
      <c r="E5858" s="340" t="s">
        <v>3437</v>
      </c>
      <c r="F5858" s="340" t="s">
        <v>1078</v>
      </c>
      <c r="G5858" s="340" t="s">
        <v>3020</v>
      </c>
      <c r="I5858" s="340" t="s">
        <v>771</v>
      </c>
      <c r="K5858" s="343">
        <v>7.0000000000000007E-2</v>
      </c>
      <c r="L5858" s="343">
        <v>0</v>
      </c>
      <c r="M5858" s="343">
        <v>-967785.48</v>
      </c>
      <c r="O5858" s="343">
        <v>0</v>
      </c>
    </row>
    <row r="5859" spans="1:15" x14ac:dyDescent="0.3">
      <c r="A5859" s="340" t="s">
        <v>891</v>
      </c>
      <c r="B5859" s="350">
        <v>46159</v>
      </c>
      <c r="C5859" s="350">
        <v>46159</v>
      </c>
      <c r="D5859" s="351">
        <v>46143</v>
      </c>
      <c r="E5859" s="340" t="s">
        <v>3437</v>
      </c>
      <c r="F5859" s="340" t="s">
        <v>1078</v>
      </c>
      <c r="G5859" s="340" t="s">
        <v>3020</v>
      </c>
      <c r="I5859" s="340" t="s">
        <v>771</v>
      </c>
      <c r="K5859" s="343">
        <v>0.11</v>
      </c>
      <c r="L5859" s="343">
        <v>0</v>
      </c>
      <c r="M5859" s="343">
        <v>-967785.37</v>
      </c>
      <c r="O5859" s="343">
        <v>0</v>
      </c>
    </row>
    <row r="5860" spans="1:15" x14ac:dyDescent="0.3">
      <c r="A5860" s="340" t="s">
        <v>891</v>
      </c>
      <c r="B5860" s="350">
        <v>46159</v>
      </c>
      <c r="C5860" s="350">
        <v>46159</v>
      </c>
      <c r="D5860" s="351">
        <v>46143</v>
      </c>
      <c r="E5860" s="340" t="s">
        <v>3437</v>
      </c>
      <c r="F5860" s="340" t="s">
        <v>1078</v>
      </c>
      <c r="G5860" s="340" t="s">
        <v>3022</v>
      </c>
      <c r="I5860" s="340" t="s">
        <v>771</v>
      </c>
      <c r="K5860" s="343">
        <v>0.15</v>
      </c>
      <c r="L5860" s="343">
        <v>0</v>
      </c>
      <c r="M5860" s="343">
        <v>-967785.22</v>
      </c>
      <c r="O5860" s="343">
        <v>0</v>
      </c>
    </row>
    <row r="5861" spans="1:15" x14ac:dyDescent="0.3">
      <c r="A5861" s="340" t="s">
        <v>891</v>
      </c>
      <c r="B5861" s="350">
        <v>46159</v>
      </c>
      <c r="C5861" s="350">
        <v>46159</v>
      </c>
      <c r="D5861" s="351">
        <v>46143</v>
      </c>
      <c r="E5861" s="340" t="s">
        <v>3437</v>
      </c>
      <c r="F5861" s="340" t="s">
        <v>1078</v>
      </c>
      <c r="G5861" s="340" t="s">
        <v>3022</v>
      </c>
      <c r="I5861" s="340" t="s">
        <v>771</v>
      </c>
      <c r="K5861" s="343">
        <v>0.23</v>
      </c>
      <c r="L5861" s="343">
        <v>0</v>
      </c>
      <c r="M5861" s="343">
        <v>-967784.99</v>
      </c>
      <c r="O5861" s="343">
        <v>0</v>
      </c>
    </row>
    <row r="5862" spans="1:15" x14ac:dyDescent="0.3">
      <c r="A5862" s="340" t="s">
        <v>891</v>
      </c>
      <c r="B5862" s="350">
        <v>46159</v>
      </c>
      <c r="C5862" s="350">
        <v>46159</v>
      </c>
      <c r="D5862" s="351">
        <v>46143</v>
      </c>
      <c r="E5862" s="340" t="s">
        <v>3437</v>
      </c>
      <c r="F5862" s="340" t="s">
        <v>1078</v>
      </c>
      <c r="G5862" s="340" t="s">
        <v>3023</v>
      </c>
      <c r="I5862" s="340" t="s">
        <v>771</v>
      </c>
      <c r="K5862" s="343">
        <v>0.3</v>
      </c>
      <c r="L5862" s="343">
        <v>0</v>
      </c>
      <c r="M5862" s="343">
        <v>-967784.69</v>
      </c>
      <c r="O5862" s="343">
        <v>0</v>
      </c>
    </row>
    <row r="5863" spans="1:15" x14ac:dyDescent="0.3">
      <c r="A5863" s="340" t="s">
        <v>891</v>
      </c>
      <c r="B5863" s="350">
        <v>46159</v>
      </c>
      <c r="C5863" s="350">
        <v>46159</v>
      </c>
      <c r="D5863" s="351">
        <v>46143</v>
      </c>
      <c r="E5863" s="340" t="s">
        <v>3437</v>
      </c>
      <c r="F5863" s="340" t="s">
        <v>1078</v>
      </c>
      <c r="G5863" s="340" t="s">
        <v>3024</v>
      </c>
      <c r="I5863" s="340" t="s">
        <v>771</v>
      </c>
      <c r="K5863" s="343">
        <v>0.61</v>
      </c>
      <c r="L5863" s="343">
        <v>0</v>
      </c>
      <c r="M5863" s="343">
        <v>-967784.08</v>
      </c>
      <c r="O5863" s="343">
        <v>0</v>
      </c>
    </row>
    <row r="5864" spans="1:15" x14ac:dyDescent="0.3">
      <c r="A5864" s="340" t="s">
        <v>891</v>
      </c>
      <c r="B5864" s="350">
        <v>46159</v>
      </c>
      <c r="C5864" s="350">
        <v>46159</v>
      </c>
      <c r="D5864" s="351">
        <v>46143</v>
      </c>
      <c r="E5864" s="340" t="s">
        <v>3437</v>
      </c>
      <c r="F5864" s="340" t="s">
        <v>1078</v>
      </c>
      <c r="G5864" s="340" t="s">
        <v>3025</v>
      </c>
      <c r="I5864" s="340" t="s">
        <v>771</v>
      </c>
      <c r="K5864" s="343">
        <v>1.72</v>
      </c>
      <c r="L5864" s="343">
        <v>0</v>
      </c>
      <c r="M5864" s="343">
        <v>-967782.36</v>
      </c>
      <c r="O5864" s="343">
        <v>0</v>
      </c>
    </row>
    <row r="5865" spans="1:15" x14ac:dyDescent="0.3">
      <c r="A5865" s="340" t="s">
        <v>891</v>
      </c>
      <c r="B5865" s="350">
        <v>46159</v>
      </c>
      <c r="C5865" s="350">
        <v>46159</v>
      </c>
      <c r="D5865" s="351">
        <v>46143</v>
      </c>
      <c r="E5865" s="340" t="s">
        <v>3437</v>
      </c>
      <c r="F5865" s="340" t="s">
        <v>1078</v>
      </c>
      <c r="G5865" s="340" t="s">
        <v>3026</v>
      </c>
      <c r="I5865" s="340" t="s">
        <v>771</v>
      </c>
      <c r="K5865" s="343">
        <v>2.02</v>
      </c>
      <c r="L5865" s="343">
        <v>0</v>
      </c>
      <c r="M5865" s="343">
        <v>-967780.34</v>
      </c>
      <c r="O5865" s="343">
        <v>0</v>
      </c>
    </row>
    <row r="5866" spans="1:15" x14ac:dyDescent="0.3">
      <c r="A5866" s="340" t="s">
        <v>891</v>
      </c>
      <c r="B5866" s="350">
        <v>46159</v>
      </c>
      <c r="C5866" s="350">
        <v>46159</v>
      </c>
      <c r="D5866" s="351">
        <v>46143</v>
      </c>
      <c r="E5866" s="340" t="s">
        <v>3437</v>
      </c>
      <c r="F5866" s="340" t="s">
        <v>1078</v>
      </c>
      <c r="G5866" s="340" t="s">
        <v>3017</v>
      </c>
      <c r="I5866" s="340" t="s">
        <v>771</v>
      </c>
      <c r="K5866" s="343">
        <v>2.2599999999999998</v>
      </c>
      <c r="L5866" s="343">
        <v>0</v>
      </c>
      <c r="M5866" s="343">
        <v>-967778.08</v>
      </c>
      <c r="O5866" s="343">
        <v>0</v>
      </c>
    </row>
    <row r="5867" spans="1:15" x14ac:dyDescent="0.3">
      <c r="A5867" s="340" t="s">
        <v>891</v>
      </c>
      <c r="B5867" s="350">
        <v>46159</v>
      </c>
      <c r="C5867" s="350">
        <v>46159</v>
      </c>
      <c r="D5867" s="351">
        <v>46143</v>
      </c>
      <c r="E5867" s="340" t="s">
        <v>3437</v>
      </c>
      <c r="F5867" s="340" t="s">
        <v>1078</v>
      </c>
      <c r="G5867" s="340" t="s">
        <v>3021</v>
      </c>
      <c r="I5867" s="340" t="s">
        <v>771</v>
      </c>
      <c r="K5867" s="343">
        <v>4.6100000000000003</v>
      </c>
      <c r="L5867" s="343">
        <v>0</v>
      </c>
      <c r="M5867" s="343">
        <v>-967773.47</v>
      </c>
      <c r="O5867" s="343">
        <v>0</v>
      </c>
    </row>
    <row r="5868" spans="1:15" x14ac:dyDescent="0.3">
      <c r="A5868" s="340" t="s">
        <v>891</v>
      </c>
      <c r="B5868" s="350">
        <v>46159</v>
      </c>
      <c r="C5868" s="350">
        <v>46159</v>
      </c>
      <c r="D5868" s="351">
        <v>46143</v>
      </c>
      <c r="E5868" s="340" t="s">
        <v>3437</v>
      </c>
      <c r="F5868" s="340" t="s">
        <v>1078</v>
      </c>
      <c r="G5868" s="340" t="s">
        <v>3005</v>
      </c>
      <c r="I5868" s="340" t="s">
        <v>771</v>
      </c>
      <c r="K5868" s="343">
        <v>6.91</v>
      </c>
      <c r="L5868" s="343">
        <v>0</v>
      </c>
      <c r="M5868" s="343">
        <v>-967766.56</v>
      </c>
      <c r="O5868" s="343">
        <v>0</v>
      </c>
    </row>
    <row r="5869" spans="1:15" x14ac:dyDescent="0.3">
      <c r="A5869" s="340" t="s">
        <v>891</v>
      </c>
      <c r="B5869" s="350">
        <v>46159</v>
      </c>
      <c r="C5869" s="350">
        <v>46159</v>
      </c>
      <c r="D5869" s="351">
        <v>46143</v>
      </c>
      <c r="E5869" s="340" t="s">
        <v>3437</v>
      </c>
      <c r="F5869" s="340" t="s">
        <v>1078</v>
      </c>
      <c r="G5869" s="340" t="s">
        <v>3019</v>
      </c>
      <c r="I5869" s="340" t="s">
        <v>771</v>
      </c>
      <c r="K5869" s="343">
        <v>0.01</v>
      </c>
      <c r="L5869" s="343">
        <v>0</v>
      </c>
      <c r="M5869" s="343">
        <v>-967766.55</v>
      </c>
      <c r="O5869" s="343">
        <v>0</v>
      </c>
    </row>
    <row r="5870" spans="1:15" x14ac:dyDescent="0.3">
      <c r="A5870" s="340" t="s">
        <v>891</v>
      </c>
      <c r="B5870" s="350">
        <v>46159</v>
      </c>
      <c r="C5870" s="350">
        <v>46159</v>
      </c>
      <c r="D5870" s="351">
        <v>46143</v>
      </c>
      <c r="E5870" s="340" t="s">
        <v>3437</v>
      </c>
      <c r="F5870" s="340" t="s">
        <v>1078</v>
      </c>
      <c r="G5870" s="340" t="s">
        <v>3016</v>
      </c>
      <c r="I5870" s="340" t="s">
        <v>771</v>
      </c>
      <c r="K5870" s="343">
        <v>0.02</v>
      </c>
      <c r="L5870" s="343">
        <v>0</v>
      </c>
      <c r="M5870" s="343">
        <v>-967766.53</v>
      </c>
      <c r="O5870" s="343">
        <v>0</v>
      </c>
    </row>
    <row r="5871" spans="1:15" x14ac:dyDescent="0.3">
      <c r="A5871" s="340" t="s">
        <v>891</v>
      </c>
      <c r="B5871" s="350">
        <v>46159</v>
      </c>
      <c r="C5871" s="350">
        <v>46159</v>
      </c>
      <c r="D5871" s="351">
        <v>46143</v>
      </c>
      <c r="E5871" s="340" t="s">
        <v>3437</v>
      </c>
      <c r="F5871" s="340" t="s">
        <v>1078</v>
      </c>
      <c r="G5871" s="340" t="s">
        <v>3016</v>
      </c>
      <c r="I5871" s="340" t="s">
        <v>771</v>
      </c>
      <c r="K5871" s="343">
        <v>0.03</v>
      </c>
      <c r="L5871" s="343">
        <v>0</v>
      </c>
      <c r="M5871" s="343">
        <v>-967766.5</v>
      </c>
      <c r="O5871" s="343">
        <v>0</v>
      </c>
    </row>
    <row r="5872" spans="1:15" x14ac:dyDescent="0.3">
      <c r="A5872" s="340" t="s">
        <v>891</v>
      </c>
      <c r="B5872" s="350">
        <v>46159</v>
      </c>
      <c r="C5872" s="350">
        <v>46159</v>
      </c>
      <c r="D5872" s="351">
        <v>46143</v>
      </c>
      <c r="E5872" s="340" t="s">
        <v>3437</v>
      </c>
      <c r="F5872" s="340" t="s">
        <v>1078</v>
      </c>
      <c r="G5872" s="340" t="s">
        <v>3018</v>
      </c>
      <c r="I5872" s="340" t="s">
        <v>771</v>
      </c>
      <c r="K5872" s="343">
        <v>0.1</v>
      </c>
      <c r="L5872" s="343">
        <v>0</v>
      </c>
      <c r="M5872" s="343">
        <v>-967766.4</v>
      </c>
      <c r="O5872" s="343">
        <v>0</v>
      </c>
    </row>
    <row r="5873" spans="1:15" x14ac:dyDescent="0.3">
      <c r="A5873" s="340" t="s">
        <v>891</v>
      </c>
      <c r="B5873" s="350">
        <v>46159</v>
      </c>
      <c r="C5873" s="350">
        <v>46159</v>
      </c>
      <c r="D5873" s="351">
        <v>46143</v>
      </c>
      <c r="E5873" s="340" t="s">
        <v>3437</v>
      </c>
      <c r="F5873" s="340" t="s">
        <v>1078</v>
      </c>
      <c r="G5873" s="340" t="s">
        <v>3020</v>
      </c>
      <c r="I5873" s="340" t="s">
        <v>771</v>
      </c>
      <c r="K5873" s="343">
        <v>0.15</v>
      </c>
      <c r="L5873" s="343">
        <v>0</v>
      </c>
      <c r="M5873" s="343">
        <v>-967766.25</v>
      </c>
      <c r="O5873" s="343">
        <v>0</v>
      </c>
    </row>
    <row r="5874" spans="1:15" x14ac:dyDescent="0.3">
      <c r="A5874" s="340" t="s">
        <v>891</v>
      </c>
      <c r="B5874" s="350">
        <v>46159</v>
      </c>
      <c r="C5874" s="350">
        <v>46159</v>
      </c>
      <c r="D5874" s="351">
        <v>46143</v>
      </c>
      <c r="E5874" s="340" t="s">
        <v>3437</v>
      </c>
      <c r="F5874" s="340" t="s">
        <v>1078</v>
      </c>
      <c r="G5874" s="340" t="s">
        <v>3020</v>
      </c>
      <c r="I5874" s="340" t="s">
        <v>771</v>
      </c>
      <c r="K5874" s="343">
        <v>0.16</v>
      </c>
      <c r="L5874" s="343">
        <v>0</v>
      </c>
      <c r="M5874" s="343">
        <v>-967766.09</v>
      </c>
      <c r="O5874" s="343">
        <v>0</v>
      </c>
    </row>
    <row r="5875" spans="1:15" x14ac:dyDescent="0.3">
      <c r="A5875" s="340" t="s">
        <v>891</v>
      </c>
      <c r="B5875" s="350">
        <v>46159</v>
      </c>
      <c r="C5875" s="350">
        <v>46159</v>
      </c>
      <c r="D5875" s="351">
        <v>46143</v>
      </c>
      <c r="E5875" s="340" t="s">
        <v>3437</v>
      </c>
      <c r="F5875" s="340" t="s">
        <v>1078</v>
      </c>
      <c r="G5875" s="340" t="s">
        <v>3022</v>
      </c>
      <c r="I5875" s="340" t="s">
        <v>771</v>
      </c>
      <c r="K5875" s="343">
        <v>0.28999999999999998</v>
      </c>
      <c r="L5875" s="343">
        <v>0</v>
      </c>
      <c r="M5875" s="343">
        <v>-967765.8</v>
      </c>
      <c r="O5875" s="343">
        <v>0</v>
      </c>
    </row>
    <row r="5876" spans="1:15" x14ac:dyDescent="0.3">
      <c r="A5876" s="340" t="s">
        <v>891</v>
      </c>
      <c r="B5876" s="350">
        <v>46159</v>
      </c>
      <c r="C5876" s="350">
        <v>46159</v>
      </c>
      <c r="D5876" s="351">
        <v>46143</v>
      </c>
      <c r="E5876" s="340" t="s">
        <v>3437</v>
      </c>
      <c r="F5876" s="340" t="s">
        <v>1078</v>
      </c>
      <c r="G5876" s="340" t="s">
        <v>3022</v>
      </c>
      <c r="I5876" s="340" t="s">
        <v>771</v>
      </c>
      <c r="K5876" s="343">
        <v>0.32</v>
      </c>
      <c r="L5876" s="343">
        <v>0</v>
      </c>
      <c r="M5876" s="343">
        <v>-967765.48</v>
      </c>
      <c r="O5876" s="343">
        <v>0</v>
      </c>
    </row>
    <row r="5877" spans="1:15" x14ac:dyDescent="0.3">
      <c r="A5877" s="340" t="s">
        <v>891</v>
      </c>
      <c r="B5877" s="350">
        <v>46159</v>
      </c>
      <c r="C5877" s="350">
        <v>46159</v>
      </c>
      <c r="D5877" s="351">
        <v>46143</v>
      </c>
      <c r="E5877" s="340" t="s">
        <v>3437</v>
      </c>
      <c r="F5877" s="340" t="s">
        <v>1078</v>
      </c>
      <c r="G5877" s="340" t="s">
        <v>3023</v>
      </c>
      <c r="I5877" s="340" t="s">
        <v>771</v>
      </c>
      <c r="K5877" s="343">
        <v>0.59</v>
      </c>
      <c r="L5877" s="343">
        <v>0</v>
      </c>
      <c r="M5877" s="343">
        <v>-967764.89</v>
      </c>
      <c r="O5877" s="343">
        <v>0</v>
      </c>
    </row>
    <row r="5878" spans="1:15" x14ac:dyDescent="0.3">
      <c r="A5878" s="340" t="s">
        <v>891</v>
      </c>
      <c r="B5878" s="350">
        <v>46159</v>
      </c>
      <c r="C5878" s="350">
        <v>46159</v>
      </c>
      <c r="D5878" s="351">
        <v>46143</v>
      </c>
      <c r="E5878" s="340" t="s">
        <v>3437</v>
      </c>
      <c r="F5878" s="340" t="s">
        <v>1078</v>
      </c>
      <c r="G5878" s="340" t="s">
        <v>3024</v>
      </c>
      <c r="I5878" s="340" t="s">
        <v>771</v>
      </c>
      <c r="K5878" s="343">
        <v>1.21</v>
      </c>
      <c r="L5878" s="343">
        <v>0</v>
      </c>
      <c r="M5878" s="343">
        <v>-967763.68</v>
      </c>
      <c r="O5878" s="343">
        <v>0</v>
      </c>
    </row>
    <row r="5879" spans="1:15" x14ac:dyDescent="0.3">
      <c r="A5879" s="340" t="s">
        <v>891</v>
      </c>
      <c r="B5879" s="350">
        <v>46159</v>
      </c>
      <c r="C5879" s="350">
        <v>46159</v>
      </c>
      <c r="D5879" s="351">
        <v>46143</v>
      </c>
      <c r="E5879" s="340" t="s">
        <v>3437</v>
      </c>
      <c r="F5879" s="340" t="s">
        <v>1078</v>
      </c>
      <c r="G5879" s="340" t="s">
        <v>3017</v>
      </c>
      <c r="I5879" s="340" t="s">
        <v>771</v>
      </c>
      <c r="K5879" s="343">
        <v>2.2599999999999998</v>
      </c>
      <c r="L5879" s="343">
        <v>0</v>
      </c>
      <c r="M5879" s="343">
        <v>-967761.42</v>
      </c>
      <c r="O5879" s="343">
        <v>0</v>
      </c>
    </row>
    <row r="5880" spans="1:15" x14ac:dyDescent="0.3">
      <c r="A5880" s="340" t="s">
        <v>891</v>
      </c>
      <c r="B5880" s="350">
        <v>46159</v>
      </c>
      <c r="C5880" s="350">
        <v>46159</v>
      </c>
      <c r="D5880" s="351">
        <v>46143</v>
      </c>
      <c r="E5880" s="340" t="s">
        <v>3437</v>
      </c>
      <c r="F5880" s="340" t="s">
        <v>1078</v>
      </c>
      <c r="G5880" s="340" t="s">
        <v>3025</v>
      </c>
      <c r="I5880" s="340" t="s">
        <v>771</v>
      </c>
      <c r="K5880" s="343">
        <v>3.43</v>
      </c>
      <c r="L5880" s="343">
        <v>0</v>
      </c>
      <c r="M5880" s="343">
        <v>-967757.99</v>
      </c>
      <c r="O5880" s="343">
        <v>0</v>
      </c>
    </row>
    <row r="5881" spans="1:15" x14ac:dyDescent="0.3">
      <c r="A5881" s="340" t="s">
        <v>891</v>
      </c>
      <c r="B5881" s="350">
        <v>46159</v>
      </c>
      <c r="C5881" s="350">
        <v>46159</v>
      </c>
      <c r="D5881" s="351">
        <v>46143</v>
      </c>
      <c r="E5881" s="340" t="s">
        <v>3437</v>
      </c>
      <c r="F5881" s="340" t="s">
        <v>1078</v>
      </c>
      <c r="G5881" s="340" t="s">
        <v>3026</v>
      </c>
      <c r="I5881" s="340" t="s">
        <v>771</v>
      </c>
      <c r="K5881" s="343">
        <v>4.0199999999999996</v>
      </c>
      <c r="L5881" s="343">
        <v>0</v>
      </c>
      <c r="M5881" s="343">
        <v>-967753.97</v>
      </c>
      <c r="O5881" s="343">
        <v>0</v>
      </c>
    </row>
    <row r="5882" spans="1:15" x14ac:dyDescent="0.3">
      <c r="A5882" s="340" t="s">
        <v>891</v>
      </c>
      <c r="B5882" s="350">
        <v>46159</v>
      </c>
      <c r="C5882" s="350">
        <v>46159</v>
      </c>
      <c r="D5882" s="351">
        <v>46143</v>
      </c>
      <c r="E5882" s="340" t="s">
        <v>3437</v>
      </c>
      <c r="F5882" s="340" t="s">
        <v>1078</v>
      </c>
      <c r="G5882" s="340" t="s">
        <v>3021</v>
      </c>
      <c r="I5882" s="340" t="s">
        <v>771</v>
      </c>
      <c r="K5882" s="343">
        <v>4.6100000000000003</v>
      </c>
      <c r="L5882" s="343">
        <v>0</v>
      </c>
      <c r="M5882" s="343">
        <v>-967749.36</v>
      </c>
      <c r="O5882" s="343">
        <v>0</v>
      </c>
    </row>
    <row r="5883" spans="1:15" x14ac:dyDescent="0.3">
      <c r="A5883" s="340" t="s">
        <v>891</v>
      </c>
      <c r="B5883" s="350">
        <v>46159</v>
      </c>
      <c r="C5883" s="350">
        <v>46159</v>
      </c>
      <c r="D5883" s="351">
        <v>46143</v>
      </c>
      <c r="E5883" s="340" t="s">
        <v>3437</v>
      </c>
      <c r="F5883" s="340" t="s">
        <v>1078</v>
      </c>
      <c r="G5883" s="340" t="s">
        <v>3005</v>
      </c>
      <c r="I5883" s="340" t="s">
        <v>771</v>
      </c>
      <c r="K5883" s="343">
        <v>13.74</v>
      </c>
      <c r="L5883" s="343">
        <v>0</v>
      </c>
      <c r="M5883" s="343">
        <v>-967735.62</v>
      </c>
      <c r="O5883" s="343">
        <v>0</v>
      </c>
    </row>
    <row r="5884" spans="1:15" x14ac:dyDescent="0.3">
      <c r="A5884" s="340" t="s">
        <v>891</v>
      </c>
      <c r="B5884" s="350">
        <v>46159</v>
      </c>
      <c r="C5884" s="350">
        <v>46159</v>
      </c>
      <c r="D5884" s="351">
        <v>46143</v>
      </c>
      <c r="E5884" s="340" t="s">
        <v>3437</v>
      </c>
      <c r="F5884" s="340" t="s">
        <v>1078</v>
      </c>
      <c r="G5884" s="340" t="s">
        <v>3017</v>
      </c>
      <c r="I5884" s="340" t="s">
        <v>771</v>
      </c>
      <c r="K5884" s="343">
        <v>2.2599999999999998</v>
      </c>
      <c r="L5884" s="343">
        <v>0</v>
      </c>
      <c r="M5884" s="343">
        <v>-967733.36</v>
      </c>
      <c r="O5884" s="343">
        <v>0</v>
      </c>
    </row>
    <row r="5885" spans="1:15" x14ac:dyDescent="0.3">
      <c r="A5885" s="340" t="s">
        <v>891</v>
      </c>
      <c r="B5885" s="350">
        <v>46159</v>
      </c>
      <c r="C5885" s="350">
        <v>46159</v>
      </c>
      <c r="D5885" s="351">
        <v>46143</v>
      </c>
      <c r="E5885" s="340" t="s">
        <v>3437</v>
      </c>
      <c r="F5885" s="340" t="s">
        <v>1078</v>
      </c>
      <c r="G5885" s="340" t="s">
        <v>3025</v>
      </c>
      <c r="I5885" s="340" t="s">
        <v>771</v>
      </c>
      <c r="K5885" s="343">
        <v>3.78</v>
      </c>
      <c r="L5885" s="343">
        <v>0</v>
      </c>
      <c r="M5885" s="343">
        <v>-967729.58</v>
      </c>
      <c r="O5885" s="343">
        <v>0</v>
      </c>
    </row>
    <row r="5886" spans="1:15" x14ac:dyDescent="0.3">
      <c r="A5886" s="340" t="s">
        <v>891</v>
      </c>
      <c r="B5886" s="350">
        <v>46159</v>
      </c>
      <c r="C5886" s="350">
        <v>46159</v>
      </c>
      <c r="D5886" s="351">
        <v>46143</v>
      </c>
      <c r="E5886" s="340" t="s">
        <v>3437</v>
      </c>
      <c r="F5886" s="340" t="s">
        <v>1078</v>
      </c>
      <c r="G5886" s="340" t="s">
        <v>3026</v>
      </c>
      <c r="I5886" s="340" t="s">
        <v>771</v>
      </c>
      <c r="K5886" s="343">
        <v>4.42</v>
      </c>
      <c r="L5886" s="343">
        <v>0</v>
      </c>
      <c r="M5886" s="343">
        <v>-967725.16</v>
      </c>
      <c r="O5886" s="343">
        <v>0</v>
      </c>
    </row>
    <row r="5887" spans="1:15" x14ac:dyDescent="0.3">
      <c r="A5887" s="340" t="s">
        <v>891</v>
      </c>
      <c r="B5887" s="350">
        <v>46159</v>
      </c>
      <c r="C5887" s="350">
        <v>46159</v>
      </c>
      <c r="D5887" s="351">
        <v>46143</v>
      </c>
      <c r="E5887" s="340" t="s">
        <v>3437</v>
      </c>
      <c r="F5887" s="340" t="s">
        <v>1078</v>
      </c>
      <c r="G5887" s="340" t="s">
        <v>3021</v>
      </c>
      <c r="I5887" s="340" t="s">
        <v>771</v>
      </c>
      <c r="K5887" s="343">
        <v>4.6100000000000003</v>
      </c>
      <c r="L5887" s="343">
        <v>0</v>
      </c>
      <c r="M5887" s="343">
        <v>-967720.55</v>
      </c>
      <c r="O5887" s="343">
        <v>0</v>
      </c>
    </row>
    <row r="5888" spans="1:15" x14ac:dyDescent="0.3">
      <c r="A5888" s="340" t="s">
        <v>891</v>
      </c>
      <c r="B5888" s="350">
        <v>46159</v>
      </c>
      <c r="C5888" s="350">
        <v>46159</v>
      </c>
      <c r="D5888" s="351">
        <v>46143</v>
      </c>
      <c r="E5888" s="340" t="s">
        <v>3437</v>
      </c>
      <c r="F5888" s="340" t="s">
        <v>1078</v>
      </c>
      <c r="G5888" s="340" t="s">
        <v>3005</v>
      </c>
      <c r="I5888" s="340" t="s">
        <v>771</v>
      </c>
      <c r="K5888" s="343">
        <v>15.12</v>
      </c>
      <c r="L5888" s="343">
        <v>0</v>
      </c>
      <c r="M5888" s="343">
        <v>-967705.43</v>
      </c>
      <c r="O5888" s="343">
        <v>0</v>
      </c>
    </row>
    <row r="5889" spans="1:15" x14ac:dyDescent="0.3">
      <c r="A5889" s="340" t="s">
        <v>891</v>
      </c>
      <c r="B5889" s="350">
        <v>46159</v>
      </c>
      <c r="C5889" s="350">
        <v>46159</v>
      </c>
      <c r="D5889" s="351">
        <v>46143</v>
      </c>
      <c r="E5889" s="340" t="s">
        <v>3437</v>
      </c>
      <c r="F5889" s="340" t="s">
        <v>1078</v>
      </c>
      <c r="G5889" s="340" t="s">
        <v>3019</v>
      </c>
      <c r="I5889" s="340" t="s">
        <v>771</v>
      </c>
      <c r="K5889" s="343">
        <v>0.01</v>
      </c>
      <c r="L5889" s="343">
        <v>0</v>
      </c>
      <c r="M5889" s="343">
        <v>-967705.42</v>
      </c>
      <c r="O5889" s="343">
        <v>0</v>
      </c>
    </row>
    <row r="5890" spans="1:15" x14ac:dyDescent="0.3">
      <c r="A5890" s="340" t="s">
        <v>891</v>
      </c>
      <c r="B5890" s="350">
        <v>46159</v>
      </c>
      <c r="C5890" s="350">
        <v>46159</v>
      </c>
      <c r="D5890" s="351">
        <v>46143</v>
      </c>
      <c r="E5890" s="340" t="s">
        <v>3437</v>
      </c>
      <c r="F5890" s="340" t="s">
        <v>1078</v>
      </c>
      <c r="G5890" s="340" t="s">
        <v>3016</v>
      </c>
      <c r="I5890" s="340" t="s">
        <v>771</v>
      </c>
      <c r="K5890" s="343">
        <v>0.03</v>
      </c>
      <c r="L5890" s="343">
        <v>0</v>
      </c>
      <c r="M5890" s="343">
        <v>-967705.39</v>
      </c>
      <c r="O5890" s="343">
        <v>0</v>
      </c>
    </row>
    <row r="5891" spans="1:15" x14ac:dyDescent="0.3">
      <c r="A5891" s="340" t="s">
        <v>891</v>
      </c>
      <c r="B5891" s="350">
        <v>46159</v>
      </c>
      <c r="C5891" s="350">
        <v>46159</v>
      </c>
      <c r="D5891" s="351">
        <v>46143</v>
      </c>
      <c r="E5891" s="340" t="s">
        <v>3437</v>
      </c>
      <c r="F5891" s="340" t="s">
        <v>1078</v>
      </c>
      <c r="G5891" s="340" t="s">
        <v>3016</v>
      </c>
      <c r="I5891" s="340" t="s">
        <v>771</v>
      </c>
      <c r="K5891" s="343">
        <v>0.03</v>
      </c>
      <c r="L5891" s="343">
        <v>0</v>
      </c>
      <c r="M5891" s="343">
        <v>-967705.36</v>
      </c>
      <c r="O5891" s="343">
        <v>0</v>
      </c>
    </row>
    <row r="5892" spans="1:15" x14ac:dyDescent="0.3">
      <c r="A5892" s="340" t="s">
        <v>891</v>
      </c>
      <c r="B5892" s="350">
        <v>46159</v>
      </c>
      <c r="C5892" s="350">
        <v>46159</v>
      </c>
      <c r="D5892" s="351">
        <v>46143</v>
      </c>
      <c r="E5892" s="340" t="s">
        <v>3437</v>
      </c>
      <c r="F5892" s="340" t="s">
        <v>1078</v>
      </c>
      <c r="G5892" s="340" t="s">
        <v>3018</v>
      </c>
      <c r="I5892" s="340" t="s">
        <v>771</v>
      </c>
      <c r="K5892" s="343">
        <v>0.11</v>
      </c>
      <c r="L5892" s="343">
        <v>0</v>
      </c>
      <c r="M5892" s="343">
        <v>-967705.25</v>
      </c>
      <c r="O5892" s="343">
        <v>0</v>
      </c>
    </row>
    <row r="5893" spans="1:15" x14ac:dyDescent="0.3">
      <c r="A5893" s="340" t="s">
        <v>891</v>
      </c>
      <c r="B5893" s="350">
        <v>46159</v>
      </c>
      <c r="C5893" s="350">
        <v>46159</v>
      </c>
      <c r="D5893" s="351">
        <v>46143</v>
      </c>
      <c r="E5893" s="340" t="s">
        <v>3437</v>
      </c>
      <c r="F5893" s="340" t="s">
        <v>1078</v>
      </c>
      <c r="G5893" s="340" t="s">
        <v>3020</v>
      </c>
      <c r="I5893" s="340" t="s">
        <v>771</v>
      </c>
      <c r="K5893" s="343">
        <v>0.16</v>
      </c>
      <c r="L5893" s="343">
        <v>0</v>
      </c>
      <c r="M5893" s="343">
        <v>-967705.09</v>
      </c>
      <c r="O5893" s="343">
        <v>0</v>
      </c>
    </row>
    <row r="5894" spans="1:15" x14ac:dyDescent="0.3">
      <c r="A5894" s="340" t="s">
        <v>891</v>
      </c>
      <c r="B5894" s="350">
        <v>46159</v>
      </c>
      <c r="C5894" s="350">
        <v>46159</v>
      </c>
      <c r="D5894" s="351">
        <v>46143</v>
      </c>
      <c r="E5894" s="340" t="s">
        <v>3437</v>
      </c>
      <c r="F5894" s="340" t="s">
        <v>1078</v>
      </c>
      <c r="G5894" s="340" t="s">
        <v>3020</v>
      </c>
      <c r="I5894" s="340" t="s">
        <v>771</v>
      </c>
      <c r="K5894" s="343">
        <v>0.17</v>
      </c>
      <c r="L5894" s="343">
        <v>0</v>
      </c>
      <c r="M5894" s="343">
        <v>-967704.92</v>
      </c>
      <c r="O5894" s="343">
        <v>0</v>
      </c>
    </row>
    <row r="5895" spans="1:15" x14ac:dyDescent="0.3">
      <c r="A5895" s="340" t="s">
        <v>891</v>
      </c>
      <c r="B5895" s="350">
        <v>46159</v>
      </c>
      <c r="C5895" s="350">
        <v>46159</v>
      </c>
      <c r="D5895" s="351">
        <v>46143</v>
      </c>
      <c r="E5895" s="340" t="s">
        <v>3437</v>
      </c>
      <c r="F5895" s="340" t="s">
        <v>1078</v>
      </c>
      <c r="G5895" s="340" t="s">
        <v>3022</v>
      </c>
      <c r="I5895" s="340" t="s">
        <v>771</v>
      </c>
      <c r="K5895" s="343">
        <v>0.32</v>
      </c>
      <c r="L5895" s="343">
        <v>0</v>
      </c>
      <c r="M5895" s="343">
        <v>-967704.6</v>
      </c>
      <c r="O5895" s="343">
        <v>0</v>
      </c>
    </row>
    <row r="5896" spans="1:15" x14ac:dyDescent="0.3">
      <c r="A5896" s="340" t="s">
        <v>891</v>
      </c>
      <c r="B5896" s="350">
        <v>46159</v>
      </c>
      <c r="C5896" s="350">
        <v>46159</v>
      </c>
      <c r="D5896" s="351">
        <v>46143</v>
      </c>
      <c r="E5896" s="340" t="s">
        <v>3437</v>
      </c>
      <c r="F5896" s="340" t="s">
        <v>1078</v>
      </c>
      <c r="G5896" s="340" t="s">
        <v>3022</v>
      </c>
      <c r="I5896" s="340" t="s">
        <v>771</v>
      </c>
      <c r="K5896" s="343">
        <v>0.33</v>
      </c>
      <c r="L5896" s="343">
        <v>0</v>
      </c>
      <c r="M5896" s="343">
        <v>-967704.27</v>
      </c>
      <c r="O5896" s="343">
        <v>0</v>
      </c>
    </row>
    <row r="5897" spans="1:15" x14ac:dyDescent="0.3">
      <c r="A5897" s="340" t="s">
        <v>891</v>
      </c>
      <c r="B5897" s="350">
        <v>46159</v>
      </c>
      <c r="C5897" s="350">
        <v>46159</v>
      </c>
      <c r="D5897" s="351">
        <v>46143</v>
      </c>
      <c r="E5897" s="340" t="s">
        <v>3437</v>
      </c>
      <c r="F5897" s="340" t="s">
        <v>1078</v>
      </c>
      <c r="G5897" s="340" t="s">
        <v>3023</v>
      </c>
      <c r="I5897" s="340" t="s">
        <v>771</v>
      </c>
      <c r="K5897" s="343">
        <v>0.65</v>
      </c>
      <c r="L5897" s="343">
        <v>0</v>
      </c>
      <c r="M5897" s="343">
        <v>-967703.62</v>
      </c>
      <c r="O5897" s="343">
        <v>0</v>
      </c>
    </row>
    <row r="5898" spans="1:15" x14ac:dyDescent="0.3">
      <c r="A5898" s="340" t="s">
        <v>891</v>
      </c>
      <c r="B5898" s="350">
        <v>46159</v>
      </c>
      <c r="C5898" s="350">
        <v>46159</v>
      </c>
      <c r="D5898" s="351">
        <v>46143</v>
      </c>
      <c r="E5898" s="340" t="s">
        <v>3437</v>
      </c>
      <c r="F5898" s="340" t="s">
        <v>1078</v>
      </c>
      <c r="G5898" s="340" t="s">
        <v>3024</v>
      </c>
      <c r="I5898" s="340" t="s">
        <v>771</v>
      </c>
      <c r="K5898" s="343">
        <v>1.33</v>
      </c>
      <c r="L5898" s="343">
        <v>0</v>
      </c>
      <c r="M5898" s="343">
        <v>-967702.29</v>
      </c>
      <c r="O5898" s="343">
        <v>0</v>
      </c>
    </row>
    <row r="5899" spans="1:15" x14ac:dyDescent="0.3">
      <c r="A5899" s="340" t="s">
        <v>891</v>
      </c>
      <c r="B5899" s="350">
        <v>46159</v>
      </c>
      <c r="C5899" s="350">
        <v>46159</v>
      </c>
      <c r="D5899" s="351">
        <v>46143</v>
      </c>
      <c r="E5899" s="340" t="s">
        <v>3438</v>
      </c>
      <c r="F5899" s="340" t="s">
        <v>1078</v>
      </c>
      <c r="G5899" s="340" t="s">
        <v>2618</v>
      </c>
      <c r="I5899" s="340" t="s">
        <v>771</v>
      </c>
      <c r="K5899" s="343">
        <v>360.71</v>
      </c>
      <c r="L5899" s="343">
        <v>0</v>
      </c>
      <c r="M5899" s="343">
        <v>-967341.58</v>
      </c>
      <c r="O5899" s="343">
        <v>0</v>
      </c>
    </row>
    <row r="5900" spans="1:15" x14ac:dyDescent="0.3">
      <c r="A5900" s="340" t="s">
        <v>891</v>
      </c>
      <c r="B5900" s="350">
        <v>46159</v>
      </c>
      <c r="C5900" s="350">
        <v>46159</v>
      </c>
      <c r="D5900" s="351">
        <v>46143</v>
      </c>
      <c r="E5900" s="340" t="s">
        <v>3438</v>
      </c>
      <c r="F5900" s="340" t="s">
        <v>1078</v>
      </c>
      <c r="G5900" s="340" t="s">
        <v>3003</v>
      </c>
      <c r="I5900" s="340" t="s">
        <v>771</v>
      </c>
      <c r="K5900" s="343">
        <v>1.82</v>
      </c>
      <c r="L5900" s="343">
        <v>0</v>
      </c>
      <c r="M5900" s="343">
        <v>-967339.76</v>
      </c>
      <c r="O5900" s="343">
        <v>0</v>
      </c>
    </row>
    <row r="5901" spans="1:15" x14ac:dyDescent="0.3">
      <c r="A5901" s="340" t="s">
        <v>891</v>
      </c>
      <c r="B5901" s="350">
        <v>46159</v>
      </c>
      <c r="C5901" s="350">
        <v>46159</v>
      </c>
      <c r="D5901" s="351">
        <v>46143</v>
      </c>
      <c r="E5901" s="340" t="s">
        <v>3438</v>
      </c>
      <c r="F5901" s="340" t="s">
        <v>1078</v>
      </c>
      <c r="G5901" s="340" t="s">
        <v>3015</v>
      </c>
      <c r="I5901" s="340" t="s">
        <v>771</v>
      </c>
      <c r="K5901" s="343">
        <v>11.13</v>
      </c>
      <c r="L5901" s="343">
        <v>0</v>
      </c>
      <c r="M5901" s="343">
        <v>-967328.63</v>
      </c>
      <c r="O5901" s="343">
        <v>0</v>
      </c>
    </row>
    <row r="5902" spans="1:15" x14ac:dyDescent="0.3">
      <c r="A5902" s="340" t="s">
        <v>891</v>
      </c>
      <c r="B5902" s="350">
        <v>46159</v>
      </c>
      <c r="C5902" s="350">
        <v>46159</v>
      </c>
      <c r="D5902" s="351">
        <v>46143</v>
      </c>
      <c r="E5902" s="340" t="s">
        <v>3438</v>
      </c>
      <c r="F5902" s="340" t="s">
        <v>1078</v>
      </c>
      <c r="G5902" s="340" t="s">
        <v>3004</v>
      </c>
      <c r="I5902" s="340" t="s">
        <v>771</v>
      </c>
      <c r="K5902" s="343">
        <v>24.16</v>
      </c>
      <c r="L5902" s="343">
        <v>0</v>
      </c>
      <c r="M5902" s="343">
        <v>-967304.47</v>
      </c>
      <c r="O5902" s="343">
        <v>0</v>
      </c>
    </row>
    <row r="5903" spans="1:15" x14ac:dyDescent="0.3">
      <c r="A5903" s="340" t="s">
        <v>891</v>
      </c>
      <c r="B5903" s="350">
        <v>46159</v>
      </c>
      <c r="C5903" s="350">
        <v>46159</v>
      </c>
      <c r="D5903" s="351">
        <v>46143</v>
      </c>
      <c r="E5903" s="340" t="s">
        <v>3438</v>
      </c>
      <c r="F5903" s="340" t="s">
        <v>1078</v>
      </c>
      <c r="G5903" s="340" t="s">
        <v>3010</v>
      </c>
      <c r="I5903" s="340" t="s">
        <v>771</v>
      </c>
      <c r="K5903" s="343">
        <v>48.17</v>
      </c>
      <c r="L5903" s="343">
        <v>0</v>
      </c>
      <c r="M5903" s="343">
        <v>-967256.3</v>
      </c>
      <c r="O5903" s="343">
        <v>0</v>
      </c>
    </row>
    <row r="5904" spans="1:15" x14ac:dyDescent="0.3">
      <c r="A5904" s="340" t="s">
        <v>891</v>
      </c>
      <c r="B5904" s="350">
        <v>46159</v>
      </c>
      <c r="C5904" s="350">
        <v>46159</v>
      </c>
      <c r="D5904" s="351">
        <v>46143</v>
      </c>
      <c r="E5904" s="340" t="s">
        <v>3438</v>
      </c>
      <c r="F5904" s="340" t="s">
        <v>1078</v>
      </c>
      <c r="G5904" s="340" t="s">
        <v>3003</v>
      </c>
      <c r="I5904" s="340" t="s">
        <v>771</v>
      </c>
      <c r="K5904" s="343">
        <v>3.95</v>
      </c>
      <c r="L5904" s="343">
        <v>0</v>
      </c>
      <c r="M5904" s="343">
        <v>-967252.35</v>
      </c>
      <c r="O5904" s="343">
        <v>0</v>
      </c>
    </row>
    <row r="5905" spans="1:15" x14ac:dyDescent="0.3">
      <c r="A5905" s="340" t="s">
        <v>891</v>
      </c>
      <c r="B5905" s="350">
        <v>46159</v>
      </c>
      <c r="C5905" s="350">
        <v>46159</v>
      </c>
      <c r="D5905" s="351">
        <v>46143</v>
      </c>
      <c r="E5905" s="340" t="s">
        <v>3438</v>
      </c>
      <c r="F5905" s="340" t="s">
        <v>1078</v>
      </c>
      <c r="G5905" s="340" t="s">
        <v>3014</v>
      </c>
      <c r="I5905" s="340" t="s">
        <v>771</v>
      </c>
      <c r="K5905" s="343">
        <v>16.600000000000001</v>
      </c>
      <c r="L5905" s="343">
        <v>0</v>
      </c>
      <c r="M5905" s="343">
        <v>-967235.75</v>
      </c>
      <c r="O5905" s="343">
        <v>0</v>
      </c>
    </row>
    <row r="5906" spans="1:15" x14ac:dyDescent="0.3">
      <c r="A5906" s="340" t="s">
        <v>891</v>
      </c>
      <c r="B5906" s="350">
        <v>46159</v>
      </c>
      <c r="C5906" s="350">
        <v>46159</v>
      </c>
      <c r="D5906" s="351">
        <v>46143</v>
      </c>
      <c r="E5906" s="340" t="s">
        <v>3438</v>
      </c>
      <c r="F5906" s="340" t="s">
        <v>1078</v>
      </c>
      <c r="G5906" s="340" t="s">
        <v>3013</v>
      </c>
      <c r="I5906" s="340" t="s">
        <v>771</v>
      </c>
      <c r="K5906" s="343">
        <v>104.84</v>
      </c>
      <c r="L5906" s="343">
        <v>0</v>
      </c>
      <c r="M5906" s="343">
        <v>-967130.91</v>
      </c>
      <c r="O5906" s="343">
        <v>0</v>
      </c>
    </row>
    <row r="5907" spans="1:15" x14ac:dyDescent="0.3">
      <c r="A5907" s="340" t="s">
        <v>891</v>
      </c>
      <c r="B5907" s="350">
        <v>46159</v>
      </c>
      <c r="C5907" s="350">
        <v>46159</v>
      </c>
      <c r="D5907" s="351">
        <v>46143</v>
      </c>
      <c r="E5907" s="340" t="s">
        <v>3438</v>
      </c>
      <c r="F5907" s="340" t="s">
        <v>1078</v>
      </c>
      <c r="G5907" s="340" t="s">
        <v>3007</v>
      </c>
      <c r="I5907" s="340" t="s">
        <v>771</v>
      </c>
      <c r="K5907" s="343">
        <v>2242.29</v>
      </c>
      <c r="L5907" s="343">
        <v>0</v>
      </c>
      <c r="M5907" s="343">
        <v>-964888.62</v>
      </c>
      <c r="O5907" s="343">
        <v>0</v>
      </c>
    </row>
    <row r="5908" spans="1:15" x14ac:dyDescent="0.3">
      <c r="A5908" s="340" t="s">
        <v>891</v>
      </c>
      <c r="B5908" s="350">
        <v>46159</v>
      </c>
      <c r="C5908" s="350">
        <v>46159</v>
      </c>
      <c r="D5908" s="351">
        <v>46143</v>
      </c>
      <c r="E5908" s="340" t="s">
        <v>3438</v>
      </c>
      <c r="F5908" s="340" t="s">
        <v>1078</v>
      </c>
      <c r="G5908" s="340" t="s">
        <v>3006</v>
      </c>
      <c r="I5908" s="340" t="s">
        <v>771</v>
      </c>
      <c r="K5908" s="343">
        <v>441.73</v>
      </c>
      <c r="L5908" s="343">
        <v>0</v>
      </c>
      <c r="M5908" s="343">
        <v>-964446.89</v>
      </c>
      <c r="O5908" s="343">
        <v>0</v>
      </c>
    </row>
    <row r="5909" spans="1:15" x14ac:dyDescent="0.3">
      <c r="A5909" s="340" t="s">
        <v>891</v>
      </c>
      <c r="B5909" s="350">
        <v>46159</v>
      </c>
      <c r="C5909" s="350">
        <v>46159</v>
      </c>
      <c r="D5909" s="351">
        <v>46143</v>
      </c>
      <c r="E5909" s="340" t="s">
        <v>3438</v>
      </c>
      <c r="F5909" s="340" t="s">
        <v>1078</v>
      </c>
      <c r="G5909" s="340" t="s">
        <v>3012</v>
      </c>
      <c r="I5909" s="340" t="s">
        <v>771</v>
      </c>
      <c r="K5909" s="343">
        <v>378.51</v>
      </c>
      <c r="L5909" s="343">
        <v>0</v>
      </c>
      <c r="M5909" s="343">
        <v>-964068.38</v>
      </c>
      <c r="O5909" s="343">
        <v>0</v>
      </c>
    </row>
    <row r="5910" spans="1:15" x14ac:dyDescent="0.3">
      <c r="A5910" s="340" t="s">
        <v>891</v>
      </c>
      <c r="B5910" s="350">
        <v>46159</v>
      </c>
      <c r="C5910" s="350">
        <v>46159</v>
      </c>
      <c r="D5910" s="351">
        <v>46143</v>
      </c>
      <c r="E5910" s="340" t="s">
        <v>3438</v>
      </c>
      <c r="F5910" s="340" t="s">
        <v>1078</v>
      </c>
      <c r="G5910" s="340" t="s">
        <v>3011</v>
      </c>
      <c r="I5910" s="340" t="s">
        <v>771</v>
      </c>
      <c r="K5910" s="343">
        <v>220.85</v>
      </c>
      <c r="L5910" s="343">
        <v>0</v>
      </c>
      <c r="M5910" s="343">
        <v>-963847.53</v>
      </c>
      <c r="O5910" s="343">
        <v>0</v>
      </c>
    </row>
    <row r="5911" spans="1:15" x14ac:dyDescent="0.3">
      <c r="A5911" s="340" t="s">
        <v>891</v>
      </c>
      <c r="B5911" s="350">
        <v>46159</v>
      </c>
      <c r="C5911" s="350">
        <v>46159</v>
      </c>
      <c r="D5911" s="351">
        <v>46143</v>
      </c>
      <c r="E5911" s="340" t="s">
        <v>3438</v>
      </c>
      <c r="F5911" s="340" t="s">
        <v>1078</v>
      </c>
      <c r="G5911" s="340" t="s">
        <v>3010</v>
      </c>
      <c r="I5911" s="340" t="s">
        <v>771</v>
      </c>
      <c r="K5911" s="343">
        <v>22.22</v>
      </c>
      <c r="L5911" s="343">
        <v>0</v>
      </c>
      <c r="M5911" s="343">
        <v>-963825.31</v>
      </c>
      <c r="O5911" s="343">
        <v>0</v>
      </c>
    </row>
    <row r="5912" spans="1:15" x14ac:dyDescent="0.3">
      <c r="A5912" s="340" t="s">
        <v>891</v>
      </c>
      <c r="B5912" s="350">
        <v>46159</v>
      </c>
      <c r="C5912" s="350">
        <v>46159</v>
      </c>
      <c r="D5912" s="351">
        <v>46143</v>
      </c>
      <c r="E5912" s="340" t="s">
        <v>3438</v>
      </c>
      <c r="F5912" s="340" t="s">
        <v>1078</v>
      </c>
      <c r="G5912" s="340" t="s">
        <v>3009</v>
      </c>
      <c r="I5912" s="340" t="s">
        <v>771</v>
      </c>
      <c r="K5912" s="343">
        <v>21.3</v>
      </c>
      <c r="L5912" s="343">
        <v>0</v>
      </c>
      <c r="M5912" s="343">
        <v>-963804.01</v>
      </c>
      <c r="O5912" s="343">
        <v>0</v>
      </c>
    </row>
    <row r="5913" spans="1:15" x14ac:dyDescent="0.3">
      <c r="A5913" s="340" t="s">
        <v>891</v>
      </c>
      <c r="B5913" s="350">
        <v>46159</v>
      </c>
      <c r="C5913" s="350">
        <v>46159</v>
      </c>
      <c r="D5913" s="351">
        <v>46143</v>
      </c>
      <c r="E5913" s="340" t="s">
        <v>3438</v>
      </c>
      <c r="F5913" s="340" t="s">
        <v>1078</v>
      </c>
      <c r="G5913" s="340" t="s">
        <v>3008</v>
      </c>
      <c r="I5913" s="340" t="s">
        <v>771</v>
      </c>
      <c r="K5913" s="343">
        <v>16.84</v>
      </c>
      <c r="L5913" s="343">
        <v>0</v>
      </c>
      <c r="M5913" s="343">
        <v>-963787.17</v>
      </c>
      <c r="O5913" s="343">
        <v>0</v>
      </c>
    </row>
    <row r="5914" spans="1:15" x14ac:dyDescent="0.3">
      <c r="A5914" s="340" t="s">
        <v>891</v>
      </c>
      <c r="B5914" s="350">
        <v>46159</v>
      </c>
      <c r="C5914" s="350">
        <v>46159</v>
      </c>
      <c r="D5914" s="351">
        <v>46143</v>
      </c>
      <c r="E5914" s="340" t="s">
        <v>3438</v>
      </c>
      <c r="F5914" s="340" t="s">
        <v>1078</v>
      </c>
      <c r="G5914" s="340" t="s">
        <v>3004</v>
      </c>
      <c r="I5914" s="340" t="s">
        <v>771</v>
      </c>
      <c r="K5914" s="343">
        <v>11.14</v>
      </c>
      <c r="L5914" s="343">
        <v>0</v>
      </c>
      <c r="M5914" s="343">
        <v>-963776.03</v>
      </c>
      <c r="O5914" s="343">
        <v>0</v>
      </c>
    </row>
    <row r="5915" spans="1:15" x14ac:dyDescent="0.3">
      <c r="A5915" s="340" t="s">
        <v>891</v>
      </c>
      <c r="B5915" s="350">
        <v>46159</v>
      </c>
      <c r="C5915" s="350">
        <v>46159</v>
      </c>
      <c r="D5915" s="351">
        <v>46143</v>
      </c>
      <c r="E5915" s="340" t="s">
        <v>3438</v>
      </c>
      <c r="F5915" s="340" t="s">
        <v>1078</v>
      </c>
      <c r="G5915" s="340" t="s">
        <v>3007</v>
      </c>
      <c r="I5915" s="340" t="s">
        <v>771</v>
      </c>
      <c r="K5915" s="343">
        <v>1599.4</v>
      </c>
      <c r="L5915" s="343">
        <v>0</v>
      </c>
      <c r="M5915" s="343">
        <v>-962176.63</v>
      </c>
      <c r="O5915" s="343">
        <v>0</v>
      </c>
    </row>
    <row r="5916" spans="1:15" x14ac:dyDescent="0.3">
      <c r="A5916" s="340" t="s">
        <v>891</v>
      </c>
      <c r="B5916" s="350">
        <v>46159</v>
      </c>
      <c r="C5916" s="350">
        <v>46159</v>
      </c>
      <c r="D5916" s="351">
        <v>46143</v>
      </c>
      <c r="E5916" s="340" t="s">
        <v>3438</v>
      </c>
      <c r="F5916" s="340" t="s">
        <v>1078</v>
      </c>
      <c r="G5916" s="340" t="s">
        <v>3006</v>
      </c>
      <c r="I5916" s="340" t="s">
        <v>771</v>
      </c>
      <c r="K5916" s="343">
        <v>370.1</v>
      </c>
      <c r="L5916" s="343">
        <v>0</v>
      </c>
      <c r="M5916" s="343">
        <v>-961806.53</v>
      </c>
      <c r="O5916" s="343">
        <v>0</v>
      </c>
    </row>
    <row r="5917" spans="1:15" x14ac:dyDescent="0.3">
      <c r="A5917" s="340" t="s">
        <v>891</v>
      </c>
      <c r="B5917" s="350">
        <v>46159</v>
      </c>
      <c r="C5917" s="350">
        <v>46159</v>
      </c>
      <c r="D5917" s="351">
        <v>46143</v>
      </c>
      <c r="E5917" s="340" t="s">
        <v>3438</v>
      </c>
      <c r="F5917" s="340" t="s">
        <v>1078</v>
      </c>
      <c r="G5917" s="340" t="s">
        <v>3012</v>
      </c>
      <c r="I5917" s="340" t="s">
        <v>771</v>
      </c>
      <c r="K5917" s="343">
        <v>317.13</v>
      </c>
      <c r="L5917" s="343">
        <v>0</v>
      </c>
      <c r="M5917" s="343">
        <v>-961489.4</v>
      </c>
      <c r="O5917" s="343">
        <v>0</v>
      </c>
    </row>
    <row r="5918" spans="1:15" x14ac:dyDescent="0.3">
      <c r="A5918" s="340" t="s">
        <v>891</v>
      </c>
      <c r="B5918" s="350">
        <v>46159</v>
      </c>
      <c r="C5918" s="350">
        <v>46159</v>
      </c>
      <c r="D5918" s="351">
        <v>46143</v>
      </c>
      <c r="E5918" s="340" t="s">
        <v>3438</v>
      </c>
      <c r="F5918" s="340" t="s">
        <v>1078</v>
      </c>
      <c r="G5918" s="340" t="s">
        <v>3011</v>
      </c>
      <c r="I5918" s="340" t="s">
        <v>771</v>
      </c>
      <c r="K5918" s="343">
        <v>207.37</v>
      </c>
      <c r="L5918" s="343">
        <v>0</v>
      </c>
      <c r="M5918" s="343">
        <v>-961282.03</v>
      </c>
      <c r="O5918" s="343">
        <v>0</v>
      </c>
    </row>
    <row r="5919" spans="1:15" x14ac:dyDescent="0.3">
      <c r="A5919" s="340" t="s">
        <v>891</v>
      </c>
      <c r="B5919" s="350">
        <v>46159</v>
      </c>
      <c r="C5919" s="350">
        <v>46159</v>
      </c>
      <c r="D5919" s="351">
        <v>46143</v>
      </c>
      <c r="E5919" s="340" t="s">
        <v>3438</v>
      </c>
      <c r="F5919" s="340" t="s">
        <v>1078</v>
      </c>
      <c r="G5919" s="340" t="s">
        <v>3013</v>
      </c>
      <c r="I5919" s="340" t="s">
        <v>771</v>
      </c>
      <c r="K5919" s="343">
        <v>74.78</v>
      </c>
      <c r="L5919" s="343">
        <v>0</v>
      </c>
      <c r="M5919" s="343">
        <v>-961207.25</v>
      </c>
      <c r="O5919" s="343">
        <v>0</v>
      </c>
    </row>
    <row r="5920" spans="1:15" x14ac:dyDescent="0.3">
      <c r="A5920" s="340" t="s">
        <v>891</v>
      </c>
      <c r="B5920" s="350">
        <v>46159</v>
      </c>
      <c r="C5920" s="350">
        <v>46159</v>
      </c>
      <c r="D5920" s="351">
        <v>46143</v>
      </c>
      <c r="E5920" s="340" t="s">
        <v>3438</v>
      </c>
      <c r="F5920" s="340" t="s">
        <v>1078</v>
      </c>
      <c r="G5920" s="340" t="s">
        <v>3010</v>
      </c>
      <c r="I5920" s="340" t="s">
        <v>771</v>
      </c>
      <c r="K5920" s="343">
        <v>34.36</v>
      </c>
      <c r="L5920" s="343">
        <v>0</v>
      </c>
      <c r="M5920" s="343">
        <v>-961172.89</v>
      </c>
      <c r="O5920" s="343">
        <v>0</v>
      </c>
    </row>
    <row r="5921" spans="1:15" x14ac:dyDescent="0.3">
      <c r="A5921" s="340" t="s">
        <v>891</v>
      </c>
      <c r="B5921" s="350">
        <v>46159</v>
      </c>
      <c r="C5921" s="350">
        <v>46159</v>
      </c>
      <c r="D5921" s="351">
        <v>46143</v>
      </c>
      <c r="E5921" s="340" t="s">
        <v>3438</v>
      </c>
      <c r="F5921" s="340" t="s">
        <v>1078</v>
      </c>
      <c r="G5921" s="340" t="s">
        <v>3009</v>
      </c>
      <c r="I5921" s="340" t="s">
        <v>771</v>
      </c>
      <c r="K5921" s="343">
        <v>21.3</v>
      </c>
      <c r="L5921" s="343">
        <v>0</v>
      </c>
      <c r="M5921" s="343">
        <v>-961151.59</v>
      </c>
      <c r="O5921" s="343">
        <v>0</v>
      </c>
    </row>
    <row r="5922" spans="1:15" x14ac:dyDescent="0.3">
      <c r="A5922" s="340" t="s">
        <v>891</v>
      </c>
      <c r="B5922" s="350">
        <v>46159</v>
      </c>
      <c r="C5922" s="350">
        <v>46159</v>
      </c>
      <c r="D5922" s="351">
        <v>46143</v>
      </c>
      <c r="E5922" s="340" t="s">
        <v>3438</v>
      </c>
      <c r="F5922" s="340" t="s">
        <v>1078</v>
      </c>
      <c r="G5922" s="340" t="s">
        <v>3010</v>
      </c>
      <c r="I5922" s="340" t="s">
        <v>771</v>
      </c>
      <c r="K5922" s="343">
        <v>19.13</v>
      </c>
      <c r="L5922" s="343">
        <v>0</v>
      </c>
      <c r="M5922" s="343">
        <v>-961132.46</v>
      </c>
      <c r="O5922" s="343">
        <v>0</v>
      </c>
    </row>
    <row r="5923" spans="1:15" x14ac:dyDescent="0.3">
      <c r="A5923" s="340" t="s">
        <v>891</v>
      </c>
      <c r="B5923" s="350">
        <v>46159</v>
      </c>
      <c r="C5923" s="350">
        <v>46159</v>
      </c>
      <c r="D5923" s="351">
        <v>46143</v>
      </c>
      <c r="E5923" s="340" t="s">
        <v>3438</v>
      </c>
      <c r="F5923" s="340" t="s">
        <v>1078</v>
      </c>
      <c r="G5923" s="340" t="s">
        <v>3004</v>
      </c>
      <c r="I5923" s="340" t="s">
        <v>771</v>
      </c>
      <c r="K5923" s="343">
        <v>17.23</v>
      </c>
      <c r="L5923" s="343">
        <v>0</v>
      </c>
      <c r="M5923" s="343">
        <v>-961115.23</v>
      </c>
      <c r="O5923" s="343">
        <v>0</v>
      </c>
    </row>
    <row r="5924" spans="1:15" x14ac:dyDescent="0.3">
      <c r="A5924" s="340" t="s">
        <v>891</v>
      </c>
      <c r="B5924" s="350">
        <v>46159</v>
      </c>
      <c r="C5924" s="350">
        <v>46159</v>
      </c>
      <c r="D5924" s="351">
        <v>46143</v>
      </c>
      <c r="E5924" s="340" t="s">
        <v>3438</v>
      </c>
      <c r="F5924" s="340" t="s">
        <v>1078</v>
      </c>
      <c r="G5924" s="340" t="s">
        <v>3008</v>
      </c>
      <c r="I5924" s="340" t="s">
        <v>771</v>
      </c>
      <c r="K5924" s="343">
        <v>12.01</v>
      </c>
      <c r="L5924" s="343">
        <v>0</v>
      </c>
      <c r="M5924" s="343">
        <v>-961103.22</v>
      </c>
      <c r="O5924" s="343">
        <v>0</v>
      </c>
    </row>
    <row r="5925" spans="1:15" x14ac:dyDescent="0.3">
      <c r="A5925" s="340" t="s">
        <v>891</v>
      </c>
      <c r="B5925" s="350">
        <v>46159</v>
      </c>
      <c r="C5925" s="350">
        <v>46159</v>
      </c>
      <c r="D5925" s="351">
        <v>46143</v>
      </c>
      <c r="E5925" s="340" t="s">
        <v>3438</v>
      </c>
      <c r="F5925" s="340" t="s">
        <v>1078</v>
      </c>
      <c r="G5925" s="340" t="s">
        <v>3014</v>
      </c>
      <c r="I5925" s="340" t="s">
        <v>771</v>
      </c>
      <c r="K5925" s="343">
        <v>11.84</v>
      </c>
      <c r="L5925" s="343">
        <v>0</v>
      </c>
      <c r="M5925" s="343">
        <v>-961091.38</v>
      </c>
      <c r="O5925" s="343">
        <v>0</v>
      </c>
    </row>
    <row r="5926" spans="1:15" x14ac:dyDescent="0.3">
      <c r="A5926" s="340" t="s">
        <v>891</v>
      </c>
      <c r="B5926" s="350">
        <v>46159</v>
      </c>
      <c r="C5926" s="350">
        <v>46159</v>
      </c>
      <c r="D5926" s="351">
        <v>46143</v>
      </c>
      <c r="E5926" s="340" t="s">
        <v>3438</v>
      </c>
      <c r="F5926" s="340" t="s">
        <v>1078</v>
      </c>
      <c r="G5926" s="340" t="s">
        <v>3015</v>
      </c>
      <c r="I5926" s="340" t="s">
        <v>771</v>
      </c>
      <c r="K5926" s="343">
        <v>11.13</v>
      </c>
      <c r="L5926" s="343">
        <v>0</v>
      </c>
      <c r="M5926" s="343">
        <v>-961080.25</v>
      </c>
      <c r="O5926" s="343">
        <v>0</v>
      </c>
    </row>
    <row r="5927" spans="1:15" x14ac:dyDescent="0.3">
      <c r="A5927" s="340" t="s">
        <v>891</v>
      </c>
      <c r="B5927" s="350">
        <v>46159</v>
      </c>
      <c r="C5927" s="350">
        <v>46159</v>
      </c>
      <c r="D5927" s="351">
        <v>46143</v>
      </c>
      <c r="E5927" s="340" t="s">
        <v>3438</v>
      </c>
      <c r="F5927" s="340" t="s">
        <v>1078</v>
      </c>
      <c r="G5927" s="340" t="s">
        <v>3004</v>
      </c>
      <c r="I5927" s="340" t="s">
        <v>771</v>
      </c>
      <c r="K5927" s="343">
        <v>9.6</v>
      </c>
      <c r="L5927" s="343">
        <v>0</v>
      </c>
      <c r="M5927" s="343">
        <v>-961070.65</v>
      </c>
      <c r="O5927" s="343">
        <v>0</v>
      </c>
    </row>
    <row r="5928" spans="1:15" x14ac:dyDescent="0.3">
      <c r="A5928" s="340" t="s">
        <v>891</v>
      </c>
      <c r="B5928" s="350">
        <v>46159</v>
      </c>
      <c r="C5928" s="350">
        <v>46159</v>
      </c>
      <c r="D5928" s="351">
        <v>46143</v>
      </c>
      <c r="E5928" s="340" t="s">
        <v>3438</v>
      </c>
      <c r="F5928" s="340" t="s">
        <v>1078</v>
      </c>
      <c r="G5928" s="340" t="s">
        <v>3003</v>
      </c>
      <c r="I5928" s="340" t="s">
        <v>771</v>
      </c>
      <c r="K5928" s="343">
        <v>2.82</v>
      </c>
      <c r="L5928" s="343">
        <v>0</v>
      </c>
      <c r="M5928" s="343">
        <v>-961067.83</v>
      </c>
      <c r="O5928" s="343">
        <v>0</v>
      </c>
    </row>
    <row r="5929" spans="1:15" x14ac:dyDescent="0.3">
      <c r="A5929" s="340" t="s">
        <v>891</v>
      </c>
      <c r="B5929" s="350">
        <v>46159</v>
      </c>
      <c r="C5929" s="350">
        <v>46159</v>
      </c>
      <c r="D5929" s="351">
        <v>46143</v>
      </c>
      <c r="E5929" s="340" t="s">
        <v>3438</v>
      </c>
      <c r="F5929" s="340" t="s">
        <v>1078</v>
      </c>
      <c r="G5929" s="340" t="s">
        <v>3003</v>
      </c>
      <c r="I5929" s="340" t="s">
        <v>771</v>
      </c>
      <c r="K5929" s="343">
        <v>1.57</v>
      </c>
      <c r="L5929" s="343">
        <v>0</v>
      </c>
      <c r="M5929" s="343">
        <v>-961066.26</v>
      </c>
      <c r="O5929" s="343">
        <v>0</v>
      </c>
    </row>
    <row r="5930" spans="1:15" x14ac:dyDescent="0.3">
      <c r="A5930" s="340" t="s">
        <v>891</v>
      </c>
      <c r="B5930" s="350">
        <v>46159</v>
      </c>
      <c r="C5930" s="350">
        <v>46159</v>
      </c>
      <c r="D5930" s="351">
        <v>46143</v>
      </c>
      <c r="E5930" s="340" t="s">
        <v>3438</v>
      </c>
      <c r="F5930" s="340" t="s">
        <v>1078</v>
      </c>
      <c r="G5930" s="340" t="s">
        <v>3005</v>
      </c>
      <c r="I5930" s="340" t="s">
        <v>771</v>
      </c>
      <c r="K5930" s="343">
        <v>2561.9499999999998</v>
      </c>
      <c r="L5930" s="343">
        <v>0</v>
      </c>
      <c r="M5930" s="343">
        <v>-958504.31</v>
      </c>
      <c r="O5930" s="343">
        <v>0</v>
      </c>
    </row>
    <row r="5931" spans="1:15" x14ac:dyDescent="0.3">
      <c r="A5931" s="340" t="s">
        <v>891</v>
      </c>
      <c r="B5931" s="350">
        <v>46159</v>
      </c>
      <c r="C5931" s="350">
        <v>46159</v>
      </c>
      <c r="D5931" s="351">
        <v>46143</v>
      </c>
      <c r="E5931" s="340" t="s">
        <v>3438</v>
      </c>
      <c r="F5931" s="340" t="s">
        <v>1078</v>
      </c>
      <c r="G5931" s="340" t="s">
        <v>3026</v>
      </c>
      <c r="I5931" s="340" t="s">
        <v>771</v>
      </c>
      <c r="K5931" s="343">
        <v>988.36</v>
      </c>
      <c r="L5931" s="343">
        <v>0</v>
      </c>
      <c r="M5931" s="343">
        <v>-957515.95</v>
      </c>
      <c r="O5931" s="343">
        <v>0</v>
      </c>
    </row>
    <row r="5932" spans="1:15" x14ac:dyDescent="0.3">
      <c r="A5932" s="340" t="s">
        <v>891</v>
      </c>
      <c r="B5932" s="350">
        <v>46159</v>
      </c>
      <c r="C5932" s="350">
        <v>46159</v>
      </c>
      <c r="D5932" s="351">
        <v>46143</v>
      </c>
      <c r="E5932" s="340" t="s">
        <v>3438</v>
      </c>
      <c r="F5932" s="340" t="s">
        <v>1078</v>
      </c>
      <c r="G5932" s="340" t="s">
        <v>3025</v>
      </c>
      <c r="I5932" s="340" t="s">
        <v>771</v>
      </c>
      <c r="K5932" s="343">
        <v>445</v>
      </c>
      <c r="L5932" s="343">
        <v>0</v>
      </c>
      <c r="M5932" s="343">
        <v>-957070.95</v>
      </c>
      <c r="O5932" s="343">
        <v>0</v>
      </c>
    </row>
    <row r="5933" spans="1:15" x14ac:dyDescent="0.3">
      <c r="A5933" s="340" t="s">
        <v>891</v>
      </c>
      <c r="B5933" s="350">
        <v>46159</v>
      </c>
      <c r="C5933" s="350">
        <v>46159</v>
      </c>
      <c r="D5933" s="351">
        <v>46143</v>
      </c>
      <c r="E5933" s="340" t="s">
        <v>3438</v>
      </c>
      <c r="F5933" s="340" t="s">
        <v>1078</v>
      </c>
      <c r="G5933" s="340" t="s">
        <v>3024</v>
      </c>
      <c r="I5933" s="340" t="s">
        <v>771</v>
      </c>
      <c r="K5933" s="343">
        <v>200.11</v>
      </c>
      <c r="L5933" s="343">
        <v>0</v>
      </c>
      <c r="M5933" s="343">
        <v>-956870.84</v>
      </c>
      <c r="O5933" s="343">
        <v>0</v>
      </c>
    </row>
    <row r="5934" spans="1:15" x14ac:dyDescent="0.3">
      <c r="A5934" s="340" t="s">
        <v>891</v>
      </c>
      <c r="B5934" s="350">
        <v>46159</v>
      </c>
      <c r="C5934" s="350">
        <v>46159</v>
      </c>
      <c r="D5934" s="351">
        <v>46143</v>
      </c>
      <c r="E5934" s="340" t="s">
        <v>3438</v>
      </c>
      <c r="F5934" s="340" t="s">
        <v>1078</v>
      </c>
      <c r="G5934" s="340" t="s">
        <v>3023</v>
      </c>
      <c r="I5934" s="340" t="s">
        <v>771</v>
      </c>
      <c r="K5934" s="343">
        <v>120.91</v>
      </c>
      <c r="L5934" s="343">
        <v>0</v>
      </c>
      <c r="M5934" s="343">
        <v>-956749.93</v>
      </c>
      <c r="O5934" s="343">
        <v>0</v>
      </c>
    </row>
    <row r="5935" spans="1:15" x14ac:dyDescent="0.3">
      <c r="A5935" s="340" t="s">
        <v>891</v>
      </c>
      <c r="B5935" s="350">
        <v>46159</v>
      </c>
      <c r="C5935" s="350">
        <v>46159</v>
      </c>
      <c r="D5935" s="351">
        <v>46143</v>
      </c>
      <c r="E5935" s="340" t="s">
        <v>3438</v>
      </c>
      <c r="F5935" s="340" t="s">
        <v>1078</v>
      </c>
      <c r="G5935" s="340" t="s">
        <v>3022</v>
      </c>
      <c r="I5935" s="340" t="s">
        <v>771</v>
      </c>
      <c r="K5935" s="343">
        <v>55.05</v>
      </c>
      <c r="L5935" s="343">
        <v>0</v>
      </c>
      <c r="M5935" s="343">
        <v>-956694.88</v>
      </c>
      <c r="O5935" s="343">
        <v>0</v>
      </c>
    </row>
    <row r="5936" spans="1:15" x14ac:dyDescent="0.3">
      <c r="A5936" s="340" t="s">
        <v>891</v>
      </c>
      <c r="B5936" s="350">
        <v>46159</v>
      </c>
      <c r="C5936" s="350">
        <v>46159</v>
      </c>
      <c r="D5936" s="351">
        <v>46143</v>
      </c>
      <c r="E5936" s="340" t="s">
        <v>3438</v>
      </c>
      <c r="F5936" s="340" t="s">
        <v>1078</v>
      </c>
      <c r="G5936" s="340" t="s">
        <v>3022</v>
      </c>
      <c r="I5936" s="340" t="s">
        <v>771</v>
      </c>
      <c r="K5936" s="343">
        <v>34.340000000000003</v>
      </c>
      <c r="L5936" s="343">
        <v>0</v>
      </c>
      <c r="M5936" s="343">
        <v>-956660.54</v>
      </c>
      <c r="O5936" s="343">
        <v>0</v>
      </c>
    </row>
    <row r="5937" spans="1:15" x14ac:dyDescent="0.3">
      <c r="A5937" s="340" t="s">
        <v>891</v>
      </c>
      <c r="B5937" s="350">
        <v>46159</v>
      </c>
      <c r="C5937" s="350">
        <v>46159</v>
      </c>
      <c r="D5937" s="351">
        <v>46143</v>
      </c>
      <c r="E5937" s="340" t="s">
        <v>3438</v>
      </c>
      <c r="F5937" s="340" t="s">
        <v>1078</v>
      </c>
      <c r="G5937" s="340" t="s">
        <v>3020</v>
      </c>
      <c r="I5937" s="340" t="s">
        <v>771</v>
      </c>
      <c r="K5937" s="343">
        <v>27.61</v>
      </c>
      <c r="L5937" s="343">
        <v>0</v>
      </c>
      <c r="M5937" s="343">
        <v>-956632.93</v>
      </c>
      <c r="O5937" s="343">
        <v>0</v>
      </c>
    </row>
    <row r="5938" spans="1:15" x14ac:dyDescent="0.3">
      <c r="A5938" s="340" t="s">
        <v>891</v>
      </c>
      <c r="B5938" s="350">
        <v>46159</v>
      </c>
      <c r="C5938" s="350">
        <v>46159</v>
      </c>
      <c r="D5938" s="351">
        <v>46143</v>
      </c>
      <c r="E5938" s="340" t="s">
        <v>3438</v>
      </c>
      <c r="F5938" s="340" t="s">
        <v>1078</v>
      </c>
      <c r="G5938" s="340" t="s">
        <v>3021</v>
      </c>
      <c r="I5938" s="340" t="s">
        <v>771</v>
      </c>
      <c r="K5938" s="343">
        <v>21.3</v>
      </c>
      <c r="L5938" s="343">
        <v>0</v>
      </c>
      <c r="M5938" s="343">
        <v>-956611.63</v>
      </c>
      <c r="O5938" s="343">
        <v>0</v>
      </c>
    </row>
    <row r="5939" spans="1:15" x14ac:dyDescent="0.3">
      <c r="A5939" s="340" t="s">
        <v>891</v>
      </c>
      <c r="B5939" s="350">
        <v>46159</v>
      </c>
      <c r="C5939" s="350">
        <v>46159</v>
      </c>
      <c r="D5939" s="351">
        <v>46143</v>
      </c>
      <c r="E5939" s="340" t="s">
        <v>3438</v>
      </c>
      <c r="F5939" s="340" t="s">
        <v>1078</v>
      </c>
      <c r="G5939" s="340" t="s">
        <v>3019</v>
      </c>
      <c r="I5939" s="340" t="s">
        <v>771</v>
      </c>
      <c r="K5939" s="343">
        <v>19.239999999999998</v>
      </c>
      <c r="L5939" s="343">
        <v>0</v>
      </c>
      <c r="M5939" s="343">
        <v>-956592.39</v>
      </c>
      <c r="O5939" s="343">
        <v>0</v>
      </c>
    </row>
    <row r="5940" spans="1:15" x14ac:dyDescent="0.3">
      <c r="A5940" s="340" t="s">
        <v>891</v>
      </c>
      <c r="B5940" s="350">
        <v>46159</v>
      </c>
      <c r="C5940" s="350">
        <v>46159</v>
      </c>
      <c r="D5940" s="351">
        <v>46143</v>
      </c>
      <c r="E5940" s="340" t="s">
        <v>3438</v>
      </c>
      <c r="F5940" s="340" t="s">
        <v>1078</v>
      </c>
      <c r="G5940" s="340" t="s">
        <v>3018</v>
      </c>
      <c r="I5940" s="340" t="s">
        <v>771</v>
      </c>
      <c r="K5940" s="343">
        <v>18.96</v>
      </c>
      <c r="L5940" s="343">
        <v>0</v>
      </c>
      <c r="M5940" s="343">
        <v>-956573.43</v>
      </c>
      <c r="O5940" s="343">
        <v>0</v>
      </c>
    </row>
    <row r="5941" spans="1:15" x14ac:dyDescent="0.3">
      <c r="A5941" s="340" t="s">
        <v>891</v>
      </c>
      <c r="B5941" s="350">
        <v>46159</v>
      </c>
      <c r="C5941" s="350">
        <v>46159</v>
      </c>
      <c r="D5941" s="351">
        <v>46143</v>
      </c>
      <c r="E5941" s="340" t="s">
        <v>3438</v>
      </c>
      <c r="F5941" s="340" t="s">
        <v>1078</v>
      </c>
      <c r="G5941" s="340" t="s">
        <v>3020</v>
      </c>
      <c r="I5941" s="340" t="s">
        <v>771</v>
      </c>
      <c r="K5941" s="343">
        <v>17.22</v>
      </c>
      <c r="L5941" s="343">
        <v>0</v>
      </c>
      <c r="M5941" s="343">
        <v>-956556.21</v>
      </c>
      <c r="O5941" s="343">
        <v>0</v>
      </c>
    </row>
    <row r="5942" spans="1:15" x14ac:dyDescent="0.3">
      <c r="A5942" s="340" t="s">
        <v>891</v>
      </c>
      <c r="B5942" s="350">
        <v>46159</v>
      </c>
      <c r="C5942" s="350">
        <v>46159</v>
      </c>
      <c r="D5942" s="351">
        <v>46143</v>
      </c>
      <c r="E5942" s="340" t="s">
        <v>3438</v>
      </c>
      <c r="F5942" s="340" t="s">
        <v>1078</v>
      </c>
      <c r="G5942" s="340" t="s">
        <v>3017</v>
      </c>
      <c r="I5942" s="340" t="s">
        <v>771</v>
      </c>
      <c r="K5942" s="343">
        <v>11.13</v>
      </c>
      <c r="L5942" s="343">
        <v>0</v>
      </c>
      <c r="M5942" s="343">
        <v>-956545.08</v>
      </c>
      <c r="O5942" s="343">
        <v>0</v>
      </c>
    </row>
    <row r="5943" spans="1:15" x14ac:dyDescent="0.3">
      <c r="A5943" s="340" t="s">
        <v>891</v>
      </c>
      <c r="B5943" s="350">
        <v>46159</v>
      </c>
      <c r="C5943" s="350">
        <v>46159</v>
      </c>
      <c r="D5943" s="351">
        <v>46143</v>
      </c>
      <c r="E5943" s="340" t="s">
        <v>3438</v>
      </c>
      <c r="F5943" s="340" t="s">
        <v>1078</v>
      </c>
      <c r="G5943" s="340" t="s">
        <v>3016</v>
      </c>
      <c r="I5943" s="340" t="s">
        <v>771</v>
      </c>
      <c r="K5943" s="343">
        <v>4.5199999999999996</v>
      </c>
      <c r="L5943" s="343">
        <v>0</v>
      </c>
      <c r="M5943" s="343">
        <v>-956540.56</v>
      </c>
      <c r="O5943" s="343">
        <v>0</v>
      </c>
    </row>
    <row r="5944" spans="1:15" x14ac:dyDescent="0.3">
      <c r="A5944" s="340" t="s">
        <v>891</v>
      </c>
      <c r="B5944" s="350">
        <v>46159</v>
      </c>
      <c r="C5944" s="350">
        <v>46159</v>
      </c>
      <c r="D5944" s="351">
        <v>46143</v>
      </c>
      <c r="E5944" s="340" t="s">
        <v>3438</v>
      </c>
      <c r="F5944" s="340" t="s">
        <v>1078</v>
      </c>
      <c r="G5944" s="340" t="s">
        <v>3016</v>
      </c>
      <c r="I5944" s="340" t="s">
        <v>771</v>
      </c>
      <c r="K5944" s="343">
        <v>2.82</v>
      </c>
      <c r="L5944" s="343">
        <v>0</v>
      </c>
      <c r="M5944" s="343">
        <v>-956537.74</v>
      </c>
      <c r="O5944" s="343">
        <v>0</v>
      </c>
    </row>
    <row r="5945" spans="1:15" x14ac:dyDescent="0.3">
      <c r="A5945" s="340" t="s">
        <v>891</v>
      </c>
      <c r="B5945" s="350">
        <v>46159</v>
      </c>
      <c r="C5945" s="350">
        <v>46159</v>
      </c>
      <c r="D5945" s="351">
        <v>46143</v>
      </c>
      <c r="E5945" s="340" t="s">
        <v>3438</v>
      </c>
      <c r="F5945" s="340" t="s">
        <v>1078</v>
      </c>
      <c r="G5945" s="340" t="s">
        <v>3005</v>
      </c>
      <c r="I5945" s="340" t="s">
        <v>771</v>
      </c>
      <c r="K5945" s="343">
        <v>1599.4</v>
      </c>
      <c r="L5945" s="343">
        <v>0</v>
      </c>
      <c r="M5945" s="343">
        <v>-954938.34</v>
      </c>
      <c r="O5945" s="343">
        <v>0</v>
      </c>
    </row>
    <row r="5946" spans="1:15" x14ac:dyDescent="0.3">
      <c r="A5946" s="340" t="s">
        <v>891</v>
      </c>
      <c r="B5946" s="350">
        <v>46159</v>
      </c>
      <c r="C5946" s="350">
        <v>46159</v>
      </c>
      <c r="D5946" s="351">
        <v>46143</v>
      </c>
      <c r="E5946" s="340" t="s">
        <v>3438</v>
      </c>
      <c r="F5946" s="340" t="s">
        <v>1078</v>
      </c>
      <c r="G5946" s="340" t="s">
        <v>3026</v>
      </c>
      <c r="I5946" s="340" t="s">
        <v>771</v>
      </c>
      <c r="K5946" s="343">
        <v>624.77</v>
      </c>
      <c r="L5946" s="343">
        <v>0</v>
      </c>
      <c r="M5946" s="343">
        <v>-954313.57</v>
      </c>
      <c r="O5946" s="343">
        <v>0</v>
      </c>
    </row>
    <row r="5947" spans="1:15" x14ac:dyDescent="0.3">
      <c r="A5947" s="340" t="s">
        <v>891</v>
      </c>
      <c r="B5947" s="350">
        <v>46159</v>
      </c>
      <c r="C5947" s="350">
        <v>46159</v>
      </c>
      <c r="D5947" s="351">
        <v>46143</v>
      </c>
      <c r="E5947" s="340" t="s">
        <v>3438</v>
      </c>
      <c r="F5947" s="340" t="s">
        <v>1078</v>
      </c>
      <c r="G5947" s="340" t="s">
        <v>3025</v>
      </c>
      <c r="I5947" s="340" t="s">
        <v>771</v>
      </c>
      <c r="K5947" s="343">
        <v>312.01</v>
      </c>
      <c r="L5947" s="343">
        <v>0</v>
      </c>
      <c r="M5947" s="343">
        <v>-954001.56</v>
      </c>
      <c r="O5947" s="343">
        <v>0</v>
      </c>
    </row>
    <row r="5948" spans="1:15" x14ac:dyDescent="0.3">
      <c r="A5948" s="340" t="s">
        <v>891</v>
      </c>
      <c r="B5948" s="350">
        <v>46159</v>
      </c>
      <c r="C5948" s="350">
        <v>46159</v>
      </c>
      <c r="D5948" s="351">
        <v>46143</v>
      </c>
      <c r="E5948" s="340" t="s">
        <v>3438</v>
      </c>
      <c r="F5948" s="340" t="s">
        <v>1078</v>
      </c>
      <c r="G5948" s="340" t="s">
        <v>3024</v>
      </c>
      <c r="I5948" s="340" t="s">
        <v>771</v>
      </c>
      <c r="K5948" s="343">
        <v>126.5</v>
      </c>
      <c r="L5948" s="343">
        <v>0</v>
      </c>
      <c r="M5948" s="343">
        <v>-953875.06</v>
      </c>
      <c r="O5948" s="343">
        <v>0</v>
      </c>
    </row>
    <row r="5949" spans="1:15" x14ac:dyDescent="0.3">
      <c r="A5949" s="340" t="s">
        <v>891</v>
      </c>
      <c r="B5949" s="350">
        <v>46159</v>
      </c>
      <c r="C5949" s="350">
        <v>46159</v>
      </c>
      <c r="D5949" s="351">
        <v>46143</v>
      </c>
      <c r="E5949" s="340" t="s">
        <v>3438</v>
      </c>
      <c r="F5949" s="340" t="s">
        <v>1078</v>
      </c>
      <c r="G5949" s="340" t="s">
        <v>3023</v>
      </c>
      <c r="I5949" s="340" t="s">
        <v>771</v>
      </c>
      <c r="K5949" s="343">
        <v>75.48</v>
      </c>
      <c r="L5949" s="343">
        <v>0</v>
      </c>
      <c r="M5949" s="343">
        <v>-953799.58</v>
      </c>
      <c r="O5949" s="343">
        <v>0</v>
      </c>
    </row>
    <row r="5950" spans="1:15" x14ac:dyDescent="0.3">
      <c r="A5950" s="340" t="s">
        <v>891</v>
      </c>
      <c r="B5950" s="350">
        <v>46159</v>
      </c>
      <c r="C5950" s="350">
        <v>46159</v>
      </c>
      <c r="D5950" s="351">
        <v>46143</v>
      </c>
      <c r="E5950" s="340" t="s">
        <v>3438</v>
      </c>
      <c r="F5950" s="340" t="s">
        <v>1078</v>
      </c>
      <c r="G5950" s="340" t="s">
        <v>3022</v>
      </c>
      <c r="I5950" s="340" t="s">
        <v>771</v>
      </c>
      <c r="K5950" s="343">
        <v>34.369999999999997</v>
      </c>
      <c r="L5950" s="343">
        <v>0</v>
      </c>
      <c r="M5950" s="343">
        <v>-953765.21</v>
      </c>
      <c r="O5950" s="343">
        <v>0</v>
      </c>
    </row>
    <row r="5951" spans="1:15" x14ac:dyDescent="0.3">
      <c r="A5951" s="340" t="s">
        <v>891</v>
      </c>
      <c r="B5951" s="350">
        <v>46159</v>
      </c>
      <c r="C5951" s="350">
        <v>46159</v>
      </c>
      <c r="D5951" s="351">
        <v>46143</v>
      </c>
      <c r="E5951" s="340" t="s">
        <v>3438</v>
      </c>
      <c r="F5951" s="340" t="s">
        <v>1078</v>
      </c>
      <c r="G5951" s="340" t="s">
        <v>3022</v>
      </c>
      <c r="I5951" s="340" t="s">
        <v>771</v>
      </c>
      <c r="K5951" s="343">
        <v>22.57</v>
      </c>
      <c r="L5951" s="343">
        <v>0</v>
      </c>
      <c r="M5951" s="343">
        <v>-953742.64</v>
      </c>
      <c r="O5951" s="343">
        <v>0</v>
      </c>
    </row>
    <row r="5952" spans="1:15" x14ac:dyDescent="0.3">
      <c r="A5952" s="340" t="s">
        <v>891</v>
      </c>
      <c r="B5952" s="350">
        <v>46159</v>
      </c>
      <c r="C5952" s="350">
        <v>46159</v>
      </c>
      <c r="D5952" s="351">
        <v>46143</v>
      </c>
      <c r="E5952" s="340" t="s">
        <v>3438</v>
      </c>
      <c r="F5952" s="340" t="s">
        <v>1078</v>
      </c>
      <c r="G5952" s="340" t="s">
        <v>3021</v>
      </c>
      <c r="I5952" s="340" t="s">
        <v>771</v>
      </c>
      <c r="K5952" s="343">
        <v>21.3</v>
      </c>
      <c r="L5952" s="343">
        <v>0</v>
      </c>
      <c r="M5952" s="343">
        <v>-953721.34</v>
      </c>
      <c r="O5952" s="343">
        <v>0</v>
      </c>
    </row>
    <row r="5953" spans="1:15" x14ac:dyDescent="0.3">
      <c r="A5953" s="340" t="s">
        <v>891</v>
      </c>
      <c r="B5953" s="350">
        <v>46159</v>
      </c>
      <c r="C5953" s="350">
        <v>46159</v>
      </c>
      <c r="D5953" s="351">
        <v>46143</v>
      </c>
      <c r="E5953" s="340" t="s">
        <v>3438</v>
      </c>
      <c r="F5953" s="340" t="s">
        <v>1078</v>
      </c>
      <c r="G5953" s="340" t="s">
        <v>3020</v>
      </c>
      <c r="I5953" s="340" t="s">
        <v>771</v>
      </c>
      <c r="K5953" s="343">
        <v>17.239999999999998</v>
      </c>
      <c r="L5953" s="343">
        <v>0</v>
      </c>
      <c r="M5953" s="343">
        <v>-953704.1</v>
      </c>
      <c r="O5953" s="343">
        <v>0</v>
      </c>
    </row>
    <row r="5954" spans="1:15" x14ac:dyDescent="0.3">
      <c r="A5954" s="340" t="s">
        <v>891</v>
      </c>
      <c r="B5954" s="350">
        <v>46159</v>
      </c>
      <c r="C5954" s="350">
        <v>46159</v>
      </c>
      <c r="D5954" s="351">
        <v>46143</v>
      </c>
      <c r="E5954" s="340" t="s">
        <v>3438</v>
      </c>
      <c r="F5954" s="340" t="s">
        <v>1078</v>
      </c>
      <c r="G5954" s="340" t="s">
        <v>3019</v>
      </c>
      <c r="I5954" s="340" t="s">
        <v>771</v>
      </c>
      <c r="K5954" s="343">
        <v>12.01</v>
      </c>
      <c r="L5954" s="343">
        <v>0</v>
      </c>
      <c r="M5954" s="343">
        <v>-953692.09</v>
      </c>
      <c r="O5954" s="343">
        <v>0</v>
      </c>
    </row>
    <row r="5955" spans="1:15" x14ac:dyDescent="0.3">
      <c r="A5955" s="340" t="s">
        <v>891</v>
      </c>
      <c r="B5955" s="350">
        <v>46159</v>
      </c>
      <c r="C5955" s="350">
        <v>46159</v>
      </c>
      <c r="D5955" s="351">
        <v>46143</v>
      </c>
      <c r="E5955" s="340" t="s">
        <v>3438</v>
      </c>
      <c r="F5955" s="340" t="s">
        <v>1078</v>
      </c>
      <c r="G5955" s="340" t="s">
        <v>3018</v>
      </c>
      <c r="I5955" s="340" t="s">
        <v>771</v>
      </c>
      <c r="K5955" s="343">
        <v>11.84</v>
      </c>
      <c r="L5955" s="343">
        <v>0</v>
      </c>
      <c r="M5955" s="343">
        <v>-953680.25</v>
      </c>
      <c r="O5955" s="343">
        <v>0</v>
      </c>
    </row>
    <row r="5956" spans="1:15" x14ac:dyDescent="0.3">
      <c r="A5956" s="340" t="s">
        <v>891</v>
      </c>
      <c r="B5956" s="350">
        <v>46159</v>
      </c>
      <c r="C5956" s="350">
        <v>46159</v>
      </c>
      <c r="D5956" s="351">
        <v>46143</v>
      </c>
      <c r="E5956" s="340" t="s">
        <v>3438</v>
      </c>
      <c r="F5956" s="340" t="s">
        <v>1078</v>
      </c>
      <c r="G5956" s="340" t="s">
        <v>3020</v>
      </c>
      <c r="I5956" s="340" t="s">
        <v>771</v>
      </c>
      <c r="K5956" s="343">
        <v>11.32</v>
      </c>
      <c r="L5956" s="343">
        <v>0</v>
      </c>
      <c r="M5956" s="343">
        <v>-953668.93</v>
      </c>
      <c r="O5956" s="343">
        <v>0</v>
      </c>
    </row>
    <row r="5957" spans="1:15" x14ac:dyDescent="0.3">
      <c r="A5957" s="340" t="s">
        <v>891</v>
      </c>
      <c r="B5957" s="350">
        <v>46159</v>
      </c>
      <c r="C5957" s="350">
        <v>46159</v>
      </c>
      <c r="D5957" s="351">
        <v>46143</v>
      </c>
      <c r="E5957" s="340" t="s">
        <v>3438</v>
      </c>
      <c r="F5957" s="340" t="s">
        <v>1078</v>
      </c>
      <c r="G5957" s="340" t="s">
        <v>3017</v>
      </c>
      <c r="I5957" s="340" t="s">
        <v>771</v>
      </c>
      <c r="K5957" s="343">
        <v>11.13</v>
      </c>
      <c r="L5957" s="343">
        <v>0</v>
      </c>
      <c r="M5957" s="343">
        <v>-953657.8</v>
      </c>
      <c r="O5957" s="343">
        <v>0</v>
      </c>
    </row>
    <row r="5958" spans="1:15" x14ac:dyDescent="0.3">
      <c r="A5958" s="340" t="s">
        <v>891</v>
      </c>
      <c r="B5958" s="350">
        <v>46159</v>
      </c>
      <c r="C5958" s="350">
        <v>46159</v>
      </c>
      <c r="D5958" s="351">
        <v>46143</v>
      </c>
      <c r="E5958" s="340" t="s">
        <v>3438</v>
      </c>
      <c r="F5958" s="340" t="s">
        <v>1078</v>
      </c>
      <c r="G5958" s="340" t="s">
        <v>3016</v>
      </c>
      <c r="I5958" s="340" t="s">
        <v>771</v>
      </c>
      <c r="K5958" s="343">
        <v>2.82</v>
      </c>
      <c r="L5958" s="343">
        <v>0</v>
      </c>
      <c r="M5958" s="343">
        <v>-953654.98</v>
      </c>
      <c r="O5958" s="343">
        <v>0</v>
      </c>
    </row>
    <row r="5959" spans="1:15" x14ac:dyDescent="0.3">
      <c r="A5959" s="340" t="s">
        <v>891</v>
      </c>
      <c r="B5959" s="350">
        <v>46159</v>
      </c>
      <c r="C5959" s="350">
        <v>46159</v>
      </c>
      <c r="D5959" s="351">
        <v>46143</v>
      </c>
      <c r="E5959" s="340" t="s">
        <v>3438</v>
      </c>
      <c r="F5959" s="340" t="s">
        <v>1078</v>
      </c>
      <c r="G5959" s="340" t="s">
        <v>3016</v>
      </c>
      <c r="I5959" s="340" t="s">
        <v>771</v>
      </c>
      <c r="K5959" s="343">
        <v>1.85</v>
      </c>
      <c r="L5959" s="343">
        <v>0</v>
      </c>
      <c r="M5959" s="343">
        <v>-953653.13</v>
      </c>
      <c r="O5959" s="343">
        <v>0</v>
      </c>
    </row>
    <row r="5960" spans="1:15" x14ac:dyDescent="0.3">
      <c r="A5960" s="340" t="s">
        <v>891</v>
      </c>
      <c r="B5960" s="350">
        <v>46159</v>
      </c>
      <c r="C5960" s="350">
        <v>46159</v>
      </c>
      <c r="D5960" s="351">
        <v>46143</v>
      </c>
      <c r="E5960" s="340" t="s">
        <v>3438</v>
      </c>
      <c r="F5960" s="340" t="s">
        <v>1078</v>
      </c>
      <c r="G5960" s="340" t="s">
        <v>3016</v>
      </c>
      <c r="I5960" s="340" t="s">
        <v>771</v>
      </c>
      <c r="K5960" s="343">
        <v>2.21</v>
      </c>
      <c r="L5960" s="343">
        <v>0</v>
      </c>
      <c r="M5960" s="343">
        <v>-953650.92</v>
      </c>
      <c r="O5960" s="343">
        <v>0</v>
      </c>
    </row>
    <row r="5961" spans="1:15" x14ac:dyDescent="0.3">
      <c r="A5961" s="340" t="s">
        <v>891</v>
      </c>
      <c r="B5961" s="350">
        <v>46159</v>
      </c>
      <c r="C5961" s="350">
        <v>46159</v>
      </c>
      <c r="D5961" s="351">
        <v>46143</v>
      </c>
      <c r="E5961" s="340" t="s">
        <v>3438</v>
      </c>
      <c r="F5961" s="340" t="s">
        <v>1078</v>
      </c>
      <c r="G5961" s="340" t="s">
        <v>3017</v>
      </c>
      <c r="I5961" s="340" t="s">
        <v>771</v>
      </c>
      <c r="K5961" s="343">
        <v>11.13</v>
      </c>
      <c r="L5961" s="343">
        <v>0</v>
      </c>
      <c r="M5961" s="343">
        <v>-953639.79</v>
      </c>
      <c r="O5961" s="343">
        <v>0</v>
      </c>
    </row>
    <row r="5962" spans="1:15" x14ac:dyDescent="0.3">
      <c r="A5962" s="340" t="s">
        <v>891</v>
      </c>
      <c r="B5962" s="350">
        <v>46159</v>
      </c>
      <c r="C5962" s="350">
        <v>46159</v>
      </c>
      <c r="D5962" s="351">
        <v>46143</v>
      </c>
      <c r="E5962" s="340" t="s">
        <v>3438</v>
      </c>
      <c r="F5962" s="340" t="s">
        <v>1078</v>
      </c>
      <c r="G5962" s="340" t="s">
        <v>3016</v>
      </c>
      <c r="I5962" s="340" t="s">
        <v>771</v>
      </c>
      <c r="K5962" s="343">
        <v>2.82</v>
      </c>
      <c r="L5962" s="343">
        <v>0</v>
      </c>
      <c r="M5962" s="343">
        <v>-953636.97</v>
      </c>
      <c r="O5962" s="343">
        <v>0</v>
      </c>
    </row>
    <row r="5963" spans="1:15" x14ac:dyDescent="0.3">
      <c r="A5963" s="340" t="s">
        <v>891</v>
      </c>
      <c r="B5963" s="350">
        <v>46159</v>
      </c>
      <c r="C5963" s="350">
        <v>46159</v>
      </c>
      <c r="D5963" s="351">
        <v>46143</v>
      </c>
      <c r="E5963" s="340" t="s">
        <v>3438</v>
      </c>
      <c r="F5963" s="340" t="s">
        <v>1078</v>
      </c>
      <c r="G5963" s="340" t="s">
        <v>3018</v>
      </c>
      <c r="I5963" s="340" t="s">
        <v>771</v>
      </c>
      <c r="K5963" s="343">
        <v>11.84</v>
      </c>
      <c r="L5963" s="343">
        <v>0</v>
      </c>
      <c r="M5963" s="343">
        <v>-953625.13</v>
      </c>
      <c r="O5963" s="343">
        <v>0</v>
      </c>
    </row>
    <row r="5964" spans="1:15" x14ac:dyDescent="0.3">
      <c r="A5964" s="340" t="s">
        <v>891</v>
      </c>
      <c r="B5964" s="350">
        <v>46159</v>
      </c>
      <c r="C5964" s="350">
        <v>46159</v>
      </c>
      <c r="D5964" s="351">
        <v>46143</v>
      </c>
      <c r="E5964" s="340" t="s">
        <v>3438</v>
      </c>
      <c r="F5964" s="340" t="s">
        <v>1078</v>
      </c>
      <c r="G5964" s="340" t="s">
        <v>3005</v>
      </c>
      <c r="I5964" s="340" t="s">
        <v>771</v>
      </c>
      <c r="K5964" s="343">
        <v>1599.4</v>
      </c>
      <c r="L5964" s="343">
        <v>0</v>
      </c>
      <c r="M5964" s="343">
        <v>-952025.73</v>
      </c>
      <c r="O5964" s="343">
        <v>0</v>
      </c>
    </row>
    <row r="5965" spans="1:15" x14ac:dyDescent="0.3">
      <c r="A5965" s="340" t="s">
        <v>891</v>
      </c>
      <c r="B5965" s="350">
        <v>46159</v>
      </c>
      <c r="C5965" s="350">
        <v>46159</v>
      </c>
      <c r="D5965" s="351">
        <v>46143</v>
      </c>
      <c r="E5965" s="340" t="s">
        <v>3438</v>
      </c>
      <c r="F5965" s="340" t="s">
        <v>1078</v>
      </c>
      <c r="G5965" s="340" t="s">
        <v>3026</v>
      </c>
      <c r="I5965" s="340" t="s">
        <v>771</v>
      </c>
      <c r="K5965" s="343">
        <v>793.76</v>
      </c>
      <c r="L5965" s="343">
        <v>0</v>
      </c>
      <c r="M5965" s="343">
        <v>-951231.97</v>
      </c>
      <c r="O5965" s="343">
        <v>0</v>
      </c>
    </row>
    <row r="5966" spans="1:15" x14ac:dyDescent="0.3">
      <c r="A5966" s="340" t="s">
        <v>891</v>
      </c>
      <c r="B5966" s="350">
        <v>46159</v>
      </c>
      <c r="C5966" s="350">
        <v>46159</v>
      </c>
      <c r="D5966" s="351">
        <v>46143</v>
      </c>
      <c r="E5966" s="340" t="s">
        <v>3438</v>
      </c>
      <c r="F5966" s="340" t="s">
        <v>1078</v>
      </c>
      <c r="G5966" s="340" t="s">
        <v>3025</v>
      </c>
      <c r="I5966" s="340" t="s">
        <v>771</v>
      </c>
      <c r="K5966" s="343">
        <v>322.24</v>
      </c>
      <c r="L5966" s="343">
        <v>0</v>
      </c>
      <c r="M5966" s="343">
        <v>-950909.73</v>
      </c>
      <c r="O5966" s="343">
        <v>0</v>
      </c>
    </row>
    <row r="5967" spans="1:15" x14ac:dyDescent="0.3">
      <c r="A5967" s="340" t="s">
        <v>891</v>
      </c>
      <c r="B5967" s="350">
        <v>46159</v>
      </c>
      <c r="C5967" s="350">
        <v>46159</v>
      </c>
      <c r="D5967" s="351">
        <v>46143</v>
      </c>
      <c r="E5967" s="340" t="s">
        <v>3438</v>
      </c>
      <c r="F5967" s="340" t="s">
        <v>1078</v>
      </c>
      <c r="G5967" s="340" t="s">
        <v>3024</v>
      </c>
      <c r="I5967" s="340" t="s">
        <v>771</v>
      </c>
      <c r="K5967" s="343">
        <v>160.71</v>
      </c>
      <c r="L5967" s="343">
        <v>0</v>
      </c>
      <c r="M5967" s="343">
        <v>-950749.02</v>
      </c>
      <c r="O5967" s="343">
        <v>0</v>
      </c>
    </row>
    <row r="5968" spans="1:15" x14ac:dyDescent="0.3">
      <c r="A5968" s="340" t="s">
        <v>891</v>
      </c>
      <c r="B5968" s="350">
        <v>46159</v>
      </c>
      <c r="C5968" s="350">
        <v>46159</v>
      </c>
      <c r="D5968" s="351">
        <v>46143</v>
      </c>
      <c r="E5968" s="340" t="s">
        <v>3438</v>
      </c>
      <c r="F5968" s="340" t="s">
        <v>1078</v>
      </c>
      <c r="G5968" s="340" t="s">
        <v>3023</v>
      </c>
      <c r="I5968" s="340" t="s">
        <v>771</v>
      </c>
      <c r="K5968" s="343">
        <v>75.48</v>
      </c>
      <c r="L5968" s="343">
        <v>0</v>
      </c>
      <c r="M5968" s="343">
        <v>-950673.54</v>
      </c>
      <c r="O5968" s="343">
        <v>0</v>
      </c>
    </row>
    <row r="5969" spans="1:15" x14ac:dyDescent="0.3">
      <c r="A5969" s="340" t="s">
        <v>891</v>
      </c>
      <c r="B5969" s="350">
        <v>46159</v>
      </c>
      <c r="C5969" s="350">
        <v>46159</v>
      </c>
      <c r="D5969" s="351">
        <v>46143</v>
      </c>
      <c r="E5969" s="340" t="s">
        <v>3438</v>
      </c>
      <c r="F5969" s="340" t="s">
        <v>1078</v>
      </c>
      <c r="G5969" s="340" t="s">
        <v>3022</v>
      </c>
      <c r="I5969" s="340" t="s">
        <v>771</v>
      </c>
      <c r="K5969" s="343">
        <v>34.369999999999997</v>
      </c>
      <c r="L5969" s="343">
        <v>0</v>
      </c>
      <c r="M5969" s="343">
        <v>-950639.17</v>
      </c>
      <c r="O5969" s="343">
        <v>0</v>
      </c>
    </row>
    <row r="5970" spans="1:15" x14ac:dyDescent="0.3">
      <c r="A5970" s="340" t="s">
        <v>891</v>
      </c>
      <c r="B5970" s="350">
        <v>46159</v>
      </c>
      <c r="C5970" s="350">
        <v>46159</v>
      </c>
      <c r="D5970" s="351">
        <v>46143</v>
      </c>
      <c r="E5970" s="340" t="s">
        <v>3438</v>
      </c>
      <c r="F5970" s="340" t="s">
        <v>1078</v>
      </c>
      <c r="G5970" s="340" t="s">
        <v>3022</v>
      </c>
      <c r="I5970" s="340" t="s">
        <v>771</v>
      </c>
      <c r="K5970" s="343">
        <v>26.92</v>
      </c>
      <c r="L5970" s="343">
        <v>0</v>
      </c>
      <c r="M5970" s="343">
        <v>-950612.25</v>
      </c>
      <c r="O5970" s="343">
        <v>0</v>
      </c>
    </row>
    <row r="5971" spans="1:15" x14ac:dyDescent="0.3">
      <c r="A5971" s="340" t="s">
        <v>891</v>
      </c>
      <c r="B5971" s="350">
        <v>46159</v>
      </c>
      <c r="C5971" s="350">
        <v>46159</v>
      </c>
      <c r="D5971" s="351">
        <v>46143</v>
      </c>
      <c r="E5971" s="340" t="s">
        <v>3438</v>
      </c>
      <c r="F5971" s="340" t="s">
        <v>1078</v>
      </c>
      <c r="G5971" s="340" t="s">
        <v>3021</v>
      </c>
      <c r="I5971" s="340" t="s">
        <v>771</v>
      </c>
      <c r="K5971" s="343">
        <v>21.3</v>
      </c>
      <c r="L5971" s="343">
        <v>0</v>
      </c>
      <c r="M5971" s="343">
        <v>-950590.95</v>
      </c>
      <c r="O5971" s="343">
        <v>0</v>
      </c>
    </row>
    <row r="5972" spans="1:15" x14ac:dyDescent="0.3">
      <c r="A5972" s="340" t="s">
        <v>891</v>
      </c>
      <c r="B5972" s="350">
        <v>46159</v>
      </c>
      <c r="C5972" s="350">
        <v>46159</v>
      </c>
      <c r="D5972" s="351">
        <v>46143</v>
      </c>
      <c r="E5972" s="340" t="s">
        <v>3438</v>
      </c>
      <c r="F5972" s="340" t="s">
        <v>1078</v>
      </c>
      <c r="G5972" s="340" t="s">
        <v>3020</v>
      </c>
      <c r="I5972" s="340" t="s">
        <v>771</v>
      </c>
      <c r="K5972" s="343">
        <v>17.239999999999998</v>
      </c>
      <c r="L5972" s="343">
        <v>0</v>
      </c>
      <c r="M5972" s="343">
        <v>-950573.71</v>
      </c>
      <c r="O5972" s="343">
        <v>0</v>
      </c>
    </row>
    <row r="5973" spans="1:15" x14ac:dyDescent="0.3">
      <c r="A5973" s="340" t="s">
        <v>891</v>
      </c>
      <c r="B5973" s="350">
        <v>46159</v>
      </c>
      <c r="C5973" s="350">
        <v>46159</v>
      </c>
      <c r="D5973" s="351">
        <v>46143</v>
      </c>
      <c r="E5973" s="340" t="s">
        <v>3438</v>
      </c>
      <c r="F5973" s="340" t="s">
        <v>1078</v>
      </c>
      <c r="G5973" s="340" t="s">
        <v>3020</v>
      </c>
      <c r="I5973" s="340" t="s">
        <v>771</v>
      </c>
      <c r="K5973" s="343">
        <v>13.5</v>
      </c>
      <c r="L5973" s="343">
        <v>0</v>
      </c>
      <c r="M5973" s="343">
        <v>-950560.21</v>
      </c>
      <c r="O5973" s="343">
        <v>0</v>
      </c>
    </row>
    <row r="5974" spans="1:15" x14ac:dyDescent="0.3">
      <c r="A5974" s="340" t="s">
        <v>891</v>
      </c>
      <c r="B5974" s="350">
        <v>46159</v>
      </c>
      <c r="C5974" s="350">
        <v>46159</v>
      </c>
      <c r="D5974" s="351">
        <v>46143</v>
      </c>
      <c r="E5974" s="340" t="s">
        <v>3438</v>
      </c>
      <c r="F5974" s="340" t="s">
        <v>1078</v>
      </c>
      <c r="G5974" s="340" t="s">
        <v>3019</v>
      </c>
      <c r="I5974" s="340" t="s">
        <v>771</v>
      </c>
      <c r="K5974" s="343">
        <v>12.01</v>
      </c>
      <c r="L5974" s="343">
        <v>0</v>
      </c>
      <c r="M5974" s="343">
        <v>-950548.2</v>
      </c>
      <c r="O5974" s="343">
        <v>0</v>
      </c>
    </row>
    <row r="5975" spans="1:15" x14ac:dyDescent="0.3">
      <c r="A5975" s="340" t="s">
        <v>891</v>
      </c>
      <c r="B5975" s="350">
        <v>46159</v>
      </c>
      <c r="C5975" s="350">
        <v>46159</v>
      </c>
      <c r="D5975" s="351">
        <v>46143</v>
      </c>
      <c r="E5975" s="340" t="s">
        <v>3438</v>
      </c>
      <c r="F5975" s="340" t="s">
        <v>1078</v>
      </c>
      <c r="G5975" s="340" t="s">
        <v>3005</v>
      </c>
      <c r="I5975" s="340" t="s">
        <v>771</v>
      </c>
      <c r="K5975" s="343">
        <v>1990.16</v>
      </c>
      <c r="L5975" s="343">
        <v>0</v>
      </c>
      <c r="M5975" s="343">
        <v>-948558.04</v>
      </c>
      <c r="O5975" s="343">
        <v>0</v>
      </c>
    </row>
    <row r="5976" spans="1:15" x14ac:dyDescent="0.3">
      <c r="A5976" s="340" t="s">
        <v>891</v>
      </c>
      <c r="B5976" s="350">
        <v>46159</v>
      </c>
      <c r="C5976" s="350">
        <v>46159</v>
      </c>
      <c r="D5976" s="351">
        <v>46143</v>
      </c>
      <c r="E5976" s="340" t="s">
        <v>3438</v>
      </c>
      <c r="F5976" s="340" t="s">
        <v>1078</v>
      </c>
      <c r="G5976" s="340" t="s">
        <v>3026</v>
      </c>
      <c r="I5976" s="340" t="s">
        <v>771</v>
      </c>
      <c r="K5976" s="343">
        <v>901.3</v>
      </c>
      <c r="L5976" s="343">
        <v>0</v>
      </c>
      <c r="M5976" s="343">
        <v>-947656.74</v>
      </c>
      <c r="O5976" s="343">
        <v>0</v>
      </c>
    </row>
    <row r="5977" spans="1:15" x14ac:dyDescent="0.3">
      <c r="A5977" s="340" t="s">
        <v>891</v>
      </c>
      <c r="B5977" s="350">
        <v>46159</v>
      </c>
      <c r="C5977" s="350">
        <v>46159</v>
      </c>
      <c r="D5977" s="351">
        <v>46143</v>
      </c>
      <c r="E5977" s="340" t="s">
        <v>3438</v>
      </c>
      <c r="F5977" s="340" t="s">
        <v>1078</v>
      </c>
      <c r="G5977" s="340" t="s">
        <v>3025</v>
      </c>
      <c r="I5977" s="340" t="s">
        <v>771</v>
      </c>
      <c r="K5977" s="343">
        <v>388.74</v>
      </c>
      <c r="L5977" s="343">
        <v>0</v>
      </c>
      <c r="M5977" s="343">
        <v>-947268</v>
      </c>
      <c r="O5977" s="343">
        <v>0</v>
      </c>
    </row>
    <row r="5978" spans="1:15" x14ac:dyDescent="0.3">
      <c r="A5978" s="340" t="s">
        <v>891</v>
      </c>
      <c r="B5978" s="350">
        <v>46159</v>
      </c>
      <c r="C5978" s="350">
        <v>46159</v>
      </c>
      <c r="D5978" s="351">
        <v>46143</v>
      </c>
      <c r="E5978" s="340" t="s">
        <v>3438</v>
      </c>
      <c r="F5978" s="340" t="s">
        <v>1078</v>
      </c>
      <c r="G5978" s="340" t="s">
        <v>3024</v>
      </c>
      <c r="I5978" s="340" t="s">
        <v>771</v>
      </c>
      <c r="K5978" s="343">
        <v>182.49</v>
      </c>
      <c r="L5978" s="343">
        <v>0</v>
      </c>
      <c r="M5978" s="343">
        <v>-947085.51</v>
      </c>
      <c r="O5978" s="343">
        <v>0</v>
      </c>
    </row>
    <row r="5979" spans="1:15" x14ac:dyDescent="0.3">
      <c r="A5979" s="340" t="s">
        <v>891</v>
      </c>
      <c r="B5979" s="350">
        <v>46159</v>
      </c>
      <c r="C5979" s="350">
        <v>46159</v>
      </c>
      <c r="D5979" s="351">
        <v>46143</v>
      </c>
      <c r="E5979" s="340" t="s">
        <v>3438</v>
      </c>
      <c r="F5979" s="340" t="s">
        <v>1078</v>
      </c>
      <c r="G5979" s="340" t="s">
        <v>3023</v>
      </c>
      <c r="I5979" s="340" t="s">
        <v>771</v>
      </c>
      <c r="K5979" s="343">
        <v>93.93</v>
      </c>
      <c r="L5979" s="343">
        <v>0</v>
      </c>
      <c r="M5979" s="343">
        <v>-946991.58</v>
      </c>
      <c r="O5979" s="343">
        <v>0</v>
      </c>
    </row>
    <row r="5980" spans="1:15" x14ac:dyDescent="0.3">
      <c r="A5980" s="340" t="s">
        <v>891</v>
      </c>
      <c r="B5980" s="350">
        <v>46159</v>
      </c>
      <c r="C5980" s="350">
        <v>46159</v>
      </c>
      <c r="D5980" s="351">
        <v>46143</v>
      </c>
      <c r="E5980" s="340" t="s">
        <v>3438</v>
      </c>
      <c r="F5980" s="340" t="s">
        <v>1078</v>
      </c>
      <c r="G5980" s="340" t="s">
        <v>3022</v>
      </c>
      <c r="I5980" s="340" t="s">
        <v>771</v>
      </c>
      <c r="K5980" s="343">
        <v>42.77</v>
      </c>
      <c r="L5980" s="343">
        <v>0</v>
      </c>
      <c r="M5980" s="343">
        <v>-946948.81</v>
      </c>
      <c r="O5980" s="343">
        <v>0</v>
      </c>
    </row>
    <row r="5981" spans="1:15" x14ac:dyDescent="0.3">
      <c r="A5981" s="340" t="s">
        <v>891</v>
      </c>
      <c r="B5981" s="350">
        <v>46159</v>
      </c>
      <c r="C5981" s="350">
        <v>46159</v>
      </c>
      <c r="D5981" s="351">
        <v>46143</v>
      </c>
      <c r="E5981" s="340" t="s">
        <v>3438</v>
      </c>
      <c r="F5981" s="340" t="s">
        <v>1078</v>
      </c>
      <c r="G5981" s="340" t="s">
        <v>3022</v>
      </c>
      <c r="I5981" s="340" t="s">
        <v>771</v>
      </c>
      <c r="K5981" s="343">
        <v>30.97</v>
      </c>
      <c r="L5981" s="343">
        <v>0</v>
      </c>
      <c r="M5981" s="343">
        <v>-946917.84</v>
      </c>
      <c r="O5981" s="343">
        <v>0</v>
      </c>
    </row>
    <row r="5982" spans="1:15" x14ac:dyDescent="0.3">
      <c r="A5982" s="340" t="s">
        <v>891</v>
      </c>
      <c r="B5982" s="350">
        <v>46159</v>
      </c>
      <c r="C5982" s="350">
        <v>46159</v>
      </c>
      <c r="D5982" s="351">
        <v>46143</v>
      </c>
      <c r="E5982" s="340" t="s">
        <v>3438</v>
      </c>
      <c r="F5982" s="340" t="s">
        <v>1078</v>
      </c>
      <c r="G5982" s="340" t="s">
        <v>3020</v>
      </c>
      <c r="I5982" s="340" t="s">
        <v>771</v>
      </c>
      <c r="K5982" s="343">
        <v>21.45</v>
      </c>
      <c r="L5982" s="343">
        <v>0</v>
      </c>
      <c r="M5982" s="343">
        <v>-946896.39</v>
      </c>
      <c r="O5982" s="343">
        <v>0</v>
      </c>
    </row>
    <row r="5983" spans="1:15" x14ac:dyDescent="0.3">
      <c r="A5983" s="340" t="s">
        <v>891</v>
      </c>
      <c r="B5983" s="350">
        <v>46159</v>
      </c>
      <c r="C5983" s="350">
        <v>46159</v>
      </c>
      <c r="D5983" s="351">
        <v>46143</v>
      </c>
      <c r="E5983" s="340" t="s">
        <v>3438</v>
      </c>
      <c r="F5983" s="340" t="s">
        <v>1078</v>
      </c>
      <c r="G5983" s="340" t="s">
        <v>3021</v>
      </c>
      <c r="I5983" s="340" t="s">
        <v>771</v>
      </c>
      <c r="K5983" s="343">
        <v>21.3</v>
      </c>
      <c r="L5983" s="343">
        <v>0</v>
      </c>
      <c r="M5983" s="343">
        <v>-946875.09</v>
      </c>
      <c r="O5983" s="343">
        <v>0</v>
      </c>
    </row>
    <row r="5984" spans="1:15" x14ac:dyDescent="0.3">
      <c r="A5984" s="340" t="s">
        <v>891</v>
      </c>
      <c r="B5984" s="350">
        <v>46159</v>
      </c>
      <c r="C5984" s="350">
        <v>46159</v>
      </c>
      <c r="D5984" s="351">
        <v>46143</v>
      </c>
      <c r="E5984" s="340" t="s">
        <v>3438</v>
      </c>
      <c r="F5984" s="340" t="s">
        <v>1078</v>
      </c>
      <c r="G5984" s="340" t="s">
        <v>3020</v>
      </c>
      <c r="I5984" s="340" t="s">
        <v>771</v>
      </c>
      <c r="K5984" s="343">
        <v>15.53</v>
      </c>
      <c r="L5984" s="343">
        <v>0</v>
      </c>
      <c r="M5984" s="343">
        <v>-946859.56</v>
      </c>
      <c r="O5984" s="343">
        <v>0</v>
      </c>
    </row>
    <row r="5985" spans="1:15" x14ac:dyDescent="0.3">
      <c r="A5985" s="340" t="s">
        <v>891</v>
      </c>
      <c r="B5985" s="350">
        <v>46159</v>
      </c>
      <c r="C5985" s="350">
        <v>46159</v>
      </c>
      <c r="D5985" s="351">
        <v>46143</v>
      </c>
      <c r="E5985" s="340" t="s">
        <v>3438</v>
      </c>
      <c r="F5985" s="340" t="s">
        <v>1078</v>
      </c>
      <c r="G5985" s="340" t="s">
        <v>3019</v>
      </c>
      <c r="I5985" s="340" t="s">
        <v>771</v>
      </c>
      <c r="K5985" s="343">
        <v>14.95</v>
      </c>
      <c r="L5985" s="343">
        <v>0</v>
      </c>
      <c r="M5985" s="343">
        <v>-946844.61</v>
      </c>
      <c r="O5985" s="343">
        <v>0</v>
      </c>
    </row>
    <row r="5986" spans="1:15" x14ac:dyDescent="0.3">
      <c r="A5986" s="340" t="s">
        <v>891</v>
      </c>
      <c r="B5986" s="350">
        <v>46159</v>
      </c>
      <c r="C5986" s="350">
        <v>46159</v>
      </c>
      <c r="D5986" s="351">
        <v>46143</v>
      </c>
      <c r="E5986" s="340" t="s">
        <v>3438</v>
      </c>
      <c r="F5986" s="340" t="s">
        <v>1078</v>
      </c>
      <c r="G5986" s="340" t="s">
        <v>3018</v>
      </c>
      <c r="I5986" s="340" t="s">
        <v>771</v>
      </c>
      <c r="K5986" s="343">
        <v>14.73</v>
      </c>
      <c r="L5986" s="343">
        <v>0</v>
      </c>
      <c r="M5986" s="343">
        <v>-946829.88</v>
      </c>
      <c r="O5986" s="343">
        <v>0</v>
      </c>
    </row>
    <row r="5987" spans="1:15" x14ac:dyDescent="0.3">
      <c r="A5987" s="340" t="s">
        <v>891</v>
      </c>
      <c r="B5987" s="350">
        <v>46159</v>
      </c>
      <c r="C5987" s="350">
        <v>46159</v>
      </c>
      <c r="D5987" s="351">
        <v>46143</v>
      </c>
      <c r="E5987" s="340" t="s">
        <v>3438</v>
      </c>
      <c r="F5987" s="340" t="s">
        <v>1078</v>
      </c>
      <c r="G5987" s="340" t="s">
        <v>3017</v>
      </c>
      <c r="I5987" s="340" t="s">
        <v>771</v>
      </c>
      <c r="K5987" s="343">
        <v>11.13</v>
      </c>
      <c r="L5987" s="343">
        <v>0</v>
      </c>
      <c r="M5987" s="343">
        <v>-946818.75</v>
      </c>
      <c r="O5987" s="343">
        <v>0</v>
      </c>
    </row>
    <row r="5988" spans="1:15" x14ac:dyDescent="0.3">
      <c r="A5988" s="340" t="s">
        <v>891</v>
      </c>
      <c r="B5988" s="350">
        <v>46159</v>
      </c>
      <c r="C5988" s="350">
        <v>46159</v>
      </c>
      <c r="D5988" s="351">
        <v>46143</v>
      </c>
      <c r="E5988" s="340" t="s">
        <v>3438</v>
      </c>
      <c r="F5988" s="340" t="s">
        <v>1078</v>
      </c>
      <c r="G5988" s="340" t="s">
        <v>3016</v>
      </c>
      <c r="I5988" s="340" t="s">
        <v>771</v>
      </c>
      <c r="K5988" s="343">
        <v>3.51</v>
      </c>
      <c r="L5988" s="343">
        <v>0</v>
      </c>
      <c r="M5988" s="343">
        <v>-946815.24</v>
      </c>
      <c r="O5988" s="343">
        <v>0</v>
      </c>
    </row>
    <row r="5989" spans="1:15" x14ac:dyDescent="0.3">
      <c r="A5989" s="340" t="s">
        <v>891</v>
      </c>
      <c r="B5989" s="350">
        <v>46159</v>
      </c>
      <c r="C5989" s="350">
        <v>46159</v>
      </c>
      <c r="D5989" s="351">
        <v>46143</v>
      </c>
      <c r="E5989" s="340" t="s">
        <v>3438</v>
      </c>
      <c r="F5989" s="340" t="s">
        <v>1078</v>
      </c>
      <c r="G5989" s="340" t="s">
        <v>3016</v>
      </c>
      <c r="I5989" s="340" t="s">
        <v>771</v>
      </c>
      <c r="K5989" s="343">
        <v>2.54</v>
      </c>
      <c r="L5989" s="343">
        <v>0</v>
      </c>
      <c r="M5989" s="343">
        <v>-946812.7</v>
      </c>
      <c r="O5989" s="343">
        <v>0</v>
      </c>
    </row>
    <row r="5990" spans="1:15" x14ac:dyDescent="0.3">
      <c r="A5990" s="340" t="s">
        <v>891</v>
      </c>
      <c r="B5990" s="350">
        <v>46159</v>
      </c>
      <c r="C5990" s="350">
        <v>46159</v>
      </c>
      <c r="D5990" s="351">
        <v>46143</v>
      </c>
      <c r="E5990" s="340" t="s">
        <v>3438</v>
      </c>
      <c r="F5990" s="340" t="s">
        <v>1078</v>
      </c>
      <c r="G5990" s="340" t="s">
        <v>3007</v>
      </c>
      <c r="I5990" s="340" t="s">
        <v>771</v>
      </c>
      <c r="K5990" s="343">
        <v>1286.79</v>
      </c>
      <c r="L5990" s="343">
        <v>0</v>
      </c>
      <c r="M5990" s="343">
        <v>-945525.91</v>
      </c>
      <c r="O5990" s="343">
        <v>0</v>
      </c>
    </row>
    <row r="5991" spans="1:15" x14ac:dyDescent="0.3">
      <c r="A5991" s="340" t="s">
        <v>891</v>
      </c>
      <c r="B5991" s="350">
        <v>46159</v>
      </c>
      <c r="C5991" s="350">
        <v>46159</v>
      </c>
      <c r="D5991" s="351">
        <v>46143</v>
      </c>
      <c r="E5991" s="340" t="s">
        <v>3438</v>
      </c>
      <c r="F5991" s="340" t="s">
        <v>1078</v>
      </c>
      <c r="G5991" s="340" t="s">
        <v>3006</v>
      </c>
      <c r="I5991" s="340" t="s">
        <v>771</v>
      </c>
      <c r="K5991" s="343">
        <v>268.62</v>
      </c>
      <c r="L5991" s="343">
        <v>0</v>
      </c>
      <c r="M5991" s="343">
        <v>-945257.29</v>
      </c>
      <c r="O5991" s="343">
        <v>0</v>
      </c>
    </row>
    <row r="5992" spans="1:15" x14ac:dyDescent="0.3">
      <c r="A5992" s="340" t="s">
        <v>891</v>
      </c>
      <c r="B5992" s="350">
        <v>46159</v>
      </c>
      <c r="C5992" s="350">
        <v>46159</v>
      </c>
      <c r="D5992" s="351">
        <v>46143</v>
      </c>
      <c r="E5992" s="340" t="s">
        <v>3438</v>
      </c>
      <c r="F5992" s="340" t="s">
        <v>1078</v>
      </c>
      <c r="G5992" s="340" t="s">
        <v>3012</v>
      </c>
      <c r="I5992" s="340" t="s">
        <v>771</v>
      </c>
      <c r="K5992" s="343">
        <v>230.17</v>
      </c>
      <c r="L5992" s="343">
        <v>0</v>
      </c>
      <c r="M5992" s="343">
        <v>-945027.12</v>
      </c>
      <c r="O5992" s="343">
        <v>0</v>
      </c>
    </row>
    <row r="5993" spans="1:15" x14ac:dyDescent="0.3">
      <c r="A5993" s="340" t="s">
        <v>891</v>
      </c>
      <c r="B5993" s="350">
        <v>46159</v>
      </c>
      <c r="C5993" s="350">
        <v>46159</v>
      </c>
      <c r="D5993" s="351">
        <v>46143</v>
      </c>
      <c r="E5993" s="340" t="s">
        <v>3438</v>
      </c>
      <c r="F5993" s="340" t="s">
        <v>1078</v>
      </c>
      <c r="G5993" s="340" t="s">
        <v>3011</v>
      </c>
      <c r="I5993" s="340" t="s">
        <v>771</v>
      </c>
      <c r="K5993" s="343">
        <v>126.5</v>
      </c>
      <c r="L5993" s="343">
        <v>0</v>
      </c>
      <c r="M5993" s="343">
        <v>-944900.62</v>
      </c>
      <c r="O5993" s="343">
        <v>0</v>
      </c>
    </row>
    <row r="5994" spans="1:15" x14ac:dyDescent="0.3">
      <c r="A5994" s="340" t="s">
        <v>891</v>
      </c>
      <c r="B5994" s="350">
        <v>46159</v>
      </c>
      <c r="C5994" s="350">
        <v>46159</v>
      </c>
      <c r="D5994" s="351">
        <v>46143</v>
      </c>
      <c r="E5994" s="340" t="s">
        <v>3438</v>
      </c>
      <c r="F5994" s="340" t="s">
        <v>1078</v>
      </c>
      <c r="G5994" s="340" t="s">
        <v>3013</v>
      </c>
      <c r="I5994" s="340" t="s">
        <v>771</v>
      </c>
      <c r="K5994" s="343">
        <v>60.17</v>
      </c>
      <c r="L5994" s="343">
        <v>0</v>
      </c>
      <c r="M5994" s="343">
        <v>-944840.45</v>
      </c>
      <c r="O5994" s="343">
        <v>0</v>
      </c>
    </row>
    <row r="5995" spans="1:15" x14ac:dyDescent="0.3">
      <c r="A5995" s="340" t="s">
        <v>891</v>
      </c>
      <c r="B5995" s="350">
        <v>46159</v>
      </c>
      <c r="C5995" s="350">
        <v>46159</v>
      </c>
      <c r="D5995" s="351">
        <v>46143</v>
      </c>
      <c r="E5995" s="340" t="s">
        <v>3438</v>
      </c>
      <c r="F5995" s="340" t="s">
        <v>1078</v>
      </c>
      <c r="G5995" s="340" t="s">
        <v>3010</v>
      </c>
      <c r="I5995" s="340" t="s">
        <v>771</v>
      </c>
      <c r="K5995" s="343">
        <v>27.64</v>
      </c>
      <c r="L5995" s="343">
        <v>0</v>
      </c>
      <c r="M5995" s="343">
        <v>-944812.81</v>
      </c>
      <c r="O5995" s="343">
        <v>0</v>
      </c>
    </row>
    <row r="5996" spans="1:15" x14ac:dyDescent="0.3">
      <c r="A5996" s="340" t="s">
        <v>891</v>
      </c>
      <c r="B5996" s="350">
        <v>46159</v>
      </c>
      <c r="C5996" s="350">
        <v>46159</v>
      </c>
      <c r="D5996" s="351">
        <v>46143</v>
      </c>
      <c r="E5996" s="340" t="s">
        <v>3438</v>
      </c>
      <c r="F5996" s="340" t="s">
        <v>1078</v>
      </c>
      <c r="G5996" s="340" t="s">
        <v>3009</v>
      </c>
      <c r="I5996" s="340" t="s">
        <v>771</v>
      </c>
      <c r="K5996" s="343">
        <v>21.3</v>
      </c>
      <c r="L5996" s="343">
        <v>0</v>
      </c>
      <c r="M5996" s="343">
        <v>-944791.51</v>
      </c>
      <c r="O5996" s="343">
        <v>0</v>
      </c>
    </row>
    <row r="5997" spans="1:15" x14ac:dyDescent="0.3">
      <c r="A5997" s="340" t="s">
        <v>891</v>
      </c>
      <c r="B5997" s="350">
        <v>46159</v>
      </c>
      <c r="C5997" s="350">
        <v>46159</v>
      </c>
      <c r="D5997" s="351">
        <v>46143</v>
      </c>
      <c r="E5997" s="340" t="s">
        <v>3438</v>
      </c>
      <c r="F5997" s="340" t="s">
        <v>1078</v>
      </c>
      <c r="G5997" s="340" t="s">
        <v>3004</v>
      </c>
      <c r="I5997" s="340" t="s">
        <v>771</v>
      </c>
      <c r="K5997" s="343">
        <v>13.86</v>
      </c>
      <c r="L5997" s="343">
        <v>0</v>
      </c>
      <c r="M5997" s="343">
        <v>-944777.65</v>
      </c>
      <c r="O5997" s="343">
        <v>0</v>
      </c>
    </row>
    <row r="5998" spans="1:15" x14ac:dyDescent="0.3">
      <c r="A5998" s="340" t="s">
        <v>891</v>
      </c>
      <c r="B5998" s="350">
        <v>46159</v>
      </c>
      <c r="C5998" s="350">
        <v>46159</v>
      </c>
      <c r="D5998" s="351">
        <v>46143</v>
      </c>
      <c r="E5998" s="340" t="s">
        <v>3438</v>
      </c>
      <c r="F5998" s="340" t="s">
        <v>1078</v>
      </c>
      <c r="G5998" s="340" t="s">
        <v>3010</v>
      </c>
      <c r="I5998" s="340" t="s">
        <v>771</v>
      </c>
      <c r="K5998" s="343">
        <v>13.6</v>
      </c>
      <c r="L5998" s="343">
        <v>0</v>
      </c>
      <c r="M5998" s="343">
        <v>-944764.05</v>
      </c>
      <c r="O5998" s="343">
        <v>0</v>
      </c>
    </row>
    <row r="5999" spans="1:15" x14ac:dyDescent="0.3">
      <c r="A5999" s="340" t="s">
        <v>891</v>
      </c>
      <c r="B5999" s="350">
        <v>46159</v>
      </c>
      <c r="C5999" s="350">
        <v>46159</v>
      </c>
      <c r="D5999" s="351">
        <v>46143</v>
      </c>
      <c r="E5999" s="340" t="s">
        <v>3438</v>
      </c>
      <c r="F5999" s="340" t="s">
        <v>1078</v>
      </c>
      <c r="G5999" s="340" t="s">
        <v>3015</v>
      </c>
      <c r="I5999" s="340" t="s">
        <v>771</v>
      </c>
      <c r="K5999" s="343">
        <v>11.13</v>
      </c>
      <c r="L5999" s="343">
        <v>0</v>
      </c>
      <c r="M5999" s="343">
        <v>-944752.92</v>
      </c>
      <c r="O5999" s="343">
        <v>0</v>
      </c>
    </row>
    <row r="6000" spans="1:15" x14ac:dyDescent="0.3">
      <c r="A6000" s="340" t="s">
        <v>891</v>
      </c>
      <c r="B6000" s="350">
        <v>46159</v>
      </c>
      <c r="C6000" s="350">
        <v>46159</v>
      </c>
      <c r="D6000" s="351">
        <v>46143</v>
      </c>
      <c r="E6000" s="340" t="s">
        <v>3438</v>
      </c>
      <c r="F6000" s="340" t="s">
        <v>1078</v>
      </c>
      <c r="G6000" s="340" t="s">
        <v>3008</v>
      </c>
      <c r="I6000" s="340" t="s">
        <v>771</v>
      </c>
      <c r="K6000" s="343">
        <v>9.66</v>
      </c>
      <c r="L6000" s="343">
        <v>0</v>
      </c>
      <c r="M6000" s="343">
        <v>-944743.26</v>
      </c>
      <c r="O6000" s="343">
        <v>0</v>
      </c>
    </row>
    <row r="6001" spans="1:15" x14ac:dyDescent="0.3">
      <c r="A6001" s="340" t="s">
        <v>891</v>
      </c>
      <c r="B6001" s="350">
        <v>46159</v>
      </c>
      <c r="C6001" s="350">
        <v>46159</v>
      </c>
      <c r="D6001" s="351">
        <v>46143</v>
      </c>
      <c r="E6001" s="340" t="s">
        <v>3438</v>
      </c>
      <c r="F6001" s="340" t="s">
        <v>1078</v>
      </c>
      <c r="G6001" s="340" t="s">
        <v>3014</v>
      </c>
      <c r="I6001" s="340" t="s">
        <v>771</v>
      </c>
      <c r="K6001" s="343">
        <v>9.52</v>
      </c>
      <c r="L6001" s="343">
        <v>0</v>
      </c>
      <c r="M6001" s="343">
        <v>-944733.74</v>
      </c>
      <c r="O6001" s="343">
        <v>0</v>
      </c>
    </row>
    <row r="6002" spans="1:15" x14ac:dyDescent="0.3">
      <c r="A6002" s="340" t="s">
        <v>891</v>
      </c>
      <c r="B6002" s="350">
        <v>46159</v>
      </c>
      <c r="C6002" s="350">
        <v>46159</v>
      </c>
      <c r="D6002" s="351">
        <v>46143</v>
      </c>
      <c r="E6002" s="340" t="s">
        <v>3438</v>
      </c>
      <c r="F6002" s="340" t="s">
        <v>1078</v>
      </c>
      <c r="G6002" s="340" t="s">
        <v>3004</v>
      </c>
      <c r="I6002" s="340" t="s">
        <v>771</v>
      </c>
      <c r="K6002" s="343">
        <v>6.82</v>
      </c>
      <c r="L6002" s="343">
        <v>0</v>
      </c>
      <c r="M6002" s="343">
        <v>-944726.92</v>
      </c>
      <c r="O6002" s="343">
        <v>0</v>
      </c>
    </row>
    <row r="6003" spans="1:15" x14ac:dyDescent="0.3">
      <c r="A6003" s="340" t="s">
        <v>891</v>
      </c>
      <c r="B6003" s="350">
        <v>46159</v>
      </c>
      <c r="C6003" s="350">
        <v>46159</v>
      </c>
      <c r="D6003" s="351">
        <v>46143</v>
      </c>
      <c r="E6003" s="340" t="s">
        <v>3438</v>
      </c>
      <c r="F6003" s="340" t="s">
        <v>1078</v>
      </c>
      <c r="G6003" s="340" t="s">
        <v>3003</v>
      </c>
      <c r="I6003" s="340" t="s">
        <v>771</v>
      </c>
      <c r="K6003" s="343">
        <v>2.27</v>
      </c>
      <c r="L6003" s="343">
        <v>0</v>
      </c>
      <c r="M6003" s="343">
        <v>-944724.65</v>
      </c>
      <c r="O6003" s="343">
        <v>0</v>
      </c>
    </row>
    <row r="6004" spans="1:15" x14ac:dyDescent="0.3">
      <c r="A6004" s="340" t="s">
        <v>891</v>
      </c>
      <c r="B6004" s="350">
        <v>46159</v>
      </c>
      <c r="C6004" s="350">
        <v>46159</v>
      </c>
      <c r="D6004" s="351">
        <v>46143</v>
      </c>
      <c r="E6004" s="340" t="s">
        <v>3438</v>
      </c>
      <c r="F6004" s="340" t="s">
        <v>1078</v>
      </c>
      <c r="G6004" s="340" t="s">
        <v>3003</v>
      </c>
      <c r="I6004" s="340" t="s">
        <v>771</v>
      </c>
      <c r="K6004" s="343">
        <v>1.1200000000000001</v>
      </c>
      <c r="L6004" s="343">
        <v>0</v>
      </c>
      <c r="M6004" s="343">
        <v>-944723.53</v>
      </c>
      <c r="O6004" s="343">
        <v>0</v>
      </c>
    </row>
    <row r="6005" spans="1:15" x14ac:dyDescent="0.3">
      <c r="A6005" s="340" t="s">
        <v>891</v>
      </c>
      <c r="B6005" s="350">
        <v>46159</v>
      </c>
      <c r="C6005" s="350">
        <v>46159</v>
      </c>
      <c r="D6005" s="351">
        <v>46143</v>
      </c>
      <c r="E6005" s="340" t="s">
        <v>3438</v>
      </c>
      <c r="F6005" s="340" t="s">
        <v>1078</v>
      </c>
      <c r="G6005" s="340" t="s">
        <v>3015</v>
      </c>
      <c r="I6005" s="340" t="s">
        <v>771</v>
      </c>
      <c r="K6005" s="343">
        <v>11.13</v>
      </c>
      <c r="L6005" s="343">
        <v>0</v>
      </c>
      <c r="M6005" s="343">
        <v>-944712.4</v>
      </c>
      <c r="O6005" s="343">
        <v>0</v>
      </c>
    </row>
    <row r="6006" spans="1:15" x14ac:dyDescent="0.3">
      <c r="A6006" s="340" t="s">
        <v>891</v>
      </c>
      <c r="B6006" s="350">
        <v>46159</v>
      </c>
      <c r="C6006" s="350">
        <v>46159</v>
      </c>
      <c r="D6006" s="351">
        <v>46143</v>
      </c>
      <c r="E6006" s="340" t="s">
        <v>3438</v>
      </c>
      <c r="F6006" s="340" t="s">
        <v>1078</v>
      </c>
      <c r="G6006" s="340" t="s">
        <v>3004</v>
      </c>
      <c r="I6006" s="340" t="s">
        <v>771</v>
      </c>
      <c r="K6006" s="343">
        <v>16.61</v>
      </c>
      <c r="L6006" s="343">
        <v>0</v>
      </c>
      <c r="M6006" s="343">
        <v>-944695.79</v>
      </c>
      <c r="O6006" s="343">
        <v>0</v>
      </c>
    </row>
    <row r="6007" spans="1:15" x14ac:dyDescent="0.3">
      <c r="A6007" s="340" t="s">
        <v>891</v>
      </c>
      <c r="B6007" s="350">
        <v>46159</v>
      </c>
      <c r="C6007" s="350">
        <v>46159</v>
      </c>
      <c r="D6007" s="351">
        <v>46143</v>
      </c>
      <c r="E6007" s="340" t="s">
        <v>3438</v>
      </c>
      <c r="F6007" s="340" t="s">
        <v>1078</v>
      </c>
      <c r="G6007" s="340" t="s">
        <v>3010</v>
      </c>
      <c r="I6007" s="340" t="s">
        <v>771</v>
      </c>
      <c r="K6007" s="343">
        <v>33.11</v>
      </c>
      <c r="L6007" s="343">
        <v>0</v>
      </c>
      <c r="M6007" s="343">
        <v>-944662.68</v>
      </c>
      <c r="O6007" s="343">
        <v>0</v>
      </c>
    </row>
    <row r="6008" spans="1:15" x14ac:dyDescent="0.3">
      <c r="A6008" s="340" t="s">
        <v>891</v>
      </c>
      <c r="B6008" s="350">
        <v>46159</v>
      </c>
      <c r="C6008" s="350">
        <v>46159</v>
      </c>
      <c r="D6008" s="351">
        <v>46143</v>
      </c>
      <c r="E6008" s="340" t="s">
        <v>3438</v>
      </c>
      <c r="F6008" s="340" t="s">
        <v>1078</v>
      </c>
      <c r="G6008" s="340" t="s">
        <v>3003</v>
      </c>
      <c r="I6008" s="340" t="s">
        <v>771</v>
      </c>
      <c r="K6008" s="343">
        <v>2.72</v>
      </c>
      <c r="L6008" s="343">
        <v>0</v>
      </c>
      <c r="M6008" s="343">
        <v>-944659.96</v>
      </c>
      <c r="O6008" s="343">
        <v>0</v>
      </c>
    </row>
    <row r="6009" spans="1:15" x14ac:dyDescent="0.3">
      <c r="A6009" s="340" t="s">
        <v>891</v>
      </c>
      <c r="B6009" s="350">
        <v>46159</v>
      </c>
      <c r="C6009" s="350">
        <v>46159</v>
      </c>
      <c r="D6009" s="351">
        <v>46143</v>
      </c>
      <c r="E6009" s="340" t="s">
        <v>3438</v>
      </c>
      <c r="F6009" s="340" t="s">
        <v>1078</v>
      </c>
      <c r="G6009" s="340" t="s">
        <v>3014</v>
      </c>
      <c r="I6009" s="340" t="s">
        <v>771</v>
      </c>
      <c r="K6009" s="343">
        <v>11.41</v>
      </c>
      <c r="L6009" s="343">
        <v>0</v>
      </c>
      <c r="M6009" s="343">
        <v>-944648.55</v>
      </c>
      <c r="O6009" s="343">
        <v>0</v>
      </c>
    </row>
    <row r="6010" spans="1:15" x14ac:dyDescent="0.3">
      <c r="A6010" s="340" t="s">
        <v>891</v>
      </c>
      <c r="B6010" s="350">
        <v>46159</v>
      </c>
      <c r="C6010" s="350">
        <v>46159</v>
      </c>
      <c r="D6010" s="351">
        <v>46143</v>
      </c>
      <c r="E6010" s="340" t="s">
        <v>3438</v>
      </c>
      <c r="F6010" s="340" t="s">
        <v>1078</v>
      </c>
      <c r="G6010" s="340" t="s">
        <v>3007</v>
      </c>
      <c r="I6010" s="340" t="s">
        <v>771</v>
      </c>
      <c r="K6010" s="343">
        <v>1541.24</v>
      </c>
      <c r="L6010" s="343">
        <v>0</v>
      </c>
      <c r="M6010" s="343">
        <v>-943107.31</v>
      </c>
      <c r="O6010" s="343">
        <v>0</v>
      </c>
    </row>
    <row r="6011" spans="1:15" x14ac:dyDescent="0.3">
      <c r="A6011" s="340" t="s">
        <v>891</v>
      </c>
      <c r="B6011" s="350">
        <v>46159</v>
      </c>
      <c r="C6011" s="350">
        <v>46159</v>
      </c>
      <c r="D6011" s="351">
        <v>46143</v>
      </c>
      <c r="E6011" s="340" t="s">
        <v>3438</v>
      </c>
      <c r="F6011" s="340" t="s">
        <v>1078</v>
      </c>
      <c r="G6011" s="340" t="s">
        <v>3006</v>
      </c>
      <c r="I6011" s="340" t="s">
        <v>771</v>
      </c>
      <c r="K6011" s="343">
        <v>352.19</v>
      </c>
      <c r="L6011" s="343">
        <v>0</v>
      </c>
      <c r="M6011" s="343">
        <v>-942755.12</v>
      </c>
      <c r="O6011" s="343">
        <v>0</v>
      </c>
    </row>
    <row r="6012" spans="1:15" x14ac:dyDescent="0.3">
      <c r="A6012" s="340" t="s">
        <v>891</v>
      </c>
      <c r="B6012" s="350">
        <v>46159</v>
      </c>
      <c r="C6012" s="350">
        <v>46159</v>
      </c>
      <c r="D6012" s="351">
        <v>46143</v>
      </c>
      <c r="E6012" s="340" t="s">
        <v>3438</v>
      </c>
      <c r="F6012" s="340" t="s">
        <v>1078</v>
      </c>
      <c r="G6012" s="340" t="s">
        <v>3012</v>
      </c>
      <c r="I6012" s="340" t="s">
        <v>771</v>
      </c>
      <c r="K6012" s="343">
        <v>301.77999999999997</v>
      </c>
      <c r="L6012" s="343">
        <v>0</v>
      </c>
      <c r="M6012" s="343">
        <v>-942453.34</v>
      </c>
      <c r="O6012" s="343">
        <v>0</v>
      </c>
    </row>
    <row r="6013" spans="1:15" x14ac:dyDescent="0.3">
      <c r="A6013" s="340" t="s">
        <v>891</v>
      </c>
      <c r="B6013" s="350">
        <v>46159</v>
      </c>
      <c r="C6013" s="350">
        <v>46159</v>
      </c>
      <c r="D6013" s="351">
        <v>46143</v>
      </c>
      <c r="E6013" s="340" t="s">
        <v>3438</v>
      </c>
      <c r="F6013" s="340" t="s">
        <v>1078</v>
      </c>
      <c r="G6013" s="340" t="s">
        <v>3011</v>
      </c>
      <c r="I6013" s="340" t="s">
        <v>771</v>
      </c>
      <c r="K6013" s="343">
        <v>210.48</v>
      </c>
      <c r="L6013" s="343">
        <v>0</v>
      </c>
      <c r="M6013" s="343">
        <v>-942242.86</v>
      </c>
      <c r="O6013" s="343">
        <v>0</v>
      </c>
    </row>
    <row r="6014" spans="1:15" x14ac:dyDescent="0.3">
      <c r="A6014" s="340" t="s">
        <v>891</v>
      </c>
      <c r="B6014" s="350">
        <v>46159</v>
      </c>
      <c r="C6014" s="350">
        <v>46159</v>
      </c>
      <c r="D6014" s="351">
        <v>46143</v>
      </c>
      <c r="E6014" s="340" t="s">
        <v>3438</v>
      </c>
      <c r="F6014" s="340" t="s">
        <v>1078</v>
      </c>
      <c r="G6014" s="340" t="s">
        <v>3013</v>
      </c>
      <c r="I6014" s="340" t="s">
        <v>771</v>
      </c>
      <c r="K6014" s="343">
        <v>72.06</v>
      </c>
      <c r="L6014" s="343">
        <v>0</v>
      </c>
      <c r="M6014" s="343">
        <v>-942170.8</v>
      </c>
      <c r="O6014" s="343">
        <v>0</v>
      </c>
    </row>
    <row r="6015" spans="1:15" x14ac:dyDescent="0.3">
      <c r="A6015" s="340" t="s">
        <v>891</v>
      </c>
      <c r="B6015" s="350">
        <v>46159</v>
      </c>
      <c r="C6015" s="350">
        <v>46159</v>
      </c>
      <c r="D6015" s="351">
        <v>46143</v>
      </c>
      <c r="E6015" s="340" t="s">
        <v>3438</v>
      </c>
      <c r="F6015" s="340" t="s">
        <v>1078</v>
      </c>
      <c r="G6015" s="340" t="s">
        <v>3009</v>
      </c>
      <c r="I6015" s="340" t="s">
        <v>771</v>
      </c>
      <c r="K6015" s="343">
        <v>21.3</v>
      </c>
      <c r="L6015" s="343">
        <v>0</v>
      </c>
      <c r="M6015" s="343">
        <v>-942149.5</v>
      </c>
      <c r="O6015" s="343">
        <v>0</v>
      </c>
    </row>
    <row r="6016" spans="1:15" x14ac:dyDescent="0.3">
      <c r="A6016" s="340" t="s">
        <v>891</v>
      </c>
      <c r="B6016" s="350">
        <v>46159</v>
      </c>
      <c r="C6016" s="350">
        <v>46159</v>
      </c>
      <c r="D6016" s="351">
        <v>46143</v>
      </c>
      <c r="E6016" s="340" t="s">
        <v>3438</v>
      </c>
      <c r="F6016" s="340" t="s">
        <v>1078</v>
      </c>
      <c r="G6016" s="340" t="s">
        <v>3010</v>
      </c>
      <c r="I6016" s="340" t="s">
        <v>771</v>
      </c>
      <c r="K6016" s="343">
        <v>18.510000000000002</v>
      </c>
      <c r="L6016" s="343">
        <v>0</v>
      </c>
      <c r="M6016" s="343">
        <v>-942130.99</v>
      </c>
      <c r="O6016" s="343">
        <v>0</v>
      </c>
    </row>
    <row r="6017" spans="1:15" x14ac:dyDescent="0.3">
      <c r="A6017" s="340" t="s">
        <v>891</v>
      </c>
      <c r="B6017" s="350">
        <v>46159</v>
      </c>
      <c r="C6017" s="350">
        <v>46159</v>
      </c>
      <c r="D6017" s="351">
        <v>46143</v>
      </c>
      <c r="E6017" s="340" t="s">
        <v>3438</v>
      </c>
      <c r="F6017" s="340" t="s">
        <v>1078</v>
      </c>
      <c r="G6017" s="340" t="s">
        <v>3008</v>
      </c>
      <c r="I6017" s="340" t="s">
        <v>771</v>
      </c>
      <c r="K6017" s="343">
        <v>11.58</v>
      </c>
      <c r="L6017" s="343">
        <v>0</v>
      </c>
      <c r="M6017" s="343">
        <v>-942119.41</v>
      </c>
      <c r="O6017" s="343">
        <v>0</v>
      </c>
    </row>
    <row r="6018" spans="1:15" x14ac:dyDescent="0.3">
      <c r="A6018" s="340" t="s">
        <v>891</v>
      </c>
      <c r="B6018" s="350">
        <v>46159</v>
      </c>
      <c r="C6018" s="350">
        <v>46159</v>
      </c>
      <c r="D6018" s="351">
        <v>46143</v>
      </c>
      <c r="E6018" s="340" t="s">
        <v>3438</v>
      </c>
      <c r="F6018" s="340" t="s">
        <v>1078</v>
      </c>
      <c r="G6018" s="340" t="s">
        <v>3004</v>
      </c>
      <c r="I6018" s="340" t="s">
        <v>771</v>
      </c>
      <c r="K6018" s="343">
        <v>9.2799999999999994</v>
      </c>
      <c r="L6018" s="343">
        <v>0</v>
      </c>
      <c r="M6018" s="343">
        <v>-942110.13</v>
      </c>
      <c r="O6018" s="343">
        <v>0</v>
      </c>
    </row>
    <row r="6019" spans="1:15" x14ac:dyDescent="0.3">
      <c r="A6019" s="340" t="s">
        <v>891</v>
      </c>
      <c r="B6019" s="350">
        <v>46159</v>
      </c>
      <c r="C6019" s="350">
        <v>46159</v>
      </c>
      <c r="D6019" s="351">
        <v>46143</v>
      </c>
      <c r="E6019" s="340" t="s">
        <v>3438</v>
      </c>
      <c r="F6019" s="340" t="s">
        <v>1078</v>
      </c>
      <c r="G6019" s="340" t="s">
        <v>3003</v>
      </c>
      <c r="I6019" s="340" t="s">
        <v>771</v>
      </c>
      <c r="K6019" s="343">
        <v>1.52</v>
      </c>
      <c r="L6019" s="343">
        <v>0</v>
      </c>
      <c r="M6019" s="343">
        <v>-942108.61</v>
      </c>
      <c r="O6019" s="343">
        <v>0</v>
      </c>
    </row>
    <row r="6020" spans="1:15" x14ac:dyDescent="0.3">
      <c r="A6020" s="340" t="s">
        <v>891</v>
      </c>
      <c r="B6020" s="350">
        <v>46160</v>
      </c>
      <c r="C6020" s="350">
        <v>46160</v>
      </c>
      <c r="D6020" s="351">
        <v>46143</v>
      </c>
      <c r="E6020" s="340" t="s">
        <v>3438</v>
      </c>
      <c r="F6020" s="340" t="s">
        <v>1078</v>
      </c>
      <c r="G6020" s="340" t="s">
        <v>3028</v>
      </c>
      <c r="I6020" s="340" t="s">
        <v>1861</v>
      </c>
      <c r="K6020" s="343">
        <v>3102.04</v>
      </c>
      <c r="L6020" s="343">
        <v>0</v>
      </c>
      <c r="M6020" s="343">
        <v>-939006.57</v>
      </c>
      <c r="O6020" s="343">
        <v>0</v>
      </c>
    </row>
    <row r="6021" spans="1:15" x14ac:dyDescent="0.3">
      <c r="A6021" s="340" t="s">
        <v>891</v>
      </c>
      <c r="B6021" s="350">
        <v>46160</v>
      </c>
      <c r="C6021" s="350">
        <v>46160</v>
      </c>
      <c r="D6021" s="351">
        <v>46143</v>
      </c>
      <c r="E6021" s="340" t="s">
        <v>3438</v>
      </c>
      <c r="F6021" s="340" t="s">
        <v>1078</v>
      </c>
      <c r="G6021" s="340" t="s">
        <v>3028</v>
      </c>
      <c r="I6021" s="340" t="s">
        <v>1861</v>
      </c>
      <c r="K6021" s="343">
        <v>5715.49</v>
      </c>
      <c r="L6021" s="343">
        <v>0</v>
      </c>
      <c r="M6021" s="343">
        <v>-933291.08</v>
      </c>
      <c r="O6021" s="343">
        <v>0</v>
      </c>
    </row>
    <row r="6022" spans="1:15" x14ac:dyDescent="0.3">
      <c r="A6022" s="340" t="s">
        <v>891</v>
      </c>
      <c r="B6022" s="350">
        <v>46160</v>
      </c>
      <c r="C6022" s="350">
        <v>46160</v>
      </c>
      <c r="D6022" s="351">
        <v>46143</v>
      </c>
      <c r="E6022" s="340" t="s">
        <v>3438</v>
      </c>
      <c r="F6022" s="340" t="s">
        <v>1078</v>
      </c>
      <c r="G6022" s="340" t="s">
        <v>3028</v>
      </c>
      <c r="I6022" s="340" t="s">
        <v>1861</v>
      </c>
      <c r="K6022" s="343">
        <v>2047.32</v>
      </c>
      <c r="L6022" s="343">
        <v>0</v>
      </c>
      <c r="M6022" s="343">
        <v>-931243.76</v>
      </c>
      <c r="O6022" s="343">
        <v>0</v>
      </c>
    </row>
    <row r="6023" spans="1:15" x14ac:dyDescent="0.3">
      <c r="A6023" s="340" t="s">
        <v>891</v>
      </c>
      <c r="B6023" s="350">
        <v>46160</v>
      </c>
      <c r="C6023" s="350">
        <v>46160</v>
      </c>
      <c r="D6023" s="351">
        <v>46143</v>
      </c>
      <c r="E6023" s="340" t="s">
        <v>3438</v>
      </c>
      <c r="F6023" s="340" t="s">
        <v>1078</v>
      </c>
      <c r="G6023" s="340" t="s">
        <v>3028</v>
      </c>
      <c r="I6023" s="340" t="s">
        <v>1861</v>
      </c>
      <c r="K6023" s="343">
        <v>18361.009999999998</v>
      </c>
      <c r="L6023" s="343">
        <v>0</v>
      </c>
      <c r="M6023" s="343">
        <v>-912882.75</v>
      </c>
      <c r="O6023" s="343">
        <v>0</v>
      </c>
    </row>
    <row r="6024" spans="1:15" x14ac:dyDescent="0.3">
      <c r="A6024" s="340" t="s">
        <v>891</v>
      </c>
      <c r="B6024" s="350">
        <v>46160</v>
      </c>
      <c r="C6024" s="350">
        <v>46160</v>
      </c>
      <c r="D6024" s="351">
        <v>46143</v>
      </c>
      <c r="E6024" s="340" t="s">
        <v>3438</v>
      </c>
      <c r="F6024" s="340" t="s">
        <v>1078</v>
      </c>
      <c r="G6024" s="340" t="s">
        <v>3028</v>
      </c>
      <c r="I6024" s="340" t="s">
        <v>1861</v>
      </c>
      <c r="K6024" s="343">
        <v>8751.73</v>
      </c>
      <c r="L6024" s="343">
        <v>0</v>
      </c>
      <c r="M6024" s="343">
        <v>-904131.02</v>
      </c>
      <c r="O6024" s="343">
        <v>0</v>
      </c>
    </row>
    <row r="6025" spans="1:15" x14ac:dyDescent="0.3">
      <c r="A6025" s="340" t="s">
        <v>891</v>
      </c>
      <c r="B6025" s="350">
        <v>46160</v>
      </c>
      <c r="C6025" s="350">
        <v>46160</v>
      </c>
      <c r="D6025" s="351">
        <v>46143</v>
      </c>
      <c r="E6025" s="340" t="s">
        <v>3438</v>
      </c>
      <c r="F6025" s="340" t="s">
        <v>1078</v>
      </c>
      <c r="G6025" s="340" t="s">
        <v>3028</v>
      </c>
      <c r="I6025" s="340" t="s">
        <v>1861</v>
      </c>
      <c r="K6025" s="343">
        <v>15166.62</v>
      </c>
      <c r="L6025" s="343">
        <v>0</v>
      </c>
      <c r="M6025" s="343">
        <v>-888964.4</v>
      </c>
      <c r="O6025" s="343">
        <v>0</v>
      </c>
    </row>
    <row r="6026" spans="1:15" x14ac:dyDescent="0.3">
      <c r="A6026" s="340" t="s">
        <v>891</v>
      </c>
      <c r="B6026" s="350">
        <v>46160</v>
      </c>
      <c r="C6026" s="350">
        <v>46160</v>
      </c>
      <c r="D6026" s="351">
        <v>46143</v>
      </c>
      <c r="E6026" s="340" t="s">
        <v>3438</v>
      </c>
      <c r="F6026" s="340" t="s">
        <v>1078</v>
      </c>
      <c r="G6026" s="340" t="s">
        <v>3028</v>
      </c>
      <c r="I6026" s="340" t="s">
        <v>1861</v>
      </c>
      <c r="K6026" s="343">
        <v>4380</v>
      </c>
      <c r="L6026" s="343">
        <v>0</v>
      </c>
      <c r="M6026" s="343">
        <v>-884584.4</v>
      </c>
      <c r="O6026" s="343">
        <v>0</v>
      </c>
    </row>
    <row r="6027" spans="1:15" x14ac:dyDescent="0.3">
      <c r="A6027" s="340" t="s">
        <v>891</v>
      </c>
      <c r="B6027" s="350">
        <v>46160</v>
      </c>
      <c r="C6027" s="350">
        <v>46160</v>
      </c>
      <c r="D6027" s="351">
        <v>46143</v>
      </c>
      <c r="E6027" s="340" t="s">
        <v>3438</v>
      </c>
      <c r="F6027" s="340" t="s">
        <v>1078</v>
      </c>
      <c r="G6027" s="340" t="s">
        <v>3028</v>
      </c>
      <c r="I6027" s="340" t="s">
        <v>1861</v>
      </c>
      <c r="K6027" s="343">
        <v>4261.76</v>
      </c>
      <c r="L6027" s="343">
        <v>0</v>
      </c>
      <c r="M6027" s="343">
        <v>-880322.64</v>
      </c>
      <c r="O6027" s="343">
        <v>0</v>
      </c>
    </row>
    <row r="6028" spans="1:15" x14ac:dyDescent="0.3">
      <c r="A6028" s="340" t="s">
        <v>891</v>
      </c>
      <c r="B6028" s="350">
        <v>46160</v>
      </c>
      <c r="C6028" s="350">
        <v>46160</v>
      </c>
      <c r="D6028" s="351">
        <v>46143</v>
      </c>
      <c r="E6028" s="340" t="s">
        <v>3439</v>
      </c>
      <c r="F6028" s="340" t="s">
        <v>1078</v>
      </c>
      <c r="G6028" s="340" t="s">
        <v>2723</v>
      </c>
      <c r="I6028" s="340" t="s">
        <v>748</v>
      </c>
      <c r="K6028" s="343">
        <v>309.68</v>
      </c>
      <c r="L6028" s="343">
        <v>0</v>
      </c>
      <c r="M6028" s="343">
        <v>-880012.96</v>
      </c>
      <c r="O6028" s="343">
        <v>0</v>
      </c>
    </row>
    <row r="6029" spans="1:15" x14ac:dyDescent="0.3">
      <c r="A6029" s="340" t="s">
        <v>891</v>
      </c>
      <c r="B6029" s="350">
        <v>46160</v>
      </c>
      <c r="C6029" s="350">
        <v>46160</v>
      </c>
      <c r="D6029" s="351">
        <v>46143</v>
      </c>
      <c r="E6029" s="340" t="s">
        <v>3439</v>
      </c>
      <c r="F6029" s="340" t="s">
        <v>1078</v>
      </c>
      <c r="G6029" s="340" t="s">
        <v>2583</v>
      </c>
      <c r="I6029" s="340" t="s">
        <v>748</v>
      </c>
      <c r="K6029" s="343">
        <v>427.57</v>
      </c>
      <c r="L6029" s="343">
        <v>0</v>
      </c>
      <c r="M6029" s="343">
        <v>-879585.39</v>
      </c>
      <c r="O6029" s="343">
        <v>0</v>
      </c>
    </row>
    <row r="6030" spans="1:15" x14ac:dyDescent="0.3">
      <c r="A6030" s="340" t="s">
        <v>891</v>
      </c>
      <c r="B6030" s="350">
        <v>46160</v>
      </c>
      <c r="C6030" s="350">
        <v>46160</v>
      </c>
      <c r="D6030" s="351">
        <v>46143</v>
      </c>
      <c r="E6030" s="340" t="s">
        <v>3439</v>
      </c>
      <c r="F6030" s="340" t="s">
        <v>1078</v>
      </c>
      <c r="G6030" s="340" t="s">
        <v>2722</v>
      </c>
      <c r="I6030" s="340" t="s">
        <v>748</v>
      </c>
      <c r="K6030" s="343">
        <v>602.22</v>
      </c>
      <c r="L6030" s="343">
        <v>0</v>
      </c>
      <c r="M6030" s="343">
        <v>-878983.17</v>
      </c>
      <c r="O6030" s="343">
        <v>0</v>
      </c>
    </row>
    <row r="6031" spans="1:15" x14ac:dyDescent="0.3">
      <c r="A6031" s="340" t="s">
        <v>891</v>
      </c>
      <c r="B6031" s="350">
        <v>46160</v>
      </c>
      <c r="C6031" s="350">
        <v>46160</v>
      </c>
      <c r="D6031" s="351">
        <v>46143</v>
      </c>
      <c r="E6031" s="340" t="s">
        <v>3439</v>
      </c>
      <c r="F6031" s="340" t="s">
        <v>1078</v>
      </c>
      <c r="G6031" s="340" t="s">
        <v>2721</v>
      </c>
      <c r="I6031" s="340" t="s">
        <v>748</v>
      </c>
      <c r="K6031" s="343">
        <v>271.58</v>
      </c>
      <c r="L6031" s="343">
        <v>0</v>
      </c>
      <c r="M6031" s="343">
        <v>-878711.59</v>
      </c>
      <c r="O6031" s="343">
        <v>0</v>
      </c>
    </row>
    <row r="6032" spans="1:15" x14ac:dyDescent="0.3">
      <c r="A6032" s="340" t="s">
        <v>891</v>
      </c>
      <c r="B6032" s="350">
        <v>46160</v>
      </c>
      <c r="C6032" s="350">
        <v>46160</v>
      </c>
      <c r="D6032" s="351">
        <v>46143</v>
      </c>
      <c r="E6032" s="340" t="s">
        <v>3439</v>
      </c>
      <c r="F6032" s="340" t="s">
        <v>1078</v>
      </c>
      <c r="G6032" s="340" t="s">
        <v>2720</v>
      </c>
      <c r="I6032" s="340" t="s">
        <v>748</v>
      </c>
      <c r="K6032" s="343">
        <v>601.17999999999995</v>
      </c>
      <c r="L6032" s="343">
        <v>0</v>
      </c>
      <c r="M6032" s="343">
        <v>-878110.41</v>
      </c>
      <c r="O6032" s="343">
        <v>0</v>
      </c>
    </row>
    <row r="6033" spans="1:15" x14ac:dyDescent="0.3">
      <c r="A6033" s="340" t="s">
        <v>891</v>
      </c>
      <c r="B6033" s="350">
        <v>46160</v>
      </c>
      <c r="C6033" s="350">
        <v>46160</v>
      </c>
      <c r="D6033" s="351">
        <v>46143</v>
      </c>
      <c r="E6033" s="340" t="s">
        <v>3439</v>
      </c>
      <c r="F6033" s="340" t="s">
        <v>1078</v>
      </c>
      <c r="G6033" s="340" t="s">
        <v>2719</v>
      </c>
      <c r="I6033" s="340" t="s">
        <v>748</v>
      </c>
      <c r="K6033" s="343">
        <v>467.73</v>
      </c>
      <c r="L6033" s="343">
        <v>0</v>
      </c>
      <c r="M6033" s="343">
        <v>-877642.68</v>
      </c>
      <c r="O6033" s="343">
        <v>0</v>
      </c>
    </row>
    <row r="6034" spans="1:15" x14ac:dyDescent="0.3">
      <c r="A6034" s="340" t="s">
        <v>891</v>
      </c>
      <c r="B6034" s="350">
        <v>46160</v>
      </c>
      <c r="C6034" s="350">
        <v>46160</v>
      </c>
      <c r="D6034" s="351">
        <v>46143</v>
      </c>
      <c r="E6034" s="340" t="s">
        <v>3439</v>
      </c>
      <c r="F6034" s="340" t="s">
        <v>1078</v>
      </c>
      <c r="G6034" s="340" t="s">
        <v>2718</v>
      </c>
      <c r="I6034" s="340" t="s">
        <v>748</v>
      </c>
      <c r="K6034" s="343">
        <v>703.8</v>
      </c>
      <c r="L6034" s="343">
        <v>0</v>
      </c>
      <c r="M6034" s="343">
        <v>-876938.88</v>
      </c>
      <c r="O6034" s="343">
        <v>0</v>
      </c>
    </row>
    <row r="6035" spans="1:15" x14ac:dyDescent="0.3">
      <c r="A6035" s="340" t="s">
        <v>891</v>
      </c>
      <c r="B6035" s="350">
        <v>46160</v>
      </c>
      <c r="C6035" s="350">
        <v>46160</v>
      </c>
      <c r="D6035" s="351">
        <v>46143</v>
      </c>
      <c r="E6035" s="340" t="s">
        <v>3439</v>
      </c>
      <c r="F6035" s="340" t="s">
        <v>1078</v>
      </c>
      <c r="G6035" s="340" t="s">
        <v>2717</v>
      </c>
      <c r="I6035" s="340" t="s">
        <v>748</v>
      </c>
      <c r="K6035" s="343">
        <v>127.13</v>
      </c>
      <c r="L6035" s="343">
        <v>0</v>
      </c>
      <c r="M6035" s="343">
        <v>-876811.75</v>
      </c>
      <c r="O6035" s="343">
        <v>0</v>
      </c>
    </row>
    <row r="6036" spans="1:15" x14ac:dyDescent="0.3">
      <c r="A6036" s="340" t="s">
        <v>891</v>
      </c>
      <c r="B6036" s="350">
        <v>46160</v>
      </c>
      <c r="C6036" s="350">
        <v>46160</v>
      </c>
      <c r="D6036" s="351">
        <v>46143</v>
      </c>
      <c r="E6036" s="340" t="s">
        <v>3439</v>
      </c>
      <c r="F6036" s="340" t="s">
        <v>1078</v>
      </c>
      <c r="G6036" s="340" t="s">
        <v>2716</v>
      </c>
      <c r="I6036" s="340" t="s">
        <v>748</v>
      </c>
      <c r="K6036" s="343">
        <v>384.42</v>
      </c>
      <c r="L6036" s="343">
        <v>0</v>
      </c>
      <c r="M6036" s="343">
        <v>-876427.33</v>
      </c>
      <c r="O6036" s="343">
        <v>0</v>
      </c>
    </row>
    <row r="6037" spans="1:15" x14ac:dyDescent="0.3">
      <c r="A6037" s="340" t="s">
        <v>891</v>
      </c>
      <c r="B6037" s="350">
        <v>46160</v>
      </c>
      <c r="C6037" s="350">
        <v>46160</v>
      </c>
      <c r="D6037" s="351">
        <v>46143</v>
      </c>
      <c r="E6037" s="340" t="s">
        <v>3439</v>
      </c>
      <c r="F6037" s="340" t="s">
        <v>1078</v>
      </c>
      <c r="G6037" s="340" t="s">
        <v>2681</v>
      </c>
      <c r="I6037" s="340" t="s">
        <v>748</v>
      </c>
      <c r="K6037" s="343">
        <v>215.5</v>
      </c>
      <c r="L6037" s="343">
        <v>0</v>
      </c>
      <c r="M6037" s="343">
        <v>-876211.83</v>
      </c>
      <c r="O6037" s="343">
        <v>0</v>
      </c>
    </row>
    <row r="6038" spans="1:15" x14ac:dyDescent="0.3">
      <c r="A6038" s="340" t="s">
        <v>891</v>
      </c>
      <c r="B6038" s="350">
        <v>46160</v>
      </c>
      <c r="C6038" s="350">
        <v>46160</v>
      </c>
      <c r="D6038" s="351">
        <v>46143</v>
      </c>
      <c r="E6038" s="340" t="s">
        <v>3439</v>
      </c>
      <c r="F6038" s="340" t="s">
        <v>1078</v>
      </c>
      <c r="G6038" s="340" t="s">
        <v>2679</v>
      </c>
      <c r="I6038" s="340" t="s">
        <v>748</v>
      </c>
      <c r="K6038" s="343">
        <v>51.27</v>
      </c>
      <c r="L6038" s="343">
        <v>0</v>
      </c>
      <c r="M6038" s="343">
        <v>-876160.56</v>
      </c>
      <c r="O6038" s="343">
        <v>0</v>
      </c>
    </row>
    <row r="6039" spans="1:15" x14ac:dyDescent="0.3">
      <c r="A6039" s="340" t="s">
        <v>891</v>
      </c>
      <c r="B6039" s="350">
        <v>46160</v>
      </c>
      <c r="C6039" s="350">
        <v>46160</v>
      </c>
      <c r="D6039" s="351">
        <v>46143</v>
      </c>
      <c r="E6039" s="340" t="s">
        <v>3439</v>
      </c>
      <c r="F6039" s="340" t="s">
        <v>1078</v>
      </c>
      <c r="G6039" s="340" t="s">
        <v>2650</v>
      </c>
      <c r="I6039" s="340" t="s">
        <v>748</v>
      </c>
      <c r="K6039" s="343">
        <v>1481.8</v>
      </c>
      <c r="L6039" s="343">
        <v>0</v>
      </c>
      <c r="M6039" s="343">
        <v>-874678.76</v>
      </c>
      <c r="O6039" s="343">
        <v>0</v>
      </c>
    </row>
    <row r="6040" spans="1:15" x14ac:dyDescent="0.3">
      <c r="A6040" s="340" t="s">
        <v>891</v>
      </c>
      <c r="B6040" s="350">
        <v>46160</v>
      </c>
      <c r="C6040" s="350">
        <v>46160</v>
      </c>
      <c r="D6040" s="351">
        <v>46143</v>
      </c>
      <c r="E6040" s="340" t="s">
        <v>3439</v>
      </c>
      <c r="F6040" s="340" t="s">
        <v>1078</v>
      </c>
      <c r="G6040" s="340" t="s">
        <v>2649</v>
      </c>
      <c r="I6040" s="340" t="s">
        <v>748</v>
      </c>
      <c r="K6040" s="343">
        <v>750.43</v>
      </c>
      <c r="L6040" s="343">
        <v>0</v>
      </c>
      <c r="M6040" s="343">
        <v>-873928.33</v>
      </c>
      <c r="O6040" s="343">
        <v>0</v>
      </c>
    </row>
    <row r="6041" spans="1:15" x14ac:dyDescent="0.3">
      <c r="A6041" s="340" t="s">
        <v>891</v>
      </c>
      <c r="B6041" s="350">
        <v>46160</v>
      </c>
      <c r="C6041" s="350">
        <v>46160</v>
      </c>
      <c r="D6041" s="351">
        <v>46143</v>
      </c>
      <c r="E6041" s="340" t="s">
        <v>3439</v>
      </c>
      <c r="F6041" s="340" t="s">
        <v>1078</v>
      </c>
      <c r="G6041" s="340" t="s">
        <v>2647</v>
      </c>
      <c r="I6041" s="340" t="s">
        <v>748</v>
      </c>
      <c r="K6041" s="343">
        <v>583.47</v>
      </c>
      <c r="L6041" s="343">
        <v>0</v>
      </c>
      <c r="M6041" s="343">
        <v>-873344.86</v>
      </c>
      <c r="O6041" s="343">
        <v>0</v>
      </c>
    </row>
    <row r="6042" spans="1:15" x14ac:dyDescent="0.3">
      <c r="A6042" s="340" t="s">
        <v>891</v>
      </c>
      <c r="B6042" s="350">
        <v>46160</v>
      </c>
      <c r="C6042" s="350">
        <v>46160</v>
      </c>
      <c r="D6042" s="351">
        <v>46143</v>
      </c>
      <c r="E6042" s="340" t="s">
        <v>3439</v>
      </c>
      <c r="F6042" s="340" t="s">
        <v>1078</v>
      </c>
      <c r="G6042" s="340" t="s">
        <v>2590</v>
      </c>
      <c r="I6042" s="340" t="s">
        <v>748</v>
      </c>
      <c r="K6042" s="343">
        <v>98.98</v>
      </c>
      <c r="L6042" s="343">
        <v>0</v>
      </c>
      <c r="M6042" s="343">
        <v>-873245.88</v>
      </c>
      <c r="O6042" s="343">
        <v>0</v>
      </c>
    </row>
    <row r="6043" spans="1:15" x14ac:dyDescent="0.3">
      <c r="A6043" s="340" t="s">
        <v>891</v>
      </c>
      <c r="B6043" s="350">
        <v>46160</v>
      </c>
      <c r="C6043" s="350">
        <v>46160</v>
      </c>
      <c r="D6043" s="351">
        <v>46143</v>
      </c>
      <c r="E6043" s="340" t="s">
        <v>3439</v>
      </c>
      <c r="F6043" s="340" t="s">
        <v>1078</v>
      </c>
      <c r="G6043" s="340" t="s">
        <v>2589</v>
      </c>
      <c r="I6043" s="340" t="s">
        <v>748</v>
      </c>
      <c r="K6043" s="343">
        <v>198.64</v>
      </c>
      <c r="L6043" s="343">
        <v>0</v>
      </c>
      <c r="M6043" s="343">
        <v>-873047.24</v>
      </c>
      <c r="O6043" s="343">
        <v>0</v>
      </c>
    </row>
    <row r="6044" spans="1:15" x14ac:dyDescent="0.3">
      <c r="A6044" s="340" t="s">
        <v>891</v>
      </c>
      <c r="B6044" s="350">
        <v>46160</v>
      </c>
      <c r="C6044" s="350">
        <v>46160</v>
      </c>
      <c r="D6044" s="351">
        <v>46143</v>
      </c>
      <c r="E6044" s="340" t="s">
        <v>3439</v>
      </c>
      <c r="F6044" s="340" t="s">
        <v>1078</v>
      </c>
      <c r="G6044" s="340" t="s">
        <v>2588</v>
      </c>
      <c r="I6044" s="340" t="s">
        <v>748</v>
      </c>
      <c r="K6044" s="343">
        <v>102.62</v>
      </c>
      <c r="L6044" s="343">
        <v>0</v>
      </c>
      <c r="M6044" s="343">
        <v>-872944.62</v>
      </c>
      <c r="O6044" s="343">
        <v>0</v>
      </c>
    </row>
    <row r="6045" spans="1:15" x14ac:dyDescent="0.3">
      <c r="A6045" s="340" t="s">
        <v>891</v>
      </c>
      <c r="B6045" s="350">
        <v>46160</v>
      </c>
      <c r="C6045" s="350">
        <v>46160</v>
      </c>
      <c r="D6045" s="351">
        <v>46143</v>
      </c>
      <c r="E6045" s="340" t="s">
        <v>3439</v>
      </c>
      <c r="F6045" s="340" t="s">
        <v>1078</v>
      </c>
      <c r="G6045" s="340" t="s">
        <v>2587</v>
      </c>
      <c r="I6045" s="340" t="s">
        <v>748</v>
      </c>
      <c r="K6045" s="343">
        <v>356.8</v>
      </c>
      <c r="L6045" s="343">
        <v>0</v>
      </c>
      <c r="M6045" s="343">
        <v>-872587.82</v>
      </c>
      <c r="O6045" s="343">
        <v>0</v>
      </c>
    </row>
    <row r="6046" spans="1:15" x14ac:dyDescent="0.3">
      <c r="A6046" s="340" t="s">
        <v>891</v>
      </c>
      <c r="B6046" s="350">
        <v>46160</v>
      </c>
      <c r="C6046" s="350">
        <v>46160</v>
      </c>
      <c r="D6046" s="351">
        <v>46143</v>
      </c>
      <c r="E6046" s="340" t="s">
        <v>3439</v>
      </c>
      <c r="F6046" s="340" t="s">
        <v>1078</v>
      </c>
      <c r="G6046" s="340" t="s">
        <v>2586</v>
      </c>
      <c r="I6046" s="340" t="s">
        <v>748</v>
      </c>
      <c r="K6046" s="343">
        <v>339.69</v>
      </c>
      <c r="L6046" s="343">
        <v>0</v>
      </c>
      <c r="M6046" s="343">
        <v>-872248.13</v>
      </c>
      <c r="O6046" s="343">
        <v>0</v>
      </c>
    </row>
    <row r="6047" spans="1:15" x14ac:dyDescent="0.3">
      <c r="A6047" s="340" t="s">
        <v>891</v>
      </c>
      <c r="B6047" s="350">
        <v>46160</v>
      </c>
      <c r="C6047" s="350">
        <v>46160</v>
      </c>
      <c r="D6047" s="351">
        <v>46143</v>
      </c>
      <c r="E6047" s="340" t="s">
        <v>3439</v>
      </c>
      <c r="F6047" s="340" t="s">
        <v>1078</v>
      </c>
      <c r="G6047" s="340" t="s">
        <v>2585</v>
      </c>
      <c r="I6047" s="340" t="s">
        <v>748</v>
      </c>
      <c r="K6047" s="343">
        <v>403.99</v>
      </c>
      <c r="L6047" s="343">
        <v>0</v>
      </c>
      <c r="M6047" s="343">
        <v>-871844.14</v>
      </c>
      <c r="O6047" s="343">
        <v>0</v>
      </c>
    </row>
    <row r="6048" spans="1:15" x14ac:dyDescent="0.3">
      <c r="A6048" s="340" t="s">
        <v>891</v>
      </c>
      <c r="B6048" s="350">
        <v>46160</v>
      </c>
      <c r="C6048" s="350">
        <v>46160</v>
      </c>
      <c r="D6048" s="351">
        <v>46143</v>
      </c>
      <c r="E6048" s="340" t="s">
        <v>3439</v>
      </c>
      <c r="F6048" s="340" t="s">
        <v>1078</v>
      </c>
      <c r="G6048" s="340" t="s">
        <v>2584</v>
      </c>
      <c r="I6048" s="340" t="s">
        <v>748</v>
      </c>
      <c r="K6048" s="343">
        <v>674.08</v>
      </c>
      <c r="L6048" s="343">
        <v>0</v>
      </c>
      <c r="M6048" s="343">
        <v>-871170.06</v>
      </c>
      <c r="O6048" s="343">
        <v>0</v>
      </c>
    </row>
    <row r="6049" spans="1:15" x14ac:dyDescent="0.3">
      <c r="A6049" s="340" t="s">
        <v>891</v>
      </c>
      <c r="B6049" s="350">
        <v>46160</v>
      </c>
      <c r="C6049" s="350">
        <v>46160</v>
      </c>
      <c r="D6049" s="351">
        <v>46143</v>
      </c>
      <c r="E6049" s="340" t="s">
        <v>3439</v>
      </c>
      <c r="F6049" s="340" t="s">
        <v>1078</v>
      </c>
      <c r="G6049" s="340" t="s">
        <v>2583</v>
      </c>
      <c r="I6049" s="340" t="s">
        <v>748</v>
      </c>
      <c r="K6049" s="343">
        <v>285.05</v>
      </c>
      <c r="L6049" s="343">
        <v>0</v>
      </c>
      <c r="M6049" s="343">
        <v>-870885.01</v>
      </c>
      <c r="O6049" s="343">
        <v>0</v>
      </c>
    </row>
    <row r="6050" spans="1:15" x14ac:dyDescent="0.3">
      <c r="A6050" s="340" t="s">
        <v>891</v>
      </c>
      <c r="B6050" s="350">
        <v>46160</v>
      </c>
      <c r="C6050" s="350">
        <v>46160</v>
      </c>
      <c r="D6050" s="351">
        <v>46143</v>
      </c>
      <c r="E6050" s="340" t="s">
        <v>3439</v>
      </c>
      <c r="F6050" s="340" t="s">
        <v>1078</v>
      </c>
      <c r="G6050" s="340" t="s">
        <v>2582</v>
      </c>
      <c r="I6050" s="340" t="s">
        <v>748</v>
      </c>
      <c r="K6050" s="343">
        <v>183.92</v>
      </c>
      <c r="L6050" s="343">
        <v>0</v>
      </c>
      <c r="M6050" s="343">
        <v>-870701.09</v>
      </c>
      <c r="O6050" s="343">
        <v>0</v>
      </c>
    </row>
    <row r="6051" spans="1:15" x14ac:dyDescent="0.3">
      <c r="A6051" s="340" t="s">
        <v>891</v>
      </c>
      <c r="B6051" s="350">
        <v>46160</v>
      </c>
      <c r="C6051" s="350">
        <v>46160</v>
      </c>
      <c r="D6051" s="351">
        <v>46143</v>
      </c>
      <c r="E6051" s="340" t="s">
        <v>3439</v>
      </c>
      <c r="F6051" s="340" t="s">
        <v>1078</v>
      </c>
      <c r="G6051" s="340" t="s">
        <v>2994</v>
      </c>
      <c r="I6051" s="340" t="s">
        <v>748</v>
      </c>
      <c r="K6051" s="343">
        <v>836.34</v>
      </c>
      <c r="L6051" s="343">
        <v>0</v>
      </c>
      <c r="M6051" s="343">
        <v>-869864.75</v>
      </c>
      <c r="O6051" s="343">
        <v>0</v>
      </c>
    </row>
    <row r="6052" spans="1:15" x14ac:dyDescent="0.3">
      <c r="A6052" s="340" t="s">
        <v>891</v>
      </c>
      <c r="B6052" s="350">
        <v>46160</v>
      </c>
      <c r="C6052" s="350">
        <v>46160</v>
      </c>
      <c r="D6052" s="351">
        <v>46143</v>
      </c>
      <c r="E6052" s="340" t="s">
        <v>3439</v>
      </c>
      <c r="F6052" s="340" t="s">
        <v>1078</v>
      </c>
      <c r="G6052" s="340" t="s">
        <v>2993</v>
      </c>
      <c r="I6052" s="340" t="s">
        <v>748</v>
      </c>
      <c r="K6052" s="343">
        <v>1407</v>
      </c>
      <c r="L6052" s="343">
        <v>0</v>
      </c>
      <c r="M6052" s="343">
        <v>-868457.75</v>
      </c>
      <c r="O6052" s="343">
        <v>0</v>
      </c>
    </row>
    <row r="6053" spans="1:15" x14ac:dyDescent="0.3">
      <c r="A6053" s="340" t="s">
        <v>891</v>
      </c>
      <c r="B6053" s="350">
        <v>46160</v>
      </c>
      <c r="C6053" s="350">
        <v>46160</v>
      </c>
      <c r="D6053" s="351">
        <v>46143</v>
      </c>
      <c r="E6053" s="340" t="s">
        <v>3439</v>
      </c>
      <c r="F6053" s="340" t="s">
        <v>1078</v>
      </c>
      <c r="G6053" s="340" t="s">
        <v>2249</v>
      </c>
      <c r="I6053" s="340" t="s">
        <v>748</v>
      </c>
      <c r="K6053" s="343">
        <v>21.74</v>
      </c>
      <c r="L6053" s="343">
        <v>0</v>
      </c>
      <c r="M6053" s="343">
        <v>-868436.01</v>
      </c>
      <c r="O6053" s="343">
        <v>0</v>
      </c>
    </row>
    <row r="6054" spans="1:15" x14ac:dyDescent="0.3">
      <c r="A6054" s="340" t="s">
        <v>891</v>
      </c>
      <c r="B6054" s="350">
        <v>46160</v>
      </c>
      <c r="C6054" s="350">
        <v>46160</v>
      </c>
      <c r="D6054" s="351">
        <v>46143</v>
      </c>
      <c r="E6054" s="340" t="s">
        <v>3439</v>
      </c>
      <c r="F6054" s="340" t="s">
        <v>1078</v>
      </c>
      <c r="G6054" s="340" t="s">
        <v>2248</v>
      </c>
      <c r="I6054" s="340" t="s">
        <v>748</v>
      </c>
      <c r="K6054" s="343">
        <v>40.590000000000003</v>
      </c>
      <c r="L6054" s="343">
        <v>0</v>
      </c>
      <c r="M6054" s="343">
        <v>-868395.42</v>
      </c>
      <c r="O6054" s="343">
        <v>0</v>
      </c>
    </row>
    <row r="6055" spans="1:15" x14ac:dyDescent="0.3">
      <c r="A6055" s="340" t="s">
        <v>891</v>
      </c>
      <c r="B6055" s="350">
        <v>46160</v>
      </c>
      <c r="C6055" s="350">
        <v>46160</v>
      </c>
      <c r="D6055" s="351">
        <v>46143</v>
      </c>
      <c r="E6055" s="340" t="s">
        <v>3439</v>
      </c>
      <c r="F6055" s="340" t="s">
        <v>1078</v>
      </c>
      <c r="G6055" s="340" t="s">
        <v>2247</v>
      </c>
      <c r="I6055" s="340" t="s">
        <v>748</v>
      </c>
      <c r="K6055" s="343">
        <v>743.13</v>
      </c>
      <c r="L6055" s="343">
        <v>0</v>
      </c>
      <c r="M6055" s="343">
        <v>-867652.29</v>
      </c>
      <c r="O6055" s="343">
        <v>0</v>
      </c>
    </row>
    <row r="6056" spans="1:15" x14ac:dyDescent="0.3">
      <c r="A6056" s="340" t="s">
        <v>891</v>
      </c>
      <c r="B6056" s="350">
        <v>46160</v>
      </c>
      <c r="C6056" s="350">
        <v>46160</v>
      </c>
      <c r="D6056" s="351">
        <v>46143</v>
      </c>
      <c r="E6056" s="340" t="s">
        <v>3439</v>
      </c>
      <c r="F6056" s="340" t="s">
        <v>1078</v>
      </c>
      <c r="G6056" s="340" t="s">
        <v>2246</v>
      </c>
      <c r="I6056" s="340" t="s">
        <v>748</v>
      </c>
      <c r="K6056" s="343">
        <v>1360.1</v>
      </c>
      <c r="L6056" s="343">
        <v>0</v>
      </c>
      <c r="M6056" s="343">
        <v>-866292.19</v>
      </c>
      <c r="O6056" s="343">
        <v>0</v>
      </c>
    </row>
    <row r="6057" spans="1:15" x14ac:dyDescent="0.3">
      <c r="A6057" s="340" t="s">
        <v>891</v>
      </c>
      <c r="B6057" s="350">
        <v>46160</v>
      </c>
      <c r="C6057" s="350">
        <v>46161</v>
      </c>
      <c r="D6057" s="351">
        <v>46143</v>
      </c>
      <c r="E6057" s="340" t="s">
        <v>3440</v>
      </c>
      <c r="F6057" s="340" t="s">
        <v>894</v>
      </c>
      <c r="G6057" s="340" t="s">
        <v>3441</v>
      </c>
      <c r="I6057" s="340" t="s">
        <v>757</v>
      </c>
      <c r="K6057" s="343">
        <v>0</v>
      </c>
      <c r="L6057" s="343">
        <v>-873.58</v>
      </c>
      <c r="M6057" s="343">
        <v>-867165.77</v>
      </c>
      <c r="O6057" s="343">
        <v>0</v>
      </c>
    </row>
    <row r="6058" spans="1:15" x14ac:dyDescent="0.3">
      <c r="A6058" s="340" t="s">
        <v>891</v>
      </c>
      <c r="B6058" s="350">
        <v>46160</v>
      </c>
      <c r="C6058" s="350">
        <v>46162</v>
      </c>
      <c r="D6058" s="351">
        <v>46143</v>
      </c>
      <c r="E6058" s="340" t="s">
        <v>3442</v>
      </c>
      <c r="F6058" s="340" t="s">
        <v>894</v>
      </c>
      <c r="G6058" s="340" t="s">
        <v>3443</v>
      </c>
      <c r="I6058" s="340" t="s">
        <v>740</v>
      </c>
      <c r="K6058" s="343">
        <v>0</v>
      </c>
      <c r="L6058" s="343">
        <v>-260</v>
      </c>
      <c r="M6058" s="343">
        <v>-867425.77</v>
      </c>
      <c r="O6058" s="343">
        <v>0</v>
      </c>
    </row>
    <row r="6059" spans="1:15" x14ac:dyDescent="0.3">
      <c r="A6059" s="340" t="s">
        <v>891</v>
      </c>
      <c r="B6059" s="350">
        <v>46160</v>
      </c>
      <c r="C6059" s="350">
        <v>46162</v>
      </c>
      <c r="D6059" s="351">
        <v>46143</v>
      </c>
      <c r="E6059" s="340" t="s">
        <v>3442</v>
      </c>
      <c r="F6059" s="340" t="s">
        <v>894</v>
      </c>
      <c r="G6059" s="340" t="s">
        <v>3444</v>
      </c>
      <c r="I6059" s="340" t="s">
        <v>740</v>
      </c>
      <c r="K6059" s="343">
        <v>0</v>
      </c>
      <c r="L6059" s="343">
        <v>-260</v>
      </c>
      <c r="M6059" s="343">
        <v>-867685.77</v>
      </c>
      <c r="O6059" s="343">
        <v>0</v>
      </c>
    </row>
    <row r="6060" spans="1:15" x14ac:dyDescent="0.3">
      <c r="A6060" s="340" t="s">
        <v>891</v>
      </c>
      <c r="B6060" s="350">
        <v>46160</v>
      </c>
      <c r="C6060" s="350">
        <v>46162</v>
      </c>
      <c r="D6060" s="351">
        <v>46143</v>
      </c>
      <c r="E6060" s="340" t="s">
        <v>3445</v>
      </c>
      <c r="F6060" s="340" t="s">
        <v>894</v>
      </c>
      <c r="G6060" s="340" t="s">
        <v>3446</v>
      </c>
      <c r="I6060" s="340" t="s">
        <v>740</v>
      </c>
      <c r="K6060" s="343">
        <v>0</v>
      </c>
      <c r="L6060" s="343">
        <v>-300</v>
      </c>
      <c r="M6060" s="343">
        <v>-867985.77</v>
      </c>
      <c r="O6060" s="343">
        <v>0</v>
      </c>
    </row>
    <row r="6061" spans="1:15" x14ac:dyDescent="0.3">
      <c r="A6061" s="340" t="s">
        <v>891</v>
      </c>
      <c r="B6061" s="350">
        <v>46160</v>
      </c>
      <c r="C6061" s="350">
        <v>46162</v>
      </c>
      <c r="D6061" s="351">
        <v>46143</v>
      </c>
      <c r="E6061" s="340" t="s">
        <v>3445</v>
      </c>
      <c r="F6061" s="340" t="s">
        <v>894</v>
      </c>
      <c r="G6061" s="340" t="s">
        <v>3447</v>
      </c>
      <c r="I6061" s="340" t="s">
        <v>740</v>
      </c>
      <c r="K6061" s="343">
        <v>0</v>
      </c>
      <c r="L6061" s="343">
        <v>-465</v>
      </c>
      <c r="M6061" s="343">
        <v>-868450.77</v>
      </c>
      <c r="O6061" s="343">
        <v>0</v>
      </c>
    </row>
    <row r="6062" spans="1:15" x14ac:dyDescent="0.3">
      <c r="A6062" s="340" t="s">
        <v>891</v>
      </c>
      <c r="B6062" s="350">
        <v>46160</v>
      </c>
      <c r="C6062" s="350">
        <v>46162</v>
      </c>
      <c r="D6062" s="351">
        <v>46143</v>
      </c>
      <c r="E6062" s="340" t="s">
        <v>3448</v>
      </c>
      <c r="F6062" s="340" t="s">
        <v>894</v>
      </c>
      <c r="G6062" s="340" t="s">
        <v>3449</v>
      </c>
      <c r="I6062" s="340" t="s">
        <v>740</v>
      </c>
      <c r="K6062" s="343">
        <v>0</v>
      </c>
      <c r="L6062" s="343">
        <v>-169.81</v>
      </c>
      <c r="M6062" s="343">
        <v>-868620.58</v>
      </c>
      <c r="O6062" s="343">
        <v>0</v>
      </c>
    </row>
    <row r="6063" spans="1:15" x14ac:dyDescent="0.3">
      <c r="A6063" s="340" t="s">
        <v>891</v>
      </c>
      <c r="B6063" s="350">
        <v>46160</v>
      </c>
      <c r="C6063" s="350">
        <v>46162</v>
      </c>
      <c r="D6063" s="351">
        <v>46143</v>
      </c>
      <c r="E6063" s="340" t="s">
        <v>3448</v>
      </c>
      <c r="F6063" s="340" t="s">
        <v>894</v>
      </c>
      <c r="G6063" s="340" t="s">
        <v>2122</v>
      </c>
      <c r="I6063" s="340" t="s">
        <v>740</v>
      </c>
      <c r="K6063" s="343">
        <v>0</v>
      </c>
      <c r="L6063" s="343">
        <v>-92.62</v>
      </c>
      <c r="M6063" s="343">
        <v>-868713.2</v>
      </c>
      <c r="O6063" s="343">
        <v>0</v>
      </c>
    </row>
    <row r="6064" spans="1:15" x14ac:dyDescent="0.3">
      <c r="A6064" s="340" t="s">
        <v>891</v>
      </c>
      <c r="B6064" s="350">
        <v>46160</v>
      </c>
      <c r="C6064" s="350">
        <v>46162</v>
      </c>
      <c r="D6064" s="351">
        <v>46143</v>
      </c>
      <c r="E6064" s="340" t="s">
        <v>3450</v>
      </c>
      <c r="F6064" s="340" t="s">
        <v>894</v>
      </c>
      <c r="G6064" s="340" t="s">
        <v>3451</v>
      </c>
      <c r="I6064" s="340" t="s">
        <v>740</v>
      </c>
      <c r="K6064" s="343">
        <v>0</v>
      </c>
      <c r="L6064" s="343">
        <v>-260</v>
      </c>
      <c r="M6064" s="343">
        <v>-868973.2</v>
      </c>
      <c r="O6064" s="343">
        <v>0</v>
      </c>
    </row>
    <row r="6065" spans="1:15" x14ac:dyDescent="0.3">
      <c r="A6065" s="340" t="s">
        <v>891</v>
      </c>
      <c r="B6065" s="350">
        <v>46160</v>
      </c>
      <c r="C6065" s="350">
        <v>46162</v>
      </c>
      <c r="D6065" s="351">
        <v>46143</v>
      </c>
      <c r="E6065" s="340" t="s">
        <v>3450</v>
      </c>
      <c r="F6065" s="340" t="s">
        <v>894</v>
      </c>
      <c r="G6065" s="340" t="s">
        <v>3452</v>
      </c>
      <c r="I6065" s="340" t="s">
        <v>740</v>
      </c>
      <c r="K6065" s="343">
        <v>0</v>
      </c>
      <c r="L6065" s="343">
        <v>-200</v>
      </c>
      <c r="M6065" s="343">
        <v>-869173.2</v>
      </c>
      <c r="O6065" s="343">
        <v>0</v>
      </c>
    </row>
    <row r="6066" spans="1:15" x14ac:dyDescent="0.3">
      <c r="A6066" s="340" t="s">
        <v>891</v>
      </c>
      <c r="B6066" s="350">
        <v>46160</v>
      </c>
      <c r="C6066" s="350">
        <v>46162</v>
      </c>
      <c r="D6066" s="351">
        <v>46143</v>
      </c>
      <c r="E6066" s="340" t="s">
        <v>3453</v>
      </c>
      <c r="F6066" s="340" t="s">
        <v>894</v>
      </c>
      <c r="G6066" s="340" t="s">
        <v>3454</v>
      </c>
      <c r="I6066" s="340" t="s">
        <v>740</v>
      </c>
      <c r="K6066" s="343">
        <v>0</v>
      </c>
      <c r="L6066" s="343">
        <v>-189.44</v>
      </c>
      <c r="M6066" s="343">
        <v>-869362.64</v>
      </c>
      <c r="O6066" s="343">
        <v>0</v>
      </c>
    </row>
    <row r="6067" spans="1:15" x14ac:dyDescent="0.3">
      <c r="A6067" s="340" t="s">
        <v>891</v>
      </c>
      <c r="B6067" s="350">
        <v>46160</v>
      </c>
      <c r="C6067" s="350">
        <v>46162</v>
      </c>
      <c r="D6067" s="351">
        <v>46143</v>
      </c>
      <c r="E6067" s="340" t="s">
        <v>3455</v>
      </c>
      <c r="F6067" s="340" t="s">
        <v>894</v>
      </c>
      <c r="G6067" s="340" t="s">
        <v>3456</v>
      </c>
      <c r="I6067" s="340" t="s">
        <v>740</v>
      </c>
      <c r="K6067" s="343">
        <v>0</v>
      </c>
      <c r="L6067" s="343">
        <v>-167.79</v>
      </c>
      <c r="M6067" s="343">
        <v>-869530.43</v>
      </c>
      <c r="O6067" s="343">
        <v>0</v>
      </c>
    </row>
    <row r="6068" spans="1:15" x14ac:dyDescent="0.3">
      <c r="A6068" s="340" t="s">
        <v>891</v>
      </c>
      <c r="B6068" s="350">
        <v>46160</v>
      </c>
      <c r="C6068" s="350">
        <v>46162</v>
      </c>
      <c r="D6068" s="351">
        <v>46143</v>
      </c>
      <c r="E6068" s="340" t="s">
        <v>3457</v>
      </c>
      <c r="F6068" s="340" t="s">
        <v>894</v>
      </c>
      <c r="G6068" s="340" t="s">
        <v>3458</v>
      </c>
      <c r="I6068" s="340" t="s">
        <v>740</v>
      </c>
      <c r="K6068" s="343">
        <v>0</v>
      </c>
      <c r="L6068" s="343">
        <v>-680</v>
      </c>
      <c r="M6068" s="343">
        <v>-870210.43</v>
      </c>
      <c r="O6068" s="343">
        <v>0</v>
      </c>
    </row>
    <row r="6069" spans="1:15" x14ac:dyDescent="0.3">
      <c r="A6069" s="340" t="s">
        <v>891</v>
      </c>
      <c r="B6069" s="350">
        <v>46160</v>
      </c>
      <c r="C6069" s="350">
        <v>46162</v>
      </c>
      <c r="D6069" s="351">
        <v>46143</v>
      </c>
      <c r="E6069" s="340" t="s">
        <v>3457</v>
      </c>
      <c r="F6069" s="340" t="s">
        <v>894</v>
      </c>
      <c r="G6069" s="340" t="s">
        <v>3459</v>
      </c>
      <c r="I6069" s="340" t="s">
        <v>740</v>
      </c>
      <c r="K6069" s="343">
        <v>0</v>
      </c>
      <c r="L6069" s="343">
        <v>-125</v>
      </c>
      <c r="M6069" s="343">
        <v>-870335.43</v>
      </c>
      <c r="O6069" s="343">
        <v>0</v>
      </c>
    </row>
    <row r="6070" spans="1:15" x14ac:dyDescent="0.3">
      <c r="A6070" s="340" t="s">
        <v>891</v>
      </c>
      <c r="B6070" s="350">
        <v>46160</v>
      </c>
      <c r="C6070" s="350">
        <v>46162</v>
      </c>
      <c r="D6070" s="351">
        <v>46143</v>
      </c>
      <c r="E6070" s="340" t="s">
        <v>3460</v>
      </c>
      <c r="F6070" s="340" t="s">
        <v>894</v>
      </c>
      <c r="G6070" s="340" t="s">
        <v>3461</v>
      </c>
      <c r="I6070" s="340" t="s">
        <v>740</v>
      </c>
      <c r="K6070" s="343">
        <v>0</v>
      </c>
      <c r="L6070" s="343">
        <v>-260</v>
      </c>
      <c r="M6070" s="343">
        <v>-870595.43</v>
      </c>
      <c r="O6070" s="343">
        <v>0</v>
      </c>
    </row>
    <row r="6071" spans="1:15" x14ac:dyDescent="0.3">
      <c r="A6071" s="340" t="s">
        <v>891</v>
      </c>
      <c r="B6071" s="350">
        <v>46160</v>
      </c>
      <c r="C6071" s="350">
        <v>46162</v>
      </c>
      <c r="D6071" s="351">
        <v>46143</v>
      </c>
      <c r="E6071" s="340" t="s">
        <v>3462</v>
      </c>
      <c r="F6071" s="340" t="s">
        <v>894</v>
      </c>
      <c r="G6071" s="340" t="s">
        <v>3463</v>
      </c>
      <c r="I6071" s="340" t="s">
        <v>740</v>
      </c>
      <c r="K6071" s="343">
        <v>0</v>
      </c>
      <c r="L6071" s="343">
        <v>-520</v>
      </c>
      <c r="M6071" s="343">
        <v>-871115.43</v>
      </c>
      <c r="O6071" s="343">
        <v>0</v>
      </c>
    </row>
    <row r="6072" spans="1:15" x14ac:dyDescent="0.3">
      <c r="A6072" s="340" t="s">
        <v>891</v>
      </c>
      <c r="B6072" s="350">
        <v>46160</v>
      </c>
      <c r="C6072" s="350">
        <v>46162</v>
      </c>
      <c r="D6072" s="351">
        <v>46143</v>
      </c>
      <c r="E6072" s="340" t="s">
        <v>3462</v>
      </c>
      <c r="F6072" s="340" t="s">
        <v>894</v>
      </c>
      <c r="G6072" s="340" t="s">
        <v>3464</v>
      </c>
      <c r="I6072" s="340" t="s">
        <v>740</v>
      </c>
      <c r="K6072" s="343">
        <v>0</v>
      </c>
      <c r="L6072" s="343">
        <v>-260</v>
      </c>
      <c r="M6072" s="343">
        <v>-871375.43</v>
      </c>
      <c r="O6072" s="343">
        <v>0</v>
      </c>
    </row>
    <row r="6073" spans="1:15" x14ac:dyDescent="0.3">
      <c r="A6073" s="340" t="s">
        <v>891</v>
      </c>
      <c r="B6073" s="350">
        <v>46161</v>
      </c>
      <c r="C6073" s="350">
        <v>46161</v>
      </c>
      <c r="D6073" s="351">
        <v>46143</v>
      </c>
      <c r="E6073" s="340" t="s">
        <v>3465</v>
      </c>
      <c r="F6073" s="340" t="s">
        <v>1078</v>
      </c>
      <c r="G6073" s="340" t="s">
        <v>1487</v>
      </c>
      <c r="I6073" s="340" t="s">
        <v>3387</v>
      </c>
      <c r="K6073" s="343">
        <v>75</v>
      </c>
      <c r="L6073" s="343">
        <v>0</v>
      </c>
      <c r="M6073" s="343">
        <v>-871300.43</v>
      </c>
      <c r="O6073" s="343">
        <v>0</v>
      </c>
    </row>
    <row r="6074" spans="1:15" x14ac:dyDescent="0.3">
      <c r="A6074" s="340" t="s">
        <v>891</v>
      </c>
      <c r="B6074" s="350">
        <v>46161</v>
      </c>
      <c r="C6074" s="350">
        <v>46161</v>
      </c>
      <c r="D6074" s="351">
        <v>46143</v>
      </c>
      <c r="E6074" s="340" t="s">
        <v>3466</v>
      </c>
      <c r="F6074" s="340" t="s">
        <v>1078</v>
      </c>
      <c r="G6074" s="340" t="s">
        <v>1362</v>
      </c>
      <c r="I6074" s="340" t="s">
        <v>3382</v>
      </c>
      <c r="K6074" s="343">
        <v>20.18</v>
      </c>
      <c r="L6074" s="343">
        <v>0</v>
      </c>
      <c r="M6074" s="343">
        <v>-871280.25</v>
      </c>
      <c r="O6074" s="343">
        <v>0</v>
      </c>
    </row>
    <row r="6075" spans="1:15" x14ac:dyDescent="0.3">
      <c r="A6075" s="340" t="s">
        <v>891</v>
      </c>
      <c r="B6075" s="350">
        <v>46161</v>
      </c>
      <c r="C6075" s="350">
        <v>46161</v>
      </c>
      <c r="D6075" s="351">
        <v>46143</v>
      </c>
      <c r="E6075" s="340" t="s">
        <v>3466</v>
      </c>
      <c r="F6075" s="340" t="s">
        <v>1078</v>
      </c>
      <c r="G6075" s="340" t="s">
        <v>3381</v>
      </c>
      <c r="I6075" s="340" t="s">
        <v>3382</v>
      </c>
      <c r="K6075" s="343">
        <v>1105.8499999999999</v>
      </c>
      <c r="L6075" s="343">
        <v>0</v>
      </c>
      <c r="M6075" s="343">
        <v>-870174.4</v>
      </c>
      <c r="O6075" s="343">
        <v>0</v>
      </c>
    </row>
    <row r="6076" spans="1:15" x14ac:dyDescent="0.3">
      <c r="A6076" s="340" t="s">
        <v>891</v>
      </c>
      <c r="B6076" s="350">
        <v>46161</v>
      </c>
      <c r="C6076" s="350">
        <v>46161</v>
      </c>
      <c r="D6076" s="351">
        <v>46143</v>
      </c>
      <c r="E6076" s="340" t="s">
        <v>3467</v>
      </c>
      <c r="F6076" s="340" t="s">
        <v>1078</v>
      </c>
      <c r="G6076" s="340" t="s">
        <v>1487</v>
      </c>
      <c r="I6076" s="340" t="s">
        <v>3401</v>
      </c>
      <c r="K6076" s="343">
        <v>24</v>
      </c>
      <c r="L6076" s="343">
        <v>0</v>
      </c>
      <c r="M6076" s="343">
        <v>-870150.4</v>
      </c>
      <c r="O6076" s="343">
        <v>0</v>
      </c>
    </row>
    <row r="6077" spans="1:15" x14ac:dyDescent="0.3">
      <c r="A6077" s="340" t="s">
        <v>891</v>
      </c>
      <c r="B6077" s="350">
        <v>46161</v>
      </c>
      <c r="C6077" s="350">
        <v>46161</v>
      </c>
      <c r="D6077" s="351">
        <v>46143</v>
      </c>
      <c r="E6077" s="340" t="s">
        <v>3468</v>
      </c>
      <c r="F6077" s="340" t="s">
        <v>1078</v>
      </c>
      <c r="G6077" s="340" t="s">
        <v>1487</v>
      </c>
      <c r="I6077" s="340" t="s">
        <v>3388</v>
      </c>
      <c r="K6077" s="343">
        <v>75</v>
      </c>
      <c r="L6077" s="343">
        <v>0</v>
      </c>
      <c r="M6077" s="343">
        <v>-870075.4</v>
      </c>
      <c r="O6077" s="343">
        <v>0</v>
      </c>
    </row>
    <row r="6078" spans="1:15" x14ac:dyDescent="0.3">
      <c r="A6078" s="340" t="s">
        <v>891</v>
      </c>
      <c r="B6078" s="350">
        <v>46161</v>
      </c>
      <c r="C6078" s="350">
        <v>46162</v>
      </c>
      <c r="D6078" s="351">
        <v>46143</v>
      </c>
      <c r="E6078" s="340" t="s">
        <v>3469</v>
      </c>
      <c r="F6078" s="340" t="s">
        <v>894</v>
      </c>
      <c r="G6078" s="340" t="s">
        <v>3470</v>
      </c>
      <c r="I6078" s="340" t="s">
        <v>740</v>
      </c>
      <c r="K6078" s="343">
        <v>0</v>
      </c>
      <c r="L6078" s="343">
        <v>-680</v>
      </c>
      <c r="M6078" s="343">
        <v>-870755.4</v>
      </c>
      <c r="O6078" s="343">
        <v>0</v>
      </c>
    </row>
    <row r="6079" spans="1:15" x14ac:dyDescent="0.3">
      <c r="A6079" s="340" t="s">
        <v>891</v>
      </c>
      <c r="B6079" s="350">
        <v>46161</v>
      </c>
      <c r="C6079" s="350">
        <v>46162</v>
      </c>
      <c r="D6079" s="351">
        <v>46143</v>
      </c>
      <c r="E6079" s="340" t="s">
        <v>3469</v>
      </c>
      <c r="F6079" s="340" t="s">
        <v>894</v>
      </c>
      <c r="G6079" s="340" t="s">
        <v>2961</v>
      </c>
      <c r="I6079" s="340" t="s">
        <v>740</v>
      </c>
      <c r="K6079" s="343">
        <v>0</v>
      </c>
      <c r="L6079" s="343">
        <v>-95</v>
      </c>
      <c r="M6079" s="343">
        <v>-870850.4</v>
      </c>
      <c r="O6079" s="343">
        <v>0</v>
      </c>
    </row>
    <row r="6080" spans="1:15" x14ac:dyDescent="0.3">
      <c r="A6080" s="340" t="s">
        <v>891</v>
      </c>
      <c r="B6080" s="350">
        <v>46161</v>
      </c>
      <c r="C6080" s="350">
        <v>46162</v>
      </c>
      <c r="D6080" s="351">
        <v>46143</v>
      </c>
      <c r="E6080" s="340" t="s">
        <v>3471</v>
      </c>
      <c r="F6080" s="340" t="s">
        <v>894</v>
      </c>
      <c r="G6080" s="340" t="s">
        <v>3472</v>
      </c>
      <c r="I6080" s="340" t="s">
        <v>740</v>
      </c>
      <c r="K6080" s="343">
        <v>0</v>
      </c>
      <c r="L6080" s="343">
        <v>-805</v>
      </c>
      <c r="M6080" s="343">
        <v>-871655.4</v>
      </c>
      <c r="O6080" s="343">
        <v>0</v>
      </c>
    </row>
    <row r="6081" spans="1:15" x14ac:dyDescent="0.3">
      <c r="A6081" s="340" t="s">
        <v>891</v>
      </c>
      <c r="B6081" s="350">
        <v>46161</v>
      </c>
      <c r="C6081" s="350">
        <v>46162</v>
      </c>
      <c r="D6081" s="351">
        <v>46143</v>
      </c>
      <c r="E6081" s="340" t="s">
        <v>3473</v>
      </c>
      <c r="F6081" s="340" t="s">
        <v>894</v>
      </c>
      <c r="G6081" s="340" t="s">
        <v>3474</v>
      </c>
      <c r="I6081" s="340" t="s">
        <v>740</v>
      </c>
      <c r="K6081" s="343">
        <v>0</v>
      </c>
      <c r="L6081" s="343">
        <v>-705</v>
      </c>
      <c r="M6081" s="343">
        <v>-872360.4</v>
      </c>
      <c r="O6081" s="343">
        <v>0</v>
      </c>
    </row>
    <row r="6082" spans="1:15" x14ac:dyDescent="0.3">
      <c r="A6082" s="340" t="s">
        <v>891</v>
      </c>
      <c r="B6082" s="350">
        <v>46161</v>
      </c>
      <c r="C6082" s="350">
        <v>46162</v>
      </c>
      <c r="D6082" s="351">
        <v>46143</v>
      </c>
      <c r="E6082" s="340" t="s">
        <v>3475</v>
      </c>
      <c r="F6082" s="340" t="s">
        <v>894</v>
      </c>
      <c r="G6082" s="340" t="s">
        <v>3476</v>
      </c>
      <c r="I6082" s="340" t="s">
        <v>740</v>
      </c>
      <c r="K6082" s="343">
        <v>0</v>
      </c>
      <c r="L6082" s="343">
        <v>-445</v>
      </c>
      <c r="M6082" s="343">
        <v>-872805.4</v>
      </c>
      <c r="O6082" s="343">
        <v>0</v>
      </c>
    </row>
    <row r="6083" spans="1:15" x14ac:dyDescent="0.3">
      <c r="D6083" s="351"/>
      <c r="E6083" s="340"/>
      <c r="F6083" s="340"/>
      <c r="G6083" s="340"/>
      <c r="I6083" s="349" t="s">
        <v>3477</v>
      </c>
      <c r="J6083" s="352">
        <v>-75760.250000001004</v>
      </c>
      <c r="K6083" s="352">
        <f>SUM(K9:K6082)</f>
        <v>1635605.4400000067</v>
      </c>
      <c r="L6083" s="352">
        <f>SUM(L9:L6082)</f>
        <v>-1711365.6900000202</v>
      </c>
      <c r="M6083" s="352">
        <f>K6083 + L6083 + O6083</f>
        <v>-872805.40000001353</v>
      </c>
      <c r="O6083" s="352">
        <f>SUM(O9:O6082)</f>
        <v>-797045.15</v>
      </c>
    </row>
    <row r="6084" spans="1:15" x14ac:dyDescent="0.3">
      <c r="D6084" s="351"/>
      <c r="E6084" s="340"/>
      <c r="F6084" s="340"/>
      <c r="G6084" s="340"/>
      <c r="I6084" s="340"/>
      <c r="K6084" s="343"/>
      <c r="L6084" s="343"/>
      <c r="M6084" s="343"/>
      <c r="O6084" s="343"/>
    </row>
    <row r="6085" spans="1:15" x14ac:dyDescent="0.3">
      <c r="A6085" s="349" t="s">
        <v>3478</v>
      </c>
      <c r="D6085" s="351"/>
      <c r="E6085" s="340"/>
      <c r="F6085" s="340"/>
      <c r="G6085" s="340"/>
      <c r="I6085" s="340"/>
      <c r="K6085" s="343"/>
      <c r="L6085" s="343"/>
      <c r="M6085" s="343"/>
      <c r="O6085" s="343"/>
    </row>
    <row r="6086" spans="1:15" x14ac:dyDescent="0.3">
      <c r="A6086" s="340" t="s">
        <v>3479</v>
      </c>
      <c r="D6086" s="351"/>
      <c r="E6086" s="340"/>
      <c r="F6086" s="340" t="s">
        <v>892</v>
      </c>
      <c r="G6086" s="340"/>
      <c r="I6086" s="340"/>
      <c r="K6086" s="343">
        <v>0</v>
      </c>
      <c r="L6086" s="343">
        <v>0</v>
      </c>
      <c r="M6086" s="343">
        <v>-160940.63</v>
      </c>
      <c r="O6086" s="343">
        <v>-160940.63</v>
      </c>
    </row>
    <row r="6087" spans="1:15" x14ac:dyDescent="0.3">
      <c r="A6087" s="340" t="s">
        <v>3479</v>
      </c>
      <c r="B6087" s="350">
        <v>46023</v>
      </c>
      <c r="C6087" s="350">
        <v>46023</v>
      </c>
      <c r="D6087" s="351">
        <v>46023</v>
      </c>
      <c r="E6087" s="340" t="s">
        <v>3480</v>
      </c>
      <c r="F6087" s="340" t="s">
        <v>3481</v>
      </c>
      <c r="G6087" s="340" t="s">
        <v>3482</v>
      </c>
      <c r="I6087" s="340"/>
      <c r="K6087" s="343">
        <v>36616.44</v>
      </c>
      <c r="L6087" s="343">
        <v>0</v>
      </c>
      <c r="M6087" s="343">
        <v>-124324.19</v>
      </c>
      <c r="O6087" s="343">
        <v>0</v>
      </c>
    </row>
    <row r="6088" spans="1:15" x14ac:dyDescent="0.3">
      <c r="A6088" s="340" t="s">
        <v>3479</v>
      </c>
      <c r="B6088" s="350">
        <v>46023</v>
      </c>
      <c r="C6088" s="350">
        <v>46023</v>
      </c>
      <c r="D6088" s="351">
        <v>46023</v>
      </c>
      <c r="E6088" s="340" t="s">
        <v>3480</v>
      </c>
      <c r="F6088" s="340" t="s">
        <v>3481</v>
      </c>
      <c r="G6088" s="340" t="s">
        <v>3483</v>
      </c>
      <c r="I6088" s="340"/>
      <c r="K6088" s="343">
        <v>3544.24</v>
      </c>
      <c r="L6088" s="343">
        <v>0</v>
      </c>
      <c r="M6088" s="343">
        <v>-120779.95</v>
      </c>
      <c r="O6088" s="343">
        <v>0</v>
      </c>
    </row>
    <row r="6089" spans="1:15" x14ac:dyDescent="0.3">
      <c r="A6089" s="340" t="s">
        <v>3479</v>
      </c>
      <c r="B6089" s="350">
        <v>46023</v>
      </c>
      <c r="C6089" s="350">
        <v>46023</v>
      </c>
      <c r="D6089" s="351">
        <v>46023</v>
      </c>
      <c r="E6089" s="340" t="s">
        <v>3480</v>
      </c>
      <c r="F6089" s="340" t="s">
        <v>3481</v>
      </c>
      <c r="G6089" s="340" t="s">
        <v>3483</v>
      </c>
      <c r="I6089" s="340"/>
      <c r="K6089" s="343">
        <v>3544.24</v>
      </c>
      <c r="L6089" s="343">
        <v>0</v>
      </c>
      <c r="M6089" s="343">
        <v>-117235.71</v>
      </c>
      <c r="O6089" s="343">
        <v>0</v>
      </c>
    </row>
    <row r="6090" spans="1:15" x14ac:dyDescent="0.3">
      <c r="A6090" s="340" t="s">
        <v>3479</v>
      </c>
      <c r="B6090" s="350">
        <v>46023</v>
      </c>
      <c r="C6090" s="350">
        <v>46023</v>
      </c>
      <c r="D6090" s="351">
        <v>46023</v>
      </c>
      <c r="E6090" s="340" t="s">
        <v>3484</v>
      </c>
      <c r="F6090" s="340" t="s">
        <v>3481</v>
      </c>
      <c r="G6090" s="340" t="s">
        <v>3485</v>
      </c>
      <c r="I6090" s="340"/>
      <c r="K6090" s="343">
        <v>46575.42</v>
      </c>
      <c r="L6090" s="343">
        <v>0</v>
      </c>
      <c r="M6090" s="343">
        <v>-70660.289999999994</v>
      </c>
      <c r="O6090" s="343">
        <v>0</v>
      </c>
    </row>
    <row r="6091" spans="1:15" x14ac:dyDescent="0.3">
      <c r="A6091" s="340" t="s">
        <v>3479</v>
      </c>
      <c r="B6091" s="350">
        <v>46023</v>
      </c>
      <c r="C6091" s="350">
        <v>46023</v>
      </c>
      <c r="D6091" s="351">
        <v>46023</v>
      </c>
      <c r="E6091" s="340" t="s">
        <v>3484</v>
      </c>
      <c r="F6091" s="340" t="s">
        <v>3481</v>
      </c>
      <c r="G6091" s="340" t="s">
        <v>3486</v>
      </c>
      <c r="I6091" s="340"/>
      <c r="K6091" s="343">
        <v>40101.26</v>
      </c>
      <c r="L6091" s="343">
        <v>0</v>
      </c>
      <c r="M6091" s="343">
        <v>-30559.03</v>
      </c>
      <c r="O6091" s="343">
        <v>0</v>
      </c>
    </row>
    <row r="6092" spans="1:15" x14ac:dyDescent="0.3">
      <c r="A6092" s="340" t="s">
        <v>3479</v>
      </c>
      <c r="B6092" s="350">
        <v>46038</v>
      </c>
      <c r="C6092" s="350">
        <v>46079</v>
      </c>
      <c r="D6092" s="351">
        <v>46054</v>
      </c>
      <c r="E6092" s="340" t="s">
        <v>3487</v>
      </c>
      <c r="F6092" s="340" t="s">
        <v>3488</v>
      </c>
      <c r="G6092" s="340" t="s">
        <v>3489</v>
      </c>
      <c r="I6092" s="340"/>
      <c r="K6092" s="343">
        <v>0</v>
      </c>
      <c r="L6092" s="343">
        <v>-11383.39</v>
      </c>
      <c r="M6092" s="343">
        <v>-41942.42</v>
      </c>
      <c r="O6092" s="343">
        <v>0</v>
      </c>
    </row>
    <row r="6093" spans="1:15" x14ac:dyDescent="0.3">
      <c r="A6093" s="340" t="s">
        <v>3479</v>
      </c>
      <c r="B6093" s="350">
        <v>46038</v>
      </c>
      <c r="C6093" s="350">
        <v>46079</v>
      </c>
      <c r="D6093" s="351">
        <v>46054</v>
      </c>
      <c r="E6093" s="340" t="s">
        <v>3487</v>
      </c>
      <c r="F6093" s="340" t="s">
        <v>3488</v>
      </c>
      <c r="G6093" s="340" t="s">
        <v>3490</v>
      </c>
      <c r="I6093" s="340"/>
      <c r="K6093" s="343">
        <v>0</v>
      </c>
      <c r="L6093" s="343">
        <v>-19106.099999999999</v>
      </c>
      <c r="M6093" s="343">
        <v>-61048.52</v>
      </c>
      <c r="O6093" s="343">
        <v>0</v>
      </c>
    </row>
    <row r="6094" spans="1:15" x14ac:dyDescent="0.3">
      <c r="A6094" s="340" t="s">
        <v>3479</v>
      </c>
      <c r="B6094" s="350">
        <v>46038</v>
      </c>
      <c r="C6094" s="350">
        <v>46079</v>
      </c>
      <c r="D6094" s="351">
        <v>46054</v>
      </c>
      <c r="E6094" s="340" t="s">
        <v>3487</v>
      </c>
      <c r="F6094" s="340" t="s">
        <v>3488</v>
      </c>
      <c r="G6094" s="340" t="s">
        <v>3491</v>
      </c>
      <c r="I6094" s="340"/>
      <c r="K6094" s="343">
        <v>0</v>
      </c>
      <c r="L6094" s="343">
        <v>-9141.86</v>
      </c>
      <c r="M6094" s="343">
        <v>-70190.38</v>
      </c>
      <c r="O6094" s="343">
        <v>0</v>
      </c>
    </row>
    <row r="6095" spans="1:15" x14ac:dyDescent="0.3">
      <c r="A6095" s="340" t="s">
        <v>3479</v>
      </c>
      <c r="B6095" s="350">
        <v>46038</v>
      </c>
      <c r="C6095" s="350">
        <v>46079</v>
      </c>
      <c r="D6095" s="351">
        <v>46054</v>
      </c>
      <c r="E6095" s="340" t="s">
        <v>3487</v>
      </c>
      <c r="F6095" s="340" t="s">
        <v>3488</v>
      </c>
      <c r="G6095" s="340" t="s">
        <v>3492</v>
      </c>
      <c r="I6095" s="340"/>
      <c r="K6095" s="343">
        <v>0</v>
      </c>
      <c r="L6095" s="343">
        <v>-652.28</v>
      </c>
      <c r="M6095" s="343">
        <v>-70842.66</v>
      </c>
      <c r="O6095" s="343">
        <v>0</v>
      </c>
    </row>
    <row r="6096" spans="1:15" x14ac:dyDescent="0.3">
      <c r="A6096" s="340" t="s">
        <v>3479</v>
      </c>
      <c r="B6096" s="350">
        <v>46043</v>
      </c>
      <c r="C6096" s="350">
        <v>46043</v>
      </c>
      <c r="D6096" s="351">
        <v>46023</v>
      </c>
      <c r="E6096" s="340" t="s">
        <v>1232</v>
      </c>
      <c r="F6096" s="340" t="s">
        <v>894</v>
      </c>
      <c r="G6096" s="340" t="s">
        <v>1233</v>
      </c>
      <c r="I6096" s="340" t="s">
        <v>1234</v>
      </c>
      <c r="K6096" s="343">
        <v>250</v>
      </c>
      <c r="L6096" s="343">
        <v>0</v>
      </c>
      <c r="M6096" s="343">
        <v>-70592.66</v>
      </c>
      <c r="O6096" s="343">
        <v>0</v>
      </c>
    </row>
    <row r="6097" spans="1:15" x14ac:dyDescent="0.3">
      <c r="A6097" s="340" t="s">
        <v>3479</v>
      </c>
      <c r="B6097" s="350">
        <v>46043</v>
      </c>
      <c r="C6097" s="350">
        <v>46079</v>
      </c>
      <c r="D6097" s="351">
        <v>46054</v>
      </c>
      <c r="E6097" s="340" t="s">
        <v>3493</v>
      </c>
      <c r="F6097" s="340" t="s">
        <v>3488</v>
      </c>
      <c r="G6097" s="340" t="s">
        <v>3489</v>
      </c>
      <c r="I6097" s="340"/>
      <c r="K6097" s="343">
        <v>0</v>
      </c>
      <c r="L6097" s="343">
        <v>-148.82</v>
      </c>
      <c r="M6097" s="343">
        <v>-70741.48</v>
      </c>
      <c r="O6097" s="343">
        <v>0</v>
      </c>
    </row>
    <row r="6098" spans="1:15" x14ac:dyDescent="0.3">
      <c r="A6098" s="340" t="s">
        <v>3479</v>
      </c>
      <c r="B6098" s="350">
        <v>46043</v>
      </c>
      <c r="C6098" s="350">
        <v>46079</v>
      </c>
      <c r="D6098" s="351">
        <v>46054</v>
      </c>
      <c r="E6098" s="340" t="s">
        <v>3493</v>
      </c>
      <c r="F6098" s="340" t="s">
        <v>3488</v>
      </c>
      <c r="G6098" s="340" t="s">
        <v>3489</v>
      </c>
      <c r="I6098" s="340"/>
      <c r="K6098" s="343">
        <v>0</v>
      </c>
      <c r="L6098" s="343">
        <v>-28932.21</v>
      </c>
      <c r="M6098" s="343">
        <v>-99673.69</v>
      </c>
      <c r="O6098" s="343">
        <v>0</v>
      </c>
    </row>
    <row r="6099" spans="1:15" x14ac:dyDescent="0.3">
      <c r="A6099" s="340" t="s">
        <v>3479</v>
      </c>
      <c r="B6099" s="350">
        <v>46043</v>
      </c>
      <c r="C6099" s="350">
        <v>46079</v>
      </c>
      <c r="D6099" s="351">
        <v>46054</v>
      </c>
      <c r="E6099" s="340" t="s">
        <v>3493</v>
      </c>
      <c r="F6099" s="340" t="s">
        <v>3488</v>
      </c>
      <c r="G6099" s="340" t="s">
        <v>3490</v>
      </c>
      <c r="I6099" s="340"/>
      <c r="K6099" s="343">
        <v>0</v>
      </c>
      <c r="L6099" s="343">
        <v>-2547.08</v>
      </c>
      <c r="M6099" s="343">
        <v>-102220.77</v>
      </c>
      <c r="O6099" s="343">
        <v>0</v>
      </c>
    </row>
    <row r="6100" spans="1:15" x14ac:dyDescent="0.3">
      <c r="A6100" s="340" t="s">
        <v>3479</v>
      </c>
      <c r="B6100" s="350">
        <v>46043</v>
      </c>
      <c r="C6100" s="350">
        <v>46079</v>
      </c>
      <c r="D6100" s="351">
        <v>46054</v>
      </c>
      <c r="E6100" s="340" t="s">
        <v>3493</v>
      </c>
      <c r="F6100" s="340" t="s">
        <v>3488</v>
      </c>
      <c r="G6100" s="340" t="s">
        <v>3491</v>
      </c>
      <c r="I6100" s="340"/>
      <c r="K6100" s="343">
        <v>0</v>
      </c>
      <c r="L6100" s="343">
        <v>-29.98</v>
      </c>
      <c r="M6100" s="343">
        <v>-102250.75</v>
      </c>
      <c r="O6100" s="343">
        <v>0</v>
      </c>
    </row>
    <row r="6101" spans="1:15" x14ac:dyDescent="0.3">
      <c r="A6101" s="340" t="s">
        <v>3479</v>
      </c>
      <c r="B6101" s="350">
        <v>46043</v>
      </c>
      <c r="C6101" s="350">
        <v>46079</v>
      </c>
      <c r="D6101" s="351">
        <v>46054</v>
      </c>
      <c r="E6101" s="340" t="s">
        <v>3493</v>
      </c>
      <c r="F6101" s="340" t="s">
        <v>3488</v>
      </c>
      <c r="G6101" s="340" t="s">
        <v>3491</v>
      </c>
      <c r="I6101" s="340"/>
      <c r="K6101" s="343">
        <v>0</v>
      </c>
      <c r="L6101" s="343">
        <v>-9147.24</v>
      </c>
      <c r="M6101" s="343">
        <v>-111397.99</v>
      </c>
      <c r="O6101" s="343">
        <v>0</v>
      </c>
    </row>
    <row r="6102" spans="1:15" x14ac:dyDescent="0.3">
      <c r="A6102" s="340" t="s">
        <v>3479</v>
      </c>
      <c r="B6102" s="350">
        <v>46052</v>
      </c>
      <c r="C6102" s="350">
        <v>46052</v>
      </c>
      <c r="D6102" s="351">
        <v>46023</v>
      </c>
      <c r="E6102" s="340" t="s">
        <v>1232</v>
      </c>
      <c r="F6102" s="340" t="s">
        <v>894</v>
      </c>
      <c r="G6102" s="340" t="s">
        <v>1458</v>
      </c>
      <c r="I6102" s="340" t="s">
        <v>1459</v>
      </c>
      <c r="K6102" s="343">
        <v>415.74</v>
      </c>
      <c r="L6102" s="343">
        <v>0</v>
      </c>
      <c r="M6102" s="343">
        <v>-110982.25</v>
      </c>
      <c r="O6102" s="343">
        <v>0</v>
      </c>
    </row>
    <row r="6103" spans="1:15" x14ac:dyDescent="0.3">
      <c r="A6103" s="340" t="s">
        <v>3479</v>
      </c>
      <c r="B6103" s="350">
        <v>46052</v>
      </c>
      <c r="C6103" s="350">
        <v>46063</v>
      </c>
      <c r="D6103" s="351">
        <v>46023</v>
      </c>
      <c r="E6103" s="340" t="s">
        <v>3494</v>
      </c>
      <c r="F6103" s="340" t="s">
        <v>3488</v>
      </c>
      <c r="G6103" s="340" t="s">
        <v>3495</v>
      </c>
      <c r="K6103" s="343">
        <v>0</v>
      </c>
      <c r="L6103" s="343">
        <v>-40626.53</v>
      </c>
      <c r="M6103" s="343">
        <v>-151608.78</v>
      </c>
      <c r="O6103" s="343">
        <v>0</v>
      </c>
    </row>
    <row r="6104" spans="1:15" x14ac:dyDescent="0.3">
      <c r="A6104" s="340" t="s">
        <v>3479</v>
      </c>
      <c r="B6104" s="350">
        <v>46052</v>
      </c>
      <c r="C6104" s="350">
        <v>46063</v>
      </c>
      <c r="D6104" s="351">
        <v>46023</v>
      </c>
      <c r="E6104" s="340" t="s">
        <v>3494</v>
      </c>
      <c r="F6104" s="340" t="s">
        <v>3488</v>
      </c>
      <c r="G6104" s="340" t="s">
        <v>3496</v>
      </c>
      <c r="K6104" s="343">
        <v>0</v>
      </c>
      <c r="L6104" s="343">
        <v>-39631.35</v>
      </c>
      <c r="M6104" s="343">
        <v>-191240.13</v>
      </c>
      <c r="O6104" s="343">
        <v>0</v>
      </c>
    </row>
    <row r="6105" spans="1:15" x14ac:dyDescent="0.3">
      <c r="A6105" s="340" t="s">
        <v>3479</v>
      </c>
      <c r="B6105" s="350">
        <v>46052</v>
      </c>
      <c r="C6105" s="350">
        <v>46063</v>
      </c>
      <c r="D6105" s="351">
        <v>46023</v>
      </c>
      <c r="E6105" s="340" t="s">
        <v>3494</v>
      </c>
      <c r="F6105" s="340" t="s">
        <v>3488</v>
      </c>
      <c r="G6105" s="340" t="s">
        <v>3497</v>
      </c>
      <c r="K6105" s="343">
        <v>0</v>
      </c>
      <c r="L6105" s="343">
        <v>-178.8</v>
      </c>
      <c r="M6105" s="343">
        <v>-191418.93</v>
      </c>
      <c r="O6105" s="343">
        <v>0</v>
      </c>
    </row>
    <row r="6106" spans="1:15" x14ac:dyDescent="0.3">
      <c r="A6106" s="340" t="s">
        <v>3479</v>
      </c>
      <c r="B6106" s="350">
        <v>46053</v>
      </c>
      <c r="C6106" s="350">
        <v>46063</v>
      </c>
      <c r="D6106" s="351">
        <v>46023</v>
      </c>
      <c r="E6106" s="340" t="s">
        <v>3498</v>
      </c>
      <c r="F6106" s="340" t="s">
        <v>3488</v>
      </c>
      <c r="G6106" s="340" t="s">
        <v>3497</v>
      </c>
      <c r="K6106" s="343">
        <v>40626.53</v>
      </c>
      <c r="L6106" s="343">
        <v>0</v>
      </c>
      <c r="M6106" s="343">
        <v>-150792.4</v>
      </c>
      <c r="O6106" s="343">
        <v>0</v>
      </c>
    </row>
    <row r="6107" spans="1:15" x14ac:dyDescent="0.3">
      <c r="A6107" s="340" t="s">
        <v>3479</v>
      </c>
      <c r="B6107" s="350">
        <v>46053</v>
      </c>
      <c r="C6107" s="350">
        <v>46063</v>
      </c>
      <c r="D6107" s="351">
        <v>46023</v>
      </c>
      <c r="E6107" s="340" t="s">
        <v>3498</v>
      </c>
      <c r="F6107" s="340" t="s">
        <v>3488</v>
      </c>
      <c r="G6107" s="340" t="s">
        <v>3497</v>
      </c>
      <c r="K6107" s="343">
        <v>39631.35</v>
      </c>
      <c r="L6107" s="343">
        <v>0</v>
      </c>
      <c r="M6107" s="343">
        <v>-111161.05</v>
      </c>
      <c r="O6107" s="343">
        <v>0</v>
      </c>
    </row>
    <row r="6108" spans="1:15" x14ac:dyDescent="0.3">
      <c r="A6108" s="340" t="s">
        <v>3479</v>
      </c>
      <c r="B6108" s="350">
        <v>46053</v>
      </c>
      <c r="C6108" s="350">
        <v>46063</v>
      </c>
      <c r="D6108" s="351">
        <v>46023</v>
      </c>
      <c r="E6108" s="340" t="s">
        <v>3498</v>
      </c>
      <c r="F6108" s="340" t="s">
        <v>3488</v>
      </c>
      <c r="G6108" s="340" t="s">
        <v>3497</v>
      </c>
      <c r="K6108" s="343">
        <v>178.8</v>
      </c>
      <c r="L6108" s="343">
        <v>0</v>
      </c>
      <c r="M6108" s="343">
        <v>-110982.25</v>
      </c>
      <c r="O6108" s="343">
        <v>0</v>
      </c>
    </row>
    <row r="6109" spans="1:15" x14ac:dyDescent="0.3">
      <c r="A6109" s="340" t="s">
        <v>3479</v>
      </c>
      <c r="B6109" s="350">
        <v>46053</v>
      </c>
      <c r="C6109" s="350">
        <v>46064</v>
      </c>
      <c r="D6109" s="351">
        <v>46023</v>
      </c>
      <c r="E6109" s="340" t="s">
        <v>3499</v>
      </c>
      <c r="F6109" s="340" t="s">
        <v>3488</v>
      </c>
      <c r="G6109" s="340" t="s">
        <v>3500</v>
      </c>
      <c r="K6109" s="343">
        <v>0</v>
      </c>
      <c r="L6109" s="343">
        <v>-72273.52</v>
      </c>
      <c r="M6109" s="343">
        <v>-183255.77</v>
      </c>
      <c r="O6109" s="343">
        <v>0</v>
      </c>
    </row>
    <row r="6110" spans="1:15" x14ac:dyDescent="0.3">
      <c r="A6110" s="340" t="s">
        <v>3479</v>
      </c>
      <c r="B6110" s="350">
        <v>46053</v>
      </c>
      <c r="C6110" s="350">
        <v>46064</v>
      </c>
      <c r="D6110" s="351">
        <v>46023</v>
      </c>
      <c r="E6110" s="340" t="s">
        <v>3501</v>
      </c>
      <c r="F6110" s="340" t="s">
        <v>3488</v>
      </c>
      <c r="G6110" s="340" t="s">
        <v>3502</v>
      </c>
      <c r="K6110" s="343">
        <v>0</v>
      </c>
      <c r="L6110" s="343">
        <v>-22031.84</v>
      </c>
      <c r="M6110" s="343">
        <v>-205287.61</v>
      </c>
      <c r="O6110" s="343">
        <v>0</v>
      </c>
    </row>
    <row r="6111" spans="1:15" x14ac:dyDescent="0.3">
      <c r="A6111" s="340" t="s">
        <v>3479</v>
      </c>
      <c r="B6111" s="350">
        <v>46053</v>
      </c>
      <c r="C6111" s="350">
        <v>46064</v>
      </c>
      <c r="D6111" s="351">
        <v>46023</v>
      </c>
      <c r="E6111" s="340" t="s">
        <v>3503</v>
      </c>
      <c r="F6111" s="340" t="s">
        <v>3488</v>
      </c>
      <c r="G6111" s="340" t="s">
        <v>3504</v>
      </c>
      <c r="K6111" s="343">
        <v>0</v>
      </c>
      <c r="L6111" s="343">
        <v>-23601.29</v>
      </c>
      <c r="M6111" s="343">
        <v>-228888.9</v>
      </c>
      <c r="O6111" s="343">
        <v>0</v>
      </c>
    </row>
    <row r="6112" spans="1:15" x14ac:dyDescent="0.3">
      <c r="A6112" s="340" t="s">
        <v>3479</v>
      </c>
      <c r="B6112" s="350">
        <v>46053</v>
      </c>
      <c r="C6112" s="350">
        <v>46064</v>
      </c>
      <c r="D6112" s="351">
        <v>46023</v>
      </c>
      <c r="E6112" s="340" t="s">
        <v>3503</v>
      </c>
      <c r="F6112" s="340" t="s">
        <v>3488</v>
      </c>
      <c r="G6112" s="340" t="s">
        <v>3505</v>
      </c>
      <c r="K6112" s="343">
        <v>0</v>
      </c>
      <c r="L6112" s="343">
        <v>-1085.81</v>
      </c>
      <c r="M6112" s="343">
        <v>-229974.71</v>
      </c>
      <c r="O6112" s="343">
        <v>0</v>
      </c>
    </row>
    <row r="6113" spans="1:15" x14ac:dyDescent="0.3">
      <c r="A6113" s="340" t="s">
        <v>3479</v>
      </c>
      <c r="B6113" s="350">
        <v>46053</v>
      </c>
      <c r="C6113" s="350">
        <v>46064</v>
      </c>
      <c r="D6113" s="351">
        <v>46023</v>
      </c>
      <c r="E6113" s="340" t="s">
        <v>3503</v>
      </c>
      <c r="F6113" s="340" t="s">
        <v>3488</v>
      </c>
      <c r="G6113" s="340" t="s">
        <v>3506</v>
      </c>
      <c r="K6113" s="343">
        <v>0</v>
      </c>
      <c r="L6113" s="343">
        <v>-8582.2800000000007</v>
      </c>
      <c r="M6113" s="343">
        <v>-238556.99</v>
      </c>
      <c r="O6113" s="343">
        <v>0</v>
      </c>
    </row>
    <row r="6114" spans="1:15" x14ac:dyDescent="0.3">
      <c r="A6114" s="340" t="s">
        <v>3479</v>
      </c>
      <c r="B6114" s="350">
        <v>46053</v>
      </c>
      <c r="C6114" s="350">
        <v>46064</v>
      </c>
      <c r="D6114" s="351">
        <v>46023</v>
      </c>
      <c r="E6114" s="340" t="s">
        <v>3503</v>
      </c>
      <c r="F6114" s="340" t="s">
        <v>3488</v>
      </c>
      <c r="G6114" s="340" t="s">
        <v>3506</v>
      </c>
      <c r="K6114" s="343">
        <v>0</v>
      </c>
      <c r="L6114" s="343">
        <v>-8582.2800000000007</v>
      </c>
      <c r="M6114" s="343">
        <v>-247139.27</v>
      </c>
      <c r="O6114" s="343">
        <v>0</v>
      </c>
    </row>
    <row r="6115" spans="1:15" x14ac:dyDescent="0.3">
      <c r="A6115" s="340" t="s">
        <v>3479</v>
      </c>
      <c r="B6115" s="350">
        <v>46054</v>
      </c>
      <c r="C6115" s="350">
        <v>46063</v>
      </c>
      <c r="D6115" s="351">
        <v>46054</v>
      </c>
      <c r="E6115" s="340" t="s">
        <v>3507</v>
      </c>
      <c r="F6115" s="340" t="s">
        <v>3481</v>
      </c>
      <c r="G6115" s="340" t="s">
        <v>3495</v>
      </c>
      <c r="K6115" s="343">
        <v>40626.53</v>
      </c>
      <c r="L6115" s="343">
        <v>0</v>
      </c>
      <c r="M6115" s="343">
        <v>-206512.74</v>
      </c>
      <c r="O6115" s="343">
        <v>0</v>
      </c>
    </row>
    <row r="6116" spans="1:15" x14ac:dyDescent="0.3">
      <c r="A6116" s="340" t="s">
        <v>3479</v>
      </c>
      <c r="B6116" s="350">
        <v>46054</v>
      </c>
      <c r="C6116" s="350">
        <v>46063</v>
      </c>
      <c r="D6116" s="351">
        <v>46054</v>
      </c>
      <c r="E6116" s="340" t="s">
        <v>3507</v>
      </c>
      <c r="F6116" s="340" t="s">
        <v>3481</v>
      </c>
      <c r="G6116" s="340" t="s">
        <v>3496</v>
      </c>
      <c r="K6116" s="343">
        <v>39631.35</v>
      </c>
      <c r="L6116" s="343">
        <v>0</v>
      </c>
      <c r="M6116" s="343">
        <v>-166881.39000000001</v>
      </c>
      <c r="O6116" s="343">
        <v>0</v>
      </c>
    </row>
    <row r="6117" spans="1:15" x14ac:dyDescent="0.3">
      <c r="A6117" s="340" t="s">
        <v>3479</v>
      </c>
      <c r="B6117" s="350">
        <v>46054</v>
      </c>
      <c r="C6117" s="350">
        <v>46063</v>
      </c>
      <c r="D6117" s="351">
        <v>46054</v>
      </c>
      <c r="E6117" s="340" t="s">
        <v>3507</v>
      </c>
      <c r="F6117" s="340" t="s">
        <v>3481</v>
      </c>
      <c r="G6117" s="340" t="s">
        <v>3497</v>
      </c>
      <c r="K6117" s="343">
        <v>178.8</v>
      </c>
      <c r="L6117" s="343">
        <v>0</v>
      </c>
      <c r="M6117" s="343">
        <v>-166702.59</v>
      </c>
      <c r="O6117" s="343">
        <v>0</v>
      </c>
    </row>
    <row r="6118" spans="1:15" x14ac:dyDescent="0.3">
      <c r="A6118" s="340" t="s">
        <v>3479</v>
      </c>
      <c r="B6118" s="350">
        <v>46054</v>
      </c>
      <c r="C6118" s="350">
        <v>46150</v>
      </c>
      <c r="D6118" s="351">
        <v>46054</v>
      </c>
      <c r="E6118" s="340" t="s">
        <v>3508</v>
      </c>
      <c r="F6118" s="340" t="s">
        <v>3488</v>
      </c>
      <c r="G6118" s="340" t="s">
        <v>3509</v>
      </c>
      <c r="K6118" s="343">
        <v>0</v>
      </c>
      <c r="L6118" s="343">
        <v>-2000</v>
      </c>
      <c r="M6118" s="343">
        <v>-168702.59</v>
      </c>
      <c r="O6118" s="343">
        <v>0</v>
      </c>
    </row>
    <row r="6119" spans="1:15" x14ac:dyDescent="0.3">
      <c r="A6119" s="340" t="s">
        <v>3479</v>
      </c>
      <c r="B6119" s="350">
        <v>46055</v>
      </c>
      <c r="C6119" s="350">
        <v>46055</v>
      </c>
      <c r="D6119" s="351">
        <v>46023</v>
      </c>
      <c r="E6119" s="340" t="s">
        <v>3510</v>
      </c>
      <c r="F6119" s="340" t="s">
        <v>3488</v>
      </c>
      <c r="G6119" s="340" t="s">
        <v>3511</v>
      </c>
      <c r="K6119" s="343">
        <v>0</v>
      </c>
      <c r="L6119" s="343">
        <v>-121.75</v>
      </c>
      <c r="M6119" s="343">
        <v>-168824.34</v>
      </c>
      <c r="O6119" s="343">
        <v>0</v>
      </c>
    </row>
    <row r="6120" spans="1:15" x14ac:dyDescent="0.3">
      <c r="A6120" s="340" t="s">
        <v>3479</v>
      </c>
      <c r="B6120" s="350">
        <v>46055</v>
      </c>
      <c r="C6120" s="350">
        <v>46055</v>
      </c>
      <c r="D6120" s="351">
        <v>46054</v>
      </c>
      <c r="E6120" s="340" t="s">
        <v>3512</v>
      </c>
      <c r="F6120" s="340" t="s">
        <v>3481</v>
      </c>
      <c r="G6120" s="340" t="s">
        <v>3511</v>
      </c>
      <c r="K6120" s="343">
        <v>121.75</v>
      </c>
      <c r="L6120" s="343">
        <v>0</v>
      </c>
      <c r="M6120" s="343">
        <v>-168702.59</v>
      </c>
      <c r="O6120" s="343">
        <v>0</v>
      </c>
    </row>
    <row r="6121" spans="1:15" x14ac:dyDescent="0.3">
      <c r="A6121" s="340" t="s">
        <v>3479</v>
      </c>
      <c r="B6121" s="350">
        <v>46074</v>
      </c>
      <c r="C6121" s="350">
        <v>46074</v>
      </c>
      <c r="D6121" s="351">
        <v>46054</v>
      </c>
      <c r="E6121" s="340" t="s">
        <v>3513</v>
      </c>
      <c r="F6121" s="340" t="s">
        <v>3488</v>
      </c>
      <c r="G6121" s="340" t="s">
        <v>3514</v>
      </c>
      <c r="K6121" s="343">
        <v>24687.1</v>
      </c>
      <c r="L6121" s="343">
        <v>0</v>
      </c>
      <c r="M6121" s="343">
        <v>-144015.49</v>
      </c>
      <c r="O6121" s="343">
        <v>0</v>
      </c>
    </row>
    <row r="6122" spans="1:15" x14ac:dyDescent="0.3">
      <c r="A6122" s="340" t="s">
        <v>3479</v>
      </c>
      <c r="B6122" s="350">
        <v>46076</v>
      </c>
      <c r="C6122" s="350">
        <v>46083</v>
      </c>
      <c r="D6122" s="351">
        <v>46054</v>
      </c>
      <c r="E6122" s="340" t="s">
        <v>3515</v>
      </c>
      <c r="F6122" s="340" t="s">
        <v>3488</v>
      </c>
      <c r="G6122" s="340" t="s">
        <v>3516</v>
      </c>
      <c r="K6122" s="343">
        <v>0</v>
      </c>
      <c r="L6122" s="343">
        <v>-129084.75</v>
      </c>
      <c r="M6122" s="343">
        <v>-273100.24</v>
      </c>
      <c r="O6122" s="343">
        <v>0</v>
      </c>
    </row>
    <row r="6123" spans="1:15" x14ac:dyDescent="0.3">
      <c r="A6123" s="340" t="s">
        <v>3479</v>
      </c>
      <c r="B6123" s="350">
        <v>46081</v>
      </c>
      <c r="C6123" s="350">
        <v>46085</v>
      </c>
      <c r="D6123" s="351">
        <v>46054</v>
      </c>
      <c r="E6123" s="340" t="s">
        <v>3517</v>
      </c>
      <c r="F6123" s="340" t="s">
        <v>3488</v>
      </c>
      <c r="G6123" s="340" t="s">
        <v>3518</v>
      </c>
      <c r="K6123" s="343">
        <v>0</v>
      </c>
      <c r="L6123" s="343">
        <v>-3000</v>
      </c>
      <c r="M6123" s="343">
        <v>-276100.24</v>
      </c>
      <c r="O6123" s="343">
        <v>0</v>
      </c>
    </row>
    <row r="6124" spans="1:15" x14ac:dyDescent="0.3">
      <c r="A6124" s="340" t="s">
        <v>3479</v>
      </c>
      <c r="B6124" s="350">
        <v>46081</v>
      </c>
      <c r="C6124" s="350">
        <v>46086</v>
      </c>
      <c r="D6124" s="351">
        <v>46054</v>
      </c>
      <c r="E6124" s="340" t="s">
        <v>3519</v>
      </c>
      <c r="F6124" s="340" t="s">
        <v>3488</v>
      </c>
      <c r="G6124" s="340" t="s">
        <v>3520</v>
      </c>
      <c r="K6124" s="343">
        <v>20000</v>
      </c>
      <c r="L6124" s="343">
        <v>0</v>
      </c>
      <c r="M6124" s="343">
        <v>-256100.24</v>
      </c>
      <c r="O6124" s="343">
        <v>0</v>
      </c>
    </row>
    <row r="6125" spans="1:15" x14ac:dyDescent="0.3">
      <c r="A6125" s="340" t="s">
        <v>3479</v>
      </c>
      <c r="B6125" s="350">
        <v>46081</v>
      </c>
      <c r="C6125" s="350">
        <v>46090</v>
      </c>
      <c r="D6125" s="351">
        <v>46054</v>
      </c>
      <c r="E6125" s="340" t="s">
        <v>3521</v>
      </c>
      <c r="F6125" s="340" t="s">
        <v>3488</v>
      </c>
      <c r="G6125" s="340" t="s">
        <v>3522</v>
      </c>
      <c r="K6125" s="343">
        <v>0</v>
      </c>
      <c r="L6125" s="343">
        <v>-51072.73</v>
      </c>
      <c r="M6125" s="343">
        <v>-307172.96999999997</v>
      </c>
      <c r="O6125" s="343">
        <v>0</v>
      </c>
    </row>
    <row r="6126" spans="1:15" x14ac:dyDescent="0.3">
      <c r="A6126" s="340" t="s">
        <v>3479</v>
      </c>
      <c r="B6126" s="350">
        <v>46081</v>
      </c>
      <c r="C6126" s="350">
        <v>46091</v>
      </c>
      <c r="D6126" s="351">
        <v>46054</v>
      </c>
      <c r="E6126" s="340" t="s">
        <v>3523</v>
      </c>
      <c r="F6126" s="340" t="s">
        <v>3488</v>
      </c>
      <c r="G6126" s="340" t="s">
        <v>3502</v>
      </c>
      <c r="K6126" s="343">
        <v>4594.88</v>
      </c>
      <c r="L6126" s="343">
        <v>0</v>
      </c>
      <c r="M6126" s="343">
        <v>-302578.09000000003</v>
      </c>
      <c r="O6126" s="343">
        <v>0</v>
      </c>
    </row>
    <row r="6127" spans="1:15" x14ac:dyDescent="0.3">
      <c r="A6127" s="340" t="s">
        <v>3479</v>
      </c>
      <c r="B6127" s="350">
        <v>46081</v>
      </c>
      <c r="C6127" s="350">
        <v>46094</v>
      </c>
      <c r="D6127" s="351">
        <v>46054</v>
      </c>
      <c r="E6127" s="340" t="s">
        <v>3524</v>
      </c>
      <c r="F6127" s="340" t="s">
        <v>3488</v>
      </c>
      <c r="G6127" s="340" t="s">
        <v>3525</v>
      </c>
      <c r="K6127" s="343">
        <v>6069.84</v>
      </c>
      <c r="L6127" s="343">
        <v>0</v>
      </c>
      <c r="M6127" s="343">
        <v>-296508.25</v>
      </c>
      <c r="O6127" s="343">
        <v>0</v>
      </c>
    </row>
    <row r="6128" spans="1:15" x14ac:dyDescent="0.3">
      <c r="A6128" s="340" t="s">
        <v>3479</v>
      </c>
      <c r="B6128" s="350">
        <v>46081</v>
      </c>
      <c r="C6128" s="350">
        <v>46112</v>
      </c>
      <c r="D6128" s="351">
        <v>46082</v>
      </c>
      <c r="E6128" s="340" t="s">
        <v>3526</v>
      </c>
      <c r="F6128" s="340" t="s">
        <v>3488</v>
      </c>
      <c r="G6128" s="340" t="s">
        <v>3527</v>
      </c>
      <c r="K6128" s="343">
        <v>0</v>
      </c>
      <c r="L6128" s="343">
        <v>-39.450000000000003</v>
      </c>
      <c r="M6128" s="343">
        <v>-296547.7</v>
      </c>
      <c r="O6128" s="343">
        <v>0</v>
      </c>
    </row>
    <row r="6129" spans="1:15" x14ac:dyDescent="0.3">
      <c r="A6129" s="340" t="s">
        <v>3479</v>
      </c>
      <c r="B6129" s="350">
        <v>46081</v>
      </c>
      <c r="C6129" s="350">
        <v>46112</v>
      </c>
      <c r="D6129" s="351">
        <v>46082</v>
      </c>
      <c r="E6129" s="340" t="s">
        <v>3526</v>
      </c>
      <c r="F6129" s="340" t="s">
        <v>3488</v>
      </c>
      <c r="G6129" s="340" t="s">
        <v>3528</v>
      </c>
      <c r="K6129" s="343">
        <v>0</v>
      </c>
      <c r="L6129" s="343">
        <v>-399.45</v>
      </c>
      <c r="M6129" s="343">
        <v>-296947.15000000002</v>
      </c>
      <c r="O6129" s="343">
        <v>0</v>
      </c>
    </row>
    <row r="6130" spans="1:15" x14ac:dyDescent="0.3">
      <c r="A6130" s="340" t="s">
        <v>3479</v>
      </c>
      <c r="B6130" s="350">
        <v>46081</v>
      </c>
      <c r="C6130" s="350">
        <v>46112</v>
      </c>
      <c r="D6130" s="351">
        <v>46082</v>
      </c>
      <c r="E6130" s="340" t="s">
        <v>3526</v>
      </c>
      <c r="F6130" s="340" t="s">
        <v>3488</v>
      </c>
      <c r="G6130" s="340" t="s">
        <v>3529</v>
      </c>
      <c r="K6130" s="343">
        <v>0</v>
      </c>
      <c r="L6130" s="343">
        <v>-159.9</v>
      </c>
      <c r="M6130" s="343">
        <v>-297107.05</v>
      </c>
      <c r="O6130" s="343">
        <v>0</v>
      </c>
    </row>
    <row r="6131" spans="1:15" x14ac:dyDescent="0.3">
      <c r="A6131" s="340" t="s">
        <v>3479</v>
      </c>
      <c r="B6131" s="350">
        <v>46081</v>
      </c>
      <c r="C6131" s="350">
        <v>46112</v>
      </c>
      <c r="D6131" s="351">
        <v>46082</v>
      </c>
      <c r="E6131" s="340" t="s">
        <v>3526</v>
      </c>
      <c r="F6131" s="340" t="s">
        <v>3488</v>
      </c>
      <c r="G6131" s="340" t="s">
        <v>3530</v>
      </c>
      <c r="K6131" s="343">
        <v>0</v>
      </c>
      <c r="L6131" s="343">
        <v>-1571.79</v>
      </c>
      <c r="M6131" s="343">
        <v>-298678.84000000003</v>
      </c>
      <c r="O6131" s="343">
        <v>0</v>
      </c>
    </row>
    <row r="6132" spans="1:15" x14ac:dyDescent="0.3">
      <c r="A6132" s="340" t="s">
        <v>3479</v>
      </c>
      <c r="B6132" s="350">
        <v>46081</v>
      </c>
      <c r="C6132" s="350">
        <v>46112</v>
      </c>
      <c r="D6132" s="351">
        <v>46082</v>
      </c>
      <c r="E6132" s="340" t="s">
        <v>3526</v>
      </c>
      <c r="F6132" s="340" t="s">
        <v>3488</v>
      </c>
      <c r="G6132" s="340" t="s">
        <v>3531</v>
      </c>
      <c r="K6132" s="343">
        <v>0</v>
      </c>
      <c r="L6132" s="343">
        <v>-500</v>
      </c>
      <c r="M6132" s="343">
        <v>-299178.84000000003</v>
      </c>
      <c r="O6132" s="343">
        <v>0</v>
      </c>
    </row>
    <row r="6133" spans="1:15" x14ac:dyDescent="0.3">
      <c r="A6133" s="340" t="s">
        <v>3479</v>
      </c>
      <c r="B6133" s="350">
        <v>46081</v>
      </c>
      <c r="C6133" s="350">
        <v>46112</v>
      </c>
      <c r="D6133" s="351">
        <v>46082</v>
      </c>
      <c r="E6133" s="340" t="s">
        <v>3526</v>
      </c>
      <c r="F6133" s="340" t="s">
        <v>3488</v>
      </c>
      <c r="G6133" s="340" t="s">
        <v>3532</v>
      </c>
      <c r="K6133" s="343">
        <v>0</v>
      </c>
      <c r="L6133" s="343">
        <v>-500</v>
      </c>
      <c r="M6133" s="343">
        <v>-299678.84000000003</v>
      </c>
      <c r="O6133" s="343">
        <v>0</v>
      </c>
    </row>
    <row r="6134" spans="1:15" x14ac:dyDescent="0.3">
      <c r="A6134" s="340" t="s">
        <v>3479</v>
      </c>
      <c r="B6134" s="350">
        <v>46081</v>
      </c>
      <c r="C6134" s="350">
        <v>46112</v>
      </c>
      <c r="D6134" s="351">
        <v>46082</v>
      </c>
      <c r="E6134" s="340" t="s">
        <v>3526</v>
      </c>
      <c r="F6134" s="340" t="s">
        <v>3488</v>
      </c>
      <c r="G6134" s="340" t="s">
        <v>3533</v>
      </c>
      <c r="K6134" s="343">
        <v>0</v>
      </c>
      <c r="L6134" s="343">
        <v>-500</v>
      </c>
      <c r="M6134" s="343">
        <v>-300178.84000000003</v>
      </c>
      <c r="O6134" s="343">
        <v>0</v>
      </c>
    </row>
    <row r="6135" spans="1:15" x14ac:dyDescent="0.3">
      <c r="A6135" s="340" t="s">
        <v>3479</v>
      </c>
      <c r="B6135" s="350">
        <v>46081</v>
      </c>
      <c r="C6135" s="350">
        <v>46112</v>
      </c>
      <c r="D6135" s="351">
        <v>46082</v>
      </c>
      <c r="E6135" s="340" t="s">
        <v>3526</v>
      </c>
      <c r="F6135" s="340" t="s">
        <v>3488</v>
      </c>
      <c r="G6135" s="340" t="s">
        <v>3534</v>
      </c>
      <c r="K6135" s="343">
        <v>0</v>
      </c>
      <c r="L6135" s="343">
        <v>-500</v>
      </c>
      <c r="M6135" s="343">
        <v>-300678.84000000003</v>
      </c>
      <c r="O6135" s="343">
        <v>0</v>
      </c>
    </row>
    <row r="6136" spans="1:15" x14ac:dyDescent="0.3">
      <c r="A6136" s="340" t="s">
        <v>3479</v>
      </c>
      <c r="B6136" s="350">
        <v>46081</v>
      </c>
      <c r="C6136" s="350">
        <v>46112</v>
      </c>
      <c r="D6136" s="351">
        <v>46082</v>
      </c>
      <c r="E6136" s="340" t="s">
        <v>3526</v>
      </c>
      <c r="F6136" s="340" t="s">
        <v>3488</v>
      </c>
      <c r="G6136" s="340" t="s">
        <v>3535</v>
      </c>
      <c r="K6136" s="343">
        <v>0</v>
      </c>
      <c r="L6136" s="343">
        <v>-2350</v>
      </c>
      <c r="M6136" s="343">
        <v>-303028.84000000003</v>
      </c>
      <c r="O6136" s="343">
        <v>0</v>
      </c>
    </row>
    <row r="6137" spans="1:15" x14ac:dyDescent="0.3">
      <c r="A6137" s="340" t="s">
        <v>3479</v>
      </c>
      <c r="B6137" s="350">
        <v>46081</v>
      </c>
      <c r="C6137" s="350">
        <v>46112</v>
      </c>
      <c r="D6137" s="351">
        <v>46082</v>
      </c>
      <c r="E6137" s="340" t="s">
        <v>3526</v>
      </c>
      <c r="F6137" s="340" t="s">
        <v>3488</v>
      </c>
      <c r="G6137" s="340" t="s">
        <v>3536</v>
      </c>
      <c r="K6137" s="343">
        <v>0</v>
      </c>
      <c r="L6137" s="343">
        <v>-54.13</v>
      </c>
      <c r="M6137" s="343">
        <v>-303082.96999999997</v>
      </c>
      <c r="O6137" s="343">
        <v>0</v>
      </c>
    </row>
    <row r="6138" spans="1:15" x14ac:dyDescent="0.3">
      <c r="A6138" s="340" t="s">
        <v>3479</v>
      </c>
      <c r="B6138" s="350">
        <v>46081</v>
      </c>
      <c r="C6138" s="350">
        <v>46112</v>
      </c>
      <c r="D6138" s="351">
        <v>46082</v>
      </c>
      <c r="E6138" s="340" t="s">
        <v>3526</v>
      </c>
      <c r="F6138" s="340" t="s">
        <v>3488</v>
      </c>
      <c r="G6138" s="340" t="s">
        <v>3537</v>
      </c>
      <c r="K6138" s="343">
        <v>0</v>
      </c>
      <c r="L6138" s="343">
        <v>-103.71</v>
      </c>
      <c r="M6138" s="343">
        <v>-303186.68</v>
      </c>
      <c r="O6138" s="343">
        <v>0</v>
      </c>
    </row>
    <row r="6139" spans="1:15" x14ac:dyDescent="0.3">
      <c r="A6139" s="340" t="s">
        <v>3479</v>
      </c>
      <c r="B6139" s="350">
        <v>46081</v>
      </c>
      <c r="C6139" s="350">
        <v>46112</v>
      </c>
      <c r="D6139" s="351">
        <v>46082</v>
      </c>
      <c r="E6139" s="340" t="s">
        <v>3526</v>
      </c>
      <c r="F6139" s="340" t="s">
        <v>3488</v>
      </c>
      <c r="G6139" s="340" t="s">
        <v>3538</v>
      </c>
      <c r="K6139" s="343">
        <v>0</v>
      </c>
      <c r="L6139" s="343">
        <v>-149.9</v>
      </c>
      <c r="M6139" s="343">
        <v>-303336.58</v>
      </c>
      <c r="O6139" s="343">
        <v>0</v>
      </c>
    </row>
    <row r="6140" spans="1:15" x14ac:dyDescent="0.3">
      <c r="A6140" s="340" t="s">
        <v>3479</v>
      </c>
      <c r="B6140" s="350">
        <v>46081</v>
      </c>
      <c r="C6140" s="350">
        <v>46112</v>
      </c>
      <c r="D6140" s="351">
        <v>46082</v>
      </c>
      <c r="E6140" s="340" t="s">
        <v>3526</v>
      </c>
      <c r="F6140" s="340" t="s">
        <v>3488</v>
      </c>
      <c r="G6140" s="340" t="s">
        <v>3539</v>
      </c>
      <c r="K6140" s="343">
        <v>0</v>
      </c>
      <c r="L6140" s="343">
        <v>-54.13</v>
      </c>
      <c r="M6140" s="343">
        <v>-303390.71000000002</v>
      </c>
      <c r="O6140" s="343">
        <v>0</v>
      </c>
    </row>
    <row r="6141" spans="1:15" x14ac:dyDescent="0.3">
      <c r="A6141" s="340" t="s">
        <v>3479</v>
      </c>
      <c r="B6141" s="350">
        <v>46081</v>
      </c>
      <c r="C6141" s="350">
        <v>46112</v>
      </c>
      <c r="D6141" s="351">
        <v>46082</v>
      </c>
      <c r="E6141" s="340" t="s">
        <v>3526</v>
      </c>
      <c r="F6141" s="340" t="s">
        <v>3488</v>
      </c>
      <c r="G6141" s="340" t="s">
        <v>3540</v>
      </c>
      <c r="K6141" s="343">
        <v>0</v>
      </c>
      <c r="L6141" s="343">
        <v>-539.80999999999995</v>
      </c>
      <c r="M6141" s="343">
        <v>-303930.52</v>
      </c>
      <c r="O6141" s="343">
        <v>0</v>
      </c>
    </row>
    <row r="6142" spans="1:15" x14ac:dyDescent="0.3">
      <c r="A6142" s="340" t="s">
        <v>3479</v>
      </c>
      <c r="B6142" s="350">
        <v>46081</v>
      </c>
      <c r="C6142" s="350">
        <v>46112</v>
      </c>
      <c r="D6142" s="351">
        <v>46082</v>
      </c>
      <c r="E6142" s="340" t="s">
        <v>3526</v>
      </c>
      <c r="F6142" s="340" t="s">
        <v>3488</v>
      </c>
      <c r="G6142" s="340" t="s">
        <v>3541</v>
      </c>
      <c r="K6142" s="343">
        <v>0</v>
      </c>
      <c r="L6142" s="343">
        <v>-155</v>
      </c>
      <c r="M6142" s="343">
        <v>-304085.52</v>
      </c>
      <c r="O6142" s="343">
        <v>0</v>
      </c>
    </row>
    <row r="6143" spans="1:15" x14ac:dyDescent="0.3">
      <c r="A6143" s="340" t="s">
        <v>3479</v>
      </c>
      <c r="B6143" s="350">
        <v>46081</v>
      </c>
      <c r="C6143" s="350">
        <v>46112</v>
      </c>
      <c r="D6143" s="351">
        <v>46082</v>
      </c>
      <c r="E6143" s="340" t="s">
        <v>3526</v>
      </c>
      <c r="F6143" s="340" t="s">
        <v>3488</v>
      </c>
      <c r="G6143" s="340" t="s">
        <v>3542</v>
      </c>
      <c r="K6143" s="343">
        <v>0</v>
      </c>
      <c r="L6143" s="343">
        <v>-500</v>
      </c>
      <c r="M6143" s="343">
        <v>-304585.52</v>
      </c>
      <c r="O6143" s="343">
        <v>0</v>
      </c>
    </row>
    <row r="6144" spans="1:15" x14ac:dyDescent="0.3">
      <c r="A6144" s="340" t="s">
        <v>3479</v>
      </c>
      <c r="B6144" s="350">
        <v>46081</v>
      </c>
      <c r="C6144" s="350">
        <v>46112</v>
      </c>
      <c r="D6144" s="351">
        <v>46082</v>
      </c>
      <c r="E6144" s="340" t="s">
        <v>3526</v>
      </c>
      <c r="F6144" s="340" t="s">
        <v>3488</v>
      </c>
      <c r="G6144" s="340" t="s">
        <v>3543</v>
      </c>
      <c r="K6144" s="343">
        <v>0</v>
      </c>
      <c r="L6144" s="343">
        <v>-2008.5</v>
      </c>
      <c r="M6144" s="343">
        <v>-306594.02</v>
      </c>
      <c r="O6144" s="343">
        <v>0</v>
      </c>
    </row>
    <row r="6145" spans="1:15" x14ac:dyDescent="0.3">
      <c r="A6145" s="340" t="s">
        <v>3479</v>
      </c>
      <c r="B6145" s="350">
        <v>46081</v>
      </c>
      <c r="C6145" s="350">
        <v>46112</v>
      </c>
      <c r="D6145" s="351">
        <v>46082</v>
      </c>
      <c r="E6145" s="340" t="s">
        <v>3526</v>
      </c>
      <c r="F6145" s="340" t="s">
        <v>3488</v>
      </c>
      <c r="G6145" s="340" t="s">
        <v>3544</v>
      </c>
      <c r="K6145" s="343">
        <v>0</v>
      </c>
      <c r="L6145" s="343">
        <v>-223.71</v>
      </c>
      <c r="M6145" s="343">
        <v>-306817.73</v>
      </c>
      <c r="O6145" s="343">
        <v>0</v>
      </c>
    </row>
    <row r="6146" spans="1:15" x14ac:dyDescent="0.3">
      <c r="A6146" s="340" t="s">
        <v>3479</v>
      </c>
      <c r="B6146" s="350">
        <v>46081</v>
      </c>
      <c r="C6146" s="350">
        <v>46112</v>
      </c>
      <c r="D6146" s="351">
        <v>46082</v>
      </c>
      <c r="E6146" s="340" t="s">
        <v>3545</v>
      </c>
      <c r="F6146" s="340" t="s">
        <v>3488</v>
      </c>
      <c r="G6146" s="340" t="s">
        <v>3546</v>
      </c>
      <c r="K6146" s="343">
        <v>0</v>
      </c>
      <c r="L6146" s="343">
        <v>-154.9</v>
      </c>
      <c r="M6146" s="343">
        <v>-306972.63</v>
      </c>
      <c r="O6146" s="343">
        <v>0</v>
      </c>
    </row>
    <row r="6147" spans="1:15" x14ac:dyDescent="0.3">
      <c r="A6147" s="340" t="s">
        <v>3479</v>
      </c>
      <c r="B6147" s="350">
        <v>46081</v>
      </c>
      <c r="C6147" s="350">
        <v>46112</v>
      </c>
      <c r="D6147" s="351">
        <v>46082</v>
      </c>
      <c r="E6147" s="340" t="s">
        <v>3547</v>
      </c>
      <c r="F6147" s="340" t="s">
        <v>3488</v>
      </c>
      <c r="G6147" s="340" t="s">
        <v>3548</v>
      </c>
      <c r="K6147" s="343">
        <v>0</v>
      </c>
      <c r="L6147" s="343">
        <v>-693.91</v>
      </c>
      <c r="M6147" s="343">
        <v>-307666.53999999998</v>
      </c>
      <c r="O6147" s="343">
        <v>0</v>
      </c>
    </row>
    <row r="6148" spans="1:15" x14ac:dyDescent="0.3">
      <c r="A6148" s="340" t="s">
        <v>3479</v>
      </c>
      <c r="B6148" s="350">
        <v>46082</v>
      </c>
      <c r="C6148" s="350">
        <v>46086</v>
      </c>
      <c r="D6148" s="351">
        <v>46082</v>
      </c>
      <c r="E6148" s="340" t="s">
        <v>3549</v>
      </c>
      <c r="F6148" s="340" t="s">
        <v>3481</v>
      </c>
      <c r="G6148" s="340" t="s">
        <v>3522</v>
      </c>
      <c r="K6148" s="343">
        <v>51072.73</v>
      </c>
      <c r="L6148" s="343">
        <v>0</v>
      </c>
      <c r="M6148" s="343">
        <v>-256593.81</v>
      </c>
      <c r="O6148" s="343">
        <v>0</v>
      </c>
    </row>
    <row r="6149" spans="1:15" x14ac:dyDescent="0.3">
      <c r="A6149" s="340" t="s">
        <v>3479</v>
      </c>
      <c r="B6149" s="350">
        <v>46082</v>
      </c>
      <c r="C6149" s="350">
        <v>46094</v>
      </c>
      <c r="D6149" s="351">
        <v>46082</v>
      </c>
      <c r="E6149" s="340" t="s">
        <v>3550</v>
      </c>
      <c r="F6149" s="340" t="s">
        <v>3481</v>
      </c>
      <c r="G6149" s="340" t="s">
        <v>3525</v>
      </c>
      <c r="K6149" s="343">
        <v>0</v>
      </c>
      <c r="L6149" s="343">
        <v>-6069.84</v>
      </c>
      <c r="M6149" s="343">
        <v>-262663.65000000002</v>
      </c>
      <c r="O6149" s="343">
        <v>0</v>
      </c>
    </row>
    <row r="6150" spans="1:15" x14ac:dyDescent="0.3">
      <c r="A6150" s="340" t="s">
        <v>3479</v>
      </c>
      <c r="B6150" s="350">
        <v>46082</v>
      </c>
      <c r="C6150" s="350">
        <v>46150</v>
      </c>
      <c r="D6150" s="351">
        <v>46082</v>
      </c>
      <c r="E6150" s="340" t="s">
        <v>3551</v>
      </c>
      <c r="F6150" s="340" t="s">
        <v>3488</v>
      </c>
      <c r="G6150" s="340" t="s">
        <v>3509</v>
      </c>
      <c r="K6150" s="343">
        <v>0</v>
      </c>
      <c r="L6150" s="343">
        <v>-2000</v>
      </c>
      <c r="M6150" s="343">
        <v>-264663.65000000002</v>
      </c>
      <c r="O6150" s="343">
        <v>0</v>
      </c>
    </row>
    <row r="6151" spans="1:15" x14ac:dyDescent="0.3">
      <c r="A6151" s="340" t="s">
        <v>3479</v>
      </c>
      <c r="B6151" s="350">
        <v>46084</v>
      </c>
      <c r="C6151" s="350">
        <v>46094</v>
      </c>
      <c r="D6151" s="351">
        <v>46054</v>
      </c>
      <c r="E6151" s="340" t="s">
        <v>3552</v>
      </c>
      <c r="F6151" s="340" t="s">
        <v>3488</v>
      </c>
      <c r="G6151" s="340" t="s">
        <v>3553</v>
      </c>
      <c r="K6151" s="343">
        <v>0</v>
      </c>
      <c r="L6151" s="343">
        <v>-22119.97</v>
      </c>
      <c r="M6151" s="343">
        <v>-286783.62</v>
      </c>
      <c r="O6151" s="343">
        <v>0</v>
      </c>
    </row>
    <row r="6152" spans="1:15" x14ac:dyDescent="0.3">
      <c r="A6152" s="340" t="s">
        <v>3479</v>
      </c>
      <c r="B6152" s="350">
        <v>46084</v>
      </c>
      <c r="C6152" s="350">
        <v>46094</v>
      </c>
      <c r="D6152" s="351">
        <v>46054</v>
      </c>
      <c r="E6152" s="340" t="s">
        <v>3552</v>
      </c>
      <c r="F6152" s="340" t="s">
        <v>3488</v>
      </c>
      <c r="G6152" s="340" t="s">
        <v>3554</v>
      </c>
      <c r="K6152" s="343">
        <v>0</v>
      </c>
      <c r="L6152" s="343">
        <v>-1980</v>
      </c>
      <c r="M6152" s="343">
        <v>-288763.62</v>
      </c>
      <c r="O6152" s="343">
        <v>0</v>
      </c>
    </row>
    <row r="6153" spans="1:15" x14ac:dyDescent="0.3">
      <c r="A6153" s="340" t="s">
        <v>3479</v>
      </c>
      <c r="B6153" s="350">
        <v>46084</v>
      </c>
      <c r="C6153" s="350">
        <v>46094</v>
      </c>
      <c r="D6153" s="351">
        <v>46054</v>
      </c>
      <c r="E6153" s="340" t="s">
        <v>3552</v>
      </c>
      <c r="F6153" s="340" t="s">
        <v>3488</v>
      </c>
      <c r="G6153" s="340" t="s">
        <v>3555</v>
      </c>
      <c r="K6153" s="343">
        <v>0</v>
      </c>
      <c r="L6153" s="343">
        <v>-8043.62</v>
      </c>
      <c r="M6153" s="343">
        <v>-296807.24</v>
      </c>
      <c r="O6153" s="343">
        <v>0</v>
      </c>
    </row>
    <row r="6154" spans="1:15" x14ac:dyDescent="0.3">
      <c r="A6154" s="340" t="s">
        <v>3479</v>
      </c>
      <c r="B6154" s="350">
        <v>46084</v>
      </c>
      <c r="C6154" s="350">
        <v>46094</v>
      </c>
      <c r="D6154" s="351">
        <v>46054</v>
      </c>
      <c r="E6154" s="340" t="s">
        <v>3552</v>
      </c>
      <c r="F6154" s="340" t="s">
        <v>3488</v>
      </c>
      <c r="G6154" s="340" t="s">
        <v>3555</v>
      </c>
      <c r="K6154" s="343">
        <v>0</v>
      </c>
      <c r="L6154" s="343">
        <v>-8043.62</v>
      </c>
      <c r="M6154" s="343">
        <v>-304850.86</v>
      </c>
      <c r="O6154" s="343">
        <v>0</v>
      </c>
    </row>
    <row r="6155" spans="1:15" x14ac:dyDescent="0.3">
      <c r="A6155" s="340" t="s">
        <v>3479</v>
      </c>
      <c r="B6155" s="350">
        <v>46097</v>
      </c>
      <c r="C6155" s="350">
        <v>46099</v>
      </c>
      <c r="D6155" s="351">
        <v>46082</v>
      </c>
      <c r="E6155" s="340" t="s">
        <v>3556</v>
      </c>
      <c r="F6155" s="340" t="s">
        <v>3488</v>
      </c>
      <c r="G6155" s="340" t="s">
        <v>3557</v>
      </c>
      <c r="K6155" s="343">
        <v>21647.83</v>
      </c>
      <c r="L6155" s="343">
        <v>0</v>
      </c>
      <c r="M6155" s="343">
        <v>-283203.03000000003</v>
      </c>
      <c r="O6155" s="343">
        <v>0</v>
      </c>
    </row>
    <row r="6156" spans="1:15" x14ac:dyDescent="0.3">
      <c r="A6156" s="340" t="s">
        <v>3479</v>
      </c>
      <c r="B6156" s="350">
        <v>46097</v>
      </c>
      <c r="C6156" s="350">
        <v>46099</v>
      </c>
      <c r="D6156" s="351">
        <v>46082</v>
      </c>
      <c r="E6156" s="340" t="s">
        <v>3556</v>
      </c>
      <c r="F6156" s="340" t="s">
        <v>3488</v>
      </c>
      <c r="G6156" s="340" t="s">
        <v>3557</v>
      </c>
      <c r="K6156" s="343">
        <v>2452.14</v>
      </c>
      <c r="L6156" s="343">
        <v>0</v>
      </c>
      <c r="M6156" s="343">
        <v>-280750.89</v>
      </c>
      <c r="O6156" s="343">
        <v>0</v>
      </c>
    </row>
    <row r="6157" spans="1:15" x14ac:dyDescent="0.3">
      <c r="A6157" s="340" t="s">
        <v>3479</v>
      </c>
      <c r="B6157" s="350">
        <v>46100</v>
      </c>
      <c r="C6157" s="350">
        <v>46100</v>
      </c>
      <c r="D6157" s="351">
        <v>46082</v>
      </c>
      <c r="E6157" s="340" t="s">
        <v>3558</v>
      </c>
      <c r="F6157" s="340" t="s">
        <v>3488</v>
      </c>
      <c r="G6157" s="340" t="s">
        <v>3559</v>
      </c>
      <c r="K6157" s="343">
        <v>0</v>
      </c>
      <c r="L6157" s="343">
        <v>-3000</v>
      </c>
      <c r="M6157" s="343">
        <v>-283750.89</v>
      </c>
      <c r="O6157" s="343">
        <v>0</v>
      </c>
    </row>
    <row r="6158" spans="1:15" x14ac:dyDescent="0.3">
      <c r="A6158" s="340" t="s">
        <v>3479</v>
      </c>
      <c r="B6158" s="350">
        <v>46108</v>
      </c>
      <c r="C6158" s="350">
        <v>46108</v>
      </c>
      <c r="D6158" s="351">
        <v>46082</v>
      </c>
      <c r="E6158" s="340" t="s">
        <v>3560</v>
      </c>
      <c r="F6158" s="340" t="s">
        <v>3488</v>
      </c>
      <c r="G6158" s="340" t="s">
        <v>3561</v>
      </c>
      <c r="K6158" s="343">
        <v>13099.97</v>
      </c>
      <c r="L6158" s="343">
        <v>0</v>
      </c>
      <c r="M6158" s="343">
        <v>-270650.92</v>
      </c>
      <c r="O6158" s="343">
        <v>0</v>
      </c>
    </row>
    <row r="6159" spans="1:15" x14ac:dyDescent="0.3">
      <c r="A6159" s="340" t="s">
        <v>3479</v>
      </c>
      <c r="B6159" s="350">
        <v>46108</v>
      </c>
      <c r="C6159" s="350">
        <v>46108</v>
      </c>
      <c r="D6159" s="351">
        <v>46082</v>
      </c>
      <c r="E6159" s="340" t="s">
        <v>3562</v>
      </c>
      <c r="F6159" s="340" t="s">
        <v>3488</v>
      </c>
      <c r="G6159" s="340" t="s">
        <v>3563</v>
      </c>
      <c r="K6159" s="343">
        <v>7000</v>
      </c>
      <c r="L6159" s="343">
        <v>0</v>
      </c>
      <c r="M6159" s="343">
        <v>-263650.92</v>
      </c>
      <c r="O6159" s="343">
        <v>0</v>
      </c>
    </row>
    <row r="6160" spans="1:15" x14ac:dyDescent="0.3">
      <c r="A6160" s="340" t="s">
        <v>3479</v>
      </c>
      <c r="B6160" s="350">
        <v>46111</v>
      </c>
      <c r="C6160" s="350">
        <v>46119</v>
      </c>
      <c r="D6160" s="351">
        <v>46082</v>
      </c>
      <c r="E6160" s="340" t="s">
        <v>3564</v>
      </c>
      <c r="F6160" s="340" t="s">
        <v>3488</v>
      </c>
      <c r="G6160" s="340" t="s">
        <v>3565</v>
      </c>
      <c r="K6160" s="343">
        <v>0</v>
      </c>
      <c r="L6160" s="343">
        <v>-23333.81</v>
      </c>
      <c r="M6160" s="343">
        <v>-286984.73</v>
      </c>
      <c r="O6160" s="343">
        <v>0</v>
      </c>
    </row>
    <row r="6161" spans="1:15" x14ac:dyDescent="0.3">
      <c r="A6161" s="340" t="s">
        <v>3479</v>
      </c>
      <c r="B6161" s="350">
        <v>46111</v>
      </c>
      <c r="C6161" s="350">
        <v>46119</v>
      </c>
      <c r="D6161" s="351">
        <v>46082</v>
      </c>
      <c r="E6161" s="340" t="s">
        <v>3564</v>
      </c>
      <c r="F6161" s="340" t="s">
        <v>3488</v>
      </c>
      <c r="G6161" s="340" t="s">
        <v>3555</v>
      </c>
      <c r="K6161" s="343">
        <v>0</v>
      </c>
      <c r="L6161" s="343">
        <v>-7765.02</v>
      </c>
      <c r="M6161" s="343">
        <v>-294749.75</v>
      </c>
      <c r="O6161" s="343">
        <v>0</v>
      </c>
    </row>
    <row r="6162" spans="1:15" x14ac:dyDescent="0.3">
      <c r="A6162" s="340" t="s">
        <v>3479</v>
      </c>
      <c r="B6162" s="350">
        <v>46111</v>
      </c>
      <c r="C6162" s="350">
        <v>46119</v>
      </c>
      <c r="D6162" s="351">
        <v>46082</v>
      </c>
      <c r="E6162" s="340" t="s">
        <v>3564</v>
      </c>
      <c r="F6162" s="340" t="s">
        <v>3488</v>
      </c>
      <c r="G6162" s="340" t="s">
        <v>3555</v>
      </c>
      <c r="K6162" s="343">
        <v>0</v>
      </c>
      <c r="L6162" s="343">
        <v>-7765.02</v>
      </c>
      <c r="M6162" s="343">
        <v>-302514.77</v>
      </c>
      <c r="O6162" s="343">
        <v>0</v>
      </c>
    </row>
    <row r="6163" spans="1:15" x14ac:dyDescent="0.3">
      <c r="A6163" s="340" t="s">
        <v>3479</v>
      </c>
      <c r="B6163" s="350">
        <v>46112</v>
      </c>
      <c r="C6163" s="350">
        <v>46112</v>
      </c>
      <c r="D6163" s="351">
        <v>46082</v>
      </c>
      <c r="E6163" s="340" t="s">
        <v>3566</v>
      </c>
      <c r="F6163" s="340" t="s">
        <v>3488</v>
      </c>
      <c r="G6163" s="340" t="s">
        <v>3567</v>
      </c>
      <c r="K6163" s="343">
        <v>0</v>
      </c>
      <c r="L6163" s="343">
        <v>-1455.92</v>
      </c>
      <c r="M6163" s="343">
        <v>-303970.69</v>
      </c>
      <c r="O6163" s="343">
        <v>0</v>
      </c>
    </row>
    <row r="6164" spans="1:15" x14ac:dyDescent="0.3">
      <c r="A6164" s="340" t="s">
        <v>3479</v>
      </c>
      <c r="B6164" s="350">
        <v>46112</v>
      </c>
      <c r="C6164" s="350">
        <v>46112</v>
      </c>
      <c r="D6164" s="351">
        <v>46082</v>
      </c>
      <c r="E6164" s="340" t="s">
        <v>3568</v>
      </c>
      <c r="F6164" s="340" t="s">
        <v>3488</v>
      </c>
      <c r="G6164" s="340" t="s">
        <v>3569</v>
      </c>
      <c r="K6164" s="343">
        <v>23330</v>
      </c>
      <c r="L6164" s="343">
        <v>0</v>
      </c>
      <c r="M6164" s="343">
        <v>-280640.69</v>
      </c>
      <c r="O6164" s="343">
        <v>0</v>
      </c>
    </row>
    <row r="6165" spans="1:15" x14ac:dyDescent="0.3">
      <c r="A6165" s="340" t="s">
        <v>3479</v>
      </c>
      <c r="B6165" s="350">
        <v>46112</v>
      </c>
      <c r="C6165" s="350">
        <v>46114</v>
      </c>
      <c r="D6165" s="351">
        <v>46082</v>
      </c>
      <c r="E6165" s="340" t="s">
        <v>3570</v>
      </c>
      <c r="F6165" s="340" t="s">
        <v>3488</v>
      </c>
      <c r="G6165" s="340" t="s">
        <v>3571</v>
      </c>
      <c r="K6165" s="343">
        <v>0</v>
      </c>
      <c r="L6165" s="343">
        <v>-74144.960000000006</v>
      </c>
      <c r="M6165" s="343">
        <v>-354785.65</v>
      </c>
      <c r="O6165" s="343">
        <v>0</v>
      </c>
    </row>
    <row r="6166" spans="1:15" x14ac:dyDescent="0.3">
      <c r="A6166" s="340" t="s">
        <v>3479</v>
      </c>
      <c r="B6166" s="350">
        <v>46113</v>
      </c>
      <c r="C6166" s="350">
        <v>46112</v>
      </c>
      <c r="D6166" s="351">
        <v>46113</v>
      </c>
      <c r="E6166" s="340" t="s">
        <v>3572</v>
      </c>
      <c r="F6166" s="340" t="s">
        <v>3481</v>
      </c>
      <c r="G6166" s="340" t="s">
        <v>3567</v>
      </c>
      <c r="K6166" s="343">
        <v>1455.92</v>
      </c>
      <c r="L6166" s="343">
        <v>0</v>
      </c>
      <c r="M6166" s="343">
        <v>-353329.73</v>
      </c>
      <c r="O6166" s="343">
        <v>0</v>
      </c>
    </row>
    <row r="6167" spans="1:15" x14ac:dyDescent="0.3">
      <c r="A6167" s="340" t="s">
        <v>3479</v>
      </c>
      <c r="B6167" s="350">
        <v>46113</v>
      </c>
      <c r="C6167" s="350">
        <v>46112</v>
      </c>
      <c r="D6167" s="351">
        <v>46113</v>
      </c>
      <c r="E6167" s="340" t="s">
        <v>3573</v>
      </c>
      <c r="F6167" s="340" t="s">
        <v>3481</v>
      </c>
      <c r="G6167" s="340" t="s">
        <v>3571</v>
      </c>
      <c r="K6167" s="343">
        <v>74144.960000000006</v>
      </c>
      <c r="L6167" s="343">
        <v>0</v>
      </c>
      <c r="M6167" s="343">
        <v>-279184.77</v>
      </c>
      <c r="O6167" s="343">
        <v>0</v>
      </c>
    </row>
    <row r="6168" spans="1:15" x14ac:dyDescent="0.3">
      <c r="A6168" s="340" t="s">
        <v>3479</v>
      </c>
      <c r="B6168" s="350">
        <v>46113</v>
      </c>
      <c r="C6168" s="350">
        <v>46112</v>
      </c>
      <c r="D6168" s="351">
        <v>46113</v>
      </c>
      <c r="E6168" s="340" t="s">
        <v>3574</v>
      </c>
      <c r="F6168" s="340" t="s">
        <v>3481</v>
      </c>
      <c r="G6168" s="340" t="s">
        <v>3527</v>
      </c>
      <c r="K6168" s="343">
        <v>39.450000000000003</v>
      </c>
      <c r="L6168" s="343">
        <v>0</v>
      </c>
      <c r="M6168" s="343">
        <v>-279145.32</v>
      </c>
      <c r="O6168" s="343">
        <v>0</v>
      </c>
    </row>
    <row r="6169" spans="1:15" x14ac:dyDescent="0.3">
      <c r="A6169" s="340" t="s">
        <v>3479</v>
      </c>
      <c r="B6169" s="350">
        <v>46113</v>
      </c>
      <c r="C6169" s="350">
        <v>46112</v>
      </c>
      <c r="D6169" s="351">
        <v>46113</v>
      </c>
      <c r="E6169" s="340" t="s">
        <v>3574</v>
      </c>
      <c r="F6169" s="340" t="s">
        <v>3481</v>
      </c>
      <c r="G6169" s="340" t="s">
        <v>3528</v>
      </c>
      <c r="K6169" s="343">
        <v>399.45</v>
      </c>
      <c r="L6169" s="343">
        <v>0</v>
      </c>
      <c r="M6169" s="343">
        <v>-278745.87</v>
      </c>
      <c r="O6169" s="343">
        <v>0</v>
      </c>
    </row>
    <row r="6170" spans="1:15" x14ac:dyDescent="0.3">
      <c r="A6170" s="340" t="s">
        <v>3479</v>
      </c>
      <c r="B6170" s="350">
        <v>46113</v>
      </c>
      <c r="C6170" s="350">
        <v>46112</v>
      </c>
      <c r="D6170" s="351">
        <v>46113</v>
      </c>
      <c r="E6170" s="340" t="s">
        <v>3574</v>
      </c>
      <c r="F6170" s="340" t="s">
        <v>3481</v>
      </c>
      <c r="G6170" s="340" t="s">
        <v>3529</v>
      </c>
      <c r="K6170" s="343">
        <v>159.9</v>
      </c>
      <c r="L6170" s="343">
        <v>0</v>
      </c>
      <c r="M6170" s="343">
        <v>-278585.96999999997</v>
      </c>
      <c r="O6170" s="343">
        <v>0</v>
      </c>
    </row>
    <row r="6171" spans="1:15" x14ac:dyDescent="0.3">
      <c r="A6171" s="340" t="s">
        <v>3479</v>
      </c>
      <c r="B6171" s="350">
        <v>46113</v>
      </c>
      <c r="C6171" s="350">
        <v>46112</v>
      </c>
      <c r="D6171" s="351">
        <v>46113</v>
      </c>
      <c r="E6171" s="340" t="s">
        <v>3574</v>
      </c>
      <c r="F6171" s="340" t="s">
        <v>3481</v>
      </c>
      <c r="G6171" s="340" t="s">
        <v>3530</v>
      </c>
      <c r="K6171" s="343">
        <v>1571.79</v>
      </c>
      <c r="L6171" s="343">
        <v>0</v>
      </c>
      <c r="M6171" s="343">
        <v>-277014.18</v>
      </c>
      <c r="O6171" s="343">
        <v>0</v>
      </c>
    </row>
    <row r="6172" spans="1:15" x14ac:dyDescent="0.3">
      <c r="A6172" s="340" t="s">
        <v>3479</v>
      </c>
      <c r="B6172" s="350">
        <v>46113</v>
      </c>
      <c r="C6172" s="350">
        <v>46112</v>
      </c>
      <c r="D6172" s="351">
        <v>46113</v>
      </c>
      <c r="E6172" s="340" t="s">
        <v>3574</v>
      </c>
      <c r="F6172" s="340" t="s">
        <v>3481</v>
      </c>
      <c r="G6172" s="340" t="s">
        <v>3531</v>
      </c>
      <c r="K6172" s="343">
        <v>500</v>
      </c>
      <c r="L6172" s="343">
        <v>0</v>
      </c>
      <c r="M6172" s="343">
        <v>-276514.18</v>
      </c>
      <c r="O6172" s="343">
        <v>0</v>
      </c>
    </row>
    <row r="6173" spans="1:15" x14ac:dyDescent="0.3">
      <c r="A6173" s="340" t="s">
        <v>3479</v>
      </c>
      <c r="B6173" s="350">
        <v>46113</v>
      </c>
      <c r="C6173" s="350">
        <v>46112</v>
      </c>
      <c r="D6173" s="351">
        <v>46113</v>
      </c>
      <c r="E6173" s="340" t="s">
        <v>3574</v>
      </c>
      <c r="F6173" s="340" t="s">
        <v>3481</v>
      </c>
      <c r="G6173" s="340" t="s">
        <v>3532</v>
      </c>
      <c r="K6173" s="343">
        <v>500</v>
      </c>
      <c r="L6173" s="343">
        <v>0</v>
      </c>
      <c r="M6173" s="343">
        <v>-276014.18</v>
      </c>
      <c r="O6173" s="343">
        <v>0</v>
      </c>
    </row>
    <row r="6174" spans="1:15" x14ac:dyDescent="0.3">
      <c r="A6174" s="340" t="s">
        <v>3479</v>
      </c>
      <c r="B6174" s="350">
        <v>46113</v>
      </c>
      <c r="C6174" s="350">
        <v>46112</v>
      </c>
      <c r="D6174" s="351">
        <v>46113</v>
      </c>
      <c r="E6174" s="340" t="s">
        <v>3574</v>
      </c>
      <c r="F6174" s="340" t="s">
        <v>3481</v>
      </c>
      <c r="G6174" s="340" t="s">
        <v>3533</v>
      </c>
      <c r="K6174" s="343">
        <v>500</v>
      </c>
      <c r="L6174" s="343">
        <v>0</v>
      </c>
      <c r="M6174" s="343">
        <v>-275514.18</v>
      </c>
      <c r="O6174" s="343">
        <v>0</v>
      </c>
    </row>
    <row r="6175" spans="1:15" x14ac:dyDescent="0.3">
      <c r="A6175" s="340" t="s">
        <v>3479</v>
      </c>
      <c r="B6175" s="350">
        <v>46113</v>
      </c>
      <c r="C6175" s="350">
        <v>46112</v>
      </c>
      <c r="D6175" s="351">
        <v>46113</v>
      </c>
      <c r="E6175" s="340" t="s">
        <v>3574</v>
      </c>
      <c r="F6175" s="340" t="s">
        <v>3481</v>
      </c>
      <c r="G6175" s="340" t="s">
        <v>3534</v>
      </c>
      <c r="K6175" s="343">
        <v>500</v>
      </c>
      <c r="L6175" s="343">
        <v>0</v>
      </c>
      <c r="M6175" s="343">
        <v>-275014.18</v>
      </c>
      <c r="O6175" s="343">
        <v>0</v>
      </c>
    </row>
    <row r="6176" spans="1:15" x14ac:dyDescent="0.3">
      <c r="A6176" s="340" t="s">
        <v>3479</v>
      </c>
      <c r="B6176" s="350">
        <v>46113</v>
      </c>
      <c r="C6176" s="350">
        <v>46112</v>
      </c>
      <c r="D6176" s="351">
        <v>46113</v>
      </c>
      <c r="E6176" s="340" t="s">
        <v>3574</v>
      </c>
      <c r="F6176" s="340" t="s">
        <v>3481</v>
      </c>
      <c r="G6176" s="340" t="s">
        <v>3535</v>
      </c>
      <c r="K6176" s="343">
        <v>2350</v>
      </c>
      <c r="L6176" s="343">
        <v>0</v>
      </c>
      <c r="M6176" s="343">
        <v>-272664.18</v>
      </c>
      <c r="O6176" s="343">
        <v>0</v>
      </c>
    </row>
    <row r="6177" spans="1:15" x14ac:dyDescent="0.3">
      <c r="A6177" s="340" t="s">
        <v>3479</v>
      </c>
      <c r="B6177" s="350">
        <v>46113</v>
      </c>
      <c r="C6177" s="350">
        <v>46112</v>
      </c>
      <c r="D6177" s="351">
        <v>46113</v>
      </c>
      <c r="E6177" s="340" t="s">
        <v>3574</v>
      </c>
      <c r="F6177" s="340" t="s">
        <v>3481</v>
      </c>
      <c r="G6177" s="340" t="s">
        <v>3536</v>
      </c>
      <c r="K6177" s="343">
        <v>54.13</v>
      </c>
      <c r="L6177" s="343">
        <v>0</v>
      </c>
      <c r="M6177" s="343">
        <v>-272610.05</v>
      </c>
      <c r="O6177" s="343">
        <v>0</v>
      </c>
    </row>
    <row r="6178" spans="1:15" x14ac:dyDescent="0.3">
      <c r="A6178" s="340" t="s">
        <v>3479</v>
      </c>
      <c r="B6178" s="350">
        <v>46113</v>
      </c>
      <c r="C6178" s="350">
        <v>46112</v>
      </c>
      <c r="D6178" s="351">
        <v>46113</v>
      </c>
      <c r="E6178" s="340" t="s">
        <v>3574</v>
      </c>
      <c r="F6178" s="340" t="s">
        <v>3481</v>
      </c>
      <c r="G6178" s="340" t="s">
        <v>3537</v>
      </c>
      <c r="K6178" s="343">
        <v>103.71</v>
      </c>
      <c r="L6178" s="343">
        <v>0</v>
      </c>
      <c r="M6178" s="343">
        <v>-272506.34000000003</v>
      </c>
      <c r="O6178" s="343">
        <v>0</v>
      </c>
    </row>
    <row r="6179" spans="1:15" x14ac:dyDescent="0.3">
      <c r="A6179" s="340" t="s">
        <v>3479</v>
      </c>
      <c r="B6179" s="350">
        <v>46113</v>
      </c>
      <c r="C6179" s="350">
        <v>46112</v>
      </c>
      <c r="D6179" s="351">
        <v>46113</v>
      </c>
      <c r="E6179" s="340" t="s">
        <v>3574</v>
      </c>
      <c r="F6179" s="340" t="s">
        <v>3481</v>
      </c>
      <c r="G6179" s="340" t="s">
        <v>3538</v>
      </c>
      <c r="K6179" s="343">
        <v>149.9</v>
      </c>
      <c r="L6179" s="343">
        <v>0</v>
      </c>
      <c r="M6179" s="343">
        <v>-272356.44</v>
      </c>
      <c r="O6179" s="343">
        <v>0</v>
      </c>
    </row>
    <row r="6180" spans="1:15" x14ac:dyDescent="0.3">
      <c r="A6180" s="340" t="s">
        <v>3479</v>
      </c>
      <c r="B6180" s="350">
        <v>46113</v>
      </c>
      <c r="C6180" s="350">
        <v>46112</v>
      </c>
      <c r="D6180" s="351">
        <v>46113</v>
      </c>
      <c r="E6180" s="340" t="s">
        <v>3574</v>
      </c>
      <c r="F6180" s="340" t="s">
        <v>3481</v>
      </c>
      <c r="G6180" s="340" t="s">
        <v>3539</v>
      </c>
      <c r="K6180" s="343">
        <v>54.13</v>
      </c>
      <c r="L6180" s="343">
        <v>0</v>
      </c>
      <c r="M6180" s="343">
        <v>-272302.31</v>
      </c>
      <c r="O6180" s="343">
        <v>0</v>
      </c>
    </row>
    <row r="6181" spans="1:15" x14ac:dyDescent="0.3">
      <c r="A6181" s="340" t="s">
        <v>3479</v>
      </c>
      <c r="B6181" s="350">
        <v>46113</v>
      </c>
      <c r="C6181" s="350">
        <v>46112</v>
      </c>
      <c r="D6181" s="351">
        <v>46113</v>
      </c>
      <c r="E6181" s="340" t="s">
        <v>3574</v>
      </c>
      <c r="F6181" s="340" t="s">
        <v>3481</v>
      </c>
      <c r="G6181" s="340" t="s">
        <v>3540</v>
      </c>
      <c r="K6181" s="343">
        <v>539.80999999999995</v>
      </c>
      <c r="L6181" s="343">
        <v>0</v>
      </c>
      <c r="M6181" s="343">
        <v>-271762.5</v>
      </c>
      <c r="O6181" s="343">
        <v>0</v>
      </c>
    </row>
    <row r="6182" spans="1:15" x14ac:dyDescent="0.3">
      <c r="A6182" s="340" t="s">
        <v>3479</v>
      </c>
      <c r="B6182" s="350">
        <v>46113</v>
      </c>
      <c r="C6182" s="350">
        <v>46112</v>
      </c>
      <c r="D6182" s="351">
        <v>46113</v>
      </c>
      <c r="E6182" s="340" t="s">
        <v>3574</v>
      </c>
      <c r="F6182" s="340" t="s">
        <v>3481</v>
      </c>
      <c r="G6182" s="340" t="s">
        <v>3541</v>
      </c>
      <c r="K6182" s="343">
        <v>155</v>
      </c>
      <c r="L6182" s="343">
        <v>0</v>
      </c>
      <c r="M6182" s="343">
        <v>-271607.5</v>
      </c>
      <c r="O6182" s="343">
        <v>0</v>
      </c>
    </row>
    <row r="6183" spans="1:15" x14ac:dyDescent="0.3">
      <c r="A6183" s="340" t="s">
        <v>3479</v>
      </c>
      <c r="B6183" s="350">
        <v>46113</v>
      </c>
      <c r="C6183" s="350">
        <v>46112</v>
      </c>
      <c r="D6183" s="351">
        <v>46113</v>
      </c>
      <c r="E6183" s="340" t="s">
        <v>3574</v>
      </c>
      <c r="F6183" s="340" t="s">
        <v>3481</v>
      </c>
      <c r="G6183" s="340" t="s">
        <v>3542</v>
      </c>
      <c r="K6183" s="343">
        <v>500</v>
      </c>
      <c r="L6183" s="343">
        <v>0</v>
      </c>
      <c r="M6183" s="343">
        <v>-271107.5</v>
      </c>
      <c r="O6183" s="343">
        <v>0</v>
      </c>
    </row>
    <row r="6184" spans="1:15" x14ac:dyDescent="0.3">
      <c r="A6184" s="340" t="s">
        <v>3479</v>
      </c>
      <c r="B6184" s="350">
        <v>46113</v>
      </c>
      <c r="C6184" s="350">
        <v>46112</v>
      </c>
      <c r="D6184" s="351">
        <v>46113</v>
      </c>
      <c r="E6184" s="340" t="s">
        <v>3574</v>
      </c>
      <c r="F6184" s="340" t="s">
        <v>3481</v>
      </c>
      <c r="G6184" s="340" t="s">
        <v>3543</v>
      </c>
      <c r="K6184" s="343">
        <v>2008.5</v>
      </c>
      <c r="L6184" s="343">
        <v>0</v>
      </c>
      <c r="M6184" s="343">
        <v>-269099</v>
      </c>
      <c r="O6184" s="343">
        <v>0</v>
      </c>
    </row>
    <row r="6185" spans="1:15" x14ac:dyDescent="0.3">
      <c r="A6185" s="340" t="s">
        <v>3479</v>
      </c>
      <c r="B6185" s="350">
        <v>46113</v>
      </c>
      <c r="C6185" s="350">
        <v>46112</v>
      </c>
      <c r="D6185" s="351">
        <v>46113</v>
      </c>
      <c r="E6185" s="340" t="s">
        <v>3574</v>
      </c>
      <c r="F6185" s="340" t="s">
        <v>3481</v>
      </c>
      <c r="G6185" s="340" t="s">
        <v>3544</v>
      </c>
      <c r="K6185" s="343">
        <v>223.71</v>
      </c>
      <c r="L6185" s="343">
        <v>0</v>
      </c>
      <c r="M6185" s="343">
        <v>-268875.28999999998</v>
      </c>
      <c r="O6185" s="343">
        <v>0</v>
      </c>
    </row>
    <row r="6186" spans="1:15" x14ac:dyDescent="0.3">
      <c r="A6186" s="340" t="s">
        <v>3479</v>
      </c>
      <c r="B6186" s="350">
        <v>46113</v>
      </c>
      <c r="C6186" s="350">
        <v>46112</v>
      </c>
      <c r="D6186" s="351">
        <v>46113</v>
      </c>
      <c r="E6186" s="340" t="s">
        <v>3575</v>
      </c>
      <c r="F6186" s="340" t="s">
        <v>3481</v>
      </c>
      <c r="G6186" s="340" t="s">
        <v>3546</v>
      </c>
      <c r="K6186" s="343">
        <v>154.9</v>
      </c>
      <c r="L6186" s="343">
        <v>0</v>
      </c>
      <c r="M6186" s="343">
        <v>-268720.39</v>
      </c>
      <c r="O6186" s="343">
        <v>0</v>
      </c>
    </row>
    <row r="6187" spans="1:15" x14ac:dyDescent="0.3">
      <c r="A6187" s="340" t="s">
        <v>3479</v>
      </c>
      <c r="B6187" s="350">
        <v>46113</v>
      </c>
      <c r="C6187" s="350">
        <v>46112</v>
      </c>
      <c r="D6187" s="351">
        <v>46113</v>
      </c>
      <c r="E6187" s="340" t="s">
        <v>3576</v>
      </c>
      <c r="F6187" s="340" t="s">
        <v>3481</v>
      </c>
      <c r="G6187" s="340" t="s">
        <v>3548</v>
      </c>
      <c r="K6187" s="343">
        <v>693.91</v>
      </c>
      <c r="L6187" s="343">
        <v>0</v>
      </c>
      <c r="M6187" s="343">
        <v>-268026.48</v>
      </c>
      <c r="O6187" s="343">
        <v>0</v>
      </c>
    </row>
    <row r="6188" spans="1:15" x14ac:dyDescent="0.3">
      <c r="A6188" s="340" t="s">
        <v>3479</v>
      </c>
      <c r="B6188" s="350">
        <v>46120</v>
      </c>
      <c r="C6188" s="350">
        <v>46150</v>
      </c>
      <c r="D6188" s="351">
        <v>46113</v>
      </c>
      <c r="E6188" s="340" t="s">
        <v>3577</v>
      </c>
      <c r="F6188" s="340" t="s">
        <v>3488</v>
      </c>
      <c r="G6188" s="340" t="s">
        <v>3509</v>
      </c>
      <c r="K6188" s="343">
        <v>4000</v>
      </c>
      <c r="L6188" s="343">
        <v>0</v>
      </c>
      <c r="M6188" s="343">
        <v>-264026.48</v>
      </c>
      <c r="O6188" s="343">
        <v>0</v>
      </c>
    </row>
    <row r="6189" spans="1:15" x14ac:dyDescent="0.3">
      <c r="A6189" s="340" t="s">
        <v>3479</v>
      </c>
      <c r="B6189" s="350">
        <v>46131</v>
      </c>
      <c r="C6189" s="350">
        <v>46131</v>
      </c>
      <c r="D6189" s="351">
        <v>46113</v>
      </c>
      <c r="E6189" s="340" t="s">
        <v>3578</v>
      </c>
      <c r="F6189" s="340" t="s">
        <v>3488</v>
      </c>
      <c r="G6189" s="340" t="s">
        <v>3561</v>
      </c>
      <c r="K6189" s="343">
        <v>10233.84</v>
      </c>
      <c r="L6189" s="343">
        <v>0</v>
      </c>
      <c r="M6189" s="343">
        <v>-253792.64000000001</v>
      </c>
      <c r="O6189" s="343">
        <v>0</v>
      </c>
    </row>
    <row r="6190" spans="1:15" x14ac:dyDescent="0.3">
      <c r="A6190" s="340" t="s">
        <v>3479</v>
      </c>
      <c r="B6190" s="350">
        <v>46133</v>
      </c>
      <c r="C6190" s="350">
        <v>46133</v>
      </c>
      <c r="D6190" s="351">
        <v>46113</v>
      </c>
      <c r="E6190" s="340" t="s">
        <v>3579</v>
      </c>
      <c r="F6190" s="340" t="s">
        <v>3488</v>
      </c>
      <c r="G6190" s="340" t="s">
        <v>3580</v>
      </c>
      <c r="K6190" s="343">
        <v>0</v>
      </c>
      <c r="L6190" s="343">
        <v>-3000</v>
      </c>
      <c r="M6190" s="343">
        <v>-256792.64</v>
      </c>
      <c r="O6190" s="343">
        <v>0</v>
      </c>
    </row>
    <row r="6191" spans="1:15" x14ac:dyDescent="0.3">
      <c r="A6191" s="340" t="s">
        <v>3479</v>
      </c>
      <c r="B6191" s="350">
        <v>46142</v>
      </c>
      <c r="C6191" s="350">
        <v>46143</v>
      </c>
      <c r="D6191" s="351">
        <v>46113</v>
      </c>
      <c r="E6191" s="340" t="s">
        <v>3581</v>
      </c>
      <c r="F6191" s="340" t="s">
        <v>3488</v>
      </c>
      <c r="G6191" s="340" t="s">
        <v>3582</v>
      </c>
      <c r="K6191" s="343">
        <v>0</v>
      </c>
      <c r="L6191" s="343">
        <v>-18448.45</v>
      </c>
      <c r="M6191" s="343">
        <v>-275241.09000000003</v>
      </c>
      <c r="O6191" s="343">
        <v>0</v>
      </c>
    </row>
    <row r="6192" spans="1:15" x14ac:dyDescent="0.3">
      <c r="A6192" s="340" t="s">
        <v>3479</v>
      </c>
      <c r="B6192" s="350">
        <v>46142</v>
      </c>
      <c r="C6192" s="350">
        <v>46143</v>
      </c>
      <c r="D6192" s="351">
        <v>46113</v>
      </c>
      <c r="E6192" s="340" t="s">
        <v>3583</v>
      </c>
      <c r="F6192" s="340" t="s">
        <v>3488</v>
      </c>
      <c r="G6192" s="340" t="s">
        <v>3584</v>
      </c>
      <c r="K6192" s="343">
        <v>0</v>
      </c>
      <c r="L6192" s="343">
        <v>-1455.92</v>
      </c>
      <c r="M6192" s="343">
        <v>-276697.01</v>
      </c>
      <c r="O6192" s="343">
        <v>0</v>
      </c>
    </row>
    <row r="6193" spans="1:15" x14ac:dyDescent="0.3">
      <c r="A6193" s="340" t="s">
        <v>3479</v>
      </c>
      <c r="B6193" s="350">
        <v>46142</v>
      </c>
      <c r="C6193" s="350">
        <v>46145</v>
      </c>
      <c r="D6193" s="351">
        <v>46113</v>
      </c>
      <c r="E6193" s="340" t="s">
        <v>3585</v>
      </c>
      <c r="F6193" s="340" t="s">
        <v>3488</v>
      </c>
      <c r="G6193" s="340" t="s">
        <v>3582</v>
      </c>
      <c r="K6193" s="343">
        <v>0</v>
      </c>
      <c r="L6193" s="343">
        <v>-147.69999999999999</v>
      </c>
      <c r="M6193" s="343">
        <v>-276844.71000000002</v>
      </c>
      <c r="O6193" s="343">
        <v>0</v>
      </c>
    </row>
    <row r="6194" spans="1:15" x14ac:dyDescent="0.3">
      <c r="A6194" s="340" t="s">
        <v>3479</v>
      </c>
      <c r="B6194" s="350">
        <v>46142</v>
      </c>
      <c r="C6194" s="350">
        <v>46145</v>
      </c>
      <c r="D6194" s="351">
        <v>46113</v>
      </c>
      <c r="E6194" s="340" t="s">
        <v>3586</v>
      </c>
      <c r="F6194" s="340" t="s">
        <v>3488</v>
      </c>
      <c r="G6194" s="340" t="s">
        <v>3587</v>
      </c>
      <c r="K6194" s="343">
        <v>0</v>
      </c>
      <c r="L6194" s="343">
        <v>-260</v>
      </c>
      <c r="M6194" s="343">
        <v>-277104.71000000002</v>
      </c>
      <c r="O6194" s="343">
        <v>0</v>
      </c>
    </row>
    <row r="6195" spans="1:15" x14ac:dyDescent="0.3">
      <c r="A6195" s="340" t="s">
        <v>3479</v>
      </c>
      <c r="B6195" s="350">
        <v>46142</v>
      </c>
      <c r="C6195" s="350">
        <v>46145</v>
      </c>
      <c r="D6195" s="351">
        <v>46113</v>
      </c>
      <c r="E6195" s="340" t="s">
        <v>3586</v>
      </c>
      <c r="F6195" s="340" t="s">
        <v>3488</v>
      </c>
      <c r="G6195" s="340" t="s">
        <v>3588</v>
      </c>
      <c r="K6195" s="343">
        <v>0</v>
      </c>
      <c r="L6195" s="343">
        <v>-129.9</v>
      </c>
      <c r="M6195" s="343">
        <v>-277234.61</v>
      </c>
      <c r="O6195" s="343">
        <v>0</v>
      </c>
    </row>
    <row r="6196" spans="1:15" x14ac:dyDescent="0.3">
      <c r="A6196" s="340" t="s">
        <v>3479</v>
      </c>
      <c r="B6196" s="350">
        <v>46142</v>
      </c>
      <c r="C6196" s="350">
        <v>46148</v>
      </c>
      <c r="D6196" s="351">
        <v>46113</v>
      </c>
      <c r="E6196" s="340" t="s">
        <v>3589</v>
      </c>
      <c r="F6196" s="340" t="s">
        <v>3488</v>
      </c>
      <c r="G6196" s="340" t="s">
        <v>3590</v>
      </c>
      <c r="K6196" s="343">
        <v>7000</v>
      </c>
      <c r="L6196" s="343">
        <v>0</v>
      </c>
      <c r="M6196" s="343">
        <v>-270234.61</v>
      </c>
      <c r="O6196" s="343">
        <v>0</v>
      </c>
    </row>
    <row r="6197" spans="1:15" x14ac:dyDescent="0.3">
      <c r="A6197" s="340" t="s">
        <v>3479</v>
      </c>
      <c r="B6197" s="350">
        <v>46142</v>
      </c>
      <c r="C6197" s="350">
        <v>46148</v>
      </c>
      <c r="D6197" s="351">
        <v>46113</v>
      </c>
      <c r="E6197" s="340" t="s">
        <v>3589</v>
      </c>
      <c r="F6197" s="340" t="s">
        <v>3488</v>
      </c>
      <c r="G6197" s="340" t="s">
        <v>3591</v>
      </c>
      <c r="K6197" s="343">
        <v>20000</v>
      </c>
      <c r="L6197" s="343">
        <v>0</v>
      </c>
      <c r="M6197" s="343">
        <v>-250234.61</v>
      </c>
      <c r="O6197" s="343">
        <v>0</v>
      </c>
    </row>
    <row r="6198" spans="1:15" x14ac:dyDescent="0.3">
      <c r="A6198" s="340" t="s">
        <v>3479</v>
      </c>
      <c r="B6198" s="350">
        <v>46143</v>
      </c>
      <c r="C6198" s="350">
        <v>46148</v>
      </c>
      <c r="D6198" s="351">
        <v>46113</v>
      </c>
      <c r="E6198" s="340" t="s">
        <v>3592</v>
      </c>
      <c r="F6198" s="340" t="s">
        <v>3488</v>
      </c>
      <c r="G6198" s="340" t="s">
        <v>3593</v>
      </c>
      <c r="K6198" s="343">
        <v>0</v>
      </c>
      <c r="L6198" s="343">
        <v>-61395.06</v>
      </c>
      <c r="M6198" s="343">
        <v>-311629.67</v>
      </c>
      <c r="O6198" s="343">
        <v>0</v>
      </c>
    </row>
    <row r="6199" spans="1:15" x14ac:dyDescent="0.3">
      <c r="A6199" s="340" t="s">
        <v>3479</v>
      </c>
      <c r="B6199" s="350">
        <v>46143</v>
      </c>
      <c r="C6199" s="350">
        <v>46150</v>
      </c>
      <c r="D6199" s="351">
        <v>46113</v>
      </c>
      <c r="E6199" s="340" t="s">
        <v>3594</v>
      </c>
      <c r="F6199" s="340" t="s">
        <v>3488</v>
      </c>
      <c r="G6199" s="340" t="s">
        <v>3565</v>
      </c>
      <c r="K6199" s="343">
        <v>0</v>
      </c>
      <c r="L6199" s="343">
        <v>-20859.23</v>
      </c>
      <c r="M6199" s="343">
        <v>-332488.90000000002</v>
      </c>
      <c r="O6199" s="343">
        <v>0</v>
      </c>
    </row>
    <row r="6200" spans="1:15" x14ac:dyDescent="0.3">
      <c r="A6200" s="340" t="s">
        <v>3479</v>
      </c>
      <c r="B6200" s="350">
        <v>46143</v>
      </c>
      <c r="C6200" s="350">
        <v>46150</v>
      </c>
      <c r="D6200" s="351">
        <v>46113</v>
      </c>
      <c r="E6200" s="340" t="s">
        <v>3594</v>
      </c>
      <c r="F6200" s="340" t="s">
        <v>3488</v>
      </c>
      <c r="G6200" s="340" t="s">
        <v>3555</v>
      </c>
      <c r="K6200" s="343">
        <v>0</v>
      </c>
      <c r="L6200" s="343">
        <v>-6865.17</v>
      </c>
      <c r="M6200" s="343">
        <v>-339354.07</v>
      </c>
      <c r="O6200" s="343">
        <v>0</v>
      </c>
    </row>
    <row r="6201" spans="1:15" x14ac:dyDescent="0.3">
      <c r="A6201" s="340" t="s">
        <v>3479</v>
      </c>
      <c r="B6201" s="350">
        <v>46143</v>
      </c>
      <c r="C6201" s="350">
        <v>46150</v>
      </c>
      <c r="D6201" s="351">
        <v>46113</v>
      </c>
      <c r="E6201" s="340" t="s">
        <v>3594</v>
      </c>
      <c r="F6201" s="340" t="s">
        <v>3488</v>
      </c>
      <c r="G6201" s="340" t="s">
        <v>3555</v>
      </c>
      <c r="K6201" s="343">
        <v>0</v>
      </c>
      <c r="L6201" s="343">
        <v>-6865.17</v>
      </c>
      <c r="M6201" s="343">
        <v>-346219.24</v>
      </c>
      <c r="O6201" s="343">
        <v>0</v>
      </c>
    </row>
    <row r="6202" spans="1:15" x14ac:dyDescent="0.3">
      <c r="A6202" s="340" t="s">
        <v>3479</v>
      </c>
      <c r="B6202" s="350">
        <v>46143</v>
      </c>
      <c r="C6202" s="350">
        <v>46143</v>
      </c>
      <c r="D6202" s="351">
        <v>46143</v>
      </c>
      <c r="E6202" s="340" t="s">
        <v>3595</v>
      </c>
      <c r="F6202" s="340" t="s">
        <v>3481</v>
      </c>
      <c r="G6202" s="340" t="s">
        <v>3593</v>
      </c>
      <c r="K6202" s="343">
        <v>61395.06</v>
      </c>
      <c r="L6202" s="343">
        <v>0</v>
      </c>
      <c r="M6202" s="343">
        <v>-284824.18</v>
      </c>
      <c r="O6202" s="343">
        <v>0</v>
      </c>
    </row>
    <row r="6203" spans="1:15" x14ac:dyDescent="0.3">
      <c r="A6203" s="340" t="s">
        <v>3479</v>
      </c>
      <c r="B6203" s="350">
        <v>46143</v>
      </c>
      <c r="C6203" s="350">
        <v>46143</v>
      </c>
      <c r="D6203" s="351">
        <v>46143</v>
      </c>
      <c r="E6203" s="340" t="s">
        <v>3596</v>
      </c>
      <c r="F6203" s="340" t="s">
        <v>3481</v>
      </c>
      <c r="G6203" s="340" t="s">
        <v>3582</v>
      </c>
      <c r="K6203" s="343">
        <v>147.69999999999999</v>
      </c>
      <c r="L6203" s="343">
        <v>0</v>
      </c>
      <c r="M6203" s="343">
        <v>-284676.47999999998</v>
      </c>
      <c r="O6203" s="343">
        <v>0</v>
      </c>
    </row>
    <row r="6204" spans="1:15" x14ac:dyDescent="0.3">
      <c r="A6204" s="340" t="s">
        <v>3479</v>
      </c>
      <c r="B6204" s="350">
        <v>46143</v>
      </c>
      <c r="C6204" s="350">
        <v>46143</v>
      </c>
      <c r="D6204" s="351">
        <v>46143</v>
      </c>
      <c r="E6204" s="340" t="s">
        <v>3597</v>
      </c>
      <c r="F6204" s="340" t="s">
        <v>3481</v>
      </c>
      <c r="G6204" s="340" t="s">
        <v>3582</v>
      </c>
      <c r="K6204" s="343">
        <v>18448.45</v>
      </c>
      <c r="L6204" s="343">
        <v>0</v>
      </c>
      <c r="M6204" s="343">
        <v>-266228.03000000003</v>
      </c>
      <c r="O6204" s="343">
        <v>0</v>
      </c>
    </row>
    <row r="6205" spans="1:15" x14ac:dyDescent="0.3">
      <c r="A6205" s="340" t="s">
        <v>3479</v>
      </c>
      <c r="B6205" s="350">
        <v>46143</v>
      </c>
      <c r="C6205" s="350">
        <v>46145</v>
      </c>
      <c r="D6205" s="351">
        <v>46143</v>
      </c>
      <c r="E6205" s="340" t="s">
        <v>3598</v>
      </c>
      <c r="F6205" s="340" t="s">
        <v>3481</v>
      </c>
      <c r="G6205" s="340" t="s">
        <v>3587</v>
      </c>
      <c r="K6205" s="343">
        <v>260</v>
      </c>
      <c r="L6205" s="343">
        <v>0</v>
      </c>
      <c r="M6205" s="343">
        <v>-265968.03000000003</v>
      </c>
      <c r="O6205" s="343">
        <v>0</v>
      </c>
    </row>
    <row r="6206" spans="1:15" x14ac:dyDescent="0.3">
      <c r="A6206" s="340" t="s">
        <v>3479</v>
      </c>
      <c r="B6206" s="350">
        <v>46143</v>
      </c>
      <c r="C6206" s="350">
        <v>46145</v>
      </c>
      <c r="D6206" s="351">
        <v>46143</v>
      </c>
      <c r="E6206" s="340" t="s">
        <v>3598</v>
      </c>
      <c r="F6206" s="340" t="s">
        <v>3481</v>
      </c>
      <c r="G6206" s="340" t="s">
        <v>3588</v>
      </c>
      <c r="K6206" s="343">
        <v>129.9</v>
      </c>
      <c r="L6206" s="343">
        <v>0</v>
      </c>
      <c r="M6206" s="343">
        <v>-265838.13</v>
      </c>
      <c r="O6206" s="343">
        <v>0</v>
      </c>
    </row>
    <row r="6207" spans="1:15" x14ac:dyDescent="0.3">
      <c r="A6207" s="340" t="s">
        <v>3479</v>
      </c>
      <c r="B6207" s="350">
        <v>46143</v>
      </c>
      <c r="C6207" s="350">
        <v>46148</v>
      </c>
      <c r="D6207" s="351">
        <v>46143</v>
      </c>
      <c r="E6207" s="340" t="s">
        <v>3599</v>
      </c>
      <c r="F6207" s="340" t="s">
        <v>3481</v>
      </c>
      <c r="G6207" s="340" t="s">
        <v>3590</v>
      </c>
      <c r="K6207" s="343">
        <v>0</v>
      </c>
      <c r="L6207" s="343">
        <v>-7000</v>
      </c>
      <c r="M6207" s="343">
        <v>-272838.13</v>
      </c>
      <c r="O6207" s="343">
        <v>0</v>
      </c>
    </row>
    <row r="6208" spans="1:15" x14ac:dyDescent="0.3">
      <c r="A6208" s="340" t="s">
        <v>3479</v>
      </c>
      <c r="B6208" s="350">
        <v>46143</v>
      </c>
      <c r="C6208" s="350">
        <v>46148</v>
      </c>
      <c r="D6208" s="351">
        <v>46143</v>
      </c>
      <c r="E6208" s="340" t="s">
        <v>3599</v>
      </c>
      <c r="F6208" s="340" t="s">
        <v>3481</v>
      </c>
      <c r="G6208" s="340" t="s">
        <v>3591</v>
      </c>
      <c r="K6208" s="343">
        <v>0</v>
      </c>
      <c r="L6208" s="343">
        <v>-20000</v>
      </c>
      <c r="M6208" s="343">
        <v>-292838.13</v>
      </c>
      <c r="O6208" s="343">
        <v>0</v>
      </c>
    </row>
    <row r="6209" spans="1:15" x14ac:dyDescent="0.3">
      <c r="A6209" s="340" t="s">
        <v>3479</v>
      </c>
      <c r="B6209" s="350">
        <v>46159</v>
      </c>
      <c r="C6209" s="350">
        <v>46159</v>
      </c>
      <c r="D6209" s="351">
        <v>46143</v>
      </c>
      <c r="E6209" s="340" t="s">
        <v>3600</v>
      </c>
      <c r="F6209" s="340" t="s">
        <v>3488</v>
      </c>
      <c r="G6209" s="340" t="s">
        <v>3601</v>
      </c>
      <c r="K6209" s="343">
        <v>0</v>
      </c>
      <c r="L6209" s="343">
        <v>-288.38</v>
      </c>
      <c r="M6209" s="343">
        <v>-293126.51</v>
      </c>
      <c r="O6209" s="343">
        <v>0</v>
      </c>
    </row>
    <row r="6210" spans="1:15" x14ac:dyDescent="0.3">
      <c r="A6210" s="340" t="s">
        <v>3479</v>
      </c>
      <c r="B6210" s="350">
        <v>46160</v>
      </c>
      <c r="C6210" s="350">
        <v>46160</v>
      </c>
      <c r="D6210" s="351">
        <v>46143</v>
      </c>
      <c r="E6210" s="340" t="s">
        <v>3602</v>
      </c>
      <c r="F6210" s="340" t="s">
        <v>3488</v>
      </c>
      <c r="G6210" s="340" t="s">
        <v>3603</v>
      </c>
      <c r="K6210" s="343">
        <v>21333.81</v>
      </c>
      <c r="L6210" s="343">
        <v>0</v>
      </c>
      <c r="M6210" s="343">
        <v>-271792.7</v>
      </c>
      <c r="O6210" s="343">
        <v>0</v>
      </c>
    </row>
    <row r="6211" spans="1:15" x14ac:dyDescent="0.3">
      <c r="A6211" s="340" t="s">
        <v>3479</v>
      </c>
      <c r="B6211" s="350">
        <v>46162</v>
      </c>
      <c r="C6211" s="350">
        <v>46162</v>
      </c>
      <c r="D6211" s="351">
        <v>46143</v>
      </c>
      <c r="E6211" s="340" t="s">
        <v>3604</v>
      </c>
      <c r="F6211" s="340" t="s">
        <v>3488</v>
      </c>
      <c r="G6211" s="340" t="s">
        <v>3605</v>
      </c>
      <c r="K6211" s="343">
        <v>0</v>
      </c>
      <c r="L6211" s="343">
        <v>-474.58</v>
      </c>
      <c r="M6211" s="343">
        <v>-272267.28000000003</v>
      </c>
      <c r="O6211" s="343">
        <v>0</v>
      </c>
    </row>
    <row r="6212" spans="1:15" x14ac:dyDescent="0.3">
      <c r="I6212" s="344" t="s">
        <v>3606</v>
      </c>
      <c r="J6212" s="352">
        <v>-111326.65</v>
      </c>
      <c r="K6212" s="352">
        <f>SUM(K6086:K6211)</f>
        <v>695704.87</v>
      </c>
      <c r="L6212" s="352">
        <f>SUM(L6086:L6211)</f>
        <v>-807031.52000000025</v>
      </c>
      <c r="M6212" s="352">
        <f>K6212 + L6212 + O6212</f>
        <v>-272267.28000000026</v>
      </c>
      <c r="O6212" s="352">
        <f>SUM(O6086:O6211)</f>
        <v>-160940.63</v>
      </c>
    </row>
    <row r="6214" spans="1:15" ht="15" thickBot="1" x14ac:dyDescent="0.35">
      <c r="I6214" s="344" t="s">
        <v>3607</v>
      </c>
      <c r="K6214" s="345">
        <f>SUM(K9:K6082)+SUM(K6086:K6211)</f>
        <v>2331310.3100000066</v>
      </c>
      <c r="L6214" s="345">
        <f>SUM(L9:L6082)+SUM(L6086:L6211)</f>
        <v>-2518397.2100000205</v>
      </c>
      <c r="M6214" s="345">
        <f>K6214 + L6214 + O6214</f>
        <v>-1145072.6800000139</v>
      </c>
      <c r="O6214" s="345">
        <f>SUM(O9:O6082)+SUM(O6086:O6211)</f>
        <v>-957985.78</v>
      </c>
    </row>
  </sheetData>
  <printOptions horizontalCentered="1"/>
  <pageMargins left="0.5" right="0.5" top="0.5" bottom="0.5" header="0.25" footer="0.25"/>
  <pageSetup fitToHeight="0" orientation="landscape"/>
  <headerFooter>
    <oddHeader>&amp;L GL Details</oddHeader>
    <oddFooter>&amp;L Page &amp;P of &amp;N &amp;R &amp;I GL Details 2.6 generated04/13/2026 at 12:06pm CDT&amp;I</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F02D7-E0B6-4D6B-B9C9-5442D9F579CB}">
  <sheetPr>
    <tabColor rgb="FF002060"/>
  </sheetPr>
  <dimension ref="A1:M150"/>
  <sheetViews>
    <sheetView showGridLines="0" topLeftCell="A104" zoomScaleNormal="100" workbookViewId="0">
      <selection activeCell="B75" sqref="B75"/>
    </sheetView>
  </sheetViews>
  <sheetFormatPr defaultColWidth="8.6640625" defaultRowHeight="12" x14ac:dyDescent="0.3"/>
  <cols>
    <col min="1" max="9" width="0.6640625" style="297" customWidth="1"/>
    <col min="10" max="10" width="26.109375" style="297" customWidth="1"/>
    <col min="11" max="11" width="29.109375" style="297" customWidth="1"/>
    <col min="12" max="12" width="12.44140625" style="297" customWidth="1"/>
    <col min="13" max="13" width="0" style="297" hidden="1" customWidth="1"/>
    <col min="14" max="16384" width="8.6640625" style="297"/>
  </cols>
  <sheetData>
    <row r="1" spans="1:13" ht="15" customHeight="1" x14ac:dyDescent="0.3">
      <c r="A1" s="453" t="s">
        <v>730</v>
      </c>
      <c r="B1" s="453"/>
      <c r="C1" s="453"/>
      <c r="D1" s="453"/>
      <c r="E1" s="453"/>
      <c r="F1" s="453"/>
      <c r="G1" s="453"/>
      <c r="H1" s="453"/>
      <c r="I1" s="453"/>
      <c r="J1" s="453"/>
      <c r="K1" s="453"/>
      <c r="L1" s="453"/>
      <c r="M1" s="453"/>
    </row>
    <row r="2" spans="1:13" ht="12.75" customHeight="1" x14ac:dyDescent="0.3">
      <c r="A2" s="454" t="s">
        <v>3608</v>
      </c>
      <c r="B2" s="454"/>
      <c r="C2" s="454"/>
      <c r="D2" s="454"/>
      <c r="E2" s="454"/>
      <c r="F2" s="454"/>
      <c r="G2" s="454"/>
      <c r="H2" s="454"/>
      <c r="I2" s="454"/>
      <c r="J2" s="454"/>
      <c r="K2" s="454"/>
      <c r="L2" s="454"/>
      <c r="M2" s="454"/>
    </row>
    <row r="3" spans="1:13" ht="12.75" customHeight="1" x14ac:dyDescent="0.3">
      <c r="A3" s="454" t="s">
        <v>777</v>
      </c>
      <c r="B3" s="454"/>
      <c r="C3" s="454"/>
      <c r="D3" s="454"/>
      <c r="E3" s="454"/>
      <c r="F3" s="454"/>
      <c r="G3" s="454"/>
      <c r="H3" s="454"/>
      <c r="I3" s="454"/>
      <c r="J3" s="454"/>
      <c r="K3" s="454"/>
      <c r="L3" s="454"/>
      <c r="M3" s="454"/>
    </row>
    <row r="4" spans="1:13" ht="12.75" customHeight="1" x14ac:dyDescent="0.3">
      <c r="A4" s="455" t="s">
        <v>3609</v>
      </c>
      <c r="B4" s="455"/>
      <c r="C4" s="455"/>
      <c r="D4" s="455"/>
      <c r="E4" s="455"/>
      <c r="F4" s="455"/>
      <c r="G4" s="455"/>
      <c r="H4" s="455"/>
      <c r="I4" s="455"/>
      <c r="J4" s="455"/>
      <c r="K4" s="455"/>
      <c r="L4" s="455"/>
      <c r="M4" s="455"/>
    </row>
    <row r="5" spans="1:13" x14ac:dyDescent="0.3">
      <c r="A5" s="456" t="s">
        <v>3610</v>
      </c>
      <c r="B5" s="456"/>
      <c r="C5" s="456"/>
      <c r="D5" s="456"/>
      <c r="E5" s="456"/>
      <c r="F5" s="456"/>
      <c r="G5" s="456"/>
      <c r="H5" s="456"/>
      <c r="I5" s="456"/>
      <c r="J5" s="456"/>
      <c r="K5" s="456"/>
      <c r="L5" s="456"/>
      <c r="M5" s="456"/>
    </row>
    <row r="6" spans="1:13" s="298" customFormat="1" x14ac:dyDescent="0.3">
      <c r="A6" s="457" t="s">
        <v>878</v>
      </c>
      <c r="B6" s="457"/>
      <c r="C6" s="457"/>
      <c r="D6" s="457"/>
      <c r="E6" s="457"/>
      <c r="F6" s="457"/>
      <c r="G6" s="457"/>
      <c r="H6" s="457"/>
      <c r="I6" s="457"/>
      <c r="J6" s="457"/>
      <c r="K6" s="304" t="s">
        <v>3611</v>
      </c>
      <c r="L6" s="304" t="s">
        <v>888</v>
      </c>
      <c r="M6" s="304" t="s">
        <v>3612</v>
      </c>
    </row>
    <row r="7" spans="1:13" s="298" customFormat="1" x14ac:dyDescent="0.3">
      <c r="B7" s="458" t="s">
        <v>3613</v>
      </c>
      <c r="C7" s="458"/>
      <c r="D7" s="458"/>
      <c r="E7" s="458"/>
      <c r="F7" s="458"/>
      <c r="G7" s="458"/>
      <c r="H7" s="458"/>
      <c r="I7" s="458"/>
      <c r="J7" s="458"/>
    </row>
    <row r="8" spans="1:13" s="298" customFormat="1" x14ac:dyDescent="0.3">
      <c r="C8" s="458" t="s">
        <v>3614</v>
      </c>
      <c r="D8" s="458"/>
      <c r="E8" s="458"/>
      <c r="F8" s="458"/>
      <c r="G8" s="458"/>
      <c r="H8" s="458"/>
      <c r="I8" s="458"/>
      <c r="J8" s="458"/>
    </row>
    <row r="9" spans="1:13" s="298" customFormat="1" x14ac:dyDescent="0.3">
      <c r="D9" s="460" t="s">
        <v>3615</v>
      </c>
      <c r="E9" s="460"/>
      <c r="F9" s="460"/>
      <c r="G9" s="460"/>
      <c r="H9" s="460"/>
      <c r="I9" s="460"/>
      <c r="J9" s="460"/>
      <c r="K9" s="303"/>
      <c r="L9" s="303">
        <v>3439.07</v>
      </c>
      <c r="M9" s="303">
        <v>-54207.45</v>
      </c>
    </row>
    <row r="10" spans="1:13" s="301" customFormat="1" x14ac:dyDescent="0.3">
      <c r="A10" s="298"/>
      <c r="B10" s="298"/>
      <c r="C10" s="298"/>
      <c r="D10" s="459" t="s">
        <v>3616</v>
      </c>
      <c r="E10" s="459"/>
      <c r="F10" s="459"/>
      <c r="G10" s="459"/>
      <c r="H10" s="459"/>
      <c r="I10" s="459"/>
      <c r="J10" s="459"/>
      <c r="K10" s="302"/>
      <c r="L10" s="302">
        <v>-17128.060000000001</v>
      </c>
      <c r="M10" s="302">
        <v>-35591.47</v>
      </c>
    </row>
    <row r="11" spans="1:13" s="298" customFormat="1" x14ac:dyDescent="0.3">
      <c r="D11" s="460" t="s">
        <v>3617</v>
      </c>
      <c r="E11" s="460"/>
      <c r="F11" s="460"/>
      <c r="G11" s="460"/>
      <c r="H11" s="460"/>
      <c r="I11" s="460"/>
      <c r="J11" s="460"/>
      <c r="K11" s="303"/>
      <c r="L11" s="303">
        <v>0</v>
      </c>
      <c r="M11" s="303">
        <v>-357322.13</v>
      </c>
    </row>
    <row r="12" spans="1:13" s="301" customFormat="1" x14ac:dyDescent="0.3">
      <c r="A12" s="298"/>
      <c r="B12" s="298"/>
      <c r="C12" s="298"/>
      <c r="D12" s="459" t="s">
        <v>3618</v>
      </c>
      <c r="E12" s="459"/>
      <c r="F12" s="459"/>
      <c r="G12" s="459"/>
      <c r="H12" s="459"/>
      <c r="I12" s="459"/>
      <c r="J12" s="459"/>
      <c r="K12" s="302"/>
      <c r="L12" s="302">
        <v>149993.09</v>
      </c>
      <c r="M12" s="302">
        <v>-300391.96000000002</v>
      </c>
    </row>
    <row r="13" spans="1:13" s="298" customFormat="1" x14ac:dyDescent="0.3">
      <c r="D13" s="460" t="s">
        <v>3619</v>
      </c>
      <c r="E13" s="460"/>
      <c r="F13" s="460"/>
      <c r="G13" s="460"/>
      <c r="H13" s="460"/>
      <c r="I13" s="460"/>
      <c r="J13" s="460"/>
      <c r="K13" s="303"/>
      <c r="L13" s="303">
        <v>0</v>
      </c>
      <c r="M13" s="303">
        <v>-123.31</v>
      </c>
    </row>
    <row r="14" spans="1:13" s="298" customFormat="1" x14ac:dyDescent="0.3">
      <c r="C14" s="458" t="s">
        <v>3620</v>
      </c>
      <c r="D14" s="458"/>
      <c r="E14" s="458"/>
      <c r="F14" s="458"/>
      <c r="G14" s="458"/>
      <c r="H14" s="458"/>
      <c r="I14" s="458"/>
      <c r="J14" s="458"/>
      <c r="K14" s="300"/>
      <c r="L14" s="299">
        <v>136304.1</v>
      </c>
      <c r="M14" s="299">
        <v>-747636.32</v>
      </c>
    </row>
    <row r="16" spans="1:13" s="298" customFormat="1" x14ac:dyDescent="0.3">
      <c r="C16" s="458" t="s">
        <v>804</v>
      </c>
      <c r="D16" s="458"/>
      <c r="E16" s="458"/>
      <c r="F16" s="458"/>
      <c r="G16" s="458"/>
      <c r="H16" s="458"/>
      <c r="I16" s="458"/>
      <c r="J16" s="458"/>
    </row>
    <row r="17" spans="1:13" s="301" customFormat="1" x14ac:dyDescent="0.3">
      <c r="A17" s="298"/>
      <c r="B17" s="298"/>
      <c r="C17" s="298"/>
      <c r="D17" s="459" t="s">
        <v>3621</v>
      </c>
      <c r="E17" s="459"/>
      <c r="F17" s="459"/>
      <c r="G17" s="459"/>
      <c r="H17" s="459"/>
      <c r="I17" s="459"/>
      <c r="J17" s="459"/>
      <c r="K17" s="302"/>
      <c r="L17" s="302">
        <v>415893.97</v>
      </c>
      <c r="M17" s="302">
        <v>269522.71999999997</v>
      </c>
    </row>
    <row r="18" spans="1:13" s="298" customFormat="1" x14ac:dyDescent="0.3">
      <c r="D18" s="460" t="s">
        <v>3622</v>
      </c>
      <c r="E18" s="460"/>
      <c r="F18" s="460"/>
      <c r="G18" s="460"/>
      <c r="H18" s="460"/>
      <c r="I18" s="460"/>
      <c r="J18" s="460"/>
      <c r="K18" s="303"/>
      <c r="L18" s="303">
        <v>0</v>
      </c>
      <c r="M18" s="303">
        <v>-71353.34</v>
      </c>
    </row>
    <row r="19" spans="1:13" s="301" customFormat="1" x14ac:dyDescent="0.3">
      <c r="A19" s="298"/>
      <c r="B19" s="298"/>
      <c r="C19" s="298"/>
      <c r="D19" s="459" t="s">
        <v>3623</v>
      </c>
      <c r="E19" s="459"/>
      <c r="F19" s="459"/>
      <c r="G19" s="459"/>
      <c r="H19" s="459"/>
      <c r="I19" s="459"/>
      <c r="J19" s="459"/>
      <c r="K19" s="302"/>
      <c r="L19" s="302">
        <v>112921.81</v>
      </c>
      <c r="M19" s="302">
        <v>50347.7</v>
      </c>
    </row>
    <row r="20" spans="1:13" s="298" customFormat="1" x14ac:dyDescent="0.3">
      <c r="D20" s="460" t="s">
        <v>3624</v>
      </c>
      <c r="E20" s="460"/>
      <c r="F20" s="460"/>
      <c r="G20" s="460"/>
      <c r="H20" s="460"/>
      <c r="I20" s="460"/>
      <c r="J20" s="460"/>
      <c r="K20" s="303"/>
      <c r="L20" s="303">
        <v>0</v>
      </c>
      <c r="M20" s="303">
        <v>18208.37</v>
      </c>
    </row>
    <row r="21" spans="1:13" s="298" customFormat="1" x14ac:dyDescent="0.3">
      <c r="C21" s="458" t="s">
        <v>3625</v>
      </c>
      <c r="D21" s="458"/>
      <c r="E21" s="458"/>
      <c r="F21" s="458"/>
      <c r="G21" s="458"/>
      <c r="H21" s="458"/>
      <c r="I21" s="458"/>
      <c r="J21" s="458"/>
      <c r="K21" s="300"/>
      <c r="L21" s="299">
        <v>528815.78</v>
      </c>
      <c r="M21" s="299">
        <v>266725.45</v>
      </c>
    </row>
    <row r="23" spans="1:13" s="298" customFormat="1" x14ac:dyDescent="0.3">
      <c r="C23" s="458" t="s">
        <v>3626</v>
      </c>
      <c r="D23" s="458"/>
      <c r="E23" s="458"/>
      <c r="F23" s="458"/>
      <c r="G23" s="458"/>
      <c r="H23" s="458"/>
      <c r="I23" s="458"/>
      <c r="J23" s="458"/>
    </row>
    <row r="24" spans="1:13" s="301" customFormat="1" x14ac:dyDescent="0.3">
      <c r="A24" s="298"/>
      <c r="B24" s="298"/>
      <c r="C24" s="298"/>
      <c r="D24" s="459" t="s">
        <v>3627</v>
      </c>
      <c r="E24" s="459"/>
      <c r="F24" s="459"/>
      <c r="G24" s="459"/>
      <c r="H24" s="459"/>
      <c r="I24" s="459"/>
      <c r="J24" s="459"/>
      <c r="K24" s="302"/>
      <c r="L24" s="302">
        <v>673478.96</v>
      </c>
      <c r="M24" s="302">
        <v>-1346957.96</v>
      </c>
    </row>
    <row r="25" spans="1:13" s="298" customFormat="1" x14ac:dyDescent="0.3">
      <c r="D25" s="460" t="s">
        <v>3628</v>
      </c>
      <c r="E25" s="460"/>
      <c r="F25" s="460"/>
      <c r="G25" s="460"/>
      <c r="H25" s="460"/>
      <c r="I25" s="460"/>
      <c r="J25" s="460"/>
      <c r="K25" s="303"/>
      <c r="L25" s="303">
        <v>1098538.1599999999</v>
      </c>
      <c r="M25" s="303">
        <v>107028.02</v>
      </c>
    </row>
    <row r="26" spans="1:13" s="301" customFormat="1" x14ac:dyDescent="0.3">
      <c r="A26" s="298"/>
      <c r="B26" s="298"/>
      <c r="C26" s="298"/>
      <c r="D26" s="459" t="s">
        <v>3629</v>
      </c>
      <c r="E26" s="459"/>
      <c r="F26" s="459"/>
      <c r="G26" s="459"/>
      <c r="H26" s="459"/>
      <c r="I26" s="459"/>
      <c r="J26" s="459"/>
      <c r="K26" s="302"/>
      <c r="L26" s="302">
        <v>151250</v>
      </c>
      <c r="M26" s="302">
        <v>0</v>
      </c>
    </row>
    <row r="27" spans="1:13" s="298" customFormat="1" x14ac:dyDescent="0.3">
      <c r="D27" s="460" t="s">
        <v>3630</v>
      </c>
      <c r="E27" s="460"/>
      <c r="F27" s="460"/>
      <c r="G27" s="460"/>
      <c r="H27" s="460"/>
      <c r="I27" s="460"/>
      <c r="J27" s="460"/>
      <c r="K27" s="303"/>
      <c r="L27" s="303">
        <v>244349.5</v>
      </c>
      <c r="M27" s="303">
        <v>43306.06</v>
      </c>
    </row>
    <row r="28" spans="1:13" s="301" customFormat="1" x14ac:dyDescent="0.3">
      <c r="A28" s="298"/>
      <c r="B28" s="298"/>
      <c r="C28" s="298"/>
      <c r="D28" s="459" t="s">
        <v>3631</v>
      </c>
      <c r="E28" s="459"/>
      <c r="F28" s="459"/>
      <c r="G28" s="459"/>
      <c r="H28" s="459"/>
      <c r="I28" s="459"/>
      <c r="J28" s="459"/>
      <c r="K28" s="302"/>
      <c r="L28" s="302">
        <v>6529.64</v>
      </c>
      <c r="M28" s="302">
        <v>1418.39</v>
      </c>
    </row>
    <row r="29" spans="1:13" s="298" customFormat="1" x14ac:dyDescent="0.3">
      <c r="C29" s="458" t="s">
        <v>3632</v>
      </c>
      <c r="D29" s="458"/>
      <c r="E29" s="458"/>
      <c r="F29" s="458"/>
      <c r="G29" s="458"/>
      <c r="H29" s="458"/>
      <c r="I29" s="458"/>
      <c r="J29" s="458"/>
      <c r="K29" s="300"/>
      <c r="L29" s="299">
        <v>2174146.2599999998</v>
      </c>
      <c r="M29" s="299">
        <v>-1195205.49</v>
      </c>
    </row>
    <row r="31" spans="1:13" s="298" customFormat="1" x14ac:dyDescent="0.3">
      <c r="C31" s="458" t="s">
        <v>3633</v>
      </c>
      <c r="D31" s="458"/>
      <c r="E31" s="458"/>
      <c r="F31" s="458"/>
      <c r="G31" s="458"/>
      <c r="H31" s="458"/>
      <c r="I31" s="458"/>
      <c r="J31" s="458"/>
    </row>
    <row r="32" spans="1:13" s="298" customFormat="1" x14ac:dyDescent="0.3">
      <c r="D32" s="458" t="s">
        <v>3634</v>
      </c>
      <c r="E32" s="458"/>
      <c r="F32" s="458"/>
      <c r="G32" s="458"/>
      <c r="H32" s="458"/>
      <c r="I32" s="458"/>
      <c r="J32" s="458"/>
    </row>
    <row r="33" spans="1:13" s="298" customFormat="1" x14ac:dyDescent="0.3">
      <c r="E33" s="460" t="s">
        <v>3635</v>
      </c>
      <c r="F33" s="460"/>
      <c r="G33" s="460"/>
      <c r="H33" s="460"/>
      <c r="I33" s="460"/>
      <c r="J33" s="460"/>
      <c r="K33" s="303"/>
      <c r="L33" s="303">
        <v>4013770</v>
      </c>
      <c r="M33" s="303">
        <v>0</v>
      </c>
    </row>
    <row r="34" spans="1:13" s="298" customFormat="1" x14ac:dyDescent="0.3">
      <c r="E34" s="458" t="s">
        <v>3636</v>
      </c>
      <c r="F34" s="458"/>
      <c r="G34" s="458"/>
      <c r="H34" s="458"/>
      <c r="I34" s="458"/>
      <c r="J34" s="458"/>
    </row>
    <row r="35" spans="1:13" s="301" customFormat="1" x14ac:dyDescent="0.3">
      <c r="A35" s="298"/>
      <c r="B35" s="298"/>
      <c r="C35" s="298"/>
      <c r="D35" s="298"/>
      <c r="E35" s="298"/>
      <c r="F35" s="459" t="s">
        <v>3637</v>
      </c>
      <c r="G35" s="459"/>
      <c r="H35" s="459"/>
      <c r="I35" s="459"/>
      <c r="J35" s="459"/>
      <c r="K35" s="302"/>
      <c r="L35" s="302">
        <v>112283224.23</v>
      </c>
      <c r="M35" s="302">
        <v>0</v>
      </c>
    </row>
    <row r="36" spans="1:13" s="298" customFormat="1" x14ac:dyDescent="0.3">
      <c r="E36" s="458" t="s">
        <v>3638</v>
      </c>
      <c r="F36" s="458"/>
      <c r="G36" s="458"/>
      <c r="H36" s="458"/>
      <c r="I36" s="458"/>
      <c r="J36" s="458"/>
      <c r="K36" s="300"/>
      <c r="L36" s="299">
        <v>112283224.23</v>
      </c>
      <c r="M36" s="299">
        <v>0</v>
      </c>
    </row>
    <row r="38" spans="1:13" s="298" customFormat="1" x14ac:dyDescent="0.3">
      <c r="E38" s="460" t="s">
        <v>3639</v>
      </c>
      <c r="F38" s="460"/>
      <c r="G38" s="460"/>
      <c r="H38" s="460"/>
      <c r="I38" s="460"/>
      <c r="J38" s="460"/>
      <c r="K38" s="303"/>
      <c r="L38" s="303">
        <v>625.25</v>
      </c>
      <c r="M38" s="303">
        <v>625.25</v>
      </c>
    </row>
    <row r="39" spans="1:13" s="301" customFormat="1" x14ac:dyDescent="0.3">
      <c r="A39" s="298"/>
      <c r="B39" s="298"/>
      <c r="C39" s="298"/>
      <c r="D39" s="298"/>
      <c r="E39" s="459" t="s">
        <v>3640</v>
      </c>
      <c r="F39" s="459"/>
      <c r="G39" s="459"/>
      <c r="H39" s="459"/>
      <c r="I39" s="459"/>
      <c r="J39" s="459"/>
      <c r="K39" s="302"/>
      <c r="L39" s="302">
        <v>58000</v>
      </c>
      <c r="M39" s="302">
        <v>0</v>
      </c>
    </row>
    <row r="40" spans="1:13" s="298" customFormat="1" x14ac:dyDescent="0.3">
      <c r="E40" s="460" t="s">
        <v>3641</v>
      </c>
      <c r="F40" s="460"/>
      <c r="G40" s="460"/>
      <c r="H40" s="460"/>
      <c r="I40" s="460"/>
      <c r="J40" s="460"/>
      <c r="K40" s="303"/>
      <c r="L40" s="303">
        <v>75000</v>
      </c>
      <c r="M40" s="303">
        <v>0</v>
      </c>
    </row>
    <row r="41" spans="1:13" s="301" customFormat="1" x14ac:dyDescent="0.3">
      <c r="A41" s="298"/>
      <c r="B41" s="298"/>
      <c r="C41" s="298"/>
      <c r="D41" s="298"/>
      <c r="E41" s="459" t="s">
        <v>3642</v>
      </c>
      <c r="F41" s="459"/>
      <c r="G41" s="459"/>
      <c r="H41" s="459"/>
      <c r="I41" s="459"/>
      <c r="J41" s="459"/>
      <c r="K41" s="302"/>
      <c r="L41" s="302">
        <v>1339048.81</v>
      </c>
      <c r="M41" s="302">
        <v>1339048.81</v>
      </c>
    </row>
    <row r="42" spans="1:13" s="298" customFormat="1" x14ac:dyDescent="0.3">
      <c r="D42" s="458" t="s">
        <v>3643</v>
      </c>
      <c r="E42" s="458"/>
      <c r="F42" s="458"/>
      <c r="G42" s="458"/>
      <c r="H42" s="458"/>
      <c r="I42" s="458"/>
      <c r="J42" s="458"/>
      <c r="K42" s="300"/>
      <c r="L42" s="299">
        <v>117769668.29000001</v>
      </c>
      <c r="M42" s="299">
        <v>1339674.06</v>
      </c>
    </row>
    <row r="44" spans="1:13" s="298" customFormat="1" x14ac:dyDescent="0.3">
      <c r="D44" s="458" t="s">
        <v>3644</v>
      </c>
      <c r="E44" s="458"/>
      <c r="F44" s="458"/>
      <c r="G44" s="458"/>
      <c r="H44" s="458"/>
      <c r="I44" s="458"/>
      <c r="J44" s="458"/>
    </row>
    <row r="45" spans="1:13" s="298" customFormat="1" x14ac:dyDescent="0.3">
      <c r="E45" s="458" t="s">
        <v>3645</v>
      </c>
      <c r="F45" s="458"/>
      <c r="G45" s="458"/>
      <c r="H45" s="458"/>
      <c r="I45" s="458"/>
      <c r="J45" s="458"/>
    </row>
    <row r="46" spans="1:13" s="298" customFormat="1" x14ac:dyDescent="0.3">
      <c r="F46" s="458" t="s">
        <v>3646</v>
      </c>
      <c r="G46" s="458"/>
      <c r="H46" s="458"/>
      <c r="I46" s="458"/>
      <c r="J46" s="458"/>
    </row>
    <row r="47" spans="1:13" s="298" customFormat="1" x14ac:dyDescent="0.3">
      <c r="G47" s="460" t="s">
        <v>3647</v>
      </c>
      <c r="H47" s="460"/>
      <c r="I47" s="460"/>
      <c r="J47" s="460"/>
      <c r="K47" s="303"/>
      <c r="L47" s="303">
        <v>124.12</v>
      </c>
      <c r="M47" s="303">
        <v>0</v>
      </c>
    </row>
    <row r="48" spans="1:13" s="301" customFormat="1" x14ac:dyDescent="0.3">
      <c r="A48" s="298"/>
      <c r="B48" s="298"/>
      <c r="C48" s="298"/>
      <c r="D48" s="298"/>
      <c r="E48" s="298"/>
      <c r="F48" s="298"/>
      <c r="G48" s="459" t="s">
        <v>3648</v>
      </c>
      <c r="H48" s="459"/>
      <c r="I48" s="459"/>
      <c r="J48" s="459"/>
      <c r="K48" s="302"/>
      <c r="L48" s="302">
        <v>34710.04</v>
      </c>
      <c r="M48" s="302">
        <v>0</v>
      </c>
    </row>
    <row r="49" spans="1:13" s="298" customFormat="1" x14ac:dyDescent="0.3">
      <c r="F49" s="458" t="s">
        <v>3649</v>
      </c>
      <c r="G49" s="458"/>
      <c r="H49" s="458"/>
      <c r="I49" s="458"/>
      <c r="J49" s="458"/>
      <c r="K49" s="300"/>
      <c r="L49" s="299">
        <v>34834.160000000003</v>
      </c>
      <c r="M49" s="299">
        <v>0</v>
      </c>
    </row>
    <row r="51" spans="1:13" s="298" customFormat="1" x14ac:dyDescent="0.3">
      <c r="F51" s="458" t="s">
        <v>3650</v>
      </c>
      <c r="G51" s="458"/>
      <c r="H51" s="458"/>
      <c r="I51" s="458"/>
      <c r="J51" s="458"/>
    </row>
    <row r="52" spans="1:13" s="298" customFormat="1" x14ac:dyDescent="0.3">
      <c r="G52" s="460" t="s">
        <v>3651</v>
      </c>
      <c r="H52" s="460"/>
      <c r="I52" s="460"/>
      <c r="J52" s="460"/>
      <c r="K52" s="303"/>
      <c r="L52" s="303">
        <v>165529.5</v>
      </c>
      <c r="M52" s="303">
        <v>128667</v>
      </c>
    </row>
    <row r="53" spans="1:13" s="301" customFormat="1" x14ac:dyDescent="0.3">
      <c r="A53" s="298"/>
      <c r="B53" s="298"/>
      <c r="C53" s="298"/>
      <c r="D53" s="298"/>
      <c r="E53" s="298"/>
      <c r="F53" s="298"/>
      <c r="G53" s="459" t="s">
        <v>3652</v>
      </c>
      <c r="H53" s="459"/>
      <c r="I53" s="459"/>
      <c r="J53" s="459"/>
      <c r="K53" s="302"/>
      <c r="L53" s="302">
        <v>10383</v>
      </c>
      <c r="M53" s="302">
        <v>0</v>
      </c>
    </row>
    <row r="54" spans="1:13" s="298" customFormat="1" x14ac:dyDescent="0.3">
      <c r="G54" s="460" t="s">
        <v>3653</v>
      </c>
      <c r="H54" s="460"/>
      <c r="I54" s="460"/>
      <c r="J54" s="460"/>
      <c r="K54" s="303"/>
      <c r="L54" s="303">
        <v>963.36</v>
      </c>
      <c r="M54" s="303">
        <v>963.36</v>
      </c>
    </row>
    <row r="55" spans="1:13" s="301" customFormat="1" x14ac:dyDescent="0.3">
      <c r="A55" s="298"/>
      <c r="B55" s="298"/>
      <c r="C55" s="298"/>
      <c r="D55" s="298"/>
      <c r="E55" s="298"/>
      <c r="F55" s="298"/>
      <c r="G55" s="459" t="s">
        <v>3654</v>
      </c>
      <c r="H55" s="459"/>
      <c r="I55" s="459"/>
      <c r="J55" s="459"/>
      <c r="K55" s="302"/>
      <c r="L55" s="302">
        <v>1778.28</v>
      </c>
      <c r="M55" s="302">
        <v>1778.28</v>
      </c>
    </row>
    <row r="56" spans="1:13" s="298" customFormat="1" x14ac:dyDescent="0.3">
      <c r="G56" s="460" t="s">
        <v>3655</v>
      </c>
      <c r="H56" s="460"/>
      <c r="I56" s="460"/>
      <c r="J56" s="460"/>
      <c r="K56" s="303"/>
      <c r="L56" s="303">
        <v>30060</v>
      </c>
      <c r="M56" s="303">
        <v>0</v>
      </c>
    </row>
    <row r="57" spans="1:13" s="301" customFormat="1" x14ac:dyDescent="0.3">
      <c r="A57" s="298"/>
      <c r="B57" s="298"/>
      <c r="C57" s="298"/>
      <c r="D57" s="298"/>
      <c r="E57" s="298"/>
      <c r="F57" s="298"/>
      <c r="G57" s="459" t="s">
        <v>3656</v>
      </c>
      <c r="H57" s="459"/>
      <c r="I57" s="459"/>
      <c r="J57" s="459"/>
      <c r="K57" s="302"/>
      <c r="L57" s="302">
        <v>18605.47</v>
      </c>
      <c r="M57" s="302">
        <v>0</v>
      </c>
    </row>
    <row r="58" spans="1:13" s="298" customFormat="1" x14ac:dyDescent="0.3">
      <c r="G58" s="460" t="s">
        <v>3657</v>
      </c>
      <c r="H58" s="460"/>
      <c r="I58" s="460"/>
      <c r="J58" s="460"/>
      <c r="K58" s="303"/>
      <c r="L58" s="303">
        <v>3898</v>
      </c>
      <c r="M58" s="303">
        <v>3898</v>
      </c>
    </row>
    <row r="59" spans="1:13" s="301" customFormat="1" x14ac:dyDescent="0.3">
      <c r="A59" s="298"/>
      <c r="B59" s="298"/>
      <c r="C59" s="298"/>
      <c r="D59" s="298"/>
      <c r="E59" s="298"/>
      <c r="F59" s="298"/>
      <c r="G59" s="459" t="s">
        <v>3658</v>
      </c>
      <c r="H59" s="459"/>
      <c r="I59" s="459"/>
      <c r="J59" s="459"/>
      <c r="K59" s="302"/>
      <c r="L59" s="302">
        <v>1091430.21</v>
      </c>
      <c r="M59" s="302">
        <v>0</v>
      </c>
    </row>
    <row r="60" spans="1:13" s="298" customFormat="1" x14ac:dyDescent="0.3">
      <c r="G60" s="460" t="s">
        <v>3659</v>
      </c>
      <c r="H60" s="460"/>
      <c r="I60" s="460"/>
      <c r="J60" s="460"/>
      <c r="K60" s="303"/>
      <c r="L60" s="303">
        <v>18900</v>
      </c>
      <c r="M60" s="303">
        <v>0</v>
      </c>
    </row>
    <row r="61" spans="1:13" s="301" customFormat="1" x14ac:dyDescent="0.3">
      <c r="A61" s="298"/>
      <c r="B61" s="298"/>
      <c r="C61" s="298"/>
      <c r="D61" s="298"/>
      <c r="E61" s="298"/>
      <c r="F61" s="298"/>
      <c r="G61" s="459" t="s">
        <v>3660</v>
      </c>
      <c r="H61" s="459"/>
      <c r="I61" s="459"/>
      <c r="J61" s="459"/>
      <c r="K61" s="302"/>
      <c r="L61" s="302">
        <v>393545.79</v>
      </c>
      <c r="M61" s="302">
        <v>8825.66</v>
      </c>
    </row>
    <row r="62" spans="1:13" s="298" customFormat="1" x14ac:dyDescent="0.3">
      <c r="F62" s="458" t="s">
        <v>3661</v>
      </c>
      <c r="G62" s="458"/>
      <c r="H62" s="458"/>
      <c r="I62" s="458"/>
      <c r="J62" s="458"/>
      <c r="K62" s="300"/>
      <c r="L62" s="299">
        <v>1735093.61</v>
      </c>
      <c r="M62" s="299">
        <v>144132.29999999999</v>
      </c>
    </row>
    <row r="64" spans="1:13" s="298" customFormat="1" x14ac:dyDescent="0.3">
      <c r="E64" s="458" t="s">
        <v>3662</v>
      </c>
      <c r="F64" s="458"/>
      <c r="G64" s="458"/>
      <c r="H64" s="458"/>
      <c r="I64" s="458"/>
      <c r="J64" s="458"/>
      <c r="K64" s="300"/>
      <c r="L64" s="299">
        <v>1769927.77</v>
      </c>
      <c r="M64" s="299">
        <v>144132.29999999999</v>
      </c>
    </row>
    <row r="66" spans="1:13" s="298" customFormat="1" x14ac:dyDescent="0.3">
      <c r="E66" s="458" t="s">
        <v>3663</v>
      </c>
      <c r="F66" s="458"/>
      <c r="G66" s="458"/>
      <c r="H66" s="458"/>
      <c r="I66" s="458"/>
      <c r="J66" s="458"/>
    </row>
    <row r="67" spans="1:13" s="298" customFormat="1" x14ac:dyDescent="0.3">
      <c r="F67" s="460" t="s">
        <v>3664</v>
      </c>
      <c r="G67" s="460"/>
      <c r="H67" s="460"/>
      <c r="I67" s="460"/>
      <c r="J67" s="460"/>
      <c r="K67" s="303"/>
      <c r="L67" s="303">
        <v>548829.18000000005</v>
      </c>
      <c r="M67" s="303">
        <v>150790.64000000001</v>
      </c>
    </row>
    <row r="68" spans="1:13" s="301" customFormat="1" x14ac:dyDescent="0.3">
      <c r="A68" s="298"/>
      <c r="B68" s="298"/>
      <c r="C68" s="298"/>
      <c r="D68" s="298"/>
      <c r="E68" s="298"/>
      <c r="F68" s="459" t="s">
        <v>3665</v>
      </c>
      <c r="G68" s="459"/>
      <c r="H68" s="459"/>
      <c r="I68" s="459"/>
      <c r="J68" s="459"/>
      <c r="K68" s="302"/>
      <c r="L68" s="302">
        <v>118130.13</v>
      </c>
      <c r="M68" s="302">
        <v>87356.13</v>
      </c>
    </row>
    <row r="69" spans="1:13" s="298" customFormat="1" x14ac:dyDescent="0.3">
      <c r="F69" s="460" t="s">
        <v>3666</v>
      </c>
      <c r="G69" s="460"/>
      <c r="H69" s="460"/>
      <c r="I69" s="460"/>
      <c r="J69" s="460"/>
      <c r="K69" s="303"/>
      <c r="L69" s="303">
        <v>311418.46000000002</v>
      </c>
      <c r="M69" s="303">
        <v>65991.509999999995</v>
      </c>
    </row>
    <row r="70" spans="1:13" s="301" customFormat="1" x14ac:dyDescent="0.3">
      <c r="A70" s="298"/>
      <c r="B70" s="298"/>
      <c r="C70" s="298"/>
      <c r="D70" s="298"/>
      <c r="E70" s="298"/>
      <c r="F70" s="459" t="s">
        <v>3667</v>
      </c>
      <c r="G70" s="459"/>
      <c r="H70" s="459"/>
      <c r="I70" s="459"/>
      <c r="J70" s="459"/>
      <c r="K70" s="302"/>
      <c r="L70" s="302">
        <v>17359.240000000002</v>
      </c>
      <c r="M70" s="302">
        <v>6691.55</v>
      </c>
    </row>
    <row r="71" spans="1:13" s="298" customFormat="1" x14ac:dyDescent="0.3">
      <c r="F71" s="460" t="s">
        <v>3668</v>
      </c>
      <c r="G71" s="460"/>
      <c r="H71" s="460"/>
      <c r="I71" s="460"/>
      <c r="J71" s="460"/>
      <c r="K71" s="303"/>
      <c r="L71" s="303">
        <v>36551.75</v>
      </c>
      <c r="M71" s="303">
        <v>4805.75</v>
      </c>
    </row>
    <row r="72" spans="1:13" s="301" customFormat="1" x14ac:dyDescent="0.3">
      <c r="A72" s="298"/>
      <c r="B72" s="298"/>
      <c r="C72" s="298"/>
      <c r="D72" s="298"/>
      <c r="E72" s="298"/>
      <c r="F72" s="459" t="s">
        <v>3669</v>
      </c>
      <c r="G72" s="459"/>
      <c r="H72" s="459"/>
      <c r="I72" s="459"/>
      <c r="J72" s="459"/>
      <c r="K72" s="302"/>
      <c r="L72" s="302">
        <v>857154.3</v>
      </c>
      <c r="M72" s="302">
        <v>220036.28</v>
      </c>
    </row>
    <row r="73" spans="1:13" s="298" customFormat="1" x14ac:dyDescent="0.3">
      <c r="F73" s="460" t="s">
        <v>3670</v>
      </c>
      <c r="G73" s="460"/>
      <c r="H73" s="460"/>
      <c r="I73" s="460"/>
      <c r="J73" s="460"/>
      <c r="K73" s="303"/>
      <c r="L73" s="303">
        <v>43679.81</v>
      </c>
      <c r="M73" s="303">
        <v>8764.09</v>
      </c>
    </row>
    <row r="74" spans="1:13" s="301" customFormat="1" x14ac:dyDescent="0.3">
      <c r="A74" s="298"/>
      <c r="B74" s="298"/>
      <c r="C74" s="298"/>
      <c r="D74" s="298"/>
      <c r="E74" s="298"/>
      <c r="F74" s="459" t="s">
        <v>3671</v>
      </c>
      <c r="G74" s="459"/>
      <c r="H74" s="459"/>
      <c r="I74" s="459"/>
      <c r="J74" s="459"/>
      <c r="K74" s="302"/>
      <c r="L74" s="302">
        <v>2178.5</v>
      </c>
      <c r="M74" s="302">
        <v>0</v>
      </c>
    </row>
    <row r="75" spans="1:13" s="298" customFormat="1" x14ac:dyDescent="0.3">
      <c r="B75" s="298" t="s">
        <v>857</v>
      </c>
      <c r="F75" s="460" t="s">
        <v>3672</v>
      </c>
      <c r="G75" s="460"/>
      <c r="H75" s="460"/>
      <c r="I75" s="460"/>
      <c r="J75" s="460"/>
      <c r="K75" s="303"/>
      <c r="L75" s="303">
        <v>510128.39</v>
      </c>
      <c r="M75" s="303">
        <v>157871.24</v>
      </c>
    </row>
    <row r="76" spans="1:13" s="301" customFormat="1" x14ac:dyDescent="0.3">
      <c r="A76" s="298"/>
      <c r="B76" s="298"/>
      <c r="C76" s="298"/>
      <c r="D76" s="298"/>
      <c r="E76" s="298"/>
      <c r="F76" s="459" t="s">
        <v>3673</v>
      </c>
      <c r="G76" s="459"/>
      <c r="H76" s="459"/>
      <c r="I76" s="459"/>
      <c r="J76" s="459"/>
      <c r="K76" s="302"/>
      <c r="L76" s="302">
        <v>217300.85</v>
      </c>
      <c r="M76" s="302">
        <v>46687.91</v>
      </c>
    </row>
    <row r="77" spans="1:13" s="298" customFormat="1" x14ac:dyDescent="0.3">
      <c r="F77" s="460" t="s">
        <v>3674</v>
      </c>
      <c r="G77" s="460"/>
      <c r="H77" s="460"/>
      <c r="I77" s="460"/>
      <c r="J77" s="460"/>
      <c r="K77" s="303"/>
      <c r="L77" s="303">
        <v>120149.1</v>
      </c>
      <c r="M77" s="303">
        <v>32687.71</v>
      </c>
    </row>
    <row r="78" spans="1:13" s="301" customFormat="1" x14ac:dyDescent="0.3">
      <c r="A78" s="298"/>
      <c r="B78" s="298"/>
      <c r="C78" s="298"/>
      <c r="D78" s="298"/>
      <c r="E78" s="298"/>
      <c r="F78" s="459" t="s">
        <v>3675</v>
      </c>
      <c r="G78" s="459"/>
      <c r="H78" s="459"/>
      <c r="I78" s="459"/>
      <c r="J78" s="459"/>
      <c r="K78" s="302"/>
      <c r="L78" s="302">
        <v>547173.75</v>
      </c>
      <c r="M78" s="302">
        <v>148909.57</v>
      </c>
    </row>
    <row r="79" spans="1:13" s="298" customFormat="1" x14ac:dyDescent="0.3">
      <c r="F79" s="460" t="s">
        <v>3676</v>
      </c>
      <c r="G79" s="460"/>
      <c r="H79" s="460"/>
      <c r="I79" s="460"/>
      <c r="J79" s="460"/>
      <c r="K79" s="303"/>
      <c r="L79" s="303">
        <v>108971.71</v>
      </c>
      <c r="M79" s="303">
        <v>41459.53</v>
      </c>
    </row>
    <row r="80" spans="1:13" s="301" customFormat="1" x14ac:dyDescent="0.3">
      <c r="A80" s="298"/>
      <c r="B80" s="298"/>
      <c r="C80" s="298"/>
      <c r="D80" s="298"/>
      <c r="E80" s="298"/>
      <c r="F80" s="459" t="s">
        <v>3677</v>
      </c>
      <c r="G80" s="459"/>
      <c r="H80" s="459"/>
      <c r="I80" s="459"/>
      <c r="J80" s="459"/>
      <c r="K80" s="302"/>
      <c r="L80" s="302">
        <v>2555.11</v>
      </c>
      <c r="M80" s="302">
        <v>0</v>
      </c>
    </row>
    <row r="81" spans="1:13" s="298" customFormat="1" x14ac:dyDescent="0.3">
      <c r="F81" s="460" t="s">
        <v>3678</v>
      </c>
      <c r="G81" s="460"/>
      <c r="H81" s="460"/>
      <c r="I81" s="460"/>
      <c r="J81" s="460"/>
      <c r="K81" s="303"/>
      <c r="L81" s="303">
        <v>212509.52</v>
      </c>
      <c r="M81" s="303">
        <v>109567.64</v>
      </c>
    </row>
    <row r="82" spans="1:13" s="301" customFormat="1" x14ac:dyDescent="0.3">
      <c r="A82" s="298"/>
      <c r="B82" s="298"/>
      <c r="C82" s="298"/>
      <c r="D82" s="298"/>
      <c r="E82" s="298"/>
      <c r="F82" s="459" t="s">
        <v>3679</v>
      </c>
      <c r="G82" s="459"/>
      <c r="H82" s="459"/>
      <c r="I82" s="459"/>
      <c r="J82" s="459"/>
      <c r="K82" s="302"/>
      <c r="L82" s="302">
        <v>118045.43</v>
      </c>
      <c r="M82" s="302">
        <v>20266.63</v>
      </c>
    </row>
    <row r="83" spans="1:13" s="298" customFormat="1" x14ac:dyDescent="0.3">
      <c r="F83" s="460" t="s">
        <v>3680</v>
      </c>
      <c r="G83" s="460"/>
      <c r="H83" s="460"/>
      <c r="I83" s="460"/>
      <c r="J83" s="460"/>
      <c r="K83" s="303"/>
      <c r="L83" s="303">
        <v>15841.74</v>
      </c>
      <c r="M83" s="303">
        <v>7882.67</v>
      </c>
    </row>
    <row r="84" spans="1:13" s="301" customFormat="1" x14ac:dyDescent="0.3">
      <c r="A84" s="298"/>
      <c r="B84" s="298"/>
      <c r="C84" s="298"/>
      <c r="D84" s="298"/>
      <c r="E84" s="298"/>
      <c r="F84" s="459" t="s">
        <v>3681</v>
      </c>
      <c r="G84" s="459"/>
      <c r="H84" s="459"/>
      <c r="I84" s="459"/>
      <c r="J84" s="459"/>
      <c r="K84" s="302"/>
      <c r="L84" s="302">
        <v>30787.62</v>
      </c>
      <c r="M84" s="302">
        <v>0</v>
      </c>
    </row>
    <row r="85" spans="1:13" s="298" customFormat="1" x14ac:dyDescent="0.3">
      <c r="F85" s="460" t="s">
        <v>3682</v>
      </c>
      <c r="G85" s="460"/>
      <c r="H85" s="460"/>
      <c r="I85" s="460"/>
      <c r="J85" s="460"/>
      <c r="K85" s="303"/>
      <c r="L85" s="303">
        <v>744860.33</v>
      </c>
      <c r="M85" s="303">
        <v>131312.4</v>
      </c>
    </row>
    <row r="86" spans="1:13" s="301" customFormat="1" x14ac:dyDescent="0.3">
      <c r="A86" s="298"/>
      <c r="B86" s="298"/>
      <c r="C86" s="298"/>
      <c r="D86" s="298"/>
      <c r="E86" s="298"/>
      <c r="F86" s="459" t="s">
        <v>3683</v>
      </c>
      <c r="G86" s="459"/>
      <c r="H86" s="459"/>
      <c r="I86" s="459"/>
      <c r="J86" s="459"/>
      <c r="K86" s="302"/>
      <c r="L86" s="302">
        <v>759.79</v>
      </c>
      <c r="M86" s="302">
        <v>-1562.99</v>
      </c>
    </row>
    <row r="87" spans="1:13" s="298" customFormat="1" x14ac:dyDescent="0.3">
      <c r="F87" s="460" t="s">
        <v>3684</v>
      </c>
      <c r="G87" s="460"/>
      <c r="H87" s="460"/>
      <c r="I87" s="460"/>
      <c r="J87" s="460"/>
      <c r="K87" s="303"/>
      <c r="L87" s="303">
        <v>325060.69</v>
      </c>
      <c r="M87" s="303">
        <v>4131.9399999999996</v>
      </c>
    </row>
    <row r="88" spans="1:13" s="301" customFormat="1" x14ac:dyDescent="0.3">
      <c r="A88" s="298"/>
      <c r="B88" s="298"/>
      <c r="C88" s="298"/>
      <c r="D88" s="298"/>
      <c r="E88" s="298"/>
      <c r="F88" s="459" t="s">
        <v>3685</v>
      </c>
      <c r="G88" s="459"/>
      <c r="H88" s="459"/>
      <c r="I88" s="459"/>
      <c r="J88" s="459"/>
      <c r="K88" s="302"/>
      <c r="L88" s="302">
        <v>26665.759999999998</v>
      </c>
      <c r="M88" s="302">
        <v>8374.19</v>
      </c>
    </row>
    <row r="89" spans="1:13" s="298" customFormat="1" x14ac:dyDescent="0.3">
      <c r="F89" s="460" t="s">
        <v>3686</v>
      </c>
      <c r="G89" s="460"/>
      <c r="H89" s="460"/>
      <c r="I89" s="460"/>
      <c r="J89" s="460"/>
      <c r="K89" s="303"/>
      <c r="L89" s="303">
        <v>8819.14</v>
      </c>
      <c r="M89" s="303">
        <v>4005.19</v>
      </c>
    </row>
    <row r="90" spans="1:13" s="301" customFormat="1" x14ac:dyDescent="0.3">
      <c r="A90" s="298"/>
      <c r="B90" s="298"/>
      <c r="C90" s="298"/>
      <c r="D90" s="298"/>
      <c r="E90" s="298"/>
      <c r="F90" s="459" t="s">
        <v>3687</v>
      </c>
      <c r="G90" s="459"/>
      <c r="H90" s="459"/>
      <c r="I90" s="459"/>
      <c r="J90" s="459"/>
      <c r="K90" s="302"/>
      <c r="L90" s="302">
        <v>825837.41</v>
      </c>
      <c r="M90" s="302">
        <v>315050.88</v>
      </c>
    </row>
    <row r="91" spans="1:13" s="298" customFormat="1" x14ac:dyDescent="0.3">
      <c r="F91" s="460" t="s">
        <v>3688</v>
      </c>
      <c r="G91" s="460"/>
      <c r="H91" s="460"/>
      <c r="I91" s="460"/>
      <c r="J91" s="460"/>
      <c r="K91" s="303"/>
      <c r="L91" s="303">
        <v>524081.57</v>
      </c>
      <c r="M91" s="303">
        <v>165201.47</v>
      </c>
    </row>
    <row r="92" spans="1:13" s="301" customFormat="1" x14ac:dyDescent="0.3">
      <c r="A92" s="298"/>
      <c r="B92" s="298"/>
      <c r="C92" s="298"/>
      <c r="D92" s="298"/>
      <c r="E92" s="298"/>
      <c r="F92" s="459" t="s">
        <v>3689</v>
      </c>
      <c r="G92" s="459"/>
      <c r="H92" s="459"/>
      <c r="I92" s="459"/>
      <c r="J92" s="459"/>
      <c r="K92" s="302"/>
      <c r="L92" s="302">
        <v>29727.65</v>
      </c>
      <c r="M92" s="302">
        <v>19410.05</v>
      </c>
    </row>
    <row r="93" spans="1:13" s="298" customFormat="1" x14ac:dyDescent="0.3">
      <c r="F93" s="460" t="s">
        <v>3690</v>
      </c>
      <c r="G93" s="460"/>
      <c r="H93" s="460"/>
      <c r="I93" s="460"/>
      <c r="J93" s="460"/>
      <c r="K93" s="303"/>
      <c r="L93" s="303">
        <v>91603.47</v>
      </c>
      <c r="M93" s="303">
        <v>14895.47</v>
      </c>
    </row>
    <row r="94" spans="1:13" s="301" customFormat="1" x14ac:dyDescent="0.3">
      <c r="A94" s="298"/>
      <c r="B94" s="298"/>
      <c r="C94" s="298"/>
      <c r="D94" s="298"/>
      <c r="E94" s="298"/>
      <c r="F94" s="459" t="s">
        <v>3691</v>
      </c>
      <c r="G94" s="459"/>
      <c r="H94" s="459"/>
      <c r="I94" s="459"/>
      <c r="J94" s="459"/>
      <c r="K94" s="302"/>
      <c r="L94" s="302">
        <v>15856.2</v>
      </c>
      <c r="M94" s="302">
        <v>1238</v>
      </c>
    </row>
    <row r="95" spans="1:13" s="298" customFormat="1" x14ac:dyDescent="0.3">
      <c r="F95" s="460" t="s">
        <v>3692</v>
      </c>
      <c r="G95" s="460"/>
      <c r="H95" s="460"/>
      <c r="I95" s="460"/>
      <c r="J95" s="460"/>
      <c r="K95" s="303"/>
      <c r="L95" s="303">
        <v>92970</v>
      </c>
      <c r="M95" s="303">
        <v>390</v>
      </c>
    </row>
    <row r="96" spans="1:13" s="301" customFormat="1" x14ac:dyDescent="0.3">
      <c r="A96" s="298"/>
      <c r="B96" s="298"/>
      <c r="C96" s="298"/>
      <c r="D96" s="298"/>
      <c r="E96" s="298"/>
      <c r="F96" s="459" t="s">
        <v>3693</v>
      </c>
      <c r="G96" s="459"/>
      <c r="H96" s="459"/>
      <c r="I96" s="459"/>
      <c r="J96" s="459"/>
      <c r="K96" s="302"/>
      <c r="L96" s="302">
        <v>6225</v>
      </c>
      <c r="M96" s="302">
        <v>6225</v>
      </c>
    </row>
    <row r="97" spans="1:13" s="298" customFormat="1" x14ac:dyDescent="0.3">
      <c r="F97" s="460" t="s">
        <v>3694</v>
      </c>
      <c r="G97" s="460"/>
      <c r="H97" s="460"/>
      <c r="I97" s="460"/>
      <c r="J97" s="460"/>
      <c r="K97" s="303"/>
      <c r="L97" s="303">
        <v>49531.09</v>
      </c>
      <c r="M97" s="303">
        <v>30191.09</v>
      </c>
    </row>
    <row r="98" spans="1:13" s="301" customFormat="1" x14ac:dyDescent="0.3">
      <c r="A98" s="298"/>
      <c r="B98" s="298"/>
      <c r="C98" s="298"/>
      <c r="D98" s="298"/>
      <c r="E98" s="298"/>
      <c r="F98" s="459" t="s">
        <v>3695</v>
      </c>
      <c r="G98" s="459"/>
      <c r="H98" s="459"/>
      <c r="I98" s="459"/>
      <c r="J98" s="459"/>
      <c r="K98" s="302"/>
      <c r="L98" s="302">
        <v>23134.15</v>
      </c>
      <c r="M98" s="302">
        <v>13107.18</v>
      </c>
    </row>
    <row r="99" spans="1:13" s="298" customFormat="1" x14ac:dyDescent="0.3">
      <c r="F99" s="460" t="s">
        <v>3696</v>
      </c>
      <c r="G99" s="460"/>
      <c r="H99" s="460"/>
      <c r="I99" s="460"/>
      <c r="J99" s="460"/>
      <c r="K99" s="303"/>
      <c r="L99" s="303">
        <v>-617350.48</v>
      </c>
      <c r="M99" s="303">
        <v>-3021.17</v>
      </c>
    </row>
    <row r="100" spans="1:13" s="301" customFormat="1" x14ac:dyDescent="0.3">
      <c r="A100" s="298"/>
      <c r="B100" s="298"/>
      <c r="C100" s="298"/>
      <c r="D100" s="298"/>
      <c r="E100" s="298"/>
      <c r="F100" s="459" t="s">
        <v>3697</v>
      </c>
      <c r="G100" s="459"/>
      <c r="H100" s="459"/>
      <c r="I100" s="459"/>
      <c r="J100" s="459"/>
      <c r="K100" s="302"/>
      <c r="L100" s="302">
        <v>26450</v>
      </c>
      <c r="M100" s="302">
        <v>0</v>
      </c>
    </row>
    <row r="101" spans="1:13" s="298" customFormat="1" x14ac:dyDescent="0.3">
      <c r="F101" s="460" t="s">
        <v>3698</v>
      </c>
      <c r="G101" s="460"/>
      <c r="H101" s="460"/>
      <c r="I101" s="460"/>
      <c r="J101" s="460"/>
      <c r="K101" s="303"/>
      <c r="L101" s="303">
        <v>1623.74</v>
      </c>
      <c r="M101" s="303">
        <v>0</v>
      </c>
    </row>
    <row r="102" spans="1:13" s="301" customFormat="1" x14ac:dyDescent="0.3">
      <c r="A102" s="298"/>
      <c r="B102" s="298"/>
      <c r="C102" s="298"/>
      <c r="D102" s="298"/>
      <c r="E102" s="298"/>
      <c r="F102" s="459" t="s">
        <v>3699</v>
      </c>
      <c r="G102" s="459"/>
      <c r="H102" s="459"/>
      <c r="I102" s="459"/>
      <c r="J102" s="459"/>
      <c r="K102" s="302"/>
      <c r="L102" s="302">
        <v>126549.6</v>
      </c>
      <c r="M102" s="302">
        <v>0</v>
      </c>
    </row>
    <row r="103" spans="1:13" s="298" customFormat="1" x14ac:dyDescent="0.3">
      <c r="F103" s="460" t="s">
        <v>3700</v>
      </c>
      <c r="G103" s="460"/>
      <c r="H103" s="460"/>
      <c r="I103" s="460"/>
      <c r="J103" s="460"/>
      <c r="K103" s="303"/>
      <c r="L103" s="303">
        <v>9655</v>
      </c>
      <c r="M103" s="303">
        <v>5875</v>
      </c>
    </row>
    <row r="104" spans="1:13" s="301" customFormat="1" x14ac:dyDescent="0.3">
      <c r="A104" s="298"/>
      <c r="B104" s="298"/>
      <c r="C104" s="298"/>
      <c r="D104" s="298"/>
      <c r="E104" s="298"/>
      <c r="F104" s="459" t="s">
        <v>3701</v>
      </c>
      <c r="G104" s="459"/>
      <c r="H104" s="459"/>
      <c r="I104" s="459"/>
      <c r="J104" s="459"/>
      <c r="K104" s="302"/>
      <c r="L104" s="302">
        <v>546976.9</v>
      </c>
      <c r="M104" s="302">
        <v>278549.7</v>
      </c>
    </row>
    <row r="105" spans="1:13" s="298" customFormat="1" x14ac:dyDescent="0.3">
      <c r="E105" s="458" t="s">
        <v>3702</v>
      </c>
      <c r="F105" s="458"/>
      <c r="G105" s="458"/>
      <c r="H105" s="458"/>
      <c r="I105" s="458"/>
      <c r="J105" s="458"/>
      <c r="K105" s="300"/>
      <c r="L105" s="299">
        <v>6677801.5999999996</v>
      </c>
      <c r="M105" s="299">
        <v>2103142.25</v>
      </c>
    </row>
    <row r="107" spans="1:13" s="298" customFormat="1" x14ac:dyDescent="0.3">
      <c r="D107" s="458" t="s">
        <v>3703</v>
      </c>
      <c r="E107" s="458"/>
      <c r="F107" s="458"/>
      <c r="G107" s="458"/>
      <c r="H107" s="458"/>
      <c r="I107" s="458"/>
      <c r="J107" s="458"/>
      <c r="K107" s="300"/>
      <c r="L107" s="299">
        <v>8447729.3699999992</v>
      </c>
      <c r="M107" s="299">
        <v>2247274.5499999998</v>
      </c>
    </row>
    <row r="109" spans="1:13" s="298" customFormat="1" x14ac:dyDescent="0.3">
      <c r="C109" s="458" t="s">
        <v>3704</v>
      </c>
      <c r="D109" s="458"/>
      <c r="E109" s="458"/>
      <c r="F109" s="458"/>
      <c r="G109" s="458"/>
      <c r="H109" s="458"/>
      <c r="I109" s="458"/>
      <c r="J109" s="458"/>
      <c r="K109" s="300"/>
      <c r="L109" s="299">
        <v>126217397.66</v>
      </c>
      <c r="M109" s="299">
        <v>3586948.61</v>
      </c>
    </row>
    <row r="111" spans="1:13" s="298" customFormat="1" x14ac:dyDescent="0.3">
      <c r="C111" s="458" t="s">
        <v>3705</v>
      </c>
      <c r="D111" s="458"/>
      <c r="E111" s="458"/>
      <c r="F111" s="458"/>
      <c r="G111" s="458"/>
      <c r="H111" s="458"/>
      <c r="I111" s="458"/>
      <c r="J111" s="458"/>
    </row>
    <row r="112" spans="1:13" s="298" customFormat="1" x14ac:dyDescent="0.3">
      <c r="D112" s="458" t="s">
        <v>3706</v>
      </c>
      <c r="E112" s="458"/>
      <c r="F112" s="458"/>
      <c r="G112" s="458"/>
      <c r="H112" s="458"/>
      <c r="I112" s="458"/>
      <c r="J112" s="458"/>
    </row>
    <row r="113" spans="1:13" s="298" customFormat="1" x14ac:dyDescent="0.3">
      <c r="E113" s="460" t="s">
        <v>3707</v>
      </c>
      <c r="F113" s="460"/>
      <c r="G113" s="460"/>
      <c r="H113" s="460"/>
      <c r="I113" s="460"/>
      <c r="J113" s="460"/>
      <c r="K113" s="303"/>
      <c r="L113" s="303">
        <v>344575.85</v>
      </c>
      <c r="M113" s="303">
        <v>0</v>
      </c>
    </row>
    <row r="114" spans="1:13" s="301" customFormat="1" x14ac:dyDescent="0.3">
      <c r="A114" s="298"/>
      <c r="B114" s="298"/>
      <c r="C114" s="298"/>
      <c r="D114" s="298"/>
      <c r="E114" s="459" t="s">
        <v>3708</v>
      </c>
      <c r="F114" s="459"/>
      <c r="G114" s="459"/>
      <c r="H114" s="459"/>
      <c r="I114" s="459"/>
      <c r="J114" s="459"/>
      <c r="K114" s="302"/>
      <c r="L114" s="302">
        <v>5057122.26</v>
      </c>
      <c r="M114" s="302">
        <v>1251060.26</v>
      </c>
    </row>
    <row r="115" spans="1:13" s="298" customFormat="1" x14ac:dyDescent="0.3">
      <c r="E115" s="460" t="s">
        <v>3709</v>
      </c>
      <c r="F115" s="460"/>
      <c r="G115" s="460"/>
      <c r="H115" s="460"/>
      <c r="I115" s="460"/>
      <c r="J115" s="460"/>
      <c r="K115" s="303"/>
      <c r="L115" s="303">
        <v>-3720486.88</v>
      </c>
      <c r="M115" s="303">
        <v>-1555651.9</v>
      </c>
    </row>
    <row r="116" spans="1:13" s="298" customFormat="1" x14ac:dyDescent="0.3">
      <c r="D116" s="458" t="s">
        <v>3710</v>
      </c>
      <c r="E116" s="458"/>
      <c r="F116" s="458"/>
      <c r="G116" s="458"/>
      <c r="H116" s="458"/>
      <c r="I116" s="458"/>
      <c r="J116" s="458"/>
      <c r="K116" s="300"/>
      <c r="L116" s="299">
        <v>1681211.23</v>
      </c>
      <c r="M116" s="299">
        <v>-304591.64</v>
      </c>
    </row>
    <row r="118" spans="1:13" s="298" customFormat="1" x14ac:dyDescent="0.3">
      <c r="C118" s="458" t="s">
        <v>3711</v>
      </c>
      <c r="D118" s="458"/>
      <c r="E118" s="458"/>
      <c r="F118" s="458"/>
      <c r="G118" s="458"/>
      <c r="H118" s="458"/>
      <c r="I118" s="458"/>
      <c r="J118" s="458"/>
      <c r="K118" s="300"/>
      <c r="L118" s="299">
        <v>1681211.23</v>
      </c>
      <c r="M118" s="299">
        <v>-304591.64</v>
      </c>
    </row>
    <row r="120" spans="1:13" s="298" customFormat="1" x14ac:dyDescent="0.3">
      <c r="B120" s="458" t="s">
        <v>3712</v>
      </c>
      <c r="C120" s="458"/>
      <c r="D120" s="458"/>
      <c r="E120" s="458"/>
      <c r="F120" s="458"/>
      <c r="G120" s="458"/>
      <c r="H120" s="458"/>
      <c r="I120" s="458"/>
      <c r="J120" s="458"/>
      <c r="K120" s="300"/>
      <c r="L120" s="299">
        <v>130737875.03</v>
      </c>
      <c r="M120" s="299">
        <v>1606240.61</v>
      </c>
    </row>
    <row r="122" spans="1:13" s="298" customFormat="1" x14ac:dyDescent="0.3">
      <c r="B122" s="458" t="s">
        <v>3713</v>
      </c>
      <c r="C122" s="458"/>
      <c r="D122" s="458"/>
      <c r="E122" s="458"/>
      <c r="F122" s="458"/>
      <c r="G122" s="458"/>
      <c r="H122" s="458"/>
      <c r="I122" s="458"/>
      <c r="J122" s="458"/>
    </row>
    <row r="123" spans="1:13" s="298" customFormat="1" x14ac:dyDescent="0.3">
      <c r="C123" s="458" t="s">
        <v>3714</v>
      </c>
      <c r="D123" s="458"/>
      <c r="E123" s="458"/>
      <c r="F123" s="458"/>
      <c r="G123" s="458"/>
      <c r="H123" s="458"/>
      <c r="I123" s="458"/>
      <c r="J123" s="458"/>
    </row>
    <row r="124" spans="1:13" s="298" customFormat="1" x14ac:dyDescent="0.3">
      <c r="D124" s="458" t="s">
        <v>3715</v>
      </c>
      <c r="E124" s="458"/>
      <c r="F124" s="458"/>
      <c r="G124" s="458"/>
      <c r="H124" s="458"/>
      <c r="I124" s="458"/>
      <c r="J124" s="458"/>
    </row>
    <row r="125" spans="1:13" s="301" customFormat="1" x14ac:dyDescent="0.3">
      <c r="A125" s="298"/>
      <c r="B125" s="298"/>
      <c r="C125" s="298"/>
      <c r="D125" s="298"/>
      <c r="E125" s="459" t="s">
        <v>3716</v>
      </c>
      <c r="F125" s="459"/>
      <c r="G125" s="459"/>
      <c r="H125" s="459"/>
      <c r="I125" s="459"/>
      <c r="J125" s="459"/>
      <c r="K125" s="302"/>
      <c r="L125" s="302">
        <v>62.81</v>
      </c>
      <c r="M125" s="302">
        <v>62.81</v>
      </c>
    </row>
    <row r="126" spans="1:13" s="298" customFormat="1" x14ac:dyDescent="0.3">
      <c r="E126" s="460" t="s">
        <v>3717</v>
      </c>
      <c r="F126" s="460"/>
      <c r="G126" s="460"/>
      <c r="H126" s="460"/>
      <c r="I126" s="460"/>
      <c r="J126" s="460"/>
      <c r="K126" s="303"/>
      <c r="L126" s="303">
        <v>768509.28</v>
      </c>
      <c r="M126" s="303">
        <v>81588.070000000007</v>
      </c>
    </row>
    <row r="127" spans="1:13" s="301" customFormat="1" x14ac:dyDescent="0.3">
      <c r="A127" s="298"/>
      <c r="B127" s="298"/>
      <c r="C127" s="298"/>
      <c r="D127" s="298"/>
      <c r="E127" s="459" t="s">
        <v>3718</v>
      </c>
      <c r="F127" s="459"/>
      <c r="G127" s="459"/>
      <c r="H127" s="459"/>
      <c r="I127" s="459"/>
      <c r="J127" s="459"/>
      <c r="K127" s="302"/>
      <c r="L127" s="302">
        <v>0</v>
      </c>
      <c r="M127" s="302">
        <v>-746406.40000000002</v>
      </c>
    </row>
    <row r="128" spans="1:13" s="298" customFormat="1" x14ac:dyDescent="0.3">
      <c r="E128" s="460" t="s">
        <v>3719</v>
      </c>
      <c r="F128" s="460"/>
      <c r="G128" s="460"/>
      <c r="H128" s="460"/>
      <c r="I128" s="460"/>
      <c r="J128" s="460"/>
      <c r="K128" s="303"/>
      <c r="L128" s="303">
        <v>9424.77</v>
      </c>
      <c r="M128" s="303">
        <v>-92806.97</v>
      </c>
    </row>
    <row r="129" spans="1:13" s="301" customFormat="1" x14ac:dyDescent="0.3">
      <c r="A129" s="298"/>
      <c r="B129" s="298"/>
      <c r="C129" s="298"/>
      <c r="D129" s="298"/>
      <c r="E129" s="459" t="s">
        <v>3720</v>
      </c>
      <c r="F129" s="459"/>
      <c r="G129" s="459"/>
      <c r="H129" s="459"/>
      <c r="I129" s="459"/>
      <c r="J129" s="459"/>
      <c r="K129" s="302"/>
      <c r="L129" s="302">
        <v>90026</v>
      </c>
      <c r="M129" s="302">
        <v>-13600</v>
      </c>
    </row>
    <row r="130" spans="1:13" s="298" customFormat="1" x14ac:dyDescent="0.3">
      <c r="E130" s="460" t="s">
        <v>3721</v>
      </c>
      <c r="F130" s="460"/>
      <c r="G130" s="460"/>
      <c r="H130" s="460"/>
      <c r="I130" s="460"/>
      <c r="J130" s="460"/>
      <c r="K130" s="303"/>
      <c r="L130" s="303">
        <v>1852067.17</v>
      </c>
      <c r="M130" s="303">
        <v>-168369.75</v>
      </c>
    </row>
    <row r="131" spans="1:13" s="298" customFormat="1" x14ac:dyDescent="0.3">
      <c r="D131" s="458" t="s">
        <v>3722</v>
      </c>
      <c r="E131" s="458"/>
      <c r="F131" s="458"/>
      <c r="G131" s="458"/>
      <c r="H131" s="458"/>
      <c r="I131" s="458"/>
      <c r="J131" s="458"/>
      <c r="K131" s="300"/>
      <c r="L131" s="299">
        <v>2720090.03</v>
      </c>
      <c r="M131" s="299">
        <v>-939532.24</v>
      </c>
    </row>
    <row r="133" spans="1:13" s="298" customFormat="1" x14ac:dyDescent="0.3">
      <c r="D133" s="458" t="s">
        <v>3723</v>
      </c>
      <c r="E133" s="458"/>
      <c r="F133" s="458"/>
      <c r="G133" s="458"/>
      <c r="H133" s="458"/>
      <c r="I133" s="458"/>
      <c r="J133" s="458"/>
    </row>
    <row r="134" spans="1:13" s="301" customFormat="1" x14ac:dyDescent="0.3">
      <c r="A134" s="298"/>
      <c r="B134" s="298"/>
      <c r="C134" s="298"/>
      <c r="D134" s="298"/>
      <c r="E134" s="459" t="s">
        <v>3724</v>
      </c>
      <c r="F134" s="459"/>
      <c r="G134" s="459"/>
      <c r="H134" s="459"/>
      <c r="I134" s="459"/>
      <c r="J134" s="459"/>
      <c r="K134" s="302"/>
      <c r="L134" s="302">
        <v>65012051.829999998</v>
      </c>
      <c r="M134" s="302">
        <v>-10000000</v>
      </c>
    </row>
    <row r="135" spans="1:13" s="298" customFormat="1" x14ac:dyDescent="0.3">
      <c r="D135" s="458" t="s">
        <v>3725</v>
      </c>
      <c r="E135" s="458"/>
      <c r="F135" s="458"/>
      <c r="G135" s="458"/>
      <c r="H135" s="458"/>
      <c r="I135" s="458"/>
      <c r="J135" s="458"/>
      <c r="K135" s="300"/>
      <c r="L135" s="299">
        <v>65012051.829999998</v>
      </c>
      <c r="M135" s="299">
        <v>-10000000</v>
      </c>
    </row>
    <row r="137" spans="1:13" s="298" customFormat="1" x14ac:dyDescent="0.3">
      <c r="C137" s="458" t="s">
        <v>3726</v>
      </c>
      <c r="D137" s="458"/>
      <c r="E137" s="458"/>
      <c r="F137" s="458"/>
      <c r="G137" s="458"/>
      <c r="H137" s="458"/>
      <c r="I137" s="458"/>
      <c r="J137" s="458"/>
      <c r="K137" s="300"/>
      <c r="L137" s="299">
        <v>67732141.859999999</v>
      </c>
      <c r="M137" s="299">
        <v>-10939532.24</v>
      </c>
    </row>
    <row r="139" spans="1:13" s="298" customFormat="1" x14ac:dyDescent="0.3">
      <c r="C139" s="458" t="s">
        <v>3727</v>
      </c>
      <c r="D139" s="458"/>
      <c r="E139" s="458"/>
      <c r="F139" s="458"/>
      <c r="G139" s="458"/>
      <c r="H139" s="458"/>
      <c r="I139" s="458"/>
      <c r="J139" s="458"/>
    </row>
    <row r="140" spans="1:13" s="298" customFormat="1" x14ac:dyDescent="0.3">
      <c r="D140" s="460" t="s">
        <v>3728</v>
      </c>
      <c r="E140" s="460"/>
      <c r="F140" s="460"/>
      <c r="G140" s="460"/>
      <c r="H140" s="460"/>
      <c r="I140" s="460"/>
      <c r="J140" s="460"/>
      <c r="K140" s="303"/>
      <c r="L140" s="303">
        <v>-1224479.02</v>
      </c>
      <c r="M140" s="303">
        <v>-1224479.02</v>
      </c>
    </row>
    <row r="141" spans="1:13" s="301" customFormat="1" x14ac:dyDescent="0.3">
      <c r="A141" s="298"/>
      <c r="B141" s="298"/>
      <c r="C141" s="298"/>
      <c r="D141" s="459" t="s">
        <v>3729</v>
      </c>
      <c r="E141" s="459"/>
      <c r="F141" s="459"/>
      <c r="G141" s="459"/>
      <c r="H141" s="459"/>
      <c r="I141" s="459"/>
      <c r="J141" s="459"/>
      <c r="K141" s="302"/>
      <c r="L141" s="302">
        <v>68872899.870000005</v>
      </c>
      <c r="M141" s="302">
        <v>13770251.869999999</v>
      </c>
    </row>
    <row r="142" spans="1:13" s="298" customFormat="1" x14ac:dyDescent="0.3">
      <c r="D142" s="460" t="s">
        <v>3730</v>
      </c>
      <c r="E142" s="460"/>
      <c r="F142" s="460"/>
      <c r="G142" s="460"/>
      <c r="H142" s="460"/>
      <c r="I142" s="460"/>
      <c r="J142" s="460"/>
      <c r="K142" s="303"/>
      <c r="L142" s="303">
        <v>-1290000</v>
      </c>
      <c r="M142" s="303">
        <v>0</v>
      </c>
    </row>
    <row r="143" spans="1:13" s="301" customFormat="1" x14ac:dyDescent="0.3">
      <c r="A143" s="298"/>
      <c r="B143" s="298"/>
      <c r="C143" s="298"/>
      <c r="D143" s="459" t="s">
        <v>3731</v>
      </c>
      <c r="E143" s="459"/>
      <c r="F143" s="459"/>
      <c r="G143" s="459"/>
      <c r="H143" s="459"/>
      <c r="I143" s="459"/>
      <c r="J143" s="459"/>
      <c r="K143" s="302"/>
      <c r="L143" s="302">
        <v>-3352687.68</v>
      </c>
      <c r="M143" s="302">
        <v>0</v>
      </c>
    </row>
    <row r="144" spans="1:13" s="298" customFormat="1" x14ac:dyDescent="0.3">
      <c r="C144" s="458" t="s">
        <v>3732</v>
      </c>
      <c r="D144" s="458"/>
      <c r="E144" s="458"/>
      <c r="F144" s="458"/>
      <c r="G144" s="458"/>
      <c r="H144" s="458"/>
      <c r="I144" s="458"/>
      <c r="J144" s="458"/>
      <c r="K144" s="300"/>
      <c r="L144" s="299">
        <v>63005733.170000002</v>
      </c>
      <c r="M144" s="299">
        <v>12545772.85</v>
      </c>
    </row>
    <row r="146" spans="1:13" s="298" customFormat="1" x14ac:dyDescent="0.3">
      <c r="B146" s="458" t="s">
        <v>3733</v>
      </c>
      <c r="C146" s="458"/>
      <c r="D146" s="458"/>
      <c r="E146" s="458"/>
      <c r="F146" s="458"/>
      <c r="G146" s="458"/>
      <c r="H146" s="458"/>
      <c r="I146" s="458"/>
      <c r="J146" s="458"/>
      <c r="K146" s="300"/>
      <c r="L146" s="299">
        <v>130737875.03</v>
      </c>
      <c r="M146" s="299">
        <v>1606240.61</v>
      </c>
    </row>
    <row r="148" spans="1:13" s="298" customFormat="1" x14ac:dyDescent="0.3"/>
    <row r="149" spans="1:13" x14ac:dyDescent="0.3">
      <c r="A149" s="461" t="s">
        <v>3734</v>
      </c>
      <c r="B149" s="461"/>
      <c r="C149" s="461"/>
      <c r="D149" s="461"/>
      <c r="E149" s="461"/>
      <c r="F149" s="461"/>
      <c r="G149" s="461"/>
      <c r="H149" s="461"/>
      <c r="I149" s="461"/>
      <c r="J149" s="461"/>
      <c r="K149" s="461"/>
      <c r="L149" s="461"/>
      <c r="M149" s="461"/>
    </row>
    <row r="150" spans="1:13" ht="12.6" x14ac:dyDescent="0.3">
      <c r="A150" s="462" t="s">
        <v>3735</v>
      </c>
      <c r="B150" s="462"/>
      <c r="C150" s="462"/>
      <c r="D150" s="462"/>
      <c r="E150" s="462"/>
      <c r="F150" s="462"/>
      <c r="G150" s="462"/>
      <c r="H150" s="462"/>
      <c r="I150" s="462"/>
      <c r="J150" s="462"/>
      <c r="K150" s="462"/>
      <c r="L150" s="462"/>
      <c r="M150" s="462"/>
    </row>
  </sheetData>
  <mergeCells count="130">
    <mergeCell ref="C144:J144"/>
    <mergeCell ref="B146:J146"/>
    <mergeCell ref="A149:M149"/>
    <mergeCell ref="A150:M150"/>
    <mergeCell ref="D133:J133"/>
    <mergeCell ref="E134:J134"/>
    <mergeCell ref="D135:J135"/>
    <mergeCell ref="C137:J137"/>
    <mergeCell ref="D141:J141"/>
    <mergeCell ref="D142:J142"/>
    <mergeCell ref="D143:J143"/>
    <mergeCell ref="C123:J123"/>
    <mergeCell ref="D124:J124"/>
    <mergeCell ref="E125:J125"/>
    <mergeCell ref="E126:J126"/>
    <mergeCell ref="E127:J127"/>
    <mergeCell ref="C139:J139"/>
    <mergeCell ref="D140:J140"/>
    <mergeCell ref="E128:J128"/>
    <mergeCell ref="E129:J129"/>
    <mergeCell ref="E130:J130"/>
    <mergeCell ref="D131:J131"/>
    <mergeCell ref="C111:J111"/>
    <mergeCell ref="D112:J112"/>
    <mergeCell ref="E113:J113"/>
    <mergeCell ref="E114:J114"/>
    <mergeCell ref="E115:J115"/>
    <mergeCell ref="D116:J116"/>
    <mergeCell ref="C118:J118"/>
    <mergeCell ref="B120:J120"/>
    <mergeCell ref="B122:J122"/>
    <mergeCell ref="F89:J89"/>
    <mergeCell ref="F99:J99"/>
    <mergeCell ref="F100:J100"/>
    <mergeCell ref="F101:J101"/>
    <mergeCell ref="F102:J102"/>
    <mergeCell ref="F103:J103"/>
    <mergeCell ref="F104:J104"/>
    <mergeCell ref="E105:J105"/>
    <mergeCell ref="F97:J97"/>
    <mergeCell ref="F98:J98"/>
    <mergeCell ref="F74:J74"/>
    <mergeCell ref="F75:J75"/>
    <mergeCell ref="F76:J76"/>
    <mergeCell ref="F77:J77"/>
    <mergeCell ref="F86:J86"/>
    <mergeCell ref="F87:J87"/>
    <mergeCell ref="F80:J80"/>
    <mergeCell ref="D107:J107"/>
    <mergeCell ref="C109:J109"/>
    <mergeCell ref="F90:J90"/>
    <mergeCell ref="F91:J91"/>
    <mergeCell ref="F92:J92"/>
    <mergeCell ref="F93:J93"/>
    <mergeCell ref="F78:J78"/>
    <mergeCell ref="F79:J79"/>
    <mergeCell ref="F96:J96"/>
    <mergeCell ref="F81:J81"/>
    <mergeCell ref="F82:J82"/>
    <mergeCell ref="F83:J83"/>
    <mergeCell ref="F84:J84"/>
    <mergeCell ref="F85:J85"/>
    <mergeCell ref="F94:J94"/>
    <mergeCell ref="F95:J95"/>
    <mergeCell ref="F88:J88"/>
    <mergeCell ref="E64:J64"/>
    <mergeCell ref="E66:J66"/>
    <mergeCell ref="F67:J67"/>
    <mergeCell ref="F68:J68"/>
    <mergeCell ref="F69:J69"/>
    <mergeCell ref="G59:J59"/>
    <mergeCell ref="G60:J60"/>
    <mergeCell ref="F72:J72"/>
    <mergeCell ref="F73:J73"/>
    <mergeCell ref="G47:J47"/>
    <mergeCell ref="G48:J48"/>
    <mergeCell ref="D12:J12"/>
    <mergeCell ref="D13:J13"/>
    <mergeCell ref="F70:J70"/>
    <mergeCell ref="F71:J71"/>
    <mergeCell ref="G52:J52"/>
    <mergeCell ref="G53:J53"/>
    <mergeCell ref="G54:J54"/>
    <mergeCell ref="G55:J55"/>
    <mergeCell ref="E38:J38"/>
    <mergeCell ref="E39:J39"/>
    <mergeCell ref="G58:J58"/>
    <mergeCell ref="E41:J41"/>
    <mergeCell ref="D42:J42"/>
    <mergeCell ref="D44:J44"/>
    <mergeCell ref="E45:J45"/>
    <mergeCell ref="F46:J46"/>
    <mergeCell ref="G56:J56"/>
    <mergeCell ref="G57:J57"/>
    <mergeCell ref="F49:J49"/>
    <mergeCell ref="F51:J51"/>
    <mergeCell ref="G61:J61"/>
    <mergeCell ref="F62:J62"/>
    <mergeCell ref="D17:J17"/>
    <mergeCell ref="C14:J14"/>
    <mergeCell ref="C16:J16"/>
    <mergeCell ref="E40:J40"/>
    <mergeCell ref="D20:J20"/>
    <mergeCell ref="C21:J21"/>
    <mergeCell ref="C23:J23"/>
    <mergeCell ref="D24:J24"/>
    <mergeCell ref="D25:J25"/>
    <mergeCell ref="D26:J26"/>
    <mergeCell ref="D27:J27"/>
    <mergeCell ref="D18:J18"/>
    <mergeCell ref="D19:J19"/>
    <mergeCell ref="D28:J28"/>
    <mergeCell ref="C29:J29"/>
    <mergeCell ref="C31:J31"/>
    <mergeCell ref="D32:J32"/>
    <mergeCell ref="E33:J33"/>
    <mergeCell ref="E34:J34"/>
    <mergeCell ref="F35:J35"/>
    <mergeCell ref="E36:J36"/>
    <mergeCell ref="A1:M1"/>
    <mergeCell ref="A2:M2"/>
    <mergeCell ref="A3:M3"/>
    <mergeCell ref="A4:M4"/>
    <mergeCell ref="A5:M5"/>
    <mergeCell ref="A6:J6"/>
    <mergeCell ref="B7:J7"/>
    <mergeCell ref="D10:J10"/>
    <mergeCell ref="D11:J11"/>
    <mergeCell ref="C8:J8"/>
    <mergeCell ref="D9:J9"/>
  </mergeCells>
  <pageMargins left="0.7" right="0.7" top="0.75" bottom="0.75" header="0.3" footer="0.3"/>
  <pageSetup paperSize="9" fitToWidth="0" fitToHeight="0"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5AD1A-47B1-4270-9F20-1754DCDE85EE}">
  <sheetPr>
    <tabColor rgb="FF002060"/>
    <outlinePr summaryBelow="0"/>
    <pageSetUpPr fitToPage="1"/>
  </sheetPr>
  <dimension ref="A1:J321"/>
  <sheetViews>
    <sheetView showGridLines="0" workbookViewId="0">
      <selection activeCell="B75" sqref="B75"/>
    </sheetView>
  </sheetViews>
  <sheetFormatPr defaultColWidth="8.6640625" defaultRowHeight="14.4" x14ac:dyDescent="0.3"/>
  <cols>
    <col min="1" max="1" width="8.5546875" style="305" customWidth="1"/>
    <col min="2" max="2" width="14.5546875" style="305" customWidth="1"/>
    <col min="3" max="3" width="7.33203125" style="305" customWidth="1"/>
    <col min="4" max="4" width="17.44140625" style="305" customWidth="1"/>
    <col min="5" max="5" width="23.88671875" style="305" customWidth="1"/>
    <col min="6" max="6" width="13" style="305" customWidth="1"/>
    <col min="7" max="7" width="12.5546875" style="305" customWidth="1"/>
    <col min="8" max="8" width="0.6640625" style="305" customWidth="1"/>
    <col min="9" max="9" width="12.44140625" style="305" customWidth="1"/>
    <col min="10" max="10" width="0.33203125" style="305" customWidth="1"/>
    <col min="11" max="16384" width="8.6640625" style="305"/>
  </cols>
  <sheetData>
    <row r="1" spans="1:10" ht="15.75" customHeight="1" x14ac:dyDescent="0.3">
      <c r="A1" s="463" t="s">
        <v>730</v>
      </c>
      <c r="B1" s="463"/>
      <c r="C1" s="463"/>
      <c r="D1" s="463"/>
      <c r="E1" s="463"/>
      <c r="F1" s="463"/>
      <c r="G1" s="463"/>
      <c r="H1" s="463"/>
      <c r="I1" s="463"/>
      <c r="J1" s="463"/>
    </row>
    <row r="2" spans="1:10" ht="12.75" customHeight="1" x14ac:dyDescent="0.3">
      <c r="A2" s="464" t="s">
        <v>3608</v>
      </c>
      <c r="B2" s="464"/>
      <c r="C2" s="464"/>
      <c r="D2" s="464"/>
      <c r="E2" s="464"/>
      <c r="F2" s="464"/>
      <c r="G2" s="464"/>
      <c r="H2" s="464"/>
      <c r="I2" s="464"/>
      <c r="J2" s="464"/>
    </row>
    <row r="3" spans="1:10" ht="12.75" customHeight="1" x14ac:dyDescent="0.3">
      <c r="A3" s="464" t="s">
        <v>3736</v>
      </c>
      <c r="B3" s="464"/>
      <c r="C3" s="464"/>
      <c r="D3" s="464"/>
      <c r="E3" s="464"/>
      <c r="F3" s="464"/>
      <c r="G3" s="464"/>
      <c r="H3" s="464"/>
      <c r="I3" s="464"/>
      <c r="J3" s="464"/>
    </row>
    <row r="4" spans="1:10" ht="13.5" customHeight="1" x14ac:dyDescent="0.3">
      <c r="A4" s="465" t="s">
        <v>3737</v>
      </c>
      <c r="B4" s="465"/>
      <c r="C4" s="465"/>
      <c r="D4" s="465"/>
      <c r="E4" s="465"/>
      <c r="F4" s="465"/>
      <c r="G4" s="465"/>
      <c r="H4" s="465"/>
      <c r="I4" s="465"/>
      <c r="J4" s="465"/>
    </row>
    <row r="5" spans="1:10" ht="11.25" customHeight="1" x14ac:dyDescent="0.3">
      <c r="A5" s="466" t="s">
        <v>3738</v>
      </c>
      <c r="B5" s="466"/>
      <c r="C5" s="466"/>
      <c r="D5" s="466"/>
      <c r="E5" s="466"/>
      <c r="F5" s="466"/>
      <c r="G5" s="466"/>
      <c r="H5" s="466"/>
      <c r="I5" s="466"/>
      <c r="J5" s="466"/>
    </row>
    <row r="6" spans="1:10" ht="18" customHeight="1" x14ac:dyDescent="0.35">
      <c r="A6" s="321" t="s">
        <v>1</v>
      </c>
      <c r="B6" s="322" t="s">
        <v>882</v>
      </c>
      <c r="C6" s="322" t="s">
        <v>3739</v>
      </c>
      <c r="D6" s="321" t="s">
        <v>3740</v>
      </c>
      <c r="E6" s="321" t="s">
        <v>308</v>
      </c>
      <c r="F6" s="320" t="s">
        <v>324</v>
      </c>
      <c r="G6" s="320" t="s">
        <v>323</v>
      </c>
      <c r="H6" s="467" t="s">
        <v>888</v>
      </c>
      <c r="I6" s="467"/>
    </row>
    <row r="7" spans="1:10" ht="0.75" customHeight="1" x14ac:dyDescent="0.3"/>
    <row r="8" spans="1:10" ht="11.25" customHeight="1" x14ac:dyDescent="0.3">
      <c r="A8" s="468" t="s">
        <v>3717</v>
      </c>
      <c r="B8" s="468"/>
      <c r="C8" s="468"/>
      <c r="D8" s="471" t="s">
        <v>3741</v>
      </c>
      <c r="E8" s="471"/>
      <c r="F8" s="471"/>
      <c r="G8" s="471"/>
      <c r="H8" s="471"/>
      <c r="I8" s="319" t="s">
        <v>3742</v>
      </c>
    </row>
    <row r="9" spans="1:10" ht="0.75" customHeight="1" x14ac:dyDescent="0.3"/>
    <row r="10" spans="1:10" ht="12" customHeight="1" x14ac:dyDescent="0.3">
      <c r="A10" s="313">
        <v>45658</v>
      </c>
      <c r="B10" s="312"/>
      <c r="C10" s="311" t="s">
        <v>730</v>
      </c>
      <c r="D10" s="310" t="s">
        <v>3743</v>
      </c>
      <c r="E10" s="310" t="s">
        <v>3744</v>
      </c>
      <c r="F10" s="309">
        <v>0</v>
      </c>
      <c r="G10" s="309">
        <v>692075.15</v>
      </c>
      <c r="H10" s="470">
        <v>-1378996.36</v>
      </c>
      <c r="I10" s="470"/>
    </row>
    <row r="11" spans="1:10" ht="11.25" customHeight="1" x14ac:dyDescent="0.3">
      <c r="A11" s="318">
        <v>45658</v>
      </c>
      <c r="B11" s="315" t="s">
        <v>3745</v>
      </c>
      <c r="C11" s="316" t="s">
        <v>730</v>
      </c>
      <c r="D11" s="315" t="s">
        <v>730</v>
      </c>
      <c r="E11" s="315" t="s">
        <v>3746</v>
      </c>
      <c r="F11" s="314">
        <v>5111.25</v>
      </c>
      <c r="G11" s="314">
        <v>0</v>
      </c>
      <c r="H11" s="469">
        <v>-1373885.11</v>
      </c>
      <c r="I11" s="469"/>
    </row>
    <row r="12" spans="1:10" ht="11.25" customHeight="1" x14ac:dyDescent="0.3">
      <c r="A12" s="313">
        <v>45659</v>
      </c>
      <c r="B12" s="312"/>
      <c r="C12" s="311" t="s">
        <v>730</v>
      </c>
      <c r="D12" s="310" t="s">
        <v>3747</v>
      </c>
      <c r="E12" s="310" t="s">
        <v>3748</v>
      </c>
      <c r="F12" s="309">
        <v>0</v>
      </c>
      <c r="G12" s="309">
        <v>1019.34</v>
      </c>
      <c r="H12" s="470">
        <v>-1374904.45</v>
      </c>
      <c r="I12" s="470"/>
    </row>
    <row r="13" spans="1:10" ht="12" customHeight="1" x14ac:dyDescent="0.3">
      <c r="A13" s="318">
        <v>45660</v>
      </c>
      <c r="B13" s="317"/>
      <c r="C13" s="316" t="s">
        <v>730</v>
      </c>
      <c r="D13" s="315" t="s">
        <v>3749</v>
      </c>
      <c r="E13" s="315" t="s">
        <v>3750</v>
      </c>
      <c r="F13" s="314">
        <v>629762.55000000005</v>
      </c>
      <c r="G13" s="314">
        <v>0</v>
      </c>
      <c r="H13" s="469">
        <v>-745141.9</v>
      </c>
      <c r="I13" s="469"/>
    </row>
    <row r="14" spans="1:10" ht="11.25" customHeight="1" x14ac:dyDescent="0.3">
      <c r="A14" s="313">
        <v>45663</v>
      </c>
      <c r="B14" s="312"/>
      <c r="C14" s="311" t="s">
        <v>730</v>
      </c>
      <c r="D14" s="310" t="s">
        <v>3751</v>
      </c>
      <c r="E14" s="310" t="s">
        <v>3752</v>
      </c>
      <c r="F14" s="309">
        <v>92028.43</v>
      </c>
      <c r="G14" s="309">
        <v>0</v>
      </c>
      <c r="H14" s="470">
        <v>-653113.47</v>
      </c>
      <c r="I14" s="470"/>
    </row>
    <row r="15" spans="1:10" ht="11.25" customHeight="1" x14ac:dyDescent="0.3">
      <c r="A15" s="318">
        <v>45664</v>
      </c>
      <c r="B15" s="317"/>
      <c r="C15" s="316" t="s">
        <v>730</v>
      </c>
      <c r="D15" s="315" t="s">
        <v>3753</v>
      </c>
      <c r="E15" s="315" t="s">
        <v>3754</v>
      </c>
      <c r="F15" s="314">
        <v>0</v>
      </c>
      <c r="G15" s="314">
        <v>14051.84</v>
      </c>
      <c r="H15" s="469">
        <v>-667165.31000000006</v>
      </c>
      <c r="I15" s="469"/>
    </row>
    <row r="16" spans="1:10" ht="12" customHeight="1" x14ac:dyDescent="0.3">
      <c r="A16" s="313">
        <v>45666</v>
      </c>
      <c r="B16" s="312"/>
      <c r="C16" s="311" t="s">
        <v>730</v>
      </c>
      <c r="D16" s="310" t="s">
        <v>3755</v>
      </c>
      <c r="E16" s="310" t="s">
        <v>3756</v>
      </c>
      <c r="F16" s="309">
        <v>0</v>
      </c>
      <c r="G16" s="309">
        <v>921.51</v>
      </c>
      <c r="H16" s="470">
        <v>-668086.81999999995</v>
      </c>
      <c r="I16" s="470"/>
    </row>
    <row r="17" spans="1:9" ht="11.25" customHeight="1" x14ac:dyDescent="0.3">
      <c r="A17" s="318">
        <v>45670</v>
      </c>
      <c r="B17" s="317"/>
      <c r="C17" s="316" t="s">
        <v>730</v>
      </c>
      <c r="D17" s="315" t="s">
        <v>3757</v>
      </c>
      <c r="E17" s="315" t="s">
        <v>3758</v>
      </c>
      <c r="F17" s="314">
        <v>39636.85</v>
      </c>
      <c r="G17" s="314">
        <v>0</v>
      </c>
      <c r="H17" s="469">
        <v>-628449.97</v>
      </c>
      <c r="I17" s="469"/>
    </row>
    <row r="18" spans="1:9" ht="11.25" customHeight="1" x14ac:dyDescent="0.3">
      <c r="A18" s="313">
        <v>45671</v>
      </c>
      <c r="B18" s="312"/>
      <c r="C18" s="311" t="s">
        <v>730</v>
      </c>
      <c r="D18" s="310" t="s">
        <v>3759</v>
      </c>
      <c r="E18" s="310" t="s">
        <v>3760</v>
      </c>
      <c r="F18" s="309">
        <v>0</v>
      </c>
      <c r="G18" s="309">
        <v>6020.25</v>
      </c>
      <c r="H18" s="470">
        <v>-634470.22</v>
      </c>
      <c r="I18" s="470"/>
    </row>
    <row r="19" spans="1:9" ht="12" customHeight="1" x14ac:dyDescent="0.3">
      <c r="A19" s="318">
        <v>45672</v>
      </c>
      <c r="B19" s="317"/>
      <c r="C19" s="316" t="s">
        <v>730</v>
      </c>
      <c r="D19" s="315" t="s">
        <v>3761</v>
      </c>
      <c r="E19" s="315" t="s">
        <v>3762</v>
      </c>
      <c r="F19" s="314">
        <v>0</v>
      </c>
      <c r="G19" s="314">
        <v>55849.33</v>
      </c>
      <c r="H19" s="469">
        <v>-690319.55</v>
      </c>
      <c r="I19" s="469"/>
    </row>
    <row r="20" spans="1:9" ht="11.25" customHeight="1" x14ac:dyDescent="0.3">
      <c r="A20" s="313">
        <v>45673</v>
      </c>
      <c r="B20" s="312"/>
      <c r="C20" s="311" t="s">
        <v>730</v>
      </c>
      <c r="D20" s="310" t="s">
        <v>3763</v>
      </c>
      <c r="E20" s="310" t="s">
        <v>3764</v>
      </c>
      <c r="F20" s="309">
        <v>0</v>
      </c>
      <c r="G20" s="309">
        <v>70259</v>
      </c>
      <c r="H20" s="470">
        <v>-760578.55</v>
      </c>
      <c r="I20" s="470"/>
    </row>
    <row r="21" spans="1:9" ht="11.25" customHeight="1" x14ac:dyDescent="0.3">
      <c r="A21" s="318">
        <v>45674</v>
      </c>
      <c r="B21" s="317"/>
      <c r="C21" s="316" t="s">
        <v>730</v>
      </c>
      <c r="D21" s="315" t="s">
        <v>3765</v>
      </c>
      <c r="E21" s="315" t="s">
        <v>3766</v>
      </c>
      <c r="F21" s="314">
        <v>74475.87</v>
      </c>
      <c r="G21" s="314">
        <v>0</v>
      </c>
      <c r="H21" s="469">
        <v>-686102.68</v>
      </c>
      <c r="I21" s="469"/>
    </row>
    <row r="22" spans="1:9" ht="12" customHeight="1" x14ac:dyDescent="0.3">
      <c r="A22" s="313">
        <v>45677</v>
      </c>
      <c r="B22" s="312"/>
      <c r="C22" s="311" t="s">
        <v>730</v>
      </c>
      <c r="D22" s="310" t="s">
        <v>3767</v>
      </c>
      <c r="E22" s="310" t="s">
        <v>3768</v>
      </c>
      <c r="F22" s="309">
        <v>7689.63</v>
      </c>
      <c r="G22" s="309">
        <v>0</v>
      </c>
      <c r="H22" s="470">
        <v>-678413.05</v>
      </c>
      <c r="I22" s="470"/>
    </row>
    <row r="23" spans="1:9" ht="11.25" customHeight="1" x14ac:dyDescent="0.3">
      <c r="A23" s="318">
        <v>45678</v>
      </c>
      <c r="B23" s="317"/>
      <c r="C23" s="316" t="s">
        <v>730</v>
      </c>
      <c r="D23" s="315" t="s">
        <v>3769</v>
      </c>
      <c r="E23" s="315" t="s">
        <v>3770</v>
      </c>
      <c r="F23" s="314">
        <v>0</v>
      </c>
      <c r="G23" s="314">
        <v>70373.179999999993</v>
      </c>
      <c r="H23" s="469">
        <v>-748786.23</v>
      </c>
      <c r="I23" s="469"/>
    </row>
    <row r="24" spans="1:9" ht="11.25" customHeight="1" x14ac:dyDescent="0.3">
      <c r="A24" s="313">
        <v>45679</v>
      </c>
      <c r="B24" s="312"/>
      <c r="C24" s="311" t="s">
        <v>730</v>
      </c>
      <c r="D24" s="310" t="s">
        <v>3771</v>
      </c>
      <c r="E24" s="310" t="s">
        <v>3772</v>
      </c>
      <c r="F24" s="309">
        <v>0</v>
      </c>
      <c r="G24" s="309">
        <v>27419.23</v>
      </c>
      <c r="H24" s="470">
        <v>-776205.46</v>
      </c>
      <c r="I24" s="470"/>
    </row>
    <row r="25" spans="1:9" ht="12" customHeight="1" x14ac:dyDescent="0.3">
      <c r="A25" s="318">
        <v>45680</v>
      </c>
      <c r="B25" s="317"/>
      <c r="C25" s="316" t="s">
        <v>730</v>
      </c>
      <c r="D25" s="315" t="s">
        <v>3773</v>
      </c>
      <c r="E25" s="315" t="s">
        <v>3774</v>
      </c>
      <c r="F25" s="314">
        <v>78329.42</v>
      </c>
      <c r="G25" s="314">
        <v>0</v>
      </c>
      <c r="H25" s="469">
        <v>-697876.04</v>
      </c>
      <c r="I25" s="469"/>
    </row>
    <row r="26" spans="1:9" ht="11.25" customHeight="1" x14ac:dyDescent="0.3">
      <c r="A26" s="313">
        <v>45681</v>
      </c>
      <c r="B26" s="312"/>
      <c r="C26" s="311" t="s">
        <v>730</v>
      </c>
      <c r="D26" s="310" t="s">
        <v>3775</v>
      </c>
      <c r="E26" s="310" t="s">
        <v>3776</v>
      </c>
      <c r="F26" s="309">
        <v>0</v>
      </c>
      <c r="G26" s="309">
        <v>119276.41</v>
      </c>
      <c r="H26" s="470">
        <v>-817152.45</v>
      </c>
      <c r="I26" s="470"/>
    </row>
    <row r="27" spans="1:9" ht="11.25" customHeight="1" x14ac:dyDescent="0.3">
      <c r="A27" s="318">
        <v>45684</v>
      </c>
      <c r="B27" s="317"/>
      <c r="C27" s="316" t="s">
        <v>730</v>
      </c>
      <c r="D27" s="315" t="s">
        <v>3777</v>
      </c>
      <c r="E27" s="315" t="s">
        <v>3778</v>
      </c>
      <c r="F27" s="314">
        <v>4979.42</v>
      </c>
      <c r="G27" s="314">
        <v>0</v>
      </c>
      <c r="H27" s="469">
        <v>-812173.03</v>
      </c>
      <c r="I27" s="469"/>
    </row>
    <row r="28" spans="1:9" ht="12" customHeight="1" x14ac:dyDescent="0.3">
      <c r="A28" s="313">
        <v>45685</v>
      </c>
      <c r="B28" s="312"/>
      <c r="C28" s="311" t="s">
        <v>730</v>
      </c>
      <c r="D28" s="310" t="s">
        <v>3779</v>
      </c>
      <c r="E28" s="310" t="s">
        <v>3780</v>
      </c>
      <c r="F28" s="309">
        <v>0</v>
      </c>
      <c r="G28" s="309">
        <v>57035.11</v>
      </c>
      <c r="H28" s="470">
        <v>-869208.14</v>
      </c>
      <c r="I28" s="470"/>
    </row>
    <row r="29" spans="1:9" ht="11.25" customHeight="1" x14ac:dyDescent="0.3">
      <c r="A29" s="318">
        <v>45686</v>
      </c>
      <c r="B29" s="317"/>
      <c r="C29" s="316" t="s">
        <v>730</v>
      </c>
      <c r="D29" s="315" t="s">
        <v>3781</v>
      </c>
      <c r="E29" s="315" t="s">
        <v>3782</v>
      </c>
      <c r="F29" s="314">
        <v>0</v>
      </c>
      <c r="G29" s="314">
        <v>50588.32</v>
      </c>
      <c r="H29" s="469">
        <v>-919796.46</v>
      </c>
      <c r="I29" s="469"/>
    </row>
    <row r="30" spans="1:9" ht="11.25" customHeight="1" x14ac:dyDescent="0.3">
      <c r="A30" s="313">
        <v>45687</v>
      </c>
      <c r="B30" s="312"/>
      <c r="C30" s="311" t="s">
        <v>730</v>
      </c>
      <c r="D30" s="310" t="s">
        <v>3783</v>
      </c>
      <c r="E30" s="310" t="s">
        <v>3784</v>
      </c>
      <c r="F30" s="309">
        <v>0</v>
      </c>
      <c r="G30" s="309">
        <v>46394.09</v>
      </c>
      <c r="H30" s="470">
        <v>-966190.55</v>
      </c>
      <c r="I30" s="470"/>
    </row>
    <row r="31" spans="1:9" ht="12" customHeight="1" x14ac:dyDescent="0.3">
      <c r="A31" s="318">
        <v>45688</v>
      </c>
      <c r="B31" s="317"/>
      <c r="C31" s="316" t="s">
        <v>730</v>
      </c>
      <c r="D31" s="315" t="s">
        <v>3785</v>
      </c>
      <c r="E31" s="315" t="s">
        <v>3786</v>
      </c>
      <c r="F31" s="314">
        <v>0</v>
      </c>
      <c r="G31" s="314">
        <v>138197.48000000001</v>
      </c>
      <c r="H31" s="469">
        <v>-1104388.03</v>
      </c>
      <c r="I31" s="469"/>
    </row>
    <row r="32" spans="1:9" ht="19.5" customHeight="1" x14ac:dyDescent="0.3">
      <c r="A32" s="472"/>
      <c r="B32" s="472"/>
      <c r="C32" s="472"/>
      <c r="D32" s="308" t="s">
        <v>3787</v>
      </c>
      <c r="E32" s="307">
        <v>-417466.82</v>
      </c>
      <c r="F32" s="306">
        <v>932013.42</v>
      </c>
      <c r="G32" s="306">
        <v>1349480.24</v>
      </c>
      <c r="H32" s="473">
        <v>-1104388.03</v>
      </c>
      <c r="I32" s="473"/>
    </row>
    <row r="33" spans="1:9" ht="0.75" customHeight="1" x14ac:dyDescent="0.3"/>
    <row r="34" spans="1:9" ht="12" customHeight="1" x14ac:dyDescent="0.3">
      <c r="A34" s="313">
        <v>45689</v>
      </c>
      <c r="B34" s="312"/>
      <c r="C34" s="311" t="s">
        <v>730</v>
      </c>
      <c r="D34" s="310" t="s">
        <v>3788</v>
      </c>
      <c r="E34" s="310" t="s">
        <v>3789</v>
      </c>
      <c r="F34" s="309">
        <v>0</v>
      </c>
      <c r="G34" s="309">
        <v>698404.55</v>
      </c>
      <c r="H34" s="470">
        <v>-1802792.58</v>
      </c>
      <c r="I34" s="470"/>
    </row>
    <row r="35" spans="1:9" ht="11.25" customHeight="1" x14ac:dyDescent="0.3">
      <c r="A35" s="318">
        <v>45691</v>
      </c>
      <c r="B35" s="317"/>
      <c r="C35" s="316" t="s">
        <v>730</v>
      </c>
      <c r="D35" s="315" t="s">
        <v>3790</v>
      </c>
      <c r="E35" s="315" t="s">
        <v>3791</v>
      </c>
      <c r="F35" s="314">
        <v>55287.6</v>
      </c>
      <c r="G35" s="314">
        <v>0</v>
      </c>
      <c r="H35" s="469">
        <v>-1747504.98</v>
      </c>
      <c r="I35" s="469"/>
    </row>
    <row r="36" spans="1:9" ht="12" customHeight="1" x14ac:dyDescent="0.3">
      <c r="A36" s="313">
        <v>45692</v>
      </c>
      <c r="B36" s="312"/>
      <c r="C36" s="311" t="s">
        <v>730</v>
      </c>
      <c r="D36" s="310" t="s">
        <v>3792</v>
      </c>
      <c r="E36" s="310" t="s">
        <v>3793</v>
      </c>
      <c r="F36" s="309">
        <v>637049.66</v>
      </c>
      <c r="G36" s="309">
        <v>0</v>
      </c>
      <c r="H36" s="470">
        <v>-1110455.32</v>
      </c>
      <c r="I36" s="470"/>
    </row>
    <row r="37" spans="1:9" ht="11.25" customHeight="1" x14ac:dyDescent="0.3">
      <c r="A37" s="318">
        <v>45693</v>
      </c>
      <c r="B37" s="317"/>
      <c r="C37" s="316" t="s">
        <v>730</v>
      </c>
      <c r="D37" s="315" t="s">
        <v>3794</v>
      </c>
      <c r="E37" s="315" t="s">
        <v>3795</v>
      </c>
      <c r="F37" s="314">
        <v>216729.75</v>
      </c>
      <c r="G37" s="314">
        <v>0</v>
      </c>
      <c r="H37" s="469">
        <v>-893725.57</v>
      </c>
      <c r="I37" s="469"/>
    </row>
    <row r="38" spans="1:9" ht="11.25" customHeight="1" x14ac:dyDescent="0.3">
      <c r="A38" s="313">
        <v>45694</v>
      </c>
      <c r="B38" s="312"/>
      <c r="C38" s="311" t="s">
        <v>730</v>
      </c>
      <c r="D38" s="310" t="s">
        <v>3796</v>
      </c>
      <c r="E38" s="310" t="s">
        <v>3748</v>
      </c>
      <c r="F38" s="309">
        <v>1893.94</v>
      </c>
      <c r="G38" s="309">
        <v>0</v>
      </c>
      <c r="H38" s="470">
        <v>-891831.63</v>
      </c>
      <c r="I38" s="470"/>
    </row>
    <row r="39" spans="1:9" ht="12" customHeight="1" x14ac:dyDescent="0.3">
      <c r="A39" s="318">
        <v>45695</v>
      </c>
      <c r="B39" s="317"/>
      <c r="C39" s="316" t="s">
        <v>730</v>
      </c>
      <c r="D39" s="315" t="s">
        <v>3797</v>
      </c>
      <c r="E39" s="315" t="s">
        <v>3798</v>
      </c>
      <c r="F39" s="314">
        <v>7666.79</v>
      </c>
      <c r="G39" s="314">
        <v>0</v>
      </c>
      <c r="H39" s="469">
        <v>-884164.84</v>
      </c>
      <c r="I39" s="469"/>
    </row>
    <row r="40" spans="1:9" ht="11.25" customHeight="1" x14ac:dyDescent="0.3">
      <c r="A40" s="313">
        <v>45696</v>
      </c>
      <c r="B40" s="312"/>
      <c r="C40" s="311" t="s">
        <v>730</v>
      </c>
      <c r="D40" s="310" t="s">
        <v>3799</v>
      </c>
      <c r="E40" s="310" t="s">
        <v>3756</v>
      </c>
      <c r="F40" s="309">
        <v>42649.1</v>
      </c>
      <c r="G40" s="309">
        <v>0</v>
      </c>
      <c r="H40" s="470">
        <v>-841515.74</v>
      </c>
      <c r="I40" s="470"/>
    </row>
    <row r="41" spans="1:9" ht="11.25" customHeight="1" x14ac:dyDescent="0.3">
      <c r="A41" s="318">
        <v>45698</v>
      </c>
      <c r="B41" s="317"/>
      <c r="C41" s="316" t="s">
        <v>730</v>
      </c>
      <c r="D41" s="315" t="s">
        <v>3800</v>
      </c>
      <c r="E41" s="315" t="s">
        <v>3801</v>
      </c>
      <c r="F41" s="314">
        <v>0</v>
      </c>
      <c r="G41" s="314">
        <v>17684.95</v>
      </c>
      <c r="H41" s="469">
        <v>-859200.69</v>
      </c>
      <c r="I41" s="469"/>
    </row>
    <row r="42" spans="1:9" ht="12" customHeight="1" x14ac:dyDescent="0.3">
      <c r="A42" s="313">
        <v>45699</v>
      </c>
      <c r="B42" s="312"/>
      <c r="C42" s="311" t="s">
        <v>730</v>
      </c>
      <c r="D42" s="310" t="s">
        <v>3802</v>
      </c>
      <c r="E42" s="310" t="s">
        <v>3750</v>
      </c>
      <c r="F42" s="309">
        <v>0</v>
      </c>
      <c r="G42" s="309">
        <v>2655.84</v>
      </c>
      <c r="H42" s="470">
        <v>-861856.53</v>
      </c>
      <c r="I42" s="470"/>
    </row>
    <row r="43" spans="1:9" ht="11.25" customHeight="1" x14ac:dyDescent="0.3">
      <c r="A43" s="318">
        <v>45700</v>
      </c>
      <c r="B43" s="317"/>
      <c r="C43" s="316" t="s">
        <v>730</v>
      </c>
      <c r="D43" s="315" t="s">
        <v>3803</v>
      </c>
      <c r="E43" s="315" t="s">
        <v>3804</v>
      </c>
      <c r="F43" s="314">
        <v>87717.22</v>
      </c>
      <c r="G43" s="314">
        <v>0</v>
      </c>
      <c r="H43" s="469">
        <v>-774139.31</v>
      </c>
      <c r="I43" s="469"/>
    </row>
    <row r="44" spans="1:9" ht="11.25" customHeight="1" x14ac:dyDescent="0.3">
      <c r="A44" s="313">
        <v>45701</v>
      </c>
      <c r="B44" s="312"/>
      <c r="C44" s="311" t="s">
        <v>730</v>
      </c>
      <c r="D44" s="310" t="s">
        <v>3805</v>
      </c>
      <c r="E44" s="310" t="s">
        <v>3760</v>
      </c>
      <c r="F44" s="309">
        <v>12323.02</v>
      </c>
      <c r="G44" s="309">
        <v>0</v>
      </c>
      <c r="H44" s="470">
        <v>-761816.29</v>
      </c>
      <c r="I44" s="470"/>
    </row>
    <row r="45" spans="1:9" ht="12" customHeight="1" x14ac:dyDescent="0.3">
      <c r="A45" s="318">
        <v>45702</v>
      </c>
      <c r="B45" s="317"/>
      <c r="C45" s="316" t="s">
        <v>730</v>
      </c>
      <c r="D45" s="315" t="s">
        <v>3806</v>
      </c>
      <c r="E45" s="315" t="s">
        <v>3807</v>
      </c>
      <c r="F45" s="314">
        <v>0</v>
      </c>
      <c r="G45" s="314">
        <v>25332.82</v>
      </c>
      <c r="H45" s="469">
        <v>-787149.11</v>
      </c>
      <c r="I45" s="469"/>
    </row>
    <row r="46" spans="1:9" ht="11.25" customHeight="1" x14ac:dyDescent="0.3">
      <c r="A46" s="313">
        <v>45706</v>
      </c>
      <c r="B46" s="312"/>
      <c r="C46" s="311" t="s">
        <v>730</v>
      </c>
      <c r="D46" s="310" t="s">
        <v>3808</v>
      </c>
      <c r="E46" s="310" t="s">
        <v>3809</v>
      </c>
      <c r="F46" s="309">
        <v>0</v>
      </c>
      <c r="G46" s="309">
        <v>1366.18</v>
      </c>
      <c r="H46" s="470">
        <v>-788515.29</v>
      </c>
      <c r="I46" s="470"/>
    </row>
    <row r="47" spans="1:9" ht="11.25" customHeight="1" x14ac:dyDescent="0.3">
      <c r="A47" s="318">
        <v>45707</v>
      </c>
      <c r="B47" s="317"/>
      <c r="C47" s="316" t="s">
        <v>730</v>
      </c>
      <c r="D47" s="315" t="s">
        <v>3810</v>
      </c>
      <c r="E47" s="315" t="s">
        <v>3811</v>
      </c>
      <c r="F47" s="314">
        <v>10358.030000000001</v>
      </c>
      <c r="G47" s="314">
        <v>0</v>
      </c>
      <c r="H47" s="469">
        <v>-778157.26</v>
      </c>
      <c r="I47" s="469"/>
    </row>
    <row r="48" spans="1:9" ht="12" customHeight="1" x14ac:dyDescent="0.3">
      <c r="A48" s="313">
        <v>45708</v>
      </c>
      <c r="B48" s="312"/>
      <c r="C48" s="311" t="s">
        <v>730</v>
      </c>
      <c r="D48" s="310" t="s">
        <v>3812</v>
      </c>
      <c r="E48" s="310" t="s">
        <v>3768</v>
      </c>
      <c r="F48" s="309">
        <v>0</v>
      </c>
      <c r="G48" s="309">
        <v>13765.52</v>
      </c>
      <c r="H48" s="470">
        <v>-791922.78</v>
      </c>
      <c r="I48" s="470"/>
    </row>
    <row r="49" spans="1:9" ht="11.25" customHeight="1" x14ac:dyDescent="0.3">
      <c r="A49" s="318">
        <v>45709</v>
      </c>
      <c r="B49" s="317"/>
      <c r="C49" s="316" t="s">
        <v>730</v>
      </c>
      <c r="D49" s="315" t="s">
        <v>3813</v>
      </c>
      <c r="E49" s="315" t="s">
        <v>3814</v>
      </c>
      <c r="F49" s="314">
        <v>1249.77</v>
      </c>
      <c r="G49" s="314">
        <v>0</v>
      </c>
      <c r="H49" s="469">
        <v>-790673.01</v>
      </c>
      <c r="I49" s="469"/>
    </row>
    <row r="50" spans="1:9" ht="11.25" customHeight="1" x14ac:dyDescent="0.3">
      <c r="A50" s="313">
        <v>45712</v>
      </c>
      <c r="B50" s="312"/>
      <c r="C50" s="311" t="s">
        <v>730</v>
      </c>
      <c r="D50" s="310" t="s">
        <v>3815</v>
      </c>
      <c r="E50" s="310" t="s">
        <v>3816</v>
      </c>
      <c r="F50" s="309">
        <v>0</v>
      </c>
      <c r="G50" s="309">
        <v>21892.61</v>
      </c>
      <c r="H50" s="470">
        <v>-812565.62</v>
      </c>
      <c r="I50" s="470"/>
    </row>
    <row r="51" spans="1:9" ht="12" customHeight="1" x14ac:dyDescent="0.3">
      <c r="A51" s="318">
        <v>45713</v>
      </c>
      <c r="B51" s="317"/>
      <c r="C51" s="316" t="s">
        <v>730</v>
      </c>
      <c r="D51" s="315" t="s">
        <v>3817</v>
      </c>
      <c r="E51" s="315" t="s">
        <v>3818</v>
      </c>
      <c r="F51" s="314">
        <v>3259.34</v>
      </c>
      <c r="G51" s="314">
        <v>0</v>
      </c>
      <c r="H51" s="469">
        <v>-809306.28</v>
      </c>
      <c r="I51" s="469"/>
    </row>
    <row r="52" spans="1:9" ht="11.25" customHeight="1" x14ac:dyDescent="0.3">
      <c r="A52" s="313">
        <v>45714</v>
      </c>
      <c r="B52" s="312"/>
      <c r="C52" s="311" t="s">
        <v>730</v>
      </c>
      <c r="D52" s="310" t="s">
        <v>3819</v>
      </c>
      <c r="E52" s="310" t="s">
        <v>3820</v>
      </c>
      <c r="F52" s="309">
        <v>0</v>
      </c>
      <c r="G52" s="309">
        <v>9701.2900000000009</v>
      </c>
      <c r="H52" s="470">
        <v>-819007.57</v>
      </c>
      <c r="I52" s="470"/>
    </row>
    <row r="53" spans="1:9" ht="11.25" customHeight="1" x14ac:dyDescent="0.3">
      <c r="A53" s="318">
        <v>45715</v>
      </c>
      <c r="B53" s="317"/>
      <c r="C53" s="316" t="s">
        <v>730</v>
      </c>
      <c r="D53" s="315" t="s">
        <v>3821</v>
      </c>
      <c r="E53" s="315" t="s">
        <v>3778</v>
      </c>
      <c r="F53" s="314">
        <v>14559.41</v>
      </c>
      <c r="G53" s="314">
        <v>0</v>
      </c>
      <c r="H53" s="469">
        <v>-804448.16</v>
      </c>
      <c r="I53" s="469"/>
    </row>
    <row r="54" spans="1:9" ht="12" customHeight="1" x14ac:dyDescent="0.3">
      <c r="A54" s="313">
        <v>45716</v>
      </c>
      <c r="B54" s="310" t="s">
        <v>3822</v>
      </c>
      <c r="C54" s="311" t="s">
        <v>730</v>
      </c>
      <c r="D54" s="310" t="s">
        <v>3823</v>
      </c>
      <c r="E54" s="310"/>
      <c r="F54" s="309">
        <v>144.61000000000001</v>
      </c>
      <c r="G54" s="309">
        <v>0</v>
      </c>
      <c r="H54" s="470">
        <v>-804303.55</v>
      </c>
      <c r="I54" s="470"/>
    </row>
    <row r="55" spans="1:9" ht="11.25" customHeight="1" x14ac:dyDescent="0.3">
      <c r="A55" s="318">
        <v>45716</v>
      </c>
      <c r="B55" s="315" t="s">
        <v>3824</v>
      </c>
      <c r="C55" s="316" t="s">
        <v>730</v>
      </c>
      <c r="D55" s="315" t="s">
        <v>3825</v>
      </c>
      <c r="E55" s="315"/>
      <c r="F55" s="314">
        <v>361.95</v>
      </c>
      <c r="G55" s="314">
        <v>0</v>
      </c>
      <c r="H55" s="469">
        <v>-803941.6</v>
      </c>
      <c r="I55" s="469"/>
    </row>
    <row r="56" spans="1:9" ht="11.25" customHeight="1" x14ac:dyDescent="0.3">
      <c r="A56" s="313">
        <v>45716</v>
      </c>
      <c r="B56" s="310" t="s">
        <v>3826</v>
      </c>
      <c r="C56" s="311" t="s">
        <v>730</v>
      </c>
      <c r="D56" s="310" t="s">
        <v>3827</v>
      </c>
      <c r="E56" s="310"/>
      <c r="F56" s="309">
        <v>175.93</v>
      </c>
      <c r="G56" s="309">
        <v>0</v>
      </c>
      <c r="H56" s="470">
        <v>-803765.67</v>
      </c>
      <c r="I56" s="470"/>
    </row>
    <row r="57" spans="1:9" ht="12" customHeight="1" x14ac:dyDescent="0.3">
      <c r="A57" s="318">
        <v>45716</v>
      </c>
      <c r="B57" s="315" t="s">
        <v>3828</v>
      </c>
      <c r="C57" s="316" t="s">
        <v>730</v>
      </c>
      <c r="D57" s="315" t="s">
        <v>3829</v>
      </c>
      <c r="E57" s="315"/>
      <c r="F57" s="314">
        <v>150</v>
      </c>
      <c r="G57" s="314">
        <v>0</v>
      </c>
      <c r="H57" s="469">
        <v>-803615.67</v>
      </c>
      <c r="I57" s="469"/>
    </row>
    <row r="58" spans="1:9" ht="11.25" customHeight="1" x14ac:dyDescent="0.3">
      <c r="A58" s="313">
        <v>45716</v>
      </c>
      <c r="B58" s="310" t="s">
        <v>3830</v>
      </c>
      <c r="C58" s="311" t="s">
        <v>730</v>
      </c>
      <c r="D58" s="310" t="s">
        <v>3831</v>
      </c>
      <c r="E58" s="310"/>
      <c r="F58" s="309">
        <v>75</v>
      </c>
      <c r="G58" s="309">
        <v>0</v>
      </c>
      <c r="H58" s="470">
        <v>-803540.67</v>
      </c>
      <c r="I58" s="470"/>
    </row>
    <row r="59" spans="1:9" ht="11.25" customHeight="1" x14ac:dyDescent="0.3">
      <c r="A59" s="318">
        <v>45716</v>
      </c>
      <c r="B59" s="315" t="s">
        <v>3832</v>
      </c>
      <c r="C59" s="316" t="s">
        <v>730</v>
      </c>
      <c r="D59" s="315" t="s">
        <v>3833</v>
      </c>
      <c r="E59" s="315"/>
      <c r="F59" s="314">
        <v>150</v>
      </c>
      <c r="G59" s="314">
        <v>0</v>
      </c>
      <c r="H59" s="469">
        <v>-803390.67</v>
      </c>
      <c r="I59" s="469"/>
    </row>
    <row r="60" spans="1:9" ht="12" customHeight="1" x14ac:dyDescent="0.3">
      <c r="A60" s="313">
        <v>45716</v>
      </c>
      <c r="B60" s="310" t="s">
        <v>3834</v>
      </c>
      <c r="C60" s="311" t="s">
        <v>730</v>
      </c>
      <c r="D60" s="310" t="s">
        <v>3835</v>
      </c>
      <c r="E60" s="310"/>
      <c r="F60" s="309">
        <v>150</v>
      </c>
      <c r="G60" s="309">
        <v>0</v>
      </c>
      <c r="H60" s="470">
        <v>-803240.67</v>
      </c>
      <c r="I60" s="470"/>
    </row>
    <row r="61" spans="1:9" ht="11.25" customHeight="1" x14ac:dyDescent="0.3">
      <c r="A61" s="318">
        <v>45716</v>
      </c>
      <c r="B61" s="317"/>
      <c r="C61" s="316" t="s">
        <v>730</v>
      </c>
      <c r="D61" s="315" t="s">
        <v>3836</v>
      </c>
      <c r="E61" s="315" t="s">
        <v>3837</v>
      </c>
      <c r="F61" s="314">
        <v>0</v>
      </c>
      <c r="G61" s="314">
        <v>256212.54</v>
      </c>
      <c r="H61" s="469">
        <v>-1059453.21</v>
      </c>
      <c r="I61" s="469"/>
    </row>
    <row r="62" spans="1:9" ht="19.5" customHeight="1" x14ac:dyDescent="0.3">
      <c r="A62" s="472"/>
      <c r="B62" s="472"/>
      <c r="C62" s="472"/>
      <c r="D62" s="308" t="s">
        <v>3838</v>
      </c>
      <c r="E62" s="307">
        <v>44934.82</v>
      </c>
      <c r="F62" s="306">
        <v>1091951.1200000001</v>
      </c>
      <c r="G62" s="306">
        <v>1047016.3</v>
      </c>
      <c r="H62" s="473">
        <v>-1059453.21</v>
      </c>
      <c r="I62" s="473"/>
    </row>
    <row r="63" spans="1:9" ht="1.5" customHeight="1" x14ac:dyDescent="0.3"/>
    <row r="64" spans="1:9" ht="11.25" customHeight="1" x14ac:dyDescent="0.3">
      <c r="A64" s="313">
        <v>45717</v>
      </c>
      <c r="B64" s="312"/>
      <c r="C64" s="311" t="s">
        <v>730</v>
      </c>
      <c r="D64" s="310" t="s">
        <v>3839</v>
      </c>
      <c r="E64" s="310" t="s">
        <v>3820</v>
      </c>
      <c r="F64" s="309">
        <v>0</v>
      </c>
      <c r="G64" s="309">
        <v>671574.71</v>
      </c>
      <c r="H64" s="470">
        <v>-1731027.92</v>
      </c>
      <c r="I64" s="470"/>
    </row>
    <row r="65" spans="1:9" ht="11.25" customHeight="1" x14ac:dyDescent="0.3">
      <c r="A65" s="318">
        <v>45719</v>
      </c>
      <c r="B65" s="317"/>
      <c r="C65" s="316" t="s">
        <v>730</v>
      </c>
      <c r="D65" s="315" t="s">
        <v>3840</v>
      </c>
      <c r="E65" s="315" t="s">
        <v>3841</v>
      </c>
      <c r="F65" s="314">
        <v>8983.2000000000007</v>
      </c>
      <c r="G65" s="314">
        <v>0</v>
      </c>
      <c r="H65" s="469">
        <v>-1722044.72</v>
      </c>
      <c r="I65" s="469"/>
    </row>
    <row r="66" spans="1:9" ht="12" customHeight="1" x14ac:dyDescent="0.3">
      <c r="A66" s="313">
        <v>45720</v>
      </c>
      <c r="B66" s="312"/>
      <c r="C66" s="311" t="s">
        <v>730</v>
      </c>
      <c r="D66" s="310" t="s">
        <v>3842</v>
      </c>
      <c r="E66" s="310" t="s">
        <v>3843</v>
      </c>
      <c r="F66" s="309">
        <v>0</v>
      </c>
      <c r="G66" s="309">
        <v>12978.68</v>
      </c>
      <c r="H66" s="470">
        <v>-1735023.4</v>
      </c>
      <c r="I66" s="470"/>
    </row>
    <row r="67" spans="1:9" ht="11.25" customHeight="1" x14ac:dyDescent="0.3">
      <c r="A67" s="318">
        <v>45721</v>
      </c>
      <c r="B67" s="317"/>
      <c r="C67" s="316" t="s">
        <v>730</v>
      </c>
      <c r="D67" s="315" t="s">
        <v>3844</v>
      </c>
      <c r="E67" s="315" t="s">
        <v>3845</v>
      </c>
      <c r="F67" s="314">
        <v>715936.75</v>
      </c>
      <c r="G67" s="314">
        <v>0</v>
      </c>
      <c r="H67" s="469">
        <v>-1019086.65</v>
      </c>
      <c r="I67" s="469"/>
    </row>
    <row r="68" spans="1:9" ht="11.25" customHeight="1" x14ac:dyDescent="0.3">
      <c r="A68" s="313">
        <v>45722</v>
      </c>
      <c r="B68" s="312"/>
      <c r="C68" s="311" t="s">
        <v>730</v>
      </c>
      <c r="D68" s="310" t="s">
        <v>3846</v>
      </c>
      <c r="E68" s="310" t="s">
        <v>3847</v>
      </c>
      <c r="F68" s="309">
        <v>0</v>
      </c>
      <c r="G68" s="309">
        <v>13271.19</v>
      </c>
      <c r="H68" s="470">
        <v>-1032357.84</v>
      </c>
      <c r="I68" s="470"/>
    </row>
    <row r="69" spans="1:9" ht="12" customHeight="1" x14ac:dyDescent="0.3">
      <c r="A69" s="318">
        <v>45723</v>
      </c>
      <c r="B69" s="317"/>
      <c r="C69" s="316" t="s">
        <v>730</v>
      </c>
      <c r="D69" s="315" t="s">
        <v>3848</v>
      </c>
      <c r="E69" s="315" t="s">
        <v>3849</v>
      </c>
      <c r="F69" s="314">
        <v>0</v>
      </c>
      <c r="G69" s="314">
        <v>8950.56</v>
      </c>
      <c r="H69" s="469">
        <v>-1041308.4</v>
      </c>
      <c r="I69" s="469"/>
    </row>
    <row r="70" spans="1:9" ht="11.25" customHeight="1" x14ac:dyDescent="0.3">
      <c r="A70" s="313">
        <v>45726</v>
      </c>
      <c r="B70" s="312"/>
      <c r="C70" s="311" t="s">
        <v>730</v>
      </c>
      <c r="D70" s="310" t="s">
        <v>3850</v>
      </c>
      <c r="E70" s="310" t="s">
        <v>3778</v>
      </c>
      <c r="F70" s="309">
        <v>46027.49</v>
      </c>
      <c r="G70" s="309">
        <v>0</v>
      </c>
      <c r="H70" s="470">
        <v>-995280.91</v>
      </c>
      <c r="I70" s="470"/>
    </row>
    <row r="71" spans="1:9" ht="11.25" customHeight="1" x14ac:dyDescent="0.3">
      <c r="A71" s="318">
        <v>45727</v>
      </c>
      <c r="B71" s="315" t="s">
        <v>3851</v>
      </c>
      <c r="C71" s="316" t="s">
        <v>730</v>
      </c>
      <c r="D71" s="315" t="s">
        <v>3852</v>
      </c>
      <c r="E71" s="315"/>
      <c r="F71" s="314">
        <v>499.04</v>
      </c>
      <c r="G71" s="314">
        <v>0</v>
      </c>
      <c r="H71" s="469">
        <v>-994781.87</v>
      </c>
      <c r="I71" s="469"/>
    </row>
    <row r="72" spans="1:9" ht="12" customHeight="1" x14ac:dyDescent="0.3">
      <c r="A72" s="313">
        <v>45727</v>
      </c>
      <c r="B72" s="310" t="s">
        <v>3851</v>
      </c>
      <c r="C72" s="311" t="s">
        <v>730</v>
      </c>
      <c r="D72" s="310" t="s">
        <v>3852</v>
      </c>
      <c r="E72" s="310"/>
      <c r="F72" s="309">
        <v>750</v>
      </c>
      <c r="G72" s="309">
        <v>0</v>
      </c>
      <c r="H72" s="470">
        <v>-994031.87</v>
      </c>
      <c r="I72" s="470"/>
    </row>
    <row r="73" spans="1:9" ht="11.25" customHeight="1" x14ac:dyDescent="0.3">
      <c r="A73" s="318">
        <v>45727</v>
      </c>
      <c r="B73" s="315" t="s">
        <v>3853</v>
      </c>
      <c r="C73" s="316" t="s">
        <v>730</v>
      </c>
      <c r="D73" s="315" t="s">
        <v>3854</v>
      </c>
      <c r="E73" s="315"/>
      <c r="F73" s="314">
        <v>453.65</v>
      </c>
      <c r="G73" s="314">
        <v>0</v>
      </c>
      <c r="H73" s="469">
        <v>-993578.22</v>
      </c>
      <c r="I73" s="469"/>
    </row>
    <row r="74" spans="1:9" ht="12" customHeight="1" x14ac:dyDescent="0.3">
      <c r="A74" s="313">
        <v>45727</v>
      </c>
      <c r="B74" s="312"/>
      <c r="C74" s="311" t="s">
        <v>730</v>
      </c>
      <c r="D74" s="310" t="s">
        <v>3855</v>
      </c>
      <c r="E74" s="310" t="s">
        <v>3856</v>
      </c>
      <c r="F74" s="309">
        <v>0</v>
      </c>
      <c r="G74" s="309">
        <v>923.14</v>
      </c>
      <c r="H74" s="470">
        <v>-994501.36</v>
      </c>
      <c r="I74" s="470"/>
    </row>
    <row r="75" spans="1:9" ht="11.25" customHeight="1" x14ac:dyDescent="0.3">
      <c r="A75" s="318">
        <v>45728</v>
      </c>
      <c r="B75" s="317" t="s">
        <v>857</v>
      </c>
      <c r="C75" s="316" t="s">
        <v>730</v>
      </c>
      <c r="D75" s="315" t="s">
        <v>3857</v>
      </c>
      <c r="E75" s="315" t="s">
        <v>3758</v>
      </c>
      <c r="F75" s="314">
        <v>0</v>
      </c>
      <c r="G75" s="314">
        <v>5292.49</v>
      </c>
      <c r="H75" s="469">
        <v>-999793.85</v>
      </c>
      <c r="I75" s="469"/>
    </row>
    <row r="76" spans="1:9" ht="11.25" customHeight="1" x14ac:dyDescent="0.3">
      <c r="A76" s="313">
        <v>45729</v>
      </c>
      <c r="B76" s="312"/>
      <c r="C76" s="311" t="s">
        <v>730</v>
      </c>
      <c r="D76" s="310" t="s">
        <v>3858</v>
      </c>
      <c r="E76" s="310" t="s">
        <v>3859</v>
      </c>
      <c r="F76" s="309">
        <v>0</v>
      </c>
      <c r="G76" s="309">
        <v>14441.66</v>
      </c>
      <c r="H76" s="470">
        <v>-1014235.51</v>
      </c>
      <c r="I76" s="470"/>
    </row>
    <row r="77" spans="1:9" ht="12" customHeight="1" x14ac:dyDescent="0.3">
      <c r="A77" s="318">
        <v>45730</v>
      </c>
      <c r="B77" s="317"/>
      <c r="C77" s="316" t="s">
        <v>730</v>
      </c>
      <c r="D77" s="315" t="s">
        <v>3860</v>
      </c>
      <c r="E77" s="315" t="s">
        <v>3841</v>
      </c>
      <c r="F77" s="314">
        <v>56515.86</v>
      </c>
      <c r="G77" s="314">
        <v>0</v>
      </c>
      <c r="H77" s="469">
        <v>-957719.65</v>
      </c>
      <c r="I77" s="469"/>
    </row>
    <row r="78" spans="1:9" ht="11.25" customHeight="1" x14ac:dyDescent="0.3">
      <c r="A78" s="313">
        <v>45733</v>
      </c>
      <c r="B78" s="312"/>
      <c r="C78" s="311" t="s">
        <v>730</v>
      </c>
      <c r="D78" s="310" t="s">
        <v>3861</v>
      </c>
      <c r="E78" s="310" t="s">
        <v>3843</v>
      </c>
      <c r="F78" s="309">
        <v>0</v>
      </c>
      <c r="G78" s="309">
        <v>21600.55</v>
      </c>
      <c r="H78" s="470">
        <v>-979320.2</v>
      </c>
      <c r="I78" s="470"/>
    </row>
    <row r="79" spans="1:9" ht="11.25" customHeight="1" x14ac:dyDescent="0.3">
      <c r="A79" s="318">
        <v>45734</v>
      </c>
      <c r="B79" s="317"/>
      <c r="C79" s="316" t="s">
        <v>730</v>
      </c>
      <c r="D79" s="315" t="s">
        <v>3862</v>
      </c>
      <c r="E79" s="315" t="s">
        <v>3863</v>
      </c>
      <c r="F79" s="314">
        <v>30215.53</v>
      </c>
      <c r="G79" s="314">
        <v>0</v>
      </c>
      <c r="H79" s="469">
        <v>-949104.67</v>
      </c>
      <c r="I79" s="469"/>
    </row>
    <row r="80" spans="1:9" ht="12" customHeight="1" x14ac:dyDescent="0.3">
      <c r="A80" s="313">
        <v>45735</v>
      </c>
      <c r="B80" s="312"/>
      <c r="C80" s="311" t="s">
        <v>730</v>
      </c>
      <c r="D80" s="310" t="s">
        <v>3864</v>
      </c>
      <c r="E80" s="310" t="s">
        <v>3865</v>
      </c>
      <c r="F80" s="309">
        <v>0</v>
      </c>
      <c r="G80" s="309">
        <v>1515.61</v>
      </c>
      <c r="H80" s="470">
        <v>-950620.28</v>
      </c>
      <c r="I80" s="470"/>
    </row>
    <row r="81" spans="1:9" ht="11.25" customHeight="1" x14ac:dyDescent="0.3">
      <c r="A81" s="318">
        <v>45736</v>
      </c>
      <c r="B81" s="317"/>
      <c r="C81" s="316" t="s">
        <v>730</v>
      </c>
      <c r="D81" s="315" t="s">
        <v>3866</v>
      </c>
      <c r="E81" s="315" t="s">
        <v>3798</v>
      </c>
      <c r="F81" s="314">
        <v>51789.55</v>
      </c>
      <c r="G81" s="314">
        <v>0</v>
      </c>
      <c r="H81" s="469">
        <v>-898830.73</v>
      </c>
      <c r="I81" s="469"/>
    </row>
    <row r="82" spans="1:9" ht="11.25" customHeight="1" x14ac:dyDescent="0.3">
      <c r="A82" s="313">
        <v>45737</v>
      </c>
      <c r="B82" s="310" t="s">
        <v>3867</v>
      </c>
      <c r="C82" s="311" t="s">
        <v>730</v>
      </c>
      <c r="D82" s="310" t="s">
        <v>3868</v>
      </c>
      <c r="E82" s="310"/>
      <c r="F82" s="309">
        <v>314</v>
      </c>
      <c r="G82" s="309">
        <v>0</v>
      </c>
      <c r="H82" s="470">
        <v>-898516.73</v>
      </c>
      <c r="I82" s="470"/>
    </row>
    <row r="83" spans="1:9" ht="12" customHeight="1" x14ac:dyDescent="0.3">
      <c r="A83" s="318">
        <v>45737</v>
      </c>
      <c r="B83" s="315" t="s">
        <v>3867</v>
      </c>
      <c r="C83" s="316" t="s">
        <v>730</v>
      </c>
      <c r="D83" s="315" t="s">
        <v>3868</v>
      </c>
      <c r="E83" s="315"/>
      <c r="F83" s="314">
        <v>380.38</v>
      </c>
      <c r="G83" s="314">
        <v>0</v>
      </c>
      <c r="H83" s="469">
        <v>-898136.35</v>
      </c>
      <c r="I83" s="469"/>
    </row>
    <row r="84" spans="1:9" ht="11.25" customHeight="1" x14ac:dyDescent="0.3">
      <c r="A84" s="313">
        <v>45739</v>
      </c>
      <c r="B84" s="312"/>
      <c r="C84" s="311" t="s">
        <v>730</v>
      </c>
      <c r="D84" s="310" t="s">
        <v>3869</v>
      </c>
      <c r="E84" s="310" t="s">
        <v>3870</v>
      </c>
      <c r="F84" s="309">
        <v>0</v>
      </c>
      <c r="G84" s="309">
        <v>59241.39</v>
      </c>
      <c r="H84" s="470">
        <v>-957377.74</v>
      </c>
      <c r="I84" s="470"/>
    </row>
    <row r="85" spans="1:9" ht="11.25" customHeight="1" x14ac:dyDescent="0.3">
      <c r="A85" s="318">
        <v>45740</v>
      </c>
      <c r="B85" s="317"/>
      <c r="C85" s="316" t="s">
        <v>730</v>
      </c>
      <c r="D85" s="315" t="s">
        <v>3871</v>
      </c>
      <c r="E85" s="315" t="s">
        <v>3870</v>
      </c>
      <c r="F85" s="314">
        <v>0</v>
      </c>
      <c r="G85" s="314">
        <v>6092.2</v>
      </c>
      <c r="H85" s="469">
        <v>-963469.94</v>
      </c>
      <c r="I85" s="469"/>
    </row>
    <row r="86" spans="1:9" ht="12" customHeight="1" x14ac:dyDescent="0.3">
      <c r="A86" s="313">
        <v>45742</v>
      </c>
      <c r="B86" s="312"/>
      <c r="C86" s="311" t="s">
        <v>730</v>
      </c>
      <c r="D86" s="310" t="s">
        <v>3872</v>
      </c>
      <c r="E86" s="310" t="s">
        <v>3756</v>
      </c>
      <c r="F86" s="309">
        <v>0</v>
      </c>
      <c r="G86" s="309">
        <v>1066.57</v>
      </c>
      <c r="H86" s="470">
        <v>-964536.51</v>
      </c>
      <c r="I86" s="470"/>
    </row>
    <row r="87" spans="1:9" ht="11.25" customHeight="1" x14ac:dyDescent="0.3">
      <c r="A87" s="318">
        <v>45743</v>
      </c>
      <c r="B87" s="317"/>
      <c r="C87" s="316" t="s">
        <v>730</v>
      </c>
      <c r="D87" s="315" t="s">
        <v>3873</v>
      </c>
      <c r="E87" s="315" t="s">
        <v>3756</v>
      </c>
      <c r="F87" s="314">
        <v>539.64</v>
      </c>
      <c r="G87" s="314">
        <v>0</v>
      </c>
      <c r="H87" s="469">
        <v>-963996.87</v>
      </c>
      <c r="I87" s="469"/>
    </row>
    <row r="88" spans="1:9" ht="11.25" customHeight="1" x14ac:dyDescent="0.3">
      <c r="A88" s="313">
        <v>45744</v>
      </c>
      <c r="B88" s="312"/>
      <c r="C88" s="311" t="s">
        <v>730</v>
      </c>
      <c r="D88" s="310" t="s">
        <v>3874</v>
      </c>
      <c r="E88" s="310" t="s">
        <v>3784</v>
      </c>
      <c r="F88" s="309">
        <v>0</v>
      </c>
      <c r="G88" s="309">
        <v>20109.21</v>
      </c>
      <c r="H88" s="470">
        <v>-984106.08</v>
      </c>
      <c r="I88" s="470"/>
    </row>
    <row r="89" spans="1:9" ht="12" customHeight="1" x14ac:dyDescent="0.3">
      <c r="A89" s="318">
        <v>45747</v>
      </c>
      <c r="B89" s="317"/>
      <c r="C89" s="316" t="s">
        <v>730</v>
      </c>
      <c r="D89" s="315" t="s">
        <v>3875</v>
      </c>
      <c r="E89" s="315" t="s">
        <v>3876</v>
      </c>
      <c r="F89" s="314">
        <v>102587.15</v>
      </c>
      <c r="G89" s="314">
        <v>0</v>
      </c>
      <c r="H89" s="469">
        <v>-881518.93</v>
      </c>
      <c r="I89" s="469"/>
    </row>
    <row r="90" spans="1:9" ht="19.5" customHeight="1" x14ac:dyDescent="0.3">
      <c r="A90" s="472"/>
      <c r="B90" s="472"/>
      <c r="C90" s="472"/>
      <c r="D90" s="308" t="s">
        <v>3877</v>
      </c>
      <c r="E90" s="307">
        <v>177934.28</v>
      </c>
      <c r="F90" s="306">
        <v>1014992.24</v>
      </c>
      <c r="G90" s="306">
        <v>837057.96</v>
      </c>
      <c r="H90" s="473">
        <v>-881518.93</v>
      </c>
      <c r="I90" s="473"/>
    </row>
    <row r="91" spans="1:9" ht="0.75" customHeight="1" x14ac:dyDescent="0.3"/>
    <row r="92" spans="1:9" ht="12" customHeight="1" x14ac:dyDescent="0.3">
      <c r="A92" s="313">
        <v>45748</v>
      </c>
      <c r="B92" s="312"/>
      <c r="C92" s="311" t="s">
        <v>730</v>
      </c>
      <c r="D92" s="310" t="s">
        <v>3878</v>
      </c>
      <c r="E92" s="310" t="s">
        <v>3879</v>
      </c>
      <c r="F92" s="309">
        <v>0</v>
      </c>
      <c r="G92" s="309">
        <v>618543.77</v>
      </c>
      <c r="H92" s="470">
        <v>-1500062.7</v>
      </c>
      <c r="I92" s="470"/>
    </row>
    <row r="93" spans="1:9" ht="11.25" customHeight="1" x14ac:dyDescent="0.3">
      <c r="A93" s="318">
        <v>45749</v>
      </c>
      <c r="B93" s="317"/>
      <c r="C93" s="316" t="s">
        <v>730</v>
      </c>
      <c r="D93" s="315" t="s">
        <v>3880</v>
      </c>
      <c r="E93" s="315" t="s">
        <v>3881</v>
      </c>
      <c r="F93" s="314">
        <v>17814.330000000002</v>
      </c>
      <c r="G93" s="314">
        <v>0</v>
      </c>
      <c r="H93" s="469">
        <v>-1482248.37</v>
      </c>
      <c r="I93" s="469"/>
    </row>
    <row r="94" spans="1:9" ht="11.25" customHeight="1" x14ac:dyDescent="0.3">
      <c r="A94" s="313">
        <v>45750</v>
      </c>
      <c r="B94" s="312"/>
      <c r="C94" s="311" t="s">
        <v>730</v>
      </c>
      <c r="D94" s="310" t="s">
        <v>3882</v>
      </c>
      <c r="E94" s="310" t="s">
        <v>3883</v>
      </c>
      <c r="F94" s="309">
        <v>71373</v>
      </c>
      <c r="G94" s="309">
        <v>0</v>
      </c>
      <c r="H94" s="470">
        <v>-1410875.37</v>
      </c>
      <c r="I94" s="470"/>
    </row>
    <row r="95" spans="1:9" ht="12" customHeight="1" x14ac:dyDescent="0.3">
      <c r="A95" s="318">
        <v>45751</v>
      </c>
      <c r="B95" s="317"/>
      <c r="C95" s="316" t="s">
        <v>730</v>
      </c>
      <c r="D95" s="315" t="s">
        <v>3884</v>
      </c>
      <c r="E95" s="315" t="s">
        <v>3885</v>
      </c>
      <c r="F95" s="314">
        <v>688091.5</v>
      </c>
      <c r="G95" s="314">
        <v>0</v>
      </c>
      <c r="H95" s="469">
        <v>-722783.87</v>
      </c>
      <c r="I95" s="469"/>
    </row>
    <row r="96" spans="1:9" ht="11.25" customHeight="1" x14ac:dyDescent="0.3">
      <c r="A96" s="313">
        <v>45754</v>
      </c>
      <c r="B96" s="312"/>
      <c r="C96" s="311" t="s">
        <v>730</v>
      </c>
      <c r="D96" s="310" t="s">
        <v>3886</v>
      </c>
      <c r="E96" s="310" t="s">
        <v>3820</v>
      </c>
      <c r="F96" s="309">
        <v>20058.060000000001</v>
      </c>
      <c r="G96" s="309">
        <v>0</v>
      </c>
      <c r="H96" s="470">
        <v>-702725.81</v>
      </c>
      <c r="I96" s="470"/>
    </row>
    <row r="97" spans="1:9" ht="11.25" customHeight="1" x14ac:dyDescent="0.3">
      <c r="A97" s="318">
        <v>45755</v>
      </c>
      <c r="B97" s="317"/>
      <c r="C97" s="316" t="s">
        <v>730</v>
      </c>
      <c r="D97" s="315" t="s">
        <v>3887</v>
      </c>
      <c r="E97" s="315" t="s">
        <v>3888</v>
      </c>
      <c r="F97" s="314">
        <v>80930.39</v>
      </c>
      <c r="G97" s="314">
        <v>0</v>
      </c>
      <c r="H97" s="469">
        <v>-621795.42000000004</v>
      </c>
      <c r="I97" s="469"/>
    </row>
    <row r="98" spans="1:9" ht="12" customHeight="1" x14ac:dyDescent="0.3">
      <c r="A98" s="313">
        <v>45756</v>
      </c>
      <c r="B98" s="312"/>
      <c r="C98" s="311" t="s">
        <v>730</v>
      </c>
      <c r="D98" s="310" t="s">
        <v>3889</v>
      </c>
      <c r="E98" s="310" t="s">
        <v>3748</v>
      </c>
      <c r="F98" s="309">
        <v>0</v>
      </c>
      <c r="G98" s="309">
        <v>844.28</v>
      </c>
      <c r="H98" s="470">
        <v>-622639.69999999995</v>
      </c>
      <c r="I98" s="470"/>
    </row>
    <row r="99" spans="1:9" ht="11.25" customHeight="1" x14ac:dyDescent="0.3">
      <c r="A99" s="318">
        <v>45757</v>
      </c>
      <c r="B99" s="317"/>
      <c r="C99" s="316" t="s">
        <v>730</v>
      </c>
      <c r="D99" s="315" t="s">
        <v>3890</v>
      </c>
      <c r="E99" s="315" t="s">
        <v>3793</v>
      </c>
      <c r="F99" s="314">
        <v>2581.88</v>
      </c>
      <c r="G99" s="314">
        <v>0</v>
      </c>
      <c r="H99" s="469">
        <v>-620057.81999999995</v>
      </c>
      <c r="I99" s="469"/>
    </row>
    <row r="100" spans="1:9" ht="11.25" customHeight="1" x14ac:dyDescent="0.3">
      <c r="A100" s="313">
        <v>45758</v>
      </c>
      <c r="B100" s="312"/>
      <c r="C100" s="311" t="s">
        <v>730</v>
      </c>
      <c r="D100" s="310" t="s">
        <v>3891</v>
      </c>
      <c r="E100" s="310" t="s">
        <v>3892</v>
      </c>
      <c r="F100" s="309">
        <v>79219.62</v>
      </c>
      <c r="G100" s="309">
        <v>0</v>
      </c>
      <c r="H100" s="470">
        <v>-540838.19999999995</v>
      </c>
      <c r="I100" s="470"/>
    </row>
    <row r="101" spans="1:9" ht="12" customHeight="1" x14ac:dyDescent="0.3">
      <c r="A101" s="318">
        <v>45761</v>
      </c>
      <c r="B101" s="317"/>
      <c r="C101" s="316" t="s">
        <v>730</v>
      </c>
      <c r="D101" s="315" t="s">
        <v>3893</v>
      </c>
      <c r="E101" s="315" t="s">
        <v>3894</v>
      </c>
      <c r="F101" s="314">
        <v>0</v>
      </c>
      <c r="G101" s="314">
        <v>92637.47</v>
      </c>
      <c r="H101" s="469">
        <v>-633475.67000000004</v>
      </c>
      <c r="I101" s="469"/>
    </row>
    <row r="102" spans="1:9" ht="11.25" customHeight="1" x14ac:dyDescent="0.3">
      <c r="A102" s="313">
        <v>45762</v>
      </c>
      <c r="B102" s="312"/>
      <c r="C102" s="311" t="s">
        <v>730</v>
      </c>
      <c r="D102" s="310" t="s">
        <v>3895</v>
      </c>
      <c r="E102" s="310" t="s">
        <v>3750</v>
      </c>
      <c r="F102" s="309">
        <v>27558.28</v>
      </c>
      <c r="G102" s="309">
        <v>0</v>
      </c>
      <c r="H102" s="470">
        <v>-605917.39</v>
      </c>
      <c r="I102" s="470"/>
    </row>
    <row r="103" spans="1:9" ht="11.25" customHeight="1" x14ac:dyDescent="0.3">
      <c r="A103" s="318">
        <v>45763</v>
      </c>
      <c r="B103" s="317"/>
      <c r="C103" s="316" t="s">
        <v>730</v>
      </c>
      <c r="D103" s="315" t="s">
        <v>3896</v>
      </c>
      <c r="E103" s="315" t="s">
        <v>3778</v>
      </c>
      <c r="F103" s="314">
        <v>30747.119999999999</v>
      </c>
      <c r="G103" s="314">
        <v>0</v>
      </c>
      <c r="H103" s="469">
        <v>-575170.27</v>
      </c>
      <c r="I103" s="469"/>
    </row>
    <row r="104" spans="1:9" ht="12" customHeight="1" x14ac:dyDescent="0.3">
      <c r="A104" s="313">
        <v>45764</v>
      </c>
      <c r="B104" s="312"/>
      <c r="C104" s="311" t="s">
        <v>730</v>
      </c>
      <c r="D104" s="310" t="s">
        <v>3897</v>
      </c>
      <c r="E104" s="310" t="s">
        <v>3898</v>
      </c>
      <c r="F104" s="309">
        <v>0</v>
      </c>
      <c r="G104" s="309">
        <v>4960.25</v>
      </c>
      <c r="H104" s="470">
        <v>-580130.52</v>
      </c>
      <c r="I104" s="470"/>
    </row>
    <row r="105" spans="1:9" ht="11.25" customHeight="1" x14ac:dyDescent="0.3">
      <c r="A105" s="318">
        <v>45765</v>
      </c>
      <c r="B105" s="317"/>
      <c r="C105" s="316" t="s">
        <v>730</v>
      </c>
      <c r="D105" s="315" t="s">
        <v>3899</v>
      </c>
      <c r="E105" s="315" t="s">
        <v>3801</v>
      </c>
      <c r="F105" s="314">
        <v>0</v>
      </c>
      <c r="G105" s="314">
        <v>26186.38</v>
      </c>
      <c r="H105" s="469">
        <v>-606316.9</v>
      </c>
      <c r="I105" s="469"/>
    </row>
    <row r="106" spans="1:9" ht="11.25" customHeight="1" x14ac:dyDescent="0.3">
      <c r="A106" s="313">
        <v>45769</v>
      </c>
      <c r="B106" s="312"/>
      <c r="C106" s="311" t="s">
        <v>730</v>
      </c>
      <c r="D106" s="310" t="s">
        <v>3900</v>
      </c>
      <c r="E106" s="310" t="s">
        <v>3750</v>
      </c>
      <c r="F106" s="309">
        <v>327.06</v>
      </c>
      <c r="G106" s="309">
        <v>0</v>
      </c>
      <c r="H106" s="470">
        <v>-605989.84</v>
      </c>
      <c r="I106" s="470"/>
    </row>
    <row r="107" spans="1:9" ht="12" customHeight="1" x14ac:dyDescent="0.3">
      <c r="A107" s="318">
        <v>45770</v>
      </c>
      <c r="B107" s="317"/>
      <c r="C107" s="316" t="s">
        <v>730</v>
      </c>
      <c r="D107" s="315" t="s">
        <v>3901</v>
      </c>
      <c r="E107" s="315" t="s">
        <v>3902</v>
      </c>
      <c r="F107" s="314">
        <v>0</v>
      </c>
      <c r="G107" s="314">
        <v>17677.419999999998</v>
      </c>
      <c r="H107" s="469">
        <v>-623667.26</v>
      </c>
      <c r="I107" s="469"/>
    </row>
    <row r="108" spans="1:9" ht="11.25" customHeight="1" x14ac:dyDescent="0.3">
      <c r="A108" s="313">
        <v>45771</v>
      </c>
      <c r="B108" s="312"/>
      <c r="C108" s="311" t="s">
        <v>730</v>
      </c>
      <c r="D108" s="310" t="s">
        <v>3903</v>
      </c>
      <c r="E108" s="310" t="s">
        <v>3904</v>
      </c>
      <c r="F108" s="309">
        <v>11509.69</v>
      </c>
      <c r="G108" s="309">
        <v>0</v>
      </c>
      <c r="H108" s="470">
        <v>-612157.56999999995</v>
      </c>
      <c r="I108" s="470"/>
    </row>
    <row r="109" spans="1:9" ht="11.25" customHeight="1" x14ac:dyDescent="0.3">
      <c r="A109" s="318">
        <v>45772</v>
      </c>
      <c r="B109" s="317"/>
      <c r="C109" s="316" t="s">
        <v>730</v>
      </c>
      <c r="D109" s="315" t="s">
        <v>3905</v>
      </c>
      <c r="E109" s="315" t="s">
        <v>3906</v>
      </c>
      <c r="F109" s="314">
        <v>0</v>
      </c>
      <c r="G109" s="314">
        <v>27161.73</v>
      </c>
      <c r="H109" s="469">
        <v>-639319.30000000005</v>
      </c>
      <c r="I109" s="469"/>
    </row>
    <row r="110" spans="1:9" ht="12" customHeight="1" x14ac:dyDescent="0.3">
      <c r="A110" s="313">
        <v>45776</v>
      </c>
      <c r="B110" s="312"/>
      <c r="C110" s="311" t="s">
        <v>730</v>
      </c>
      <c r="D110" s="310" t="s">
        <v>3907</v>
      </c>
      <c r="E110" s="310" t="s">
        <v>3906</v>
      </c>
      <c r="F110" s="309">
        <v>0</v>
      </c>
      <c r="G110" s="309">
        <v>15362.29</v>
      </c>
      <c r="H110" s="470">
        <v>-654681.59</v>
      </c>
      <c r="I110" s="470"/>
    </row>
    <row r="111" spans="1:9" ht="11.25" customHeight="1" x14ac:dyDescent="0.3">
      <c r="A111" s="318">
        <v>45777</v>
      </c>
      <c r="B111" s="317"/>
      <c r="C111" s="316" t="s">
        <v>730</v>
      </c>
      <c r="D111" s="315" t="s">
        <v>3908</v>
      </c>
      <c r="E111" s="315" t="s">
        <v>3909</v>
      </c>
      <c r="F111" s="314">
        <v>0</v>
      </c>
      <c r="G111" s="314">
        <v>208092.67</v>
      </c>
      <c r="H111" s="469">
        <v>-862774.26</v>
      </c>
      <c r="I111" s="469"/>
    </row>
    <row r="112" spans="1:9" ht="20.25" customHeight="1" x14ac:dyDescent="0.3">
      <c r="A112" s="472"/>
      <c r="B112" s="472"/>
      <c r="C112" s="472"/>
      <c r="D112" s="308" t="s">
        <v>3910</v>
      </c>
      <c r="E112" s="307">
        <v>18744.669999999998</v>
      </c>
      <c r="F112" s="306">
        <v>1030210.93</v>
      </c>
      <c r="G112" s="306">
        <v>1011466.26</v>
      </c>
      <c r="H112" s="473">
        <v>-862774.26</v>
      </c>
      <c r="I112" s="473"/>
    </row>
    <row r="113" spans="1:9" ht="0.75" customHeight="1" x14ac:dyDescent="0.3"/>
    <row r="114" spans="1:9" ht="11.25" customHeight="1" x14ac:dyDescent="0.3">
      <c r="A114" s="313">
        <v>45778</v>
      </c>
      <c r="B114" s="312"/>
      <c r="C114" s="311" t="s">
        <v>730</v>
      </c>
      <c r="D114" s="310" t="s">
        <v>3911</v>
      </c>
      <c r="E114" s="310" t="s">
        <v>3912</v>
      </c>
      <c r="F114" s="309">
        <v>0</v>
      </c>
      <c r="G114" s="309">
        <v>23079.06</v>
      </c>
      <c r="H114" s="470">
        <v>-885853.32</v>
      </c>
      <c r="I114" s="470"/>
    </row>
    <row r="115" spans="1:9" ht="12" customHeight="1" x14ac:dyDescent="0.3">
      <c r="A115" s="318">
        <v>45779</v>
      </c>
      <c r="B115" s="317"/>
      <c r="C115" s="316" t="s">
        <v>730</v>
      </c>
      <c r="D115" s="315" t="s">
        <v>3913</v>
      </c>
      <c r="E115" s="315" t="s">
        <v>3870</v>
      </c>
      <c r="F115" s="314">
        <v>17318.23</v>
      </c>
      <c r="G115" s="314">
        <v>0</v>
      </c>
      <c r="H115" s="469">
        <v>-868535.09</v>
      </c>
      <c r="I115" s="469"/>
    </row>
    <row r="116" spans="1:9" ht="11.25" customHeight="1" x14ac:dyDescent="0.3">
      <c r="A116" s="313">
        <v>45782</v>
      </c>
      <c r="B116" s="312"/>
      <c r="C116" s="311" t="s">
        <v>730</v>
      </c>
      <c r="D116" s="310" t="s">
        <v>3914</v>
      </c>
      <c r="E116" s="310" t="s">
        <v>3760</v>
      </c>
      <c r="F116" s="309">
        <v>0</v>
      </c>
      <c r="G116" s="309">
        <v>8576.98</v>
      </c>
      <c r="H116" s="470">
        <v>-877112.07</v>
      </c>
      <c r="I116" s="470"/>
    </row>
    <row r="117" spans="1:9" ht="11.25" customHeight="1" x14ac:dyDescent="0.3">
      <c r="A117" s="318">
        <v>45783</v>
      </c>
      <c r="B117" s="317"/>
      <c r="C117" s="316" t="s">
        <v>730</v>
      </c>
      <c r="D117" s="315" t="s">
        <v>3915</v>
      </c>
      <c r="E117" s="315" t="s">
        <v>3912</v>
      </c>
      <c r="F117" s="314">
        <v>34872.49</v>
      </c>
      <c r="G117" s="314">
        <v>0</v>
      </c>
      <c r="H117" s="469">
        <v>-842239.58</v>
      </c>
      <c r="I117" s="469"/>
    </row>
    <row r="118" spans="1:9" ht="12" customHeight="1" x14ac:dyDescent="0.3">
      <c r="A118" s="313">
        <v>45784</v>
      </c>
      <c r="B118" s="312"/>
      <c r="C118" s="311" t="s">
        <v>730</v>
      </c>
      <c r="D118" s="310" t="s">
        <v>3916</v>
      </c>
      <c r="E118" s="310" t="s">
        <v>3798</v>
      </c>
      <c r="F118" s="309">
        <v>48004.19</v>
      </c>
      <c r="G118" s="309">
        <v>0</v>
      </c>
      <c r="H118" s="470">
        <v>-794235.39</v>
      </c>
      <c r="I118" s="470"/>
    </row>
    <row r="119" spans="1:9" ht="11.25" customHeight="1" x14ac:dyDescent="0.3">
      <c r="A119" s="318">
        <v>45785</v>
      </c>
      <c r="B119" s="317"/>
      <c r="C119" s="316" t="s">
        <v>730</v>
      </c>
      <c r="D119" s="315" t="s">
        <v>3917</v>
      </c>
      <c r="E119" s="315" t="s">
        <v>3918</v>
      </c>
      <c r="F119" s="314">
        <v>0</v>
      </c>
      <c r="G119" s="314">
        <v>11700.67</v>
      </c>
      <c r="H119" s="469">
        <v>-805936.06</v>
      </c>
      <c r="I119" s="469"/>
    </row>
    <row r="120" spans="1:9" ht="11.25" customHeight="1" x14ac:dyDescent="0.3">
      <c r="A120" s="313">
        <v>45786</v>
      </c>
      <c r="B120" s="312"/>
      <c r="C120" s="311" t="s">
        <v>730</v>
      </c>
      <c r="D120" s="310" t="s">
        <v>3919</v>
      </c>
      <c r="E120" s="310" t="s">
        <v>3748</v>
      </c>
      <c r="F120" s="309">
        <v>0</v>
      </c>
      <c r="G120" s="309">
        <v>45.25</v>
      </c>
      <c r="H120" s="470">
        <v>-805981.31</v>
      </c>
      <c r="I120" s="470"/>
    </row>
    <row r="121" spans="1:9" ht="12" customHeight="1" x14ac:dyDescent="0.3">
      <c r="A121" s="318">
        <v>45789</v>
      </c>
      <c r="B121" s="317"/>
      <c r="C121" s="316" t="s">
        <v>730</v>
      </c>
      <c r="D121" s="315" t="s">
        <v>3920</v>
      </c>
      <c r="E121" s="315" t="s">
        <v>3921</v>
      </c>
      <c r="F121" s="314">
        <v>0</v>
      </c>
      <c r="G121" s="314">
        <v>4297.3</v>
      </c>
      <c r="H121" s="469">
        <v>-810278.61</v>
      </c>
      <c r="I121" s="469"/>
    </row>
    <row r="122" spans="1:9" ht="11.25" customHeight="1" x14ac:dyDescent="0.3">
      <c r="A122" s="313">
        <v>45790</v>
      </c>
      <c r="B122" s="312"/>
      <c r="C122" s="311" t="s">
        <v>730</v>
      </c>
      <c r="D122" s="310" t="s">
        <v>3922</v>
      </c>
      <c r="E122" s="310" t="s">
        <v>3923</v>
      </c>
      <c r="F122" s="309">
        <v>0</v>
      </c>
      <c r="G122" s="309">
        <v>52987.24</v>
      </c>
      <c r="H122" s="470">
        <v>-863265.85</v>
      </c>
      <c r="I122" s="470"/>
    </row>
    <row r="123" spans="1:9" ht="11.25" customHeight="1" x14ac:dyDescent="0.3">
      <c r="A123" s="318">
        <v>45791</v>
      </c>
      <c r="B123" s="317"/>
      <c r="C123" s="316" t="s">
        <v>730</v>
      </c>
      <c r="D123" s="315" t="s">
        <v>3924</v>
      </c>
      <c r="E123" s="315" t="s">
        <v>3925</v>
      </c>
      <c r="F123" s="314">
        <v>317582.18</v>
      </c>
      <c r="G123" s="314">
        <v>0</v>
      </c>
      <c r="H123" s="469">
        <v>-545683.67000000004</v>
      </c>
      <c r="I123" s="469"/>
    </row>
    <row r="124" spans="1:9" ht="12" customHeight="1" x14ac:dyDescent="0.3">
      <c r="A124" s="313">
        <v>45792</v>
      </c>
      <c r="B124" s="312"/>
      <c r="C124" s="311" t="s">
        <v>730</v>
      </c>
      <c r="D124" s="310" t="s">
        <v>3926</v>
      </c>
      <c r="E124" s="310" t="s">
        <v>3927</v>
      </c>
      <c r="F124" s="309">
        <v>29624.63</v>
      </c>
      <c r="G124" s="309">
        <v>0</v>
      </c>
      <c r="H124" s="470">
        <v>-516059.04</v>
      </c>
      <c r="I124" s="470"/>
    </row>
    <row r="125" spans="1:9" ht="11.25" customHeight="1" x14ac:dyDescent="0.3">
      <c r="A125" s="318">
        <v>45793</v>
      </c>
      <c r="B125" s="317"/>
      <c r="C125" s="316" t="s">
        <v>730</v>
      </c>
      <c r="D125" s="315" t="s">
        <v>3928</v>
      </c>
      <c r="E125" s="315" t="s">
        <v>3814</v>
      </c>
      <c r="F125" s="314">
        <v>0</v>
      </c>
      <c r="G125" s="314">
        <v>40095.339999999997</v>
      </c>
      <c r="H125" s="469">
        <v>-556154.38</v>
      </c>
      <c r="I125" s="469"/>
    </row>
    <row r="126" spans="1:9" ht="11.25" customHeight="1" x14ac:dyDescent="0.3">
      <c r="A126" s="313">
        <v>45795</v>
      </c>
      <c r="B126" s="312"/>
      <c r="C126" s="311" t="s">
        <v>730</v>
      </c>
      <c r="D126" s="310" t="s">
        <v>3929</v>
      </c>
      <c r="E126" s="310" t="s">
        <v>3748</v>
      </c>
      <c r="F126" s="309">
        <v>64.94</v>
      </c>
      <c r="G126" s="309">
        <v>0</v>
      </c>
      <c r="H126" s="470">
        <v>-556089.43999999994</v>
      </c>
      <c r="I126" s="470"/>
    </row>
    <row r="127" spans="1:9" ht="12" customHeight="1" x14ac:dyDescent="0.3">
      <c r="A127" s="318">
        <v>45796</v>
      </c>
      <c r="B127" s="317"/>
      <c r="C127" s="316" t="s">
        <v>730</v>
      </c>
      <c r="D127" s="315" t="s">
        <v>3930</v>
      </c>
      <c r="E127" s="315" t="s">
        <v>3754</v>
      </c>
      <c r="F127" s="314">
        <v>0</v>
      </c>
      <c r="G127" s="314">
        <v>15267.85</v>
      </c>
      <c r="H127" s="469">
        <v>-571357.29</v>
      </c>
      <c r="I127" s="469"/>
    </row>
    <row r="128" spans="1:9" ht="11.25" customHeight="1" x14ac:dyDescent="0.3">
      <c r="A128" s="313">
        <v>45797</v>
      </c>
      <c r="B128" s="312"/>
      <c r="C128" s="311" t="s">
        <v>730</v>
      </c>
      <c r="D128" s="310" t="s">
        <v>3931</v>
      </c>
      <c r="E128" s="310" t="s">
        <v>3748</v>
      </c>
      <c r="F128" s="309">
        <v>0</v>
      </c>
      <c r="G128" s="309">
        <v>81.67</v>
      </c>
      <c r="H128" s="470">
        <v>-571438.96</v>
      </c>
      <c r="I128" s="470"/>
    </row>
    <row r="129" spans="1:9" ht="11.25" customHeight="1" x14ac:dyDescent="0.3">
      <c r="A129" s="318">
        <v>45798</v>
      </c>
      <c r="B129" s="317"/>
      <c r="C129" s="316" t="s">
        <v>730</v>
      </c>
      <c r="D129" s="315" t="s">
        <v>3932</v>
      </c>
      <c r="E129" s="315" t="s">
        <v>3933</v>
      </c>
      <c r="F129" s="314">
        <v>0</v>
      </c>
      <c r="G129" s="314">
        <v>111593.8</v>
      </c>
      <c r="H129" s="469">
        <v>-683032.76</v>
      </c>
      <c r="I129" s="469"/>
    </row>
    <row r="130" spans="1:9" ht="12" customHeight="1" x14ac:dyDescent="0.3">
      <c r="A130" s="313">
        <v>45799</v>
      </c>
      <c r="B130" s="312"/>
      <c r="C130" s="311" t="s">
        <v>730</v>
      </c>
      <c r="D130" s="310" t="s">
        <v>3934</v>
      </c>
      <c r="E130" s="310" t="s">
        <v>3935</v>
      </c>
      <c r="F130" s="309">
        <v>6252.89</v>
      </c>
      <c r="G130" s="309">
        <v>0</v>
      </c>
      <c r="H130" s="470">
        <v>-676779.87</v>
      </c>
      <c r="I130" s="470"/>
    </row>
    <row r="131" spans="1:9" ht="11.25" customHeight="1" x14ac:dyDescent="0.3">
      <c r="A131" s="318">
        <v>45800</v>
      </c>
      <c r="B131" s="317"/>
      <c r="C131" s="316" t="s">
        <v>730</v>
      </c>
      <c r="D131" s="315" t="s">
        <v>3936</v>
      </c>
      <c r="E131" s="315" t="s">
        <v>3912</v>
      </c>
      <c r="F131" s="314">
        <v>0</v>
      </c>
      <c r="G131" s="314">
        <v>25852.13</v>
      </c>
      <c r="H131" s="469">
        <v>-702632</v>
      </c>
      <c r="I131" s="469"/>
    </row>
    <row r="132" spans="1:9" ht="11.25" customHeight="1" x14ac:dyDescent="0.3">
      <c r="A132" s="313">
        <v>45804</v>
      </c>
      <c r="B132" s="312"/>
      <c r="C132" s="311" t="s">
        <v>730</v>
      </c>
      <c r="D132" s="310" t="s">
        <v>3937</v>
      </c>
      <c r="E132" s="310" t="s">
        <v>3778</v>
      </c>
      <c r="F132" s="309">
        <v>0</v>
      </c>
      <c r="G132" s="309">
        <v>680.23</v>
      </c>
      <c r="H132" s="470">
        <v>-703312.23</v>
      </c>
      <c r="I132" s="470"/>
    </row>
    <row r="133" spans="1:9" ht="12" customHeight="1" x14ac:dyDescent="0.3">
      <c r="A133" s="318">
        <v>45805</v>
      </c>
      <c r="B133" s="317"/>
      <c r="C133" s="316" t="s">
        <v>730</v>
      </c>
      <c r="D133" s="315" t="s">
        <v>3938</v>
      </c>
      <c r="E133" s="315" t="s">
        <v>3748</v>
      </c>
      <c r="F133" s="314">
        <v>0</v>
      </c>
      <c r="G133" s="314">
        <v>59156</v>
      </c>
      <c r="H133" s="469">
        <v>-762468.23</v>
      </c>
      <c r="I133" s="469"/>
    </row>
    <row r="134" spans="1:9" ht="11.25" customHeight="1" x14ac:dyDescent="0.3">
      <c r="A134" s="313">
        <v>45806</v>
      </c>
      <c r="B134" s="312"/>
      <c r="C134" s="311" t="s">
        <v>730</v>
      </c>
      <c r="D134" s="310" t="s">
        <v>3939</v>
      </c>
      <c r="E134" s="310" t="s">
        <v>3748</v>
      </c>
      <c r="F134" s="309">
        <v>1979.02</v>
      </c>
      <c r="G134" s="309">
        <v>0</v>
      </c>
      <c r="H134" s="470">
        <v>-760489.21</v>
      </c>
      <c r="I134" s="470"/>
    </row>
    <row r="135" spans="1:9" ht="11.25" customHeight="1" x14ac:dyDescent="0.3">
      <c r="A135" s="318">
        <v>45807</v>
      </c>
      <c r="B135" s="317"/>
      <c r="C135" s="316" t="s">
        <v>730</v>
      </c>
      <c r="D135" s="315" t="s">
        <v>3940</v>
      </c>
      <c r="E135" s="315" t="s">
        <v>3754</v>
      </c>
      <c r="F135" s="314">
        <v>0</v>
      </c>
      <c r="G135" s="314">
        <v>51201.8</v>
      </c>
      <c r="H135" s="469">
        <v>-811691.01</v>
      </c>
      <c r="I135" s="469"/>
    </row>
    <row r="136" spans="1:9" ht="12" customHeight="1" x14ac:dyDescent="0.3">
      <c r="A136" s="313">
        <v>45808</v>
      </c>
      <c r="B136" s="312"/>
      <c r="C136" s="311" t="s">
        <v>730</v>
      </c>
      <c r="D136" s="310" t="s">
        <v>3941</v>
      </c>
      <c r="E136" s="310" t="s">
        <v>3942</v>
      </c>
      <c r="F136" s="309">
        <v>0</v>
      </c>
      <c r="G136" s="309">
        <v>189766.51</v>
      </c>
      <c r="H136" s="470">
        <v>-1001457.52</v>
      </c>
      <c r="I136" s="470"/>
    </row>
    <row r="137" spans="1:9" ht="19.5" customHeight="1" x14ac:dyDescent="0.3">
      <c r="A137" s="472"/>
      <c r="B137" s="472"/>
      <c r="C137" s="472"/>
      <c r="D137" s="308" t="s">
        <v>3943</v>
      </c>
      <c r="E137" s="307">
        <v>-138683.26</v>
      </c>
      <c r="F137" s="306">
        <v>455698.57</v>
      </c>
      <c r="G137" s="306">
        <v>594381.82999999996</v>
      </c>
      <c r="H137" s="473">
        <v>-1001457.52</v>
      </c>
      <c r="I137" s="473"/>
    </row>
    <row r="138" spans="1:9" ht="0.75" customHeight="1" x14ac:dyDescent="0.3"/>
    <row r="139" spans="1:9" ht="12" customHeight="1" x14ac:dyDescent="0.3">
      <c r="A139" s="318">
        <v>45809</v>
      </c>
      <c r="B139" s="317"/>
      <c r="C139" s="316" t="s">
        <v>730</v>
      </c>
      <c r="D139" s="315" t="s">
        <v>3944</v>
      </c>
      <c r="E139" s="315" t="s">
        <v>3870</v>
      </c>
      <c r="F139" s="314">
        <v>0</v>
      </c>
      <c r="G139" s="314">
        <v>345807.96</v>
      </c>
      <c r="H139" s="469">
        <v>-1347265.48</v>
      </c>
      <c r="I139" s="469"/>
    </row>
    <row r="140" spans="1:9" ht="11.25" customHeight="1" x14ac:dyDescent="0.3">
      <c r="A140" s="313">
        <v>45810</v>
      </c>
      <c r="B140" s="312"/>
      <c r="C140" s="311" t="s">
        <v>730</v>
      </c>
      <c r="D140" s="310" t="s">
        <v>3945</v>
      </c>
      <c r="E140" s="310" t="s">
        <v>3756</v>
      </c>
      <c r="F140" s="309">
        <v>10372.35</v>
      </c>
      <c r="G140" s="309">
        <v>0</v>
      </c>
      <c r="H140" s="470">
        <v>-1336893.1299999999</v>
      </c>
      <c r="I140" s="470"/>
    </row>
    <row r="141" spans="1:9" ht="11.25" customHeight="1" x14ac:dyDescent="0.3">
      <c r="A141" s="318">
        <v>45811</v>
      </c>
      <c r="B141" s="317"/>
      <c r="C141" s="316" t="s">
        <v>730</v>
      </c>
      <c r="D141" s="315" t="s">
        <v>3946</v>
      </c>
      <c r="E141" s="315" t="s">
        <v>3841</v>
      </c>
      <c r="F141" s="314">
        <v>357944.77</v>
      </c>
      <c r="G141" s="314">
        <v>0</v>
      </c>
      <c r="H141" s="469">
        <v>-978948.36</v>
      </c>
      <c r="I141" s="469"/>
    </row>
    <row r="142" spans="1:9" ht="12" customHeight="1" x14ac:dyDescent="0.3">
      <c r="A142" s="313">
        <v>45812</v>
      </c>
      <c r="B142" s="312"/>
      <c r="C142" s="311" t="s">
        <v>730</v>
      </c>
      <c r="D142" s="310" t="s">
        <v>3947</v>
      </c>
      <c r="E142" s="310" t="s">
        <v>3870</v>
      </c>
      <c r="F142" s="309">
        <v>0</v>
      </c>
      <c r="G142" s="309">
        <v>13857.06</v>
      </c>
      <c r="H142" s="470">
        <v>-992805.42</v>
      </c>
      <c r="I142" s="470"/>
    </row>
    <row r="143" spans="1:9" ht="11.25" customHeight="1" x14ac:dyDescent="0.3">
      <c r="A143" s="318">
        <v>45813</v>
      </c>
      <c r="B143" s="317"/>
      <c r="C143" s="316" t="s">
        <v>730</v>
      </c>
      <c r="D143" s="315" t="s">
        <v>3948</v>
      </c>
      <c r="E143" s="315" t="s">
        <v>3949</v>
      </c>
      <c r="F143" s="314">
        <v>51787.44</v>
      </c>
      <c r="G143" s="314">
        <v>0</v>
      </c>
      <c r="H143" s="469">
        <v>-941017.98</v>
      </c>
      <c r="I143" s="469"/>
    </row>
    <row r="144" spans="1:9" ht="11.25" customHeight="1" x14ac:dyDescent="0.3">
      <c r="A144" s="313">
        <v>45814</v>
      </c>
      <c r="B144" s="312"/>
      <c r="C144" s="311" t="s">
        <v>730</v>
      </c>
      <c r="D144" s="310" t="s">
        <v>3950</v>
      </c>
      <c r="E144" s="310" t="s">
        <v>3951</v>
      </c>
      <c r="F144" s="309">
        <v>0</v>
      </c>
      <c r="G144" s="309">
        <v>38851.910000000003</v>
      </c>
      <c r="H144" s="470">
        <v>-979869.89</v>
      </c>
      <c r="I144" s="470"/>
    </row>
    <row r="145" spans="1:9" ht="12" customHeight="1" x14ac:dyDescent="0.3">
      <c r="A145" s="318">
        <v>45817</v>
      </c>
      <c r="B145" s="317"/>
      <c r="C145" s="316" t="s">
        <v>730</v>
      </c>
      <c r="D145" s="315" t="s">
        <v>3952</v>
      </c>
      <c r="E145" s="315" t="s">
        <v>3953</v>
      </c>
      <c r="F145" s="314">
        <v>91264.73</v>
      </c>
      <c r="G145" s="314">
        <v>0</v>
      </c>
      <c r="H145" s="469">
        <v>-888605.16</v>
      </c>
      <c r="I145" s="469"/>
    </row>
    <row r="146" spans="1:9" ht="11.25" customHeight="1" x14ac:dyDescent="0.3">
      <c r="A146" s="313">
        <v>45818</v>
      </c>
      <c r="B146" s="312"/>
      <c r="C146" s="311" t="s">
        <v>730</v>
      </c>
      <c r="D146" s="310" t="s">
        <v>3954</v>
      </c>
      <c r="E146" s="310" t="s">
        <v>3778</v>
      </c>
      <c r="F146" s="309">
        <v>4990.0200000000004</v>
      </c>
      <c r="G146" s="309">
        <v>0</v>
      </c>
      <c r="H146" s="470">
        <v>-883615.14</v>
      </c>
      <c r="I146" s="470"/>
    </row>
    <row r="147" spans="1:9" ht="11.25" customHeight="1" x14ac:dyDescent="0.3">
      <c r="A147" s="318">
        <v>45819</v>
      </c>
      <c r="B147" s="317"/>
      <c r="C147" s="316" t="s">
        <v>730</v>
      </c>
      <c r="D147" s="315" t="s">
        <v>3955</v>
      </c>
      <c r="E147" s="315" t="s">
        <v>3748</v>
      </c>
      <c r="F147" s="314">
        <v>0</v>
      </c>
      <c r="G147" s="314">
        <v>3774.2</v>
      </c>
      <c r="H147" s="469">
        <v>-887389.34</v>
      </c>
      <c r="I147" s="469"/>
    </row>
    <row r="148" spans="1:9" ht="12" customHeight="1" x14ac:dyDescent="0.3">
      <c r="A148" s="313">
        <v>45820</v>
      </c>
      <c r="B148" s="312"/>
      <c r="C148" s="311" t="s">
        <v>730</v>
      </c>
      <c r="D148" s="310" t="s">
        <v>3956</v>
      </c>
      <c r="E148" s="310" t="s">
        <v>3957</v>
      </c>
      <c r="F148" s="309">
        <v>0</v>
      </c>
      <c r="G148" s="309">
        <v>47904.95</v>
      </c>
      <c r="H148" s="470">
        <v>-935294.29</v>
      </c>
      <c r="I148" s="470"/>
    </row>
    <row r="149" spans="1:9" ht="11.25" customHeight="1" x14ac:dyDescent="0.3">
      <c r="A149" s="318">
        <v>45821</v>
      </c>
      <c r="B149" s="317"/>
      <c r="C149" s="316" t="s">
        <v>730</v>
      </c>
      <c r="D149" s="315" t="s">
        <v>3958</v>
      </c>
      <c r="E149" s="315" t="s">
        <v>3820</v>
      </c>
      <c r="F149" s="314">
        <v>0</v>
      </c>
      <c r="G149" s="314">
        <v>12464.25</v>
      </c>
      <c r="H149" s="469">
        <v>-947758.54</v>
      </c>
      <c r="I149" s="469"/>
    </row>
    <row r="150" spans="1:9" ht="11.25" customHeight="1" x14ac:dyDescent="0.3">
      <c r="A150" s="313">
        <v>45824</v>
      </c>
      <c r="B150" s="312"/>
      <c r="C150" s="311" t="s">
        <v>730</v>
      </c>
      <c r="D150" s="310" t="s">
        <v>3959</v>
      </c>
      <c r="E150" s="310" t="s">
        <v>3760</v>
      </c>
      <c r="F150" s="309">
        <v>0</v>
      </c>
      <c r="G150" s="309">
        <v>30513.93</v>
      </c>
      <c r="H150" s="470">
        <v>-978272.47</v>
      </c>
      <c r="I150" s="470"/>
    </row>
    <row r="151" spans="1:9" ht="12" customHeight="1" x14ac:dyDescent="0.3">
      <c r="A151" s="318">
        <v>45825</v>
      </c>
      <c r="B151" s="317"/>
      <c r="C151" s="316" t="s">
        <v>730</v>
      </c>
      <c r="D151" s="315" t="s">
        <v>3960</v>
      </c>
      <c r="E151" s="315" t="s">
        <v>3961</v>
      </c>
      <c r="F151" s="314">
        <v>2413.0100000000002</v>
      </c>
      <c r="G151" s="314">
        <v>0</v>
      </c>
      <c r="H151" s="469">
        <v>-975859.46</v>
      </c>
      <c r="I151" s="469"/>
    </row>
    <row r="152" spans="1:9" ht="11.25" customHeight="1" x14ac:dyDescent="0.3">
      <c r="A152" s="313">
        <v>45827</v>
      </c>
      <c r="B152" s="312"/>
      <c r="C152" s="311" t="s">
        <v>730</v>
      </c>
      <c r="D152" s="310" t="s">
        <v>3962</v>
      </c>
      <c r="E152" s="310" t="s">
        <v>3963</v>
      </c>
      <c r="F152" s="309">
        <v>276400.84999999998</v>
      </c>
      <c r="G152" s="309">
        <v>0</v>
      </c>
      <c r="H152" s="470">
        <v>-699458.61</v>
      </c>
      <c r="I152" s="470"/>
    </row>
    <row r="153" spans="1:9" ht="12" customHeight="1" x14ac:dyDescent="0.3">
      <c r="A153" s="318">
        <v>45828</v>
      </c>
      <c r="B153" s="317"/>
      <c r="C153" s="316" t="s">
        <v>730</v>
      </c>
      <c r="D153" s="315" t="s">
        <v>3964</v>
      </c>
      <c r="E153" s="315" t="s">
        <v>3754</v>
      </c>
      <c r="F153" s="314">
        <v>53429.279999999999</v>
      </c>
      <c r="G153" s="314">
        <v>0</v>
      </c>
      <c r="H153" s="469">
        <v>-646029.32999999996</v>
      </c>
      <c r="I153" s="469"/>
    </row>
    <row r="154" spans="1:9" ht="11.25" customHeight="1" x14ac:dyDescent="0.3">
      <c r="A154" s="313">
        <v>45831</v>
      </c>
      <c r="B154" s="312"/>
      <c r="C154" s="311" t="s">
        <v>730</v>
      </c>
      <c r="D154" s="310" t="s">
        <v>3965</v>
      </c>
      <c r="E154" s="310" t="s">
        <v>3814</v>
      </c>
      <c r="F154" s="309">
        <v>0</v>
      </c>
      <c r="G154" s="309">
        <v>34495.57</v>
      </c>
      <c r="H154" s="470">
        <v>-680524.9</v>
      </c>
      <c r="I154" s="470"/>
    </row>
    <row r="155" spans="1:9" ht="11.25" customHeight="1" x14ac:dyDescent="0.3">
      <c r="A155" s="318">
        <v>45832</v>
      </c>
      <c r="B155" s="317"/>
      <c r="C155" s="316" t="s">
        <v>730</v>
      </c>
      <c r="D155" s="315" t="s">
        <v>3966</v>
      </c>
      <c r="E155" s="315" t="s">
        <v>3967</v>
      </c>
      <c r="F155" s="314">
        <v>51337.74</v>
      </c>
      <c r="G155" s="314">
        <v>0</v>
      </c>
      <c r="H155" s="469">
        <v>-629187.16</v>
      </c>
      <c r="I155" s="469"/>
    </row>
    <row r="156" spans="1:9" ht="12" customHeight="1" x14ac:dyDescent="0.3">
      <c r="A156" s="313">
        <v>45833</v>
      </c>
      <c r="B156" s="312"/>
      <c r="C156" s="311" t="s">
        <v>730</v>
      </c>
      <c r="D156" s="310" t="s">
        <v>3968</v>
      </c>
      <c r="E156" s="310" t="s">
        <v>3969</v>
      </c>
      <c r="F156" s="309">
        <v>0</v>
      </c>
      <c r="G156" s="309">
        <v>4011.52</v>
      </c>
      <c r="H156" s="470">
        <v>-633198.68000000005</v>
      </c>
      <c r="I156" s="470"/>
    </row>
    <row r="157" spans="1:9" ht="11.25" customHeight="1" x14ac:dyDescent="0.3">
      <c r="A157" s="318">
        <v>45834</v>
      </c>
      <c r="B157" s="317"/>
      <c r="C157" s="316" t="s">
        <v>730</v>
      </c>
      <c r="D157" s="315" t="s">
        <v>3970</v>
      </c>
      <c r="E157" s="315" t="s">
        <v>3918</v>
      </c>
      <c r="F157" s="314">
        <v>13542.04</v>
      </c>
      <c r="G157" s="314">
        <v>0</v>
      </c>
      <c r="H157" s="469">
        <v>-619656.64</v>
      </c>
      <c r="I157" s="469"/>
    </row>
    <row r="158" spans="1:9" ht="11.25" customHeight="1" x14ac:dyDescent="0.3">
      <c r="A158" s="313">
        <v>45835</v>
      </c>
      <c r="B158" s="312"/>
      <c r="C158" s="311" t="s">
        <v>730</v>
      </c>
      <c r="D158" s="310" t="s">
        <v>3971</v>
      </c>
      <c r="E158" s="310" t="s">
        <v>3863</v>
      </c>
      <c r="F158" s="309">
        <v>0</v>
      </c>
      <c r="G158" s="309">
        <v>8338.9699999999993</v>
      </c>
      <c r="H158" s="470">
        <v>-627995.61</v>
      </c>
      <c r="I158" s="470"/>
    </row>
    <row r="159" spans="1:9" ht="12" customHeight="1" x14ac:dyDescent="0.3">
      <c r="A159" s="318">
        <v>45837</v>
      </c>
      <c r="B159" s="317"/>
      <c r="C159" s="316" t="s">
        <v>730</v>
      </c>
      <c r="D159" s="315" t="s">
        <v>3972</v>
      </c>
      <c r="E159" s="315" t="s">
        <v>3748</v>
      </c>
      <c r="F159" s="314">
        <v>42.76</v>
      </c>
      <c r="G159" s="314">
        <v>0</v>
      </c>
      <c r="H159" s="469">
        <v>-627952.85</v>
      </c>
      <c r="I159" s="469"/>
    </row>
    <row r="160" spans="1:9" ht="11.25" customHeight="1" x14ac:dyDescent="0.3">
      <c r="A160" s="313">
        <v>45838</v>
      </c>
      <c r="B160" s="312"/>
      <c r="C160" s="311" t="s">
        <v>730</v>
      </c>
      <c r="D160" s="310" t="s">
        <v>3973</v>
      </c>
      <c r="E160" s="310" t="s">
        <v>3974</v>
      </c>
      <c r="F160" s="309">
        <v>0</v>
      </c>
      <c r="G160" s="309">
        <v>208514.48</v>
      </c>
      <c r="H160" s="470">
        <v>-836467.33</v>
      </c>
      <c r="I160" s="470"/>
    </row>
    <row r="161" spans="1:9" ht="19.5" customHeight="1" x14ac:dyDescent="0.3">
      <c r="A161" s="472"/>
      <c r="B161" s="472"/>
      <c r="C161" s="472"/>
      <c r="D161" s="308" t="s">
        <v>3975</v>
      </c>
      <c r="E161" s="307">
        <v>164990.19</v>
      </c>
      <c r="F161" s="306">
        <v>913524.99</v>
      </c>
      <c r="G161" s="306">
        <v>748534.8</v>
      </c>
      <c r="H161" s="473">
        <v>-836467.33</v>
      </c>
      <c r="I161" s="473"/>
    </row>
    <row r="162" spans="1:9" ht="1.5" customHeight="1" x14ac:dyDescent="0.3"/>
    <row r="163" spans="1:9" ht="11.25" customHeight="1" x14ac:dyDescent="0.3">
      <c r="A163" s="318">
        <v>45839</v>
      </c>
      <c r="B163" s="317"/>
      <c r="C163" s="316" t="s">
        <v>730</v>
      </c>
      <c r="D163" s="315" t="s">
        <v>3976</v>
      </c>
      <c r="E163" s="315" t="s">
        <v>3801</v>
      </c>
      <c r="F163" s="314">
        <v>0</v>
      </c>
      <c r="G163" s="314">
        <v>442255.55</v>
      </c>
      <c r="H163" s="469">
        <v>-1278722.8799999999</v>
      </c>
      <c r="I163" s="469"/>
    </row>
    <row r="164" spans="1:9" ht="11.25" customHeight="1" x14ac:dyDescent="0.3">
      <c r="A164" s="313">
        <v>45840</v>
      </c>
      <c r="B164" s="310" t="s">
        <v>3977</v>
      </c>
      <c r="C164" s="311" t="s">
        <v>730</v>
      </c>
      <c r="D164" s="310" t="s">
        <v>3978</v>
      </c>
      <c r="E164" s="310"/>
      <c r="F164" s="309">
        <v>300</v>
      </c>
      <c r="G164" s="309">
        <v>0</v>
      </c>
      <c r="H164" s="470">
        <v>-1278422.8799999999</v>
      </c>
      <c r="I164" s="470"/>
    </row>
    <row r="165" spans="1:9" ht="12" customHeight="1" x14ac:dyDescent="0.3">
      <c r="A165" s="318">
        <v>45840</v>
      </c>
      <c r="B165" s="315" t="s">
        <v>3979</v>
      </c>
      <c r="C165" s="316" t="s">
        <v>730</v>
      </c>
      <c r="D165" s="315" t="s">
        <v>3978</v>
      </c>
      <c r="E165" s="315" t="s">
        <v>3980</v>
      </c>
      <c r="F165" s="314">
        <v>0</v>
      </c>
      <c r="G165" s="314">
        <v>300</v>
      </c>
      <c r="H165" s="469">
        <v>-1278722.8799999999</v>
      </c>
      <c r="I165" s="469"/>
    </row>
    <row r="166" spans="1:9" ht="11.25" customHeight="1" x14ac:dyDescent="0.3">
      <c r="A166" s="313">
        <v>45840</v>
      </c>
      <c r="B166" s="312"/>
      <c r="C166" s="311" t="s">
        <v>730</v>
      </c>
      <c r="D166" s="310" t="s">
        <v>3981</v>
      </c>
      <c r="E166" s="310" t="s">
        <v>3904</v>
      </c>
      <c r="F166" s="309">
        <v>0</v>
      </c>
      <c r="G166" s="309">
        <v>281.39999999999998</v>
      </c>
      <c r="H166" s="470">
        <v>-1279004.28</v>
      </c>
      <c r="I166" s="470"/>
    </row>
    <row r="167" spans="1:9" ht="11.25" customHeight="1" x14ac:dyDescent="0.3">
      <c r="A167" s="318">
        <v>45841</v>
      </c>
      <c r="B167" s="317"/>
      <c r="C167" s="316" t="s">
        <v>730</v>
      </c>
      <c r="D167" s="315" t="s">
        <v>3982</v>
      </c>
      <c r="E167" s="315" t="s">
        <v>3847</v>
      </c>
      <c r="F167" s="314">
        <v>447444.36</v>
      </c>
      <c r="G167" s="314">
        <v>0</v>
      </c>
      <c r="H167" s="469">
        <v>-831559.92</v>
      </c>
      <c r="I167" s="469"/>
    </row>
    <row r="168" spans="1:9" ht="12" customHeight="1" x14ac:dyDescent="0.3">
      <c r="A168" s="313">
        <v>45845</v>
      </c>
      <c r="B168" s="312"/>
      <c r="C168" s="311" t="s">
        <v>730</v>
      </c>
      <c r="D168" s="310" t="s">
        <v>3983</v>
      </c>
      <c r="E168" s="310" t="s">
        <v>3984</v>
      </c>
      <c r="F168" s="309">
        <v>82314.960000000006</v>
      </c>
      <c r="G168" s="309">
        <v>0</v>
      </c>
      <c r="H168" s="470">
        <v>-749244.96</v>
      </c>
      <c r="I168" s="470"/>
    </row>
    <row r="169" spans="1:9" ht="11.25" customHeight="1" x14ac:dyDescent="0.3">
      <c r="A169" s="318">
        <v>45846</v>
      </c>
      <c r="B169" s="317"/>
      <c r="C169" s="316" t="s">
        <v>730</v>
      </c>
      <c r="D169" s="315" t="s">
        <v>3985</v>
      </c>
      <c r="E169" s="315" t="s">
        <v>3756</v>
      </c>
      <c r="F169" s="314">
        <v>1495.55</v>
      </c>
      <c r="G169" s="314">
        <v>0</v>
      </c>
      <c r="H169" s="469">
        <v>-747749.41</v>
      </c>
      <c r="I169" s="469"/>
    </row>
    <row r="170" spans="1:9" ht="11.25" customHeight="1" x14ac:dyDescent="0.3">
      <c r="A170" s="313">
        <v>45847</v>
      </c>
      <c r="B170" s="312"/>
      <c r="C170" s="311" t="s">
        <v>730</v>
      </c>
      <c r="D170" s="310" t="s">
        <v>3986</v>
      </c>
      <c r="E170" s="310" t="s">
        <v>3801</v>
      </c>
      <c r="F170" s="309">
        <v>18630.18</v>
      </c>
      <c r="G170" s="309">
        <v>0</v>
      </c>
      <c r="H170" s="470">
        <v>-729119.23</v>
      </c>
      <c r="I170" s="470"/>
    </row>
    <row r="171" spans="1:9" ht="12" customHeight="1" x14ac:dyDescent="0.3">
      <c r="A171" s="318">
        <v>45848</v>
      </c>
      <c r="B171" s="317"/>
      <c r="C171" s="316" t="s">
        <v>730</v>
      </c>
      <c r="D171" s="315" t="s">
        <v>3987</v>
      </c>
      <c r="E171" s="315" t="s">
        <v>3988</v>
      </c>
      <c r="F171" s="314">
        <v>0</v>
      </c>
      <c r="G171" s="314">
        <v>29223.32</v>
      </c>
      <c r="H171" s="469">
        <v>-758342.55</v>
      </c>
      <c r="I171" s="469"/>
    </row>
    <row r="172" spans="1:9" ht="11.25" customHeight="1" x14ac:dyDescent="0.3">
      <c r="A172" s="313">
        <v>45852</v>
      </c>
      <c r="B172" s="310" t="s">
        <v>3989</v>
      </c>
      <c r="C172" s="311" t="s">
        <v>730</v>
      </c>
      <c r="D172" s="310" t="s">
        <v>3990</v>
      </c>
      <c r="E172" s="310"/>
      <c r="F172" s="309">
        <v>154</v>
      </c>
      <c r="G172" s="309">
        <v>0</v>
      </c>
      <c r="H172" s="470">
        <v>-758188.55</v>
      </c>
      <c r="I172" s="470"/>
    </row>
    <row r="173" spans="1:9" ht="11.25" customHeight="1" x14ac:dyDescent="0.3">
      <c r="A173" s="318">
        <v>45852</v>
      </c>
      <c r="B173" s="315" t="s">
        <v>3989</v>
      </c>
      <c r="C173" s="316" t="s">
        <v>730</v>
      </c>
      <c r="D173" s="315" t="s">
        <v>3990</v>
      </c>
      <c r="E173" s="315"/>
      <c r="F173" s="314">
        <v>300</v>
      </c>
      <c r="G173" s="314">
        <v>0</v>
      </c>
      <c r="H173" s="469">
        <v>-757888.55</v>
      </c>
      <c r="I173" s="469"/>
    </row>
    <row r="174" spans="1:9" ht="12" customHeight="1" x14ac:dyDescent="0.3">
      <c r="A174" s="313">
        <v>45852</v>
      </c>
      <c r="B174" s="312"/>
      <c r="C174" s="311" t="s">
        <v>730</v>
      </c>
      <c r="D174" s="310" t="s">
        <v>3991</v>
      </c>
      <c r="E174" s="310" t="s">
        <v>3752</v>
      </c>
      <c r="F174" s="309">
        <v>0</v>
      </c>
      <c r="G174" s="309">
        <v>49768.17</v>
      </c>
      <c r="H174" s="470">
        <v>-807656.72</v>
      </c>
      <c r="I174" s="470"/>
    </row>
    <row r="175" spans="1:9" ht="11.25" customHeight="1" x14ac:dyDescent="0.3">
      <c r="A175" s="318">
        <v>45853</v>
      </c>
      <c r="B175" s="317"/>
      <c r="C175" s="316" t="s">
        <v>730</v>
      </c>
      <c r="D175" s="315" t="s">
        <v>3992</v>
      </c>
      <c r="E175" s="315" t="s">
        <v>3993</v>
      </c>
      <c r="F175" s="314">
        <v>0</v>
      </c>
      <c r="G175" s="314">
        <v>1084.1099999999999</v>
      </c>
      <c r="H175" s="469">
        <v>-808740.83</v>
      </c>
      <c r="I175" s="469"/>
    </row>
    <row r="176" spans="1:9" ht="11.25" customHeight="1" x14ac:dyDescent="0.3">
      <c r="A176" s="313">
        <v>45854</v>
      </c>
      <c r="B176" s="312"/>
      <c r="C176" s="311" t="s">
        <v>730</v>
      </c>
      <c r="D176" s="310" t="s">
        <v>3994</v>
      </c>
      <c r="E176" s="310" t="s">
        <v>3995</v>
      </c>
      <c r="F176" s="309">
        <v>43845.38</v>
      </c>
      <c r="G176" s="309">
        <v>0</v>
      </c>
      <c r="H176" s="470">
        <v>-764895.45</v>
      </c>
      <c r="I176" s="470"/>
    </row>
    <row r="177" spans="1:9" ht="12" customHeight="1" x14ac:dyDescent="0.3">
      <c r="A177" s="318">
        <v>45855</v>
      </c>
      <c r="B177" s="317"/>
      <c r="C177" s="316" t="s">
        <v>730</v>
      </c>
      <c r="D177" s="315" t="s">
        <v>3996</v>
      </c>
      <c r="E177" s="315" t="s">
        <v>3912</v>
      </c>
      <c r="F177" s="314">
        <v>4674.05</v>
      </c>
      <c r="G177" s="314">
        <v>0</v>
      </c>
      <c r="H177" s="469">
        <v>-760221.4</v>
      </c>
      <c r="I177" s="469"/>
    </row>
    <row r="178" spans="1:9" ht="11.25" customHeight="1" x14ac:dyDescent="0.3">
      <c r="A178" s="313">
        <v>45856</v>
      </c>
      <c r="B178" s="312"/>
      <c r="C178" s="311" t="s">
        <v>730</v>
      </c>
      <c r="D178" s="310" t="s">
        <v>3997</v>
      </c>
      <c r="E178" s="310" t="s">
        <v>3998</v>
      </c>
      <c r="F178" s="309">
        <v>0</v>
      </c>
      <c r="G178" s="309">
        <v>33213.620000000003</v>
      </c>
      <c r="H178" s="470">
        <v>-793435.02</v>
      </c>
      <c r="I178" s="470"/>
    </row>
    <row r="179" spans="1:9" ht="11.25" customHeight="1" x14ac:dyDescent="0.3">
      <c r="A179" s="318">
        <v>45859</v>
      </c>
      <c r="B179" s="317"/>
      <c r="C179" s="316" t="s">
        <v>730</v>
      </c>
      <c r="D179" s="315" t="s">
        <v>3999</v>
      </c>
      <c r="E179" s="315" t="s">
        <v>3768</v>
      </c>
      <c r="F179" s="314">
        <v>29624.78</v>
      </c>
      <c r="G179" s="314">
        <v>0</v>
      </c>
      <c r="H179" s="469">
        <v>-763810.24</v>
      </c>
      <c r="I179" s="469"/>
    </row>
    <row r="180" spans="1:9" ht="12" customHeight="1" x14ac:dyDescent="0.3">
      <c r="A180" s="313">
        <v>45860</v>
      </c>
      <c r="B180" s="312"/>
      <c r="C180" s="311" t="s">
        <v>730</v>
      </c>
      <c r="D180" s="310" t="s">
        <v>4000</v>
      </c>
      <c r="E180" s="310" t="s">
        <v>3859</v>
      </c>
      <c r="F180" s="309">
        <v>22496.62</v>
      </c>
      <c r="G180" s="309">
        <v>0</v>
      </c>
      <c r="H180" s="470">
        <v>-741313.62</v>
      </c>
      <c r="I180" s="470"/>
    </row>
    <row r="181" spans="1:9" ht="11.25" customHeight="1" x14ac:dyDescent="0.3">
      <c r="A181" s="318">
        <v>45861</v>
      </c>
      <c r="B181" s="317"/>
      <c r="C181" s="316" t="s">
        <v>730</v>
      </c>
      <c r="D181" s="315" t="s">
        <v>4001</v>
      </c>
      <c r="E181" s="315" t="s">
        <v>4002</v>
      </c>
      <c r="F181" s="314">
        <v>13362.42</v>
      </c>
      <c r="G181" s="314">
        <v>0</v>
      </c>
      <c r="H181" s="469">
        <v>-727951.2</v>
      </c>
      <c r="I181" s="469"/>
    </row>
    <row r="182" spans="1:9" ht="11.25" customHeight="1" x14ac:dyDescent="0.3">
      <c r="A182" s="313">
        <v>45862</v>
      </c>
      <c r="B182" s="312"/>
      <c r="C182" s="311" t="s">
        <v>730</v>
      </c>
      <c r="D182" s="310" t="s">
        <v>4003</v>
      </c>
      <c r="E182" s="310" t="s">
        <v>3892</v>
      </c>
      <c r="F182" s="309">
        <v>0</v>
      </c>
      <c r="G182" s="309">
        <v>9824.39</v>
      </c>
      <c r="H182" s="470">
        <v>-737775.59</v>
      </c>
      <c r="I182" s="470"/>
    </row>
    <row r="183" spans="1:9" ht="12" customHeight="1" x14ac:dyDescent="0.3">
      <c r="A183" s="318">
        <v>45863</v>
      </c>
      <c r="B183" s="317"/>
      <c r="C183" s="316" t="s">
        <v>730</v>
      </c>
      <c r="D183" s="315" t="s">
        <v>4004</v>
      </c>
      <c r="E183" s="315" t="s">
        <v>3820</v>
      </c>
      <c r="F183" s="314">
        <v>0</v>
      </c>
      <c r="G183" s="314">
        <v>14501.75</v>
      </c>
      <c r="H183" s="469">
        <v>-752277.34</v>
      </c>
      <c r="I183" s="469"/>
    </row>
    <row r="184" spans="1:9" ht="11.25" customHeight="1" x14ac:dyDescent="0.3">
      <c r="A184" s="313">
        <v>45866</v>
      </c>
      <c r="B184" s="312"/>
      <c r="C184" s="311" t="s">
        <v>730</v>
      </c>
      <c r="D184" s="310" t="s">
        <v>4005</v>
      </c>
      <c r="E184" s="310" t="s">
        <v>4006</v>
      </c>
      <c r="F184" s="309">
        <v>0</v>
      </c>
      <c r="G184" s="309">
        <v>56116.73</v>
      </c>
      <c r="H184" s="470">
        <v>-808394.07</v>
      </c>
      <c r="I184" s="470"/>
    </row>
    <row r="185" spans="1:9" ht="11.25" customHeight="1" x14ac:dyDescent="0.3">
      <c r="A185" s="318">
        <v>45867</v>
      </c>
      <c r="B185" s="317"/>
      <c r="C185" s="316" t="s">
        <v>730</v>
      </c>
      <c r="D185" s="315" t="s">
        <v>4007</v>
      </c>
      <c r="E185" s="315" t="s">
        <v>3847</v>
      </c>
      <c r="F185" s="314">
        <v>0</v>
      </c>
      <c r="G185" s="314">
        <v>6894.72</v>
      </c>
      <c r="H185" s="469">
        <v>-815288.79</v>
      </c>
      <c r="I185" s="469"/>
    </row>
    <row r="186" spans="1:9" ht="12" customHeight="1" x14ac:dyDescent="0.3">
      <c r="A186" s="313">
        <v>45868</v>
      </c>
      <c r="B186" s="312"/>
      <c r="C186" s="311" t="s">
        <v>730</v>
      </c>
      <c r="D186" s="310" t="s">
        <v>4008</v>
      </c>
      <c r="E186" s="310" t="s">
        <v>3768</v>
      </c>
      <c r="F186" s="309">
        <v>0</v>
      </c>
      <c r="G186" s="309">
        <v>14967.78</v>
      </c>
      <c r="H186" s="470">
        <v>-830256.57</v>
      </c>
      <c r="I186" s="470"/>
    </row>
    <row r="187" spans="1:9" ht="11.25" customHeight="1" x14ac:dyDescent="0.3">
      <c r="A187" s="318">
        <v>45869</v>
      </c>
      <c r="B187" s="317"/>
      <c r="C187" s="316" t="s">
        <v>730</v>
      </c>
      <c r="D187" s="315" t="s">
        <v>4009</v>
      </c>
      <c r="E187" s="315" t="s">
        <v>4010</v>
      </c>
      <c r="F187" s="314">
        <v>0</v>
      </c>
      <c r="G187" s="314">
        <v>161583.76</v>
      </c>
      <c r="H187" s="469">
        <v>-991840.33</v>
      </c>
      <c r="I187" s="469"/>
    </row>
    <row r="188" spans="1:9" ht="19.5" customHeight="1" x14ac:dyDescent="0.3">
      <c r="A188" s="472"/>
      <c r="B188" s="472"/>
      <c r="C188" s="472"/>
      <c r="D188" s="308" t="s">
        <v>4011</v>
      </c>
      <c r="E188" s="307">
        <v>-155373</v>
      </c>
      <c r="F188" s="306">
        <v>664642.30000000005</v>
      </c>
      <c r="G188" s="306">
        <v>820015.3</v>
      </c>
      <c r="H188" s="473">
        <v>-991840.33</v>
      </c>
      <c r="I188" s="473"/>
    </row>
    <row r="189" spans="1:9" ht="1.5" customHeight="1" x14ac:dyDescent="0.3"/>
    <row r="190" spans="1:9" ht="11.25" customHeight="1" x14ac:dyDescent="0.3">
      <c r="A190" s="313">
        <v>45870</v>
      </c>
      <c r="B190" s="312"/>
      <c r="C190" s="311" t="s">
        <v>730</v>
      </c>
      <c r="D190" s="310" t="s">
        <v>4012</v>
      </c>
      <c r="E190" s="310" t="s">
        <v>3791</v>
      </c>
      <c r="F190" s="309">
        <v>0</v>
      </c>
      <c r="G190" s="309">
        <v>470225.76</v>
      </c>
      <c r="H190" s="470">
        <v>-1462066.09</v>
      </c>
      <c r="I190" s="470"/>
    </row>
    <row r="191" spans="1:9" ht="11.25" customHeight="1" x14ac:dyDescent="0.3">
      <c r="A191" s="318">
        <v>45873</v>
      </c>
      <c r="B191" s="317"/>
      <c r="C191" s="316" t="s">
        <v>730</v>
      </c>
      <c r="D191" s="315" t="s">
        <v>4013</v>
      </c>
      <c r="E191" s="315" t="s">
        <v>3993</v>
      </c>
      <c r="F191" s="314">
        <v>39393.47</v>
      </c>
      <c r="G191" s="314">
        <v>0</v>
      </c>
      <c r="H191" s="469">
        <v>-1422672.62</v>
      </c>
      <c r="I191" s="469"/>
    </row>
    <row r="192" spans="1:9" ht="12" customHeight="1" x14ac:dyDescent="0.3">
      <c r="A192" s="313">
        <v>45874</v>
      </c>
      <c r="B192" s="312"/>
      <c r="C192" s="311" t="s">
        <v>730</v>
      </c>
      <c r="D192" s="310" t="s">
        <v>4014</v>
      </c>
      <c r="E192" s="310" t="s">
        <v>3849</v>
      </c>
      <c r="F192" s="309">
        <v>390764.15</v>
      </c>
      <c r="G192" s="309">
        <v>0</v>
      </c>
      <c r="H192" s="470">
        <v>-1031908.47</v>
      </c>
      <c r="I192" s="470"/>
    </row>
    <row r="193" spans="1:9" ht="11.25" customHeight="1" x14ac:dyDescent="0.3">
      <c r="A193" s="318">
        <v>45875</v>
      </c>
      <c r="B193" s="317"/>
      <c r="C193" s="316" t="s">
        <v>730</v>
      </c>
      <c r="D193" s="315" t="s">
        <v>4015</v>
      </c>
      <c r="E193" s="315" t="s">
        <v>4016</v>
      </c>
      <c r="F193" s="314">
        <v>252766.25</v>
      </c>
      <c r="G193" s="314">
        <v>0</v>
      </c>
      <c r="H193" s="469">
        <v>-779142.22</v>
      </c>
      <c r="I193" s="469"/>
    </row>
    <row r="194" spans="1:9" ht="12" customHeight="1" x14ac:dyDescent="0.3">
      <c r="A194" s="313">
        <v>45876</v>
      </c>
      <c r="B194" s="312"/>
      <c r="C194" s="311" t="s">
        <v>730</v>
      </c>
      <c r="D194" s="310" t="s">
        <v>4017</v>
      </c>
      <c r="E194" s="310" t="s">
        <v>3870</v>
      </c>
      <c r="F194" s="309">
        <v>0</v>
      </c>
      <c r="G194" s="309">
        <v>14005.94</v>
      </c>
      <c r="H194" s="470">
        <v>-793148.16</v>
      </c>
      <c r="I194" s="470"/>
    </row>
    <row r="195" spans="1:9" ht="11.25" customHeight="1" x14ac:dyDescent="0.3">
      <c r="A195" s="318">
        <v>45877</v>
      </c>
      <c r="B195" s="317"/>
      <c r="C195" s="316" t="s">
        <v>730</v>
      </c>
      <c r="D195" s="315" t="s">
        <v>4018</v>
      </c>
      <c r="E195" s="315" t="s">
        <v>3847</v>
      </c>
      <c r="F195" s="314">
        <v>0</v>
      </c>
      <c r="G195" s="314">
        <v>25575.040000000001</v>
      </c>
      <c r="H195" s="469">
        <v>-818723.2</v>
      </c>
      <c r="I195" s="469"/>
    </row>
    <row r="196" spans="1:9" ht="11.25" customHeight="1" x14ac:dyDescent="0.3">
      <c r="A196" s="313">
        <v>45880</v>
      </c>
      <c r="B196" s="312"/>
      <c r="C196" s="311" t="s">
        <v>730</v>
      </c>
      <c r="D196" s="310" t="s">
        <v>4019</v>
      </c>
      <c r="E196" s="310" t="s">
        <v>3768</v>
      </c>
      <c r="F196" s="309">
        <v>0</v>
      </c>
      <c r="G196" s="309">
        <v>10233.56</v>
      </c>
      <c r="H196" s="470">
        <v>-828956.76</v>
      </c>
      <c r="I196" s="470"/>
    </row>
    <row r="197" spans="1:9" ht="12" customHeight="1" x14ac:dyDescent="0.3">
      <c r="A197" s="318">
        <v>45881</v>
      </c>
      <c r="B197" s="317"/>
      <c r="C197" s="316" t="s">
        <v>730</v>
      </c>
      <c r="D197" s="315" t="s">
        <v>4020</v>
      </c>
      <c r="E197" s="315" t="s">
        <v>3912</v>
      </c>
      <c r="F197" s="314">
        <v>0</v>
      </c>
      <c r="G197" s="314">
        <v>17648.87</v>
      </c>
      <c r="H197" s="469">
        <v>-846605.63</v>
      </c>
      <c r="I197" s="469"/>
    </row>
    <row r="198" spans="1:9" ht="11.25" customHeight="1" x14ac:dyDescent="0.3">
      <c r="A198" s="313">
        <v>45882</v>
      </c>
      <c r="B198" s="312"/>
      <c r="C198" s="311" t="s">
        <v>730</v>
      </c>
      <c r="D198" s="310" t="s">
        <v>4021</v>
      </c>
      <c r="E198" s="310" t="s">
        <v>3744</v>
      </c>
      <c r="F198" s="309">
        <v>62578.53</v>
      </c>
      <c r="G198" s="309">
        <v>0</v>
      </c>
      <c r="H198" s="470">
        <v>-784027.1</v>
      </c>
      <c r="I198" s="470"/>
    </row>
    <row r="199" spans="1:9" ht="11.25" customHeight="1" x14ac:dyDescent="0.3">
      <c r="A199" s="318">
        <v>45883</v>
      </c>
      <c r="B199" s="317"/>
      <c r="C199" s="316" t="s">
        <v>730</v>
      </c>
      <c r="D199" s="315" t="s">
        <v>4022</v>
      </c>
      <c r="E199" s="315" t="s">
        <v>3849</v>
      </c>
      <c r="F199" s="314">
        <v>12803.35</v>
      </c>
      <c r="G199" s="314">
        <v>0</v>
      </c>
      <c r="H199" s="469">
        <v>-771223.75</v>
      </c>
      <c r="I199" s="469"/>
    </row>
    <row r="200" spans="1:9" ht="12" customHeight="1" x14ac:dyDescent="0.3">
      <c r="A200" s="313">
        <v>45884</v>
      </c>
      <c r="B200" s="312"/>
      <c r="C200" s="311" t="s">
        <v>730</v>
      </c>
      <c r="D200" s="310" t="s">
        <v>4023</v>
      </c>
      <c r="E200" s="310" t="s">
        <v>3820</v>
      </c>
      <c r="F200" s="309">
        <v>0</v>
      </c>
      <c r="G200" s="309">
        <v>26487.87</v>
      </c>
      <c r="H200" s="470">
        <v>-797711.62</v>
      </c>
      <c r="I200" s="470"/>
    </row>
    <row r="201" spans="1:9" ht="11.25" customHeight="1" x14ac:dyDescent="0.3">
      <c r="A201" s="318">
        <v>45887</v>
      </c>
      <c r="B201" s="315" t="s">
        <v>4024</v>
      </c>
      <c r="C201" s="316" t="s">
        <v>730</v>
      </c>
      <c r="D201" s="315" t="s">
        <v>4025</v>
      </c>
      <c r="E201" s="315"/>
      <c r="F201" s="314">
        <v>300.05</v>
      </c>
      <c r="G201" s="314">
        <v>0</v>
      </c>
      <c r="H201" s="469">
        <v>-797411.57</v>
      </c>
      <c r="I201" s="469"/>
    </row>
    <row r="202" spans="1:9" ht="11.25" customHeight="1" x14ac:dyDescent="0.3">
      <c r="A202" s="313">
        <v>45887</v>
      </c>
      <c r="B202" s="312"/>
      <c r="C202" s="311" t="s">
        <v>730</v>
      </c>
      <c r="D202" s="310" t="s">
        <v>4026</v>
      </c>
      <c r="E202" s="310" t="s">
        <v>4027</v>
      </c>
      <c r="F202" s="309">
        <v>852.26</v>
      </c>
      <c r="G202" s="309">
        <v>0</v>
      </c>
      <c r="H202" s="470">
        <v>-796559.31</v>
      </c>
      <c r="I202" s="470"/>
    </row>
    <row r="203" spans="1:9" ht="12" customHeight="1" x14ac:dyDescent="0.3">
      <c r="A203" s="318">
        <v>45888</v>
      </c>
      <c r="B203" s="317"/>
      <c r="C203" s="316" t="s">
        <v>730</v>
      </c>
      <c r="D203" s="315" t="s">
        <v>4028</v>
      </c>
      <c r="E203" s="315" t="s">
        <v>3758</v>
      </c>
      <c r="F203" s="314">
        <v>0</v>
      </c>
      <c r="G203" s="314">
        <v>2344.83</v>
      </c>
      <c r="H203" s="469">
        <v>-798904.14</v>
      </c>
      <c r="I203" s="469"/>
    </row>
    <row r="204" spans="1:9" ht="11.25" customHeight="1" x14ac:dyDescent="0.3">
      <c r="A204" s="313">
        <v>45890</v>
      </c>
      <c r="B204" s="312"/>
      <c r="C204" s="311" t="s">
        <v>730</v>
      </c>
      <c r="D204" s="310" t="s">
        <v>4029</v>
      </c>
      <c r="E204" s="310" t="s">
        <v>4030</v>
      </c>
      <c r="F204" s="309">
        <v>0</v>
      </c>
      <c r="G204" s="309">
        <v>26415.8</v>
      </c>
      <c r="H204" s="470">
        <v>-825319.94</v>
      </c>
      <c r="I204" s="470"/>
    </row>
    <row r="205" spans="1:9" ht="11.25" customHeight="1" x14ac:dyDescent="0.3">
      <c r="A205" s="318">
        <v>45891</v>
      </c>
      <c r="B205" s="315" t="s">
        <v>4031</v>
      </c>
      <c r="C205" s="316" t="s">
        <v>730</v>
      </c>
      <c r="D205" s="315" t="s">
        <v>4032</v>
      </c>
      <c r="E205" s="315"/>
      <c r="F205" s="314">
        <v>277.39999999999998</v>
      </c>
      <c r="G205" s="314">
        <v>0</v>
      </c>
      <c r="H205" s="469">
        <v>-825042.54</v>
      </c>
      <c r="I205" s="469"/>
    </row>
    <row r="206" spans="1:9" ht="12" customHeight="1" x14ac:dyDescent="0.3">
      <c r="A206" s="313">
        <v>45891</v>
      </c>
      <c r="B206" s="312"/>
      <c r="C206" s="311" t="s">
        <v>730</v>
      </c>
      <c r="D206" s="310" t="s">
        <v>4033</v>
      </c>
      <c r="E206" s="310" t="s">
        <v>4034</v>
      </c>
      <c r="F206" s="309">
        <v>15813.81</v>
      </c>
      <c r="G206" s="309">
        <v>0</v>
      </c>
      <c r="H206" s="470">
        <v>-809228.73</v>
      </c>
      <c r="I206" s="470"/>
    </row>
    <row r="207" spans="1:9" ht="11.25" customHeight="1" x14ac:dyDescent="0.3">
      <c r="A207" s="318">
        <v>45893</v>
      </c>
      <c r="B207" s="317"/>
      <c r="C207" s="316" t="s">
        <v>730</v>
      </c>
      <c r="D207" s="315" t="s">
        <v>4035</v>
      </c>
      <c r="E207" s="315" t="s">
        <v>3748</v>
      </c>
      <c r="F207" s="314">
        <v>0</v>
      </c>
      <c r="G207" s="314">
        <v>150.94999999999999</v>
      </c>
      <c r="H207" s="469">
        <v>-809379.68</v>
      </c>
      <c r="I207" s="469"/>
    </row>
    <row r="208" spans="1:9" ht="11.25" customHeight="1" x14ac:dyDescent="0.3">
      <c r="A208" s="313">
        <v>45894</v>
      </c>
      <c r="B208" s="310" t="s">
        <v>4036</v>
      </c>
      <c r="C208" s="311" t="s">
        <v>730</v>
      </c>
      <c r="D208" s="310" t="s">
        <v>4037</v>
      </c>
      <c r="E208" s="310"/>
      <c r="F208" s="309">
        <v>55</v>
      </c>
      <c r="G208" s="309">
        <v>0</v>
      </c>
      <c r="H208" s="470">
        <v>-809324.68</v>
      </c>
      <c r="I208" s="470"/>
    </row>
    <row r="209" spans="1:9" ht="12" customHeight="1" x14ac:dyDescent="0.3">
      <c r="A209" s="318">
        <v>45894</v>
      </c>
      <c r="B209" s="315" t="s">
        <v>4038</v>
      </c>
      <c r="C209" s="316" t="s">
        <v>730</v>
      </c>
      <c r="D209" s="315" t="s">
        <v>4039</v>
      </c>
      <c r="E209" s="315"/>
      <c r="F209" s="314">
        <v>150.94999999999999</v>
      </c>
      <c r="G209" s="314">
        <v>0</v>
      </c>
      <c r="H209" s="469">
        <v>-809173.73</v>
      </c>
      <c r="I209" s="469"/>
    </row>
    <row r="210" spans="1:9" ht="11.25" customHeight="1" x14ac:dyDescent="0.3">
      <c r="A210" s="313">
        <v>45894</v>
      </c>
      <c r="B210" s="312"/>
      <c r="C210" s="311" t="s">
        <v>730</v>
      </c>
      <c r="D210" s="310" t="s">
        <v>4040</v>
      </c>
      <c r="E210" s="310" t="s">
        <v>3756</v>
      </c>
      <c r="F210" s="309">
        <v>0</v>
      </c>
      <c r="G210" s="309">
        <v>299.27999999999997</v>
      </c>
      <c r="H210" s="470">
        <v>-809473.01</v>
      </c>
      <c r="I210" s="470"/>
    </row>
    <row r="211" spans="1:9" ht="11.25" customHeight="1" x14ac:dyDescent="0.3">
      <c r="A211" s="318">
        <v>45895</v>
      </c>
      <c r="B211" s="315" t="s">
        <v>4041</v>
      </c>
      <c r="C211" s="316" t="s">
        <v>730</v>
      </c>
      <c r="D211" s="315" t="s">
        <v>4042</v>
      </c>
      <c r="E211" s="315"/>
      <c r="F211" s="314">
        <v>139.28</v>
      </c>
      <c r="G211" s="314">
        <v>0</v>
      </c>
      <c r="H211" s="469">
        <v>-809333.73</v>
      </c>
      <c r="I211" s="469"/>
    </row>
    <row r="212" spans="1:9" ht="12" customHeight="1" x14ac:dyDescent="0.3">
      <c r="A212" s="313">
        <v>45895</v>
      </c>
      <c r="B212" s="312"/>
      <c r="C212" s="311" t="s">
        <v>730</v>
      </c>
      <c r="D212" s="310" t="s">
        <v>4043</v>
      </c>
      <c r="E212" s="310" t="s">
        <v>4044</v>
      </c>
      <c r="F212" s="309">
        <v>0</v>
      </c>
      <c r="G212" s="309">
        <v>94477.31</v>
      </c>
      <c r="H212" s="470">
        <v>-903811.04</v>
      </c>
      <c r="I212" s="470"/>
    </row>
    <row r="213" spans="1:9" ht="11.25" customHeight="1" x14ac:dyDescent="0.3">
      <c r="A213" s="318">
        <v>45896</v>
      </c>
      <c r="B213" s="317"/>
      <c r="C213" s="316" t="s">
        <v>730</v>
      </c>
      <c r="D213" s="315" t="s">
        <v>4045</v>
      </c>
      <c r="E213" s="315" t="s">
        <v>4046</v>
      </c>
      <c r="F213" s="314">
        <v>0</v>
      </c>
      <c r="G213" s="314">
        <v>39377.79</v>
      </c>
      <c r="H213" s="469">
        <v>-943188.83</v>
      </c>
      <c r="I213" s="469"/>
    </row>
    <row r="214" spans="1:9" ht="11.25" customHeight="1" x14ac:dyDescent="0.3">
      <c r="A214" s="313">
        <v>45897</v>
      </c>
      <c r="B214" s="312"/>
      <c r="C214" s="311" t="s">
        <v>730</v>
      </c>
      <c r="D214" s="310" t="s">
        <v>4047</v>
      </c>
      <c r="E214" s="310" t="s">
        <v>3935</v>
      </c>
      <c r="F214" s="309">
        <v>0</v>
      </c>
      <c r="G214" s="309">
        <v>25619.02</v>
      </c>
      <c r="H214" s="470">
        <v>-968807.85</v>
      </c>
      <c r="I214" s="470"/>
    </row>
    <row r="215" spans="1:9" ht="12" customHeight="1" x14ac:dyDescent="0.3">
      <c r="A215" s="318">
        <v>45898</v>
      </c>
      <c r="B215" s="317"/>
      <c r="C215" s="316" t="s">
        <v>730</v>
      </c>
      <c r="D215" s="315" t="s">
        <v>4048</v>
      </c>
      <c r="E215" s="315" t="s">
        <v>4049</v>
      </c>
      <c r="F215" s="314">
        <v>22292.799999999999</v>
      </c>
      <c r="G215" s="314">
        <v>0</v>
      </c>
      <c r="H215" s="469">
        <v>-946515.05</v>
      </c>
      <c r="I215" s="469"/>
    </row>
    <row r="216" spans="1:9" ht="11.25" customHeight="1" x14ac:dyDescent="0.3">
      <c r="A216" s="313">
        <v>45900</v>
      </c>
      <c r="B216" s="312"/>
      <c r="C216" s="311" t="s">
        <v>730</v>
      </c>
      <c r="D216" s="310" t="s">
        <v>4050</v>
      </c>
      <c r="E216" s="310" t="s">
        <v>4051</v>
      </c>
      <c r="F216" s="309">
        <v>0</v>
      </c>
      <c r="G216" s="309">
        <v>149694.32</v>
      </c>
      <c r="H216" s="470">
        <v>-1096209.3700000001</v>
      </c>
      <c r="I216" s="470"/>
    </row>
    <row r="217" spans="1:9" ht="19.5" customHeight="1" x14ac:dyDescent="0.3">
      <c r="A217" s="472"/>
      <c r="B217" s="472"/>
      <c r="C217" s="472"/>
      <c r="D217" s="308" t="s">
        <v>4052</v>
      </c>
      <c r="E217" s="307">
        <v>-104369.04</v>
      </c>
      <c r="F217" s="306">
        <v>798187.3</v>
      </c>
      <c r="G217" s="306">
        <v>902556.34</v>
      </c>
      <c r="H217" s="473">
        <v>-1096209.3700000001</v>
      </c>
      <c r="I217" s="473"/>
    </row>
    <row r="218" spans="1:9" ht="1.5" customHeight="1" x14ac:dyDescent="0.3"/>
    <row r="219" spans="1:9" ht="11.25" customHeight="1" x14ac:dyDescent="0.3">
      <c r="A219" s="318">
        <v>45901</v>
      </c>
      <c r="B219" s="317"/>
      <c r="C219" s="316" t="s">
        <v>730</v>
      </c>
      <c r="D219" s="315" t="s">
        <v>4053</v>
      </c>
      <c r="E219" s="315" t="s">
        <v>3801</v>
      </c>
      <c r="F219" s="314">
        <v>0</v>
      </c>
      <c r="G219" s="314">
        <v>415469.84</v>
      </c>
      <c r="H219" s="469">
        <v>-1511679.21</v>
      </c>
      <c r="I219" s="469"/>
    </row>
    <row r="220" spans="1:9" ht="11.25" customHeight="1" x14ac:dyDescent="0.3">
      <c r="A220" s="313">
        <v>45902</v>
      </c>
      <c r="B220" s="312"/>
      <c r="C220" s="311" t="s">
        <v>730</v>
      </c>
      <c r="D220" s="310" t="s">
        <v>4054</v>
      </c>
      <c r="E220" s="310" t="s">
        <v>3859</v>
      </c>
      <c r="F220" s="309">
        <v>405606.59</v>
      </c>
      <c r="G220" s="309">
        <v>0</v>
      </c>
      <c r="H220" s="470">
        <v>-1106072.6200000001</v>
      </c>
      <c r="I220" s="470"/>
    </row>
    <row r="221" spans="1:9" ht="12" customHeight="1" x14ac:dyDescent="0.3">
      <c r="A221" s="318">
        <v>45903</v>
      </c>
      <c r="B221" s="315" t="s">
        <v>4055</v>
      </c>
      <c r="C221" s="316" t="s">
        <v>730</v>
      </c>
      <c r="D221" s="315" t="s">
        <v>4056</v>
      </c>
      <c r="E221" s="315"/>
      <c r="F221" s="314">
        <v>388.49</v>
      </c>
      <c r="G221" s="314">
        <v>0</v>
      </c>
      <c r="H221" s="469">
        <v>-1105684.1299999999</v>
      </c>
      <c r="I221" s="469"/>
    </row>
    <row r="222" spans="1:9" ht="11.25" customHeight="1" x14ac:dyDescent="0.3">
      <c r="A222" s="313">
        <v>45903</v>
      </c>
      <c r="B222" s="310" t="s">
        <v>4057</v>
      </c>
      <c r="C222" s="311" t="s">
        <v>730</v>
      </c>
      <c r="D222" s="310" t="s">
        <v>4058</v>
      </c>
      <c r="E222" s="310"/>
      <c r="F222" s="309">
        <v>580</v>
      </c>
      <c r="G222" s="309">
        <v>0</v>
      </c>
      <c r="H222" s="470">
        <v>-1105104.1299999999</v>
      </c>
      <c r="I222" s="470"/>
    </row>
    <row r="223" spans="1:9" ht="11.25" customHeight="1" x14ac:dyDescent="0.3">
      <c r="A223" s="318">
        <v>45903</v>
      </c>
      <c r="B223" s="315" t="s">
        <v>4059</v>
      </c>
      <c r="C223" s="316" t="s">
        <v>730</v>
      </c>
      <c r="D223" s="315" t="s">
        <v>4060</v>
      </c>
      <c r="E223" s="315"/>
      <c r="F223" s="314">
        <v>22.5</v>
      </c>
      <c r="G223" s="314">
        <v>0</v>
      </c>
      <c r="H223" s="469">
        <v>-1105081.6299999999</v>
      </c>
      <c r="I223" s="469"/>
    </row>
    <row r="224" spans="1:9" ht="12" customHeight="1" x14ac:dyDescent="0.3">
      <c r="A224" s="313">
        <v>45903</v>
      </c>
      <c r="B224" s="310" t="s">
        <v>4059</v>
      </c>
      <c r="C224" s="311" t="s">
        <v>730</v>
      </c>
      <c r="D224" s="310" t="s">
        <v>4060</v>
      </c>
      <c r="E224" s="310"/>
      <c r="F224" s="309">
        <v>750</v>
      </c>
      <c r="G224" s="309">
        <v>0</v>
      </c>
      <c r="H224" s="470">
        <v>-1104331.6299999999</v>
      </c>
      <c r="I224" s="470"/>
    </row>
    <row r="225" spans="1:9" ht="11.25" customHeight="1" x14ac:dyDescent="0.3">
      <c r="A225" s="318">
        <v>45903</v>
      </c>
      <c r="B225" s="317"/>
      <c r="C225" s="316" t="s">
        <v>730</v>
      </c>
      <c r="D225" s="315" t="s">
        <v>4061</v>
      </c>
      <c r="E225" s="315" t="s">
        <v>3885</v>
      </c>
      <c r="F225" s="314">
        <v>0</v>
      </c>
      <c r="G225" s="314">
        <v>23458.400000000001</v>
      </c>
      <c r="H225" s="469">
        <v>-1127790.03</v>
      </c>
      <c r="I225" s="469"/>
    </row>
    <row r="226" spans="1:9" ht="11.25" customHeight="1" x14ac:dyDescent="0.3">
      <c r="A226" s="313">
        <v>45904</v>
      </c>
      <c r="B226" s="310" t="s">
        <v>4062</v>
      </c>
      <c r="C226" s="311" t="s">
        <v>730</v>
      </c>
      <c r="D226" s="310" t="s">
        <v>4063</v>
      </c>
      <c r="E226" s="310"/>
      <c r="F226" s="309">
        <v>243.37</v>
      </c>
      <c r="G226" s="309">
        <v>0</v>
      </c>
      <c r="H226" s="470">
        <v>-1127546.6599999999</v>
      </c>
      <c r="I226" s="470"/>
    </row>
    <row r="227" spans="1:9" ht="12" customHeight="1" x14ac:dyDescent="0.3">
      <c r="A227" s="318">
        <v>45904</v>
      </c>
      <c r="B227" s="317"/>
      <c r="C227" s="316" t="s">
        <v>730</v>
      </c>
      <c r="D227" s="315" t="s">
        <v>4064</v>
      </c>
      <c r="E227" s="315" t="s">
        <v>3798</v>
      </c>
      <c r="F227" s="314">
        <v>73116.28</v>
      </c>
      <c r="G227" s="314">
        <v>0</v>
      </c>
      <c r="H227" s="469">
        <v>-1054430.3799999999</v>
      </c>
      <c r="I227" s="469"/>
    </row>
    <row r="228" spans="1:9" ht="11.25" customHeight="1" x14ac:dyDescent="0.3">
      <c r="A228" s="313">
        <v>45907</v>
      </c>
      <c r="B228" s="312"/>
      <c r="C228" s="311" t="s">
        <v>730</v>
      </c>
      <c r="D228" s="310" t="s">
        <v>4065</v>
      </c>
      <c r="E228" s="310" t="s">
        <v>3748</v>
      </c>
      <c r="F228" s="309">
        <v>0</v>
      </c>
      <c r="G228" s="309">
        <v>3170.08</v>
      </c>
      <c r="H228" s="470">
        <v>-1057600.46</v>
      </c>
      <c r="I228" s="470"/>
    </row>
    <row r="229" spans="1:9" ht="11.25" customHeight="1" x14ac:dyDescent="0.3">
      <c r="A229" s="318">
        <v>45908</v>
      </c>
      <c r="B229" s="317"/>
      <c r="C229" s="316" t="s">
        <v>730</v>
      </c>
      <c r="D229" s="315" t="s">
        <v>4066</v>
      </c>
      <c r="E229" s="315" t="s">
        <v>3760</v>
      </c>
      <c r="F229" s="314">
        <v>19389.439999999999</v>
      </c>
      <c r="G229" s="314">
        <v>0</v>
      </c>
      <c r="H229" s="469">
        <v>-1038211.02</v>
      </c>
      <c r="I229" s="469"/>
    </row>
    <row r="230" spans="1:9" ht="12" customHeight="1" x14ac:dyDescent="0.3">
      <c r="A230" s="313">
        <v>45909</v>
      </c>
      <c r="B230" s="312"/>
      <c r="C230" s="311" t="s">
        <v>730</v>
      </c>
      <c r="D230" s="310" t="s">
        <v>4067</v>
      </c>
      <c r="E230" s="310" t="s">
        <v>4068</v>
      </c>
      <c r="F230" s="309">
        <v>20359.060000000001</v>
      </c>
      <c r="G230" s="309">
        <v>0</v>
      </c>
      <c r="H230" s="470">
        <v>-1017851.96</v>
      </c>
      <c r="I230" s="470"/>
    </row>
    <row r="231" spans="1:9" ht="11.25" customHeight="1" x14ac:dyDescent="0.3">
      <c r="A231" s="318">
        <v>45910</v>
      </c>
      <c r="B231" s="317"/>
      <c r="C231" s="316" t="s">
        <v>730</v>
      </c>
      <c r="D231" s="315" t="s">
        <v>4069</v>
      </c>
      <c r="E231" s="315" t="s">
        <v>3758</v>
      </c>
      <c r="F231" s="314">
        <v>12468.82</v>
      </c>
      <c r="G231" s="314">
        <v>0</v>
      </c>
      <c r="H231" s="469">
        <v>-1005383.14</v>
      </c>
      <c r="I231" s="469"/>
    </row>
    <row r="232" spans="1:9" ht="11.25" customHeight="1" x14ac:dyDescent="0.3">
      <c r="A232" s="313">
        <v>45911</v>
      </c>
      <c r="B232" s="312"/>
      <c r="C232" s="311" t="s">
        <v>730</v>
      </c>
      <c r="D232" s="310" t="s">
        <v>4070</v>
      </c>
      <c r="E232" s="310" t="s">
        <v>3984</v>
      </c>
      <c r="F232" s="309">
        <v>0</v>
      </c>
      <c r="G232" s="309">
        <v>1699.14</v>
      </c>
      <c r="H232" s="470">
        <v>-1007082.28</v>
      </c>
      <c r="I232" s="470"/>
    </row>
    <row r="233" spans="1:9" ht="12" customHeight="1" x14ac:dyDescent="0.3">
      <c r="A233" s="318">
        <v>45912</v>
      </c>
      <c r="B233" s="317"/>
      <c r="C233" s="316" t="s">
        <v>730</v>
      </c>
      <c r="D233" s="315" t="s">
        <v>4071</v>
      </c>
      <c r="E233" s="315" t="s">
        <v>4072</v>
      </c>
      <c r="F233" s="314">
        <v>18114.57</v>
      </c>
      <c r="G233" s="314">
        <v>0</v>
      </c>
      <c r="H233" s="469">
        <v>-988967.71</v>
      </c>
      <c r="I233" s="469"/>
    </row>
    <row r="234" spans="1:9" ht="11.25" customHeight="1" x14ac:dyDescent="0.3">
      <c r="A234" s="313">
        <v>45915</v>
      </c>
      <c r="B234" s="310" t="s">
        <v>4073</v>
      </c>
      <c r="C234" s="311" t="s">
        <v>730</v>
      </c>
      <c r="D234" s="310" t="s">
        <v>4074</v>
      </c>
      <c r="E234" s="310"/>
      <c r="F234" s="309">
        <v>44.16</v>
      </c>
      <c r="G234" s="309">
        <v>0</v>
      </c>
      <c r="H234" s="470">
        <v>-988923.55</v>
      </c>
      <c r="I234" s="470"/>
    </row>
    <row r="235" spans="1:9" ht="12" customHeight="1" x14ac:dyDescent="0.3">
      <c r="A235" s="318">
        <v>45915</v>
      </c>
      <c r="B235" s="315" t="s">
        <v>4073</v>
      </c>
      <c r="C235" s="316" t="s">
        <v>730</v>
      </c>
      <c r="D235" s="315" t="s">
        <v>4074</v>
      </c>
      <c r="E235" s="315"/>
      <c r="F235" s="314">
        <v>150</v>
      </c>
      <c r="G235" s="314">
        <v>0</v>
      </c>
      <c r="H235" s="469">
        <v>-988773.55</v>
      </c>
      <c r="I235" s="469"/>
    </row>
    <row r="236" spans="1:9" ht="11.25" customHeight="1" x14ac:dyDescent="0.3">
      <c r="A236" s="313">
        <v>45915</v>
      </c>
      <c r="B236" s="310" t="s">
        <v>4073</v>
      </c>
      <c r="C236" s="311" t="s">
        <v>730</v>
      </c>
      <c r="D236" s="310" t="s">
        <v>4074</v>
      </c>
      <c r="E236" s="310"/>
      <c r="F236" s="309">
        <v>20</v>
      </c>
      <c r="G236" s="309">
        <v>0</v>
      </c>
      <c r="H236" s="470">
        <v>-988753.55</v>
      </c>
      <c r="I236" s="470"/>
    </row>
    <row r="237" spans="1:9" ht="11.25" customHeight="1" x14ac:dyDescent="0.3">
      <c r="A237" s="318">
        <v>45915</v>
      </c>
      <c r="B237" s="315" t="s">
        <v>4073</v>
      </c>
      <c r="C237" s="316" t="s">
        <v>730</v>
      </c>
      <c r="D237" s="315" t="s">
        <v>4074</v>
      </c>
      <c r="E237" s="315"/>
      <c r="F237" s="314">
        <v>44</v>
      </c>
      <c r="G237" s="314">
        <v>0</v>
      </c>
      <c r="H237" s="469">
        <v>-988709.55</v>
      </c>
      <c r="I237" s="469"/>
    </row>
    <row r="238" spans="1:9" ht="12" customHeight="1" x14ac:dyDescent="0.3">
      <c r="A238" s="313">
        <v>45915</v>
      </c>
      <c r="B238" s="310" t="s">
        <v>4073</v>
      </c>
      <c r="C238" s="311" t="s">
        <v>730</v>
      </c>
      <c r="D238" s="310" t="s">
        <v>4074</v>
      </c>
      <c r="E238" s="310"/>
      <c r="F238" s="309">
        <v>400</v>
      </c>
      <c r="G238" s="309">
        <v>0</v>
      </c>
      <c r="H238" s="470">
        <v>-988309.55</v>
      </c>
      <c r="I238" s="470"/>
    </row>
    <row r="239" spans="1:9" ht="11.25" customHeight="1" x14ac:dyDescent="0.3">
      <c r="A239" s="318">
        <v>45915</v>
      </c>
      <c r="B239" s="315" t="s">
        <v>4073</v>
      </c>
      <c r="C239" s="316" t="s">
        <v>730</v>
      </c>
      <c r="D239" s="315" t="s">
        <v>4074</v>
      </c>
      <c r="E239" s="315"/>
      <c r="F239" s="314">
        <v>30</v>
      </c>
      <c r="G239" s="314">
        <v>0</v>
      </c>
      <c r="H239" s="469">
        <v>-988279.55</v>
      </c>
      <c r="I239" s="469"/>
    </row>
    <row r="240" spans="1:9" ht="11.25" customHeight="1" x14ac:dyDescent="0.3">
      <c r="A240" s="313">
        <v>45915</v>
      </c>
      <c r="B240" s="310" t="s">
        <v>4073</v>
      </c>
      <c r="C240" s="311" t="s">
        <v>730</v>
      </c>
      <c r="D240" s="310" t="s">
        <v>4074</v>
      </c>
      <c r="E240" s="310"/>
      <c r="F240" s="309">
        <v>400</v>
      </c>
      <c r="G240" s="309">
        <v>0</v>
      </c>
      <c r="H240" s="470">
        <v>-987879.55</v>
      </c>
      <c r="I240" s="470"/>
    </row>
    <row r="241" spans="1:9" ht="12" customHeight="1" x14ac:dyDescent="0.3">
      <c r="A241" s="318">
        <v>45915</v>
      </c>
      <c r="B241" s="315" t="s">
        <v>4073</v>
      </c>
      <c r="C241" s="316" t="s">
        <v>730</v>
      </c>
      <c r="D241" s="315" t="s">
        <v>4074</v>
      </c>
      <c r="E241" s="315"/>
      <c r="F241" s="314">
        <v>12</v>
      </c>
      <c r="G241" s="314">
        <v>0</v>
      </c>
      <c r="H241" s="469">
        <v>-987867.55</v>
      </c>
      <c r="I241" s="469"/>
    </row>
    <row r="242" spans="1:9" ht="11.25" customHeight="1" x14ac:dyDescent="0.3">
      <c r="A242" s="313">
        <v>45915</v>
      </c>
      <c r="B242" s="310" t="s">
        <v>4073</v>
      </c>
      <c r="C242" s="311" t="s">
        <v>730</v>
      </c>
      <c r="D242" s="310" t="s">
        <v>4074</v>
      </c>
      <c r="E242" s="310"/>
      <c r="F242" s="309">
        <v>200</v>
      </c>
      <c r="G242" s="309">
        <v>0</v>
      </c>
      <c r="H242" s="470">
        <v>-987667.55</v>
      </c>
      <c r="I242" s="470"/>
    </row>
    <row r="243" spans="1:9" ht="11.25" customHeight="1" x14ac:dyDescent="0.3">
      <c r="A243" s="318">
        <v>45915</v>
      </c>
      <c r="B243" s="315" t="s">
        <v>4073</v>
      </c>
      <c r="C243" s="316" t="s">
        <v>730</v>
      </c>
      <c r="D243" s="315" t="s">
        <v>4074</v>
      </c>
      <c r="E243" s="315"/>
      <c r="F243" s="314">
        <v>150</v>
      </c>
      <c r="G243" s="314">
        <v>0</v>
      </c>
      <c r="H243" s="469">
        <v>-987517.55</v>
      </c>
      <c r="I243" s="469"/>
    </row>
    <row r="244" spans="1:9" ht="12" customHeight="1" x14ac:dyDescent="0.3">
      <c r="A244" s="313">
        <v>45915</v>
      </c>
      <c r="B244" s="312"/>
      <c r="C244" s="311" t="s">
        <v>730</v>
      </c>
      <c r="D244" s="310" t="s">
        <v>4075</v>
      </c>
      <c r="E244" s="310" t="s">
        <v>3816</v>
      </c>
      <c r="F244" s="309">
        <v>0</v>
      </c>
      <c r="G244" s="309">
        <v>19736.59</v>
      </c>
      <c r="H244" s="470">
        <v>-1007254.14</v>
      </c>
      <c r="I244" s="470"/>
    </row>
    <row r="245" spans="1:9" ht="11.25" customHeight="1" x14ac:dyDescent="0.3">
      <c r="A245" s="318">
        <v>45916</v>
      </c>
      <c r="B245" s="317"/>
      <c r="C245" s="316" t="s">
        <v>730</v>
      </c>
      <c r="D245" s="315" t="s">
        <v>4076</v>
      </c>
      <c r="E245" s="315" t="s">
        <v>3969</v>
      </c>
      <c r="F245" s="314">
        <v>47011.53</v>
      </c>
      <c r="G245" s="314">
        <v>0</v>
      </c>
      <c r="H245" s="469">
        <v>-960242.61</v>
      </c>
      <c r="I245" s="469"/>
    </row>
    <row r="246" spans="1:9" ht="11.25" customHeight="1" x14ac:dyDescent="0.3">
      <c r="A246" s="313">
        <v>45917</v>
      </c>
      <c r="B246" s="312"/>
      <c r="C246" s="311" t="s">
        <v>730</v>
      </c>
      <c r="D246" s="310" t="s">
        <v>4077</v>
      </c>
      <c r="E246" s="310" t="s">
        <v>4078</v>
      </c>
      <c r="F246" s="309">
        <v>60369.8</v>
      </c>
      <c r="G246" s="309">
        <v>0</v>
      </c>
      <c r="H246" s="470">
        <v>-899872.81</v>
      </c>
      <c r="I246" s="470"/>
    </row>
    <row r="247" spans="1:9" ht="12" customHeight="1" x14ac:dyDescent="0.3">
      <c r="A247" s="318">
        <v>45918</v>
      </c>
      <c r="B247" s="317"/>
      <c r="C247" s="316" t="s">
        <v>730</v>
      </c>
      <c r="D247" s="315" t="s">
        <v>4079</v>
      </c>
      <c r="E247" s="315" t="s">
        <v>4080</v>
      </c>
      <c r="F247" s="314">
        <v>287288.71000000002</v>
      </c>
      <c r="G247" s="314">
        <v>0</v>
      </c>
      <c r="H247" s="469">
        <v>-612584.1</v>
      </c>
      <c r="I247" s="469"/>
    </row>
    <row r="248" spans="1:9" ht="11.25" customHeight="1" x14ac:dyDescent="0.3">
      <c r="A248" s="313">
        <v>45919</v>
      </c>
      <c r="B248" s="312"/>
      <c r="C248" s="311" t="s">
        <v>730</v>
      </c>
      <c r="D248" s="310" t="s">
        <v>4081</v>
      </c>
      <c r="E248" s="310" t="s">
        <v>3837</v>
      </c>
      <c r="F248" s="309">
        <v>0</v>
      </c>
      <c r="G248" s="309">
        <v>24230.37</v>
      </c>
      <c r="H248" s="470">
        <v>-636814.47</v>
      </c>
      <c r="I248" s="470"/>
    </row>
    <row r="249" spans="1:9" ht="11.25" customHeight="1" x14ac:dyDescent="0.3">
      <c r="A249" s="318">
        <v>45922</v>
      </c>
      <c r="B249" s="317"/>
      <c r="C249" s="316" t="s">
        <v>730</v>
      </c>
      <c r="D249" s="315" t="s">
        <v>4082</v>
      </c>
      <c r="E249" s="315" t="s">
        <v>3820</v>
      </c>
      <c r="F249" s="314">
        <v>0</v>
      </c>
      <c r="G249" s="314">
        <v>13821.22</v>
      </c>
      <c r="H249" s="469">
        <v>-650635.68999999994</v>
      </c>
      <c r="I249" s="469"/>
    </row>
    <row r="250" spans="1:9" ht="12" customHeight="1" x14ac:dyDescent="0.3">
      <c r="A250" s="313">
        <v>45923</v>
      </c>
      <c r="B250" s="312"/>
      <c r="C250" s="311" t="s">
        <v>730</v>
      </c>
      <c r="D250" s="310" t="s">
        <v>4083</v>
      </c>
      <c r="E250" s="310" t="s">
        <v>4084</v>
      </c>
      <c r="F250" s="309">
        <v>29184.3</v>
      </c>
      <c r="G250" s="309">
        <v>0</v>
      </c>
      <c r="H250" s="470">
        <v>-621451.39</v>
      </c>
      <c r="I250" s="470"/>
    </row>
    <row r="251" spans="1:9" ht="11.25" customHeight="1" x14ac:dyDescent="0.3">
      <c r="A251" s="318">
        <v>45924</v>
      </c>
      <c r="B251" s="317"/>
      <c r="C251" s="316" t="s">
        <v>730</v>
      </c>
      <c r="D251" s="315" t="s">
        <v>4085</v>
      </c>
      <c r="E251" s="315" t="s">
        <v>3798</v>
      </c>
      <c r="F251" s="314">
        <v>35283.08</v>
      </c>
      <c r="G251" s="314">
        <v>0</v>
      </c>
      <c r="H251" s="469">
        <v>-586168.31000000006</v>
      </c>
      <c r="I251" s="469"/>
    </row>
    <row r="252" spans="1:9" ht="11.25" customHeight="1" x14ac:dyDescent="0.3">
      <c r="A252" s="313">
        <v>45925</v>
      </c>
      <c r="B252" s="312"/>
      <c r="C252" s="311" t="s">
        <v>730</v>
      </c>
      <c r="D252" s="310" t="s">
        <v>4086</v>
      </c>
      <c r="E252" s="310" t="s">
        <v>3801</v>
      </c>
      <c r="F252" s="309">
        <v>0</v>
      </c>
      <c r="G252" s="309">
        <v>68960.639999999999</v>
      </c>
      <c r="H252" s="470">
        <v>-655128.94999999995</v>
      </c>
      <c r="I252" s="470"/>
    </row>
    <row r="253" spans="1:9" ht="12" customHeight="1" x14ac:dyDescent="0.3">
      <c r="A253" s="318">
        <v>45926</v>
      </c>
      <c r="B253" s="317"/>
      <c r="C253" s="316" t="s">
        <v>730</v>
      </c>
      <c r="D253" s="315" t="s">
        <v>4087</v>
      </c>
      <c r="E253" s="315" t="s">
        <v>3784</v>
      </c>
      <c r="F253" s="314">
        <v>0</v>
      </c>
      <c r="G253" s="314">
        <v>12792.02</v>
      </c>
      <c r="H253" s="469">
        <v>-667920.97</v>
      </c>
      <c r="I253" s="469"/>
    </row>
    <row r="254" spans="1:9" ht="11.25" customHeight="1" x14ac:dyDescent="0.3">
      <c r="A254" s="313">
        <v>45930</v>
      </c>
      <c r="B254" s="312"/>
      <c r="C254" s="311" t="s">
        <v>730</v>
      </c>
      <c r="D254" s="310" t="s">
        <v>4088</v>
      </c>
      <c r="E254" s="310" t="s">
        <v>3811</v>
      </c>
      <c r="F254" s="309">
        <v>0</v>
      </c>
      <c r="G254" s="309">
        <v>128346.29</v>
      </c>
      <c r="H254" s="470">
        <v>-796267.26</v>
      </c>
      <c r="I254" s="470"/>
    </row>
    <row r="255" spans="1:9" ht="19.5" customHeight="1" x14ac:dyDescent="0.3">
      <c r="A255" s="472"/>
      <c r="B255" s="472"/>
      <c r="C255" s="472"/>
      <c r="D255" s="308" t="s">
        <v>4089</v>
      </c>
      <c r="E255" s="307">
        <v>299942.11</v>
      </c>
      <c r="F255" s="306">
        <v>1011626.7</v>
      </c>
      <c r="G255" s="306">
        <v>711684.59</v>
      </c>
      <c r="H255" s="473">
        <v>-796267.26</v>
      </c>
      <c r="I255" s="473"/>
    </row>
    <row r="256" spans="1:9" ht="1.5" customHeight="1" x14ac:dyDescent="0.3"/>
    <row r="257" spans="1:9" ht="11.25" customHeight="1" x14ac:dyDescent="0.3">
      <c r="A257" s="318">
        <v>45931</v>
      </c>
      <c r="B257" s="317"/>
      <c r="C257" s="316" t="s">
        <v>730</v>
      </c>
      <c r="D257" s="315" t="s">
        <v>4090</v>
      </c>
      <c r="E257" s="315" t="s">
        <v>3789</v>
      </c>
      <c r="F257" s="314">
        <v>0</v>
      </c>
      <c r="G257" s="314">
        <v>63781.78</v>
      </c>
      <c r="H257" s="469">
        <v>-860049.04</v>
      </c>
      <c r="I257" s="469"/>
    </row>
    <row r="258" spans="1:9" ht="11.25" customHeight="1" x14ac:dyDescent="0.3">
      <c r="A258" s="313">
        <v>45932</v>
      </c>
      <c r="B258" s="312"/>
      <c r="C258" s="311" t="s">
        <v>730</v>
      </c>
      <c r="D258" s="310" t="s">
        <v>4091</v>
      </c>
      <c r="E258" s="310" t="s">
        <v>3988</v>
      </c>
      <c r="F258" s="309">
        <v>0</v>
      </c>
      <c r="G258" s="309">
        <v>346469.88</v>
      </c>
      <c r="H258" s="470">
        <v>-1206518.92</v>
      </c>
      <c r="I258" s="470"/>
    </row>
    <row r="259" spans="1:9" ht="12" customHeight="1" x14ac:dyDescent="0.3">
      <c r="A259" s="318">
        <v>45933</v>
      </c>
      <c r="B259" s="317"/>
      <c r="C259" s="316" t="s">
        <v>730</v>
      </c>
      <c r="D259" s="315" t="s">
        <v>4092</v>
      </c>
      <c r="E259" s="315" t="s">
        <v>3949</v>
      </c>
      <c r="F259" s="314">
        <v>0</v>
      </c>
      <c r="G259" s="314">
        <v>5669.48</v>
      </c>
      <c r="H259" s="469">
        <v>-1212188.3999999999</v>
      </c>
      <c r="I259" s="469"/>
    </row>
    <row r="260" spans="1:9" ht="11.25" customHeight="1" x14ac:dyDescent="0.3">
      <c r="A260" s="313">
        <v>45936</v>
      </c>
      <c r="B260" s="312"/>
      <c r="C260" s="311" t="s">
        <v>730</v>
      </c>
      <c r="D260" s="310" t="s">
        <v>4093</v>
      </c>
      <c r="E260" s="310" t="s">
        <v>4094</v>
      </c>
      <c r="F260" s="309">
        <v>430336.06</v>
      </c>
      <c r="G260" s="309">
        <v>0</v>
      </c>
      <c r="H260" s="470">
        <v>-781852.34</v>
      </c>
      <c r="I260" s="470"/>
    </row>
    <row r="261" spans="1:9" ht="11.25" customHeight="1" x14ac:dyDescent="0.3">
      <c r="A261" s="318">
        <v>45937</v>
      </c>
      <c r="B261" s="317"/>
      <c r="C261" s="316" t="s">
        <v>730</v>
      </c>
      <c r="D261" s="315" t="s">
        <v>4095</v>
      </c>
      <c r="E261" s="315" t="s">
        <v>4096</v>
      </c>
      <c r="F261" s="314">
        <v>171751.74</v>
      </c>
      <c r="G261" s="314">
        <v>0</v>
      </c>
      <c r="H261" s="469">
        <v>-610100.6</v>
      </c>
      <c r="I261" s="469"/>
    </row>
    <row r="262" spans="1:9" ht="12" customHeight="1" x14ac:dyDescent="0.3">
      <c r="A262" s="313">
        <v>45940</v>
      </c>
      <c r="B262" s="312"/>
      <c r="C262" s="311" t="s">
        <v>730</v>
      </c>
      <c r="D262" s="310" t="s">
        <v>4097</v>
      </c>
      <c r="E262" s="310" t="s">
        <v>3898</v>
      </c>
      <c r="F262" s="309">
        <v>14205.55</v>
      </c>
      <c r="G262" s="309">
        <v>0</v>
      </c>
      <c r="H262" s="470">
        <v>-595895.05000000005</v>
      </c>
      <c r="I262" s="470"/>
    </row>
    <row r="263" spans="1:9" ht="11.25" customHeight="1" x14ac:dyDescent="0.3">
      <c r="A263" s="318">
        <v>45943</v>
      </c>
      <c r="B263" s="317"/>
      <c r="C263" s="316" t="s">
        <v>730</v>
      </c>
      <c r="D263" s="315" t="s">
        <v>4098</v>
      </c>
      <c r="E263" s="315" t="s">
        <v>3847</v>
      </c>
      <c r="F263" s="314">
        <v>0</v>
      </c>
      <c r="G263" s="314">
        <v>3172.11</v>
      </c>
      <c r="H263" s="469">
        <v>-599067.16</v>
      </c>
      <c r="I263" s="469"/>
    </row>
    <row r="264" spans="1:9" ht="11.25" customHeight="1" x14ac:dyDescent="0.3">
      <c r="A264" s="313">
        <v>45944</v>
      </c>
      <c r="B264" s="312"/>
      <c r="C264" s="311" t="s">
        <v>730</v>
      </c>
      <c r="D264" s="310" t="s">
        <v>4099</v>
      </c>
      <c r="E264" s="310" t="s">
        <v>4100</v>
      </c>
      <c r="F264" s="309">
        <v>0</v>
      </c>
      <c r="G264" s="309">
        <v>34574.75</v>
      </c>
      <c r="H264" s="470">
        <v>-633641.91</v>
      </c>
      <c r="I264" s="470"/>
    </row>
    <row r="265" spans="1:9" ht="12" customHeight="1" x14ac:dyDescent="0.3">
      <c r="A265" s="318">
        <v>45945</v>
      </c>
      <c r="B265" s="317"/>
      <c r="C265" s="316" t="s">
        <v>730</v>
      </c>
      <c r="D265" s="315" t="s">
        <v>4101</v>
      </c>
      <c r="E265" s="315" t="s">
        <v>4102</v>
      </c>
      <c r="F265" s="314">
        <v>0</v>
      </c>
      <c r="G265" s="314">
        <v>11385.24</v>
      </c>
      <c r="H265" s="469">
        <v>-645027.15</v>
      </c>
      <c r="I265" s="469"/>
    </row>
    <row r="266" spans="1:9" ht="11.25" customHeight="1" x14ac:dyDescent="0.3">
      <c r="A266" s="313">
        <v>45946</v>
      </c>
      <c r="B266" s="312"/>
      <c r="C266" s="311" t="s">
        <v>730</v>
      </c>
      <c r="D266" s="310" t="s">
        <v>4103</v>
      </c>
      <c r="E266" s="310" t="s">
        <v>4104</v>
      </c>
      <c r="F266" s="309">
        <v>4410.45</v>
      </c>
      <c r="G266" s="309">
        <v>0</v>
      </c>
      <c r="H266" s="470">
        <v>-640616.69999999995</v>
      </c>
      <c r="I266" s="470"/>
    </row>
    <row r="267" spans="1:9" ht="11.25" customHeight="1" x14ac:dyDescent="0.3">
      <c r="A267" s="318">
        <v>45947</v>
      </c>
      <c r="B267" s="317"/>
      <c r="C267" s="316" t="s">
        <v>730</v>
      </c>
      <c r="D267" s="315" t="s">
        <v>4105</v>
      </c>
      <c r="E267" s="315" t="s">
        <v>3770</v>
      </c>
      <c r="F267" s="314">
        <v>11453.96</v>
      </c>
      <c r="G267" s="314">
        <v>0</v>
      </c>
      <c r="H267" s="469">
        <v>-629162.74</v>
      </c>
      <c r="I267" s="469"/>
    </row>
    <row r="268" spans="1:9" ht="12" customHeight="1" x14ac:dyDescent="0.3">
      <c r="A268" s="313">
        <v>45950</v>
      </c>
      <c r="B268" s="312"/>
      <c r="C268" s="311" t="s">
        <v>730</v>
      </c>
      <c r="D268" s="310" t="s">
        <v>4106</v>
      </c>
      <c r="E268" s="310" t="s">
        <v>3951</v>
      </c>
      <c r="F268" s="309">
        <v>0</v>
      </c>
      <c r="G268" s="309">
        <v>74021.48</v>
      </c>
      <c r="H268" s="470">
        <v>-703184.22</v>
      </c>
      <c r="I268" s="470"/>
    </row>
    <row r="269" spans="1:9" ht="11.25" customHeight="1" x14ac:dyDescent="0.3">
      <c r="A269" s="318">
        <v>45951</v>
      </c>
      <c r="B269" s="317"/>
      <c r="C269" s="316" t="s">
        <v>730</v>
      </c>
      <c r="D269" s="315" t="s">
        <v>4107</v>
      </c>
      <c r="E269" s="315" t="s">
        <v>3744</v>
      </c>
      <c r="F269" s="314">
        <v>0</v>
      </c>
      <c r="G269" s="314">
        <v>20488.52</v>
      </c>
      <c r="H269" s="469">
        <v>-723672.74</v>
      </c>
      <c r="I269" s="469"/>
    </row>
    <row r="270" spans="1:9" ht="11.25" customHeight="1" x14ac:dyDescent="0.3">
      <c r="A270" s="313">
        <v>45952</v>
      </c>
      <c r="B270" s="312"/>
      <c r="C270" s="311" t="s">
        <v>730</v>
      </c>
      <c r="D270" s="310" t="s">
        <v>4108</v>
      </c>
      <c r="E270" s="310" t="s">
        <v>3750</v>
      </c>
      <c r="F270" s="309">
        <v>13038.98</v>
      </c>
      <c r="G270" s="309">
        <v>0</v>
      </c>
      <c r="H270" s="470">
        <v>-710633.76</v>
      </c>
      <c r="I270" s="470"/>
    </row>
    <row r="271" spans="1:9" ht="12" customHeight="1" x14ac:dyDescent="0.3">
      <c r="A271" s="318">
        <v>45953</v>
      </c>
      <c r="B271" s="317"/>
      <c r="C271" s="316" t="s">
        <v>730</v>
      </c>
      <c r="D271" s="315" t="s">
        <v>4109</v>
      </c>
      <c r="E271" s="315" t="s">
        <v>4110</v>
      </c>
      <c r="F271" s="314">
        <v>86573.94</v>
      </c>
      <c r="G271" s="314">
        <v>0</v>
      </c>
      <c r="H271" s="469">
        <v>-624059.81999999995</v>
      </c>
      <c r="I271" s="469"/>
    </row>
    <row r="272" spans="1:9" ht="11.25" customHeight="1" x14ac:dyDescent="0.3">
      <c r="A272" s="313">
        <v>45960</v>
      </c>
      <c r="B272" s="312"/>
      <c r="C272" s="311" t="s">
        <v>730</v>
      </c>
      <c r="D272" s="310" t="s">
        <v>4111</v>
      </c>
      <c r="E272" s="310" t="s">
        <v>3778</v>
      </c>
      <c r="F272" s="309">
        <v>216.57</v>
      </c>
      <c r="G272" s="309">
        <v>0</v>
      </c>
      <c r="H272" s="470">
        <v>-623843.25</v>
      </c>
      <c r="I272" s="470"/>
    </row>
    <row r="273" spans="1:9" ht="12" customHeight="1" x14ac:dyDescent="0.3">
      <c r="A273" s="318">
        <v>45961</v>
      </c>
      <c r="B273" s="317"/>
      <c r="C273" s="316" t="s">
        <v>730</v>
      </c>
      <c r="D273" s="315" t="s">
        <v>4112</v>
      </c>
      <c r="E273" s="315" t="s">
        <v>4113</v>
      </c>
      <c r="F273" s="314">
        <v>0</v>
      </c>
      <c r="G273" s="314">
        <v>240108.25</v>
      </c>
      <c r="H273" s="469">
        <v>-863951.5</v>
      </c>
      <c r="I273" s="469"/>
    </row>
    <row r="274" spans="1:9" ht="19.5" customHeight="1" x14ac:dyDescent="0.3">
      <c r="A274" s="472"/>
      <c r="B274" s="472"/>
      <c r="C274" s="472"/>
      <c r="D274" s="308" t="s">
        <v>4114</v>
      </c>
      <c r="E274" s="307">
        <v>-67684.240000000005</v>
      </c>
      <c r="F274" s="306">
        <v>731987.25</v>
      </c>
      <c r="G274" s="306">
        <v>799671.49</v>
      </c>
      <c r="H274" s="473">
        <v>-863951.5</v>
      </c>
      <c r="I274" s="473"/>
    </row>
    <row r="275" spans="1:9" ht="0.75" customHeight="1" x14ac:dyDescent="0.3"/>
    <row r="276" spans="1:9" ht="12" customHeight="1" x14ac:dyDescent="0.3">
      <c r="A276" s="313">
        <v>45962</v>
      </c>
      <c r="B276" s="312"/>
      <c r="C276" s="311" t="s">
        <v>730</v>
      </c>
      <c r="D276" s="310" t="s">
        <v>4115</v>
      </c>
      <c r="E276" s="310" t="s">
        <v>3881</v>
      </c>
      <c r="F276" s="309">
        <v>0</v>
      </c>
      <c r="G276" s="309">
        <v>498880.52</v>
      </c>
      <c r="H276" s="470">
        <v>-1362832.02</v>
      </c>
      <c r="I276" s="470"/>
    </row>
    <row r="277" spans="1:9" ht="11.25" customHeight="1" x14ac:dyDescent="0.3">
      <c r="A277" s="318">
        <v>45964</v>
      </c>
      <c r="B277" s="317"/>
      <c r="C277" s="316" t="s">
        <v>730</v>
      </c>
      <c r="D277" s="315" t="s">
        <v>4116</v>
      </c>
      <c r="E277" s="315" t="s">
        <v>3865</v>
      </c>
      <c r="F277" s="314">
        <v>0</v>
      </c>
      <c r="G277" s="314">
        <v>823.19</v>
      </c>
      <c r="H277" s="469">
        <v>-1363655.21</v>
      </c>
      <c r="I277" s="469"/>
    </row>
    <row r="278" spans="1:9" ht="11.25" customHeight="1" x14ac:dyDescent="0.3">
      <c r="A278" s="313">
        <v>45965</v>
      </c>
      <c r="B278" s="312"/>
      <c r="C278" s="311" t="s">
        <v>730</v>
      </c>
      <c r="D278" s="310" t="s">
        <v>4117</v>
      </c>
      <c r="E278" s="310" t="s">
        <v>3793</v>
      </c>
      <c r="F278" s="309">
        <v>396572.63</v>
      </c>
      <c r="G278" s="309">
        <v>0</v>
      </c>
      <c r="H278" s="470">
        <v>-967082.58</v>
      </c>
      <c r="I278" s="470"/>
    </row>
    <row r="279" spans="1:9" ht="12" customHeight="1" x14ac:dyDescent="0.3">
      <c r="A279" s="318">
        <v>45966</v>
      </c>
      <c r="B279" s="317"/>
      <c r="C279" s="316" t="s">
        <v>730</v>
      </c>
      <c r="D279" s="315" t="s">
        <v>4118</v>
      </c>
      <c r="E279" s="315" t="s">
        <v>4119</v>
      </c>
      <c r="F279" s="314">
        <v>125903.43</v>
      </c>
      <c r="G279" s="314">
        <v>0</v>
      </c>
      <c r="H279" s="469">
        <v>-841179.15</v>
      </c>
      <c r="I279" s="469"/>
    </row>
    <row r="280" spans="1:9" ht="11.25" customHeight="1" x14ac:dyDescent="0.3">
      <c r="A280" s="313">
        <v>45967</v>
      </c>
      <c r="B280" s="312"/>
      <c r="C280" s="311" t="s">
        <v>730</v>
      </c>
      <c r="D280" s="310" t="s">
        <v>4120</v>
      </c>
      <c r="E280" s="310" t="s">
        <v>3744</v>
      </c>
      <c r="F280" s="309">
        <v>0</v>
      </c>
      <c r="G280" s="309">
        <v>2889.28</v>
      </c>
      <c r="H280" s="470">
        <v>-844068.43</v>
      </c>
      <c r="I280" s="470"/>
    </row>
    <row r="281" spans="1:9" ht="11.25" customHeight="1" x14ac:dyDescent="0.3">
      <c r="A281" s="318">
        <v>45968</v>
      </c>
      <c r="B281" s="317"/>
      <c r="C281" s="316" t="s">
        <v>730</v>
      </c>
      <c r="D281" s="315" t="s">
        <v>4121</v>
      </c>
      <c r="E281" s="315" t="s">
        <v>3859</v>
      </c>
      <c r="F281" s="314">
        <v>39362.47</v>
      </c>
      <c r="G281" s="314">
        <v>0</v>
      </c>
      <c r="H281" s="469">
        <v>-804705.96</v>
      </c>
      <c r="I281" s="469"/>
    </row>
    <row r="282" spans="1:9" ht="12" customHeight="1" x14ac:dyDescent="0.3">
      <c r="A282" s="313">
        <v>45971</v>
      </c>
      <c r="B282" s="312"/>
      <c r="C282" s="311" t="s">
        <v>730</v>
      </c>
      <c r="D282" s="310" t="s">
        <v>4122</v>
      </c>
      <c r="E282" s="310" t="s">
        <v>4123</v>
      </c>
      <c r="F282" s="309">
        <v>187508.08</v>
      </c>
      <c r="G282" s="309">
        <v>0</v>
      </c>
      <c r="H282" s="470">
        <v>-617197.88</v>
      </c>
      <c r="I282" s="470"/>
    </row>
    <row r="283" spans="1:9" ht="11.25" customHeight="1" x14ac:dyDescent="0.3">
      <c r="A283" s="318">
        <v>45972</v>
      </c>
      <c r="B283" s="317"/>
      <c r="C283" s="316" t="s">
        <v>730</v>
      </c>
      <c r="D283" s="315" t="s">
        <v>4124</v>
      </c>
      <c r="E283" s="315" t="s">
        <v>3993</v>
      </c>
      <c r="F283" s="314">
        <v>0</v>
      </c>
      <c r="G283" s="314">
        <v>12794.73</v>
      </c>
      <c r="H283" s="469">
        <v>-629992.61</v>
      </c>
      <c r="I283" s="469"/>
    </row>
    <row r="284" spans="1:9" ht="11.25" customHeight="1" x14ac:dyDescent="0.3">
      <c r="A284" s="313">
        <v>45973</v>
      </c>
      <c r="B284" s="312"/>
      <c r="C284" s="311" t="s">
        <v>730</v>
      </c>
      <c r="D284" s="310" t="s">
        <v>4125</v>
      </c>
      <c r="E284" s="310" t="s">
        <v>3754</v>
      </c>
      <c r="F284" s="309">
        <v>16116.58</v>
      </c>
      <c r="G284" s="309">
        <v>0</v>
      </c>
      <c r="H284" s="470">
        <v>-613876.03</v>
      </c>
      <c r="I284" s="470"/>
    </row>
    <row r="285" spans="1:9" ht="12" customHeight="1" x14ac:dyDescent="0.3">
      <c r="A285" s="318">
        <v>45974</v>
      </c>
      <c r="B285" s="317"/>
      <c r="C285" s="316" t="s">
        <v>730</v>
      </c>
      <c r="D285" s="315" t="s">
        <v>4126</v>
      </c>
      <c r="E285" s="315" t="s">
        <v>4034</v>
      </c>
      <c r="F285" s="314">
        <v>3264.7</v>
      </c>
      <c r="G285" s="314">
        <v>0</v>
      </c>
      <c r="H285" s="469">
        <v>-610611.32999999996</v>
      </c>
      <c r="I285" s="469"/>
    </row>
    <row r="286" spans="1:9" ht="11.25" customHeight="1" x14ac:dyDescent="0.3">
      <c r="A286" s="313">
        <v>45975</v>
      </c>
      <c r="B286" s="312"/>
      <c r="C286" s="311" t="s">
        <v>730</v>
      </c>
      <c r="D286" s="310" t="s">
        <v>4127</v>
      </c>
      <c r="E286" s="310" t="s">
        <v>3847</v>
      </c>
      <c r="F286" s="309">
        <v>8758.93</v>
      </c>
      <c r="G286" s="309">
        <v>0</v>
      </c>
      <c r="H286" s="470">
        <v>-601852.4</v>
      </c>
      <c r="I286" s="470"/>
    </row>
    <row r="287" spans="1:9" ht="11.25" customHeight="1" x14ac:dyDescent="0.3">
      <c r="A287" s="318">
        <v>45978</v>
      </c>
      <c r="B287" s="317"/>
      <c r="C287" s="316" t="s">
        <v>730</v>
      </c>
      <c r="D287" s="315" t="s">
        <v>4128</v>
      </c>
      <c r="E287" s="315" t="s">
        <v>4010</v>
      </c>
      <c r="F287" s="314">
        <v>0</v>
      </c>
      <c r="G287" s="314">
        <v>103506.08</v>
      </c>
      <c r="H287" s="469">
        <v>-705358.48</v>
      </c>
      <c r="I287" s="469"/>
    </row>
    <row r="288" spans="1:9" ht="12" customHeight="1" x14ac:dyDescent="0.3">
      <c r="A288" s="313">
        <v>45979</v>
      </c>
      <c r="B288" s="312"/>
      <c r="C288" s="311" t="s">
        <v>730</v>
      </c>
      <c r="D288" s="310" t="s">
        <v>4129</v>
      </c>
      <c r="E288" s="310" t="s">
        <v>3927</v>
      </c>
      <c r="F288" s="309">
        <v>132.09</v>
      </c>
      <c r="G288" s="309">
        <v>0</v>
      </c>
      <c r="H288" s="470">
        <v>-705226.39</v>
      </c>
      <c r="I288" s="470"/>
    </row>
    <row r="289" spans="1:9" ht="11.25" customHeight="1" x14ac:dyDescent="0.3">
      <c r="A289" s="318">
        <v>45980</v>
      </c>
      <c r="B289" s="317"/>
      <c r="C289" s="316" t="s">
        <v>730</v>
      </c>
      <c r="D289" s="315" t="s">
        <v>4130</v>
      </c>
      <c r="E289" s="315" t="s">
        <v>4131</v>
      </c>
      <c r="F289" s="314">
        <v>0</v>
      </c>
      <c r="G289" s="314">
        <v>79572.89</v>
      </c>
      <c r="H289" s="469">
        <v>-784799.28</v>
      </c>
      <c r="I289" s="469"/>
    </row>
    <row r="290" spans="1:9" ht="11.25" customHeight="1" x14ac:dyDescent="0.3">
      <c r="A290" s="313">
        <v>45981</v>
      </c>
      <c r="B290" s="312"/>
      <c r="C290" s="311" t="s">
        <v>730</v>
      </c>
      <c r="D290" s="310" t="s">
        <v>4132</v>
      </c>
      <c r="E290" s="310" t="s">
        <v>4104</v>
      </c>
      <c r="F290" s="309">
        <v>8968.6200000000008</v>
      </c>
      <c r="G290" s="309">
        <v>0</v>
      </c>
      <c r="H290" s="470">
        <v>-775830.66</v>
      </c>
      <c r="I290" s="470"/>
    </row>
    <row r="291" spans="1:9" ht="12" customHeight="1" x14ac:dyDescent="0.3">
      <c r="A291" s="318">
        <v>45982</v>
      </c>
      <c r="B291" s="317"/>
      <c r="C291" s="316" t="s">
        <v>730</v>
      </c>
      <c r="D291" s="315" t="s">
        <v>4133</v>
      </c>
      <c r="E291" s="315" t="s">
        <v>3841</v>
      </c>
      <c r="F291" s="314">
        <v>0</v>
      </c>
      <c r="G291" s="314">
        <v>10824.9</v>
      </c>
      <c r="H291" s="469">
        <v>-786655.56</v>
      </c>
      <c r="I291" s="469"/>
    </row>
    <row r="292" spans="1:9" ht="11.25" customHeight="1" x14ac:dyDescent="0.3">
      <c r="A292" s="313">
        <v>45985</v>
      </c>
      <c r="B292" s="312"/>
      <c r="C292" s="311" t="s">
        <v>730</v>
      </c>
      <c r="D292" s="310" t="s">
        <v>4134</v>
      </c>
      <c r="E292" s="310" t="s">
        <v>3849</v>
      </c>
      <c r="F292" s="309">
        <v>0</v>
      </c>
      <c r="G292" s="309">
        <v>39903.61</v>
      </c>
      <c r="H292" s="470">
        <v>-826559.17</v>
      </c>
      <c r="I292" s="470"/>
    </row>
    <row r="293" spans="1:9" ht="11.25" customHeight="1" x14ac:dyDescent="0.3">
      <c r="A293" s="318">
        <v>45986</v>
      </c>
      <c r="B293" s="315" t="s">
        <v>4135</v>
      </c>
      <c r="C293" s="316" t="s">
        <v>730</v>
      </c>
      <c r="D293" s="315" t="s">
        <v>4136</v>
      </c>
      <c r="E293" s="315" t="s">
        <v>4137</v>
      </c>
      <c r="F293" s="314">
        <v>1</v>
      </c>
      <c r="G293" s="314">
        <v>0</v>
      </c>
      <c r="H293" s="469">
        <v>-826558.17</v>
      </c>
      <c r="I293" s="469"/>
    </row>
    <row r="294" spans="1:9" ht="12" customHeight="1" x14ac:dyDescent="0.3">
      <c r="A294" s="313">
        <v>45986</v>
      </c>
      <c r="B294" s="312"/>
      <c r="C294" s="311" t="s">
        <v>730</v>
      </c>
      <c r="D294" s="310" t="s">
        <v>4138</v>
      </c>
      <c r="E294" s="310" t="s">
        <v>3902</v>
      </c>
      <c r="F294" s="309">
        <v>0</v>
      </c>
      <c r="G294" s="309">
        <v>6796.22</v>
      </c>
      <c r="H294" s="470">
        <v>-833354.39</v>
      </c>
      <c r="I294" s="470"/>
    </row>
    <row r="295" spans="1:9" ht="11.25" customHeight="1" x14ac:dyDescent="0.3">
      <c r="A295" s="318">
        <v>45987</v>
      </c>
      <c r="B295" s="317"/>
      <c r="C295" s="316" t="s">
        <v>730</v>
      </c>
      <c r="D295" s="315" t="s">
        <v>4139</v>
      </c>
      <c r="E295" s="315" t="s">
        <v>3863</v>
      </c>
      <c r="F295" s="314">
        <v>0</v>
      </c>
      <c r="G295" s="314">
        <v>2022.03</v>
      </c>
      <c r="H295" s="469">
        <v>-835376.42</v>
      </c>
      <c r="I295" s="469"/>
    </row>
    <row r="296" spans="1:9" ht="11.25" customHeight="1" x14ac:dyDescent="0.3">
      <c r="A296" s="313">
        <v>45989</v>
      </c>
      <c r="B296" s="312"/>
      <c r="C296" s="311" t="s">
        <v>730</v>
      </c>
      <c r="D296" s="310" t="s">
        <v>4140</v>
      </c>
      <c r="E296" s="310" t="s">
        <v>3758</v>
      </c>
      <c r="F296" s="309">
        <v>0</v>
      </c>
      <c r="G296" s="309">
        <v>23179.69</v>
      </c>
      <c r="H296" s="470">
        <v>-858556.11</v>
      </c>
      <c r="I296" s="470"/>
    </row>
    <row r="297" spans="1:9" ht="12" customHeight="1" x14ac:dyDescent="0.3">
      <c r="A297" s="318">
        <v>45991</v>
      </c>
      <c r="B297" s="317"/>
      <c r="C297" s="316" t="s">
        <v>730</v>
      </c>
      <c r="D297" s="315" t="s">
        <v>4141</v>
      </c>
      <c r="E297" s="315" t="s">
        <v>3818</v>
      </c>
      <c r="F297" s="314">
        <v>0</v>
      </c>
      <c r="G297" s="314">
        <v>133743.34</v>
      </c>
      <c r="H297" s="469">
        <v>-992299.45</v>
      </c>
      <c r="I297" s="469"/>
    </row>
    <row r="298" spans="1:9" ht="19.5" customHeight="1" x14ac:dyDescent="0.3">
      <c r="A298" s="472"/>
      <c r="B298" s="472"/>
      <c r="C298" s="472"/>
      <c r="D298" s="308" t="s">
        <v>4142</v>
      </c>
      <c r="E298" s="307">
        <v>-128347.95</v>
      </c>
      <c r="F298" s="306">
        <v>786588.53</v>
      </c>
      <c r="G298" s="306">
        <v>914936.48</v>
      </c>
      <c r="H298" s="473">
        <v>-992299.45</v>
      </c>
      <c r="I298" s="473"/>
    </row>
    <row r="299" spans="1:9" ht="0.75" customHeight="1" x14ac:dyDescent="0.3"/>
    <row r="300" spans="1:9" ht="12" customHeight="1" x14ac:dyDescent="0.3">
      <c r="A300" s="313">
        <v>45992</v>
      </c>
      <c r="B300" s="312"/>
      <c r="C300" s="311" t="s">
        <v>730</v>
      </c>
      <c r="D300" s="310" t="s">
        <v>4143</v>
      </c>
      <c r="E300" s="310" t="s">
        <v>3780</v>
      </c>
      <c r="F300" s="309">
        <v>0</v>
      </c>
      <c r="G300" s="309">
        <v>453740.03</v>
      </c>
      <c r="H300" s="470">
        <v>-1446039.48</v>
      </c>
      <c r="I300" s="470"/>
    </row>
    <row r="301" spans="1:9" ht="11.25" customHeight="1" x14ac:dyDescent="0.3">
      <c r="A301" s="318">
        <v>45993</v>
      </c>
      <c r="B301" s="317"/>
      <c r="C301" s="316" t="s">
        <v>730</v>
      </c>
      <c r="D301" s="315" t="s">
        <v>4144</v>
      </c>
      <c r="E301" s="315" t="s">
        <v>4145</v>
      </c>
      <c r="F301" s="314">
        <v>4466.09</v>
      </c>
      <c r="G301" s="314">
        <v>0</v>
      </c>
      <c r="H301" s="469">
        <v>-1441573.39</v>
      </c>
      <c r="I301" s="469"/>
    </row>
    <row r="302" spans="1:9" ht="11.25" customHeight="1" x14ac:dyDescent="0.3">
      <c r="A302" s="313">
        <v>45994</v>
      </c>
      <c r="B302" s="312"/>
      <c r="C302" s="311" t="s">
        <v>730</v>
      </c>
      <c r="D302" s="310" t="s">
        <v>4146</v>
      </c>
      <c r="E302" s="310" t="s">
        <v>4147</v>
      </c>
      <c r="F302" s="309">
        <v>135020.17000000001</v>
      </c>
      <c r="G302" s="309">
        <v>0</v>
      </c>
      <c r="H302" s="470">
        <v>-1306553.22</v>
      </c>
      <c r="I302" s="470"/>
    </row>
    <row r="303" spans="1:9" ht="12" customHeight="1" x14ac:dyDescent="0.3">
      <c r="A303" s="318">
        <v>45995</v>
      </c>
      <c r="B303" s="317"/>
      <c r="C303" s="316" t="s">
        <v>730</v>
      </c>
      <c r="D303" s="315" t="s">
        <v>4148</v>
      </c>
      <c r="E303" s="315" t="s">
        <v>3935</v>
      </c>
      <c r="F303" s="314">
        <v>110790.49</v>
      </c>
      <c r="G303" s="314">
        <v>0</v>
      </c>
      <c r="H303" s="469">
        <v>-1195762.73</v>
      </c>
      <c r="I303" s="469"/>
    </row>
    <row r="304" spans="1:9" ht="11.25" customHeight="1" x14ac:dyDescent="0.3">
      <c r="A304" s="313">
        <v>45996</v>
      </c>
      <c r="B304" s="312"/>
      <c r="C304" s="311" t="s">
        <v>730</v>
      </c>
      <c r="D304" s="310" t="s">
        <v>4149</v>
      </c>
      <c r="E304" s="310" t="s">
        <v>3870</v>
      </c>
      <c r="F304" s="309">
        <v>400349.25</v>
      </c>
      <c r="G304" s="309">
        <v>0</v>
      </c>
      <c r="H304" s="470">
        <v>-795413.48</v>
      </c>
      <c r="I304" s="470"/>
    </row>
    <row r="305" spans="1:9" ht="11.25" customHeight="1" x14ac:dyDescent="0.3">
      <c r="A305" s="318">
        <v>45999</v>
      </c>
      <c r="B305" s="317"/>
      <c r="C305" s="316" t="s">
        <v>730</v>
      </c>
      <c r="D305" s="315" t="s">
        <v>4150</v>
      </c>
      <c r="E305" s="315" t="s">
        <v>3870</v>
      </c>
      <c r="F305" s="314">
        <v>0</v>
      </c>
      <c r="G305" s="314">
        <v>12551.89</v>
      </c>
      <c r="H305" s="469">
        <v>-807965.37</v>
      </c>
      <c r="I305" s="469"/>
    </row>
    <row r="306" spans="1:9" ht="12" customHeight="1" x14ac:dyDescent="0.3">
      <c r="A306" s="313">
        <v>46000</v>
      </c>
      <c r="B306" s="312"/>
      <c r="C306" s="311" t="s">
        <v>730</v>
      </c>
      <c r="D306" s="310" t="s">
        <v>4151</v>
      </c>
      <c r="E306" s="310" t="s">
        <v>4034</v>
      </c>
      <c r="F306" s="309">
        <v>1404.03</v>
      </c>
      <c r="G306" s="309">
        <v>0</v>
      </c>
      <c r="H306" s="470">
        <v>-806561.34</v>
      </c>
      <c r="I306" s="470"/>
    </row>
    <row r="307" spans="1:9" ht="11.25" customHeight="1" x14ac:dyDescent="0.3">
      <c r="A307" s="318">
        <v>46001</v>
      </c>
      <c r="B307" s="317"/>
      <c r="C307" s="316" t="s">
        <v>730</v>
      </c>
      <c r="D307" s="315" t="s">
        <v>4152</v>
      </c>
      <c r="E307" s="315" t="s">
        <v>3921</v>
      </c>
      <c r="F307" s="314">
        <v>0</v>
      </c>
      <c r="G307" s="314">
        <v>32916.17</v>
      </c>
      <c r="H307" s="469">
        <v>-839477.51</v>
      </c>
      <c r="I307" s="469"/>
    </row>
    <row r="308" spans="1:9" ht="11.25" customHeight="1" x14ac:dyDescent="0.3">
      <c r="A308" s="313">
        <v>46002</v>
      </c>
      <c r="B308" s="310" t="s">
        <v>4153</v>
      </c>
      <c r="C308" s="311" t="s">
        <v>730</v>
      </c>
      <c r="D308" s="310" t="s">
        <v>4154</v>
      </c>
      <c r="E308" s="310"/>
      <c r="F308" s="309">
        <v>204.97</v>
      </c>
      <c r="G308" s="309">
        <v>0</v>
      </c>
      <c r="H308" s="470">
        <v>-839272.54</v>
      </c>
      <c r="I308" s="470"/>
    </row>
    <row r="309" spans="1:9" ht="12" customHeight="1" x14ac:dyDescent="0.3">
      <c r="A309" s="318">
        <v>46002</v>
      </c>
      <c r="B309" s="315" t="s">
        <v>4155</v>
      </c>
      <c r="C309" s="316" t="s">
        <v>730</v>
      </c>
      <c r="D309" s="315" t="s">
        <v>4156</v>
      </c>
      <c r="E309" s="315"/>
      <c r="F309" s="314">
        <v>204.77</v>
      </c>
      <c r="G309" s="314">
        <v>0</v>
      </c>
      <c r="H309" s="469">
        <v>-839067.77</v>
      </c>
      <c r="I309" s="469"/>
    </row>
    <row r="310" spans="1:9" ht="11.25" customHeight="1" x14ac:dyDescent="0.3">
      <c r="A310" s="313">
        <v>46002</v>
      </c>
      <c r="B310" s="310" t="s">
        <v>4157</v>
      </c>
      <c r="C310" s="311" t="s">
        <v>730</v>
      </c>
      <c r="D310" s="310" t="s">
        <v>1459</v>
      </c>
      <c r="E310" s="310"/>
      <c r="F310" s="309">
        <v>415.74</v>
      </c>
      <c r="G310" s="309">
        <v>0</v>
      </c>
      <c r="H310" s="470">
        <v>-838652.03</v>
      </c>
      <c r="I310" s="470"/>
    </row>
    <row r="311" spans="1:9" ht="11.25" customHeight="1" x14ac:dyDescent="0.3">
      <c r="A311" s="318">
        <v>46002</v>
      </c>
      <c r="B311" s="315" t="s">
        <v>4158</v>
      </c>
      <c r="C311" s="316" t="s">
        <v>730</v>
      </c>
      <c r="D311" s="315" t="s">
        <v>4159</v>
      </c>
      <c r="E311" s="315"/>
      <c r="F311" s="314">
        <v>646.79</v>
      </c>
      <c r="G311" s="314">
        <v>0</v>
      </c>
      <c r="H311" s="469">
        <v>-838005.24</v>
      </c>
      <c r="I311" s="469"/>
    </row>
    <row r="312" spans="1:9" ht="12" customHeight="1" x14ac:dyDescent="0.3">
      <c r="A312" s="313">
        <v>46002</v>
      </c>
      <c r="B312" s="310" t="s">
        <v>4160</v>
      </c>
      <c r="C312" s="311" t="s">
        <v>730</v>
      </c>
      <c r="D312" s="310" t="s">
        <v>4161</v>
      </c>
      <c r="E312" s="310"/>
      <c r="F312" s="309">
        <v>750</v>
      </c>
      <c r="G312" s="309">
        <v>0</v>
      </c>
      <c r="H312" s="470">
        <v>-837255.24</v>
      </c>
      <c r="I312" s="470"/>
    </row>
    <row r="313" spans="1:9" ht="11.25" customHeight="1" x14ac:dyDescent="0.3">
      <c r="A313" s="318">
        <v>46002</v>
      </c>
      <c r="B313" s="315" t="s">
        <v>4160</v>
      </c>
      <c r="C313" s="316" t="s">
        <v>730</v>
      </c>
      <c r="D313" s="315" t="s">
        <v>4161</v>
      </c>
      <c r="E313" s="315"/>
      <c r="F313" s="314">
        <v>137.69999999999999</v>
      </c>
      <c r="G313" s="314">
        <v>0</v>
      </c>
      <c r="H313" s="469">
        <v>-837117.54</v>
      </c>
      <c r="I313" s="469"/>
    </row>
    <row r="314" spans="1:9" ht="12" customHeight="1" x14ac:dyDescent="0.3">
      <c r="A314" s="313">
        <v>46002</v>
      </c>
      <c r="B314" s="312"/>
      <c r="C314" s="311" t="s">
        <v>730</v>
      </c>
      <c r="D314" s="310" t="s">
        <v>4162</v>
      </c>
      <c r="E314" s="310" t="s">
        <v>4163</v>
      </c>
      <c r="F314" s="309">
        <v>55784.11</v>
      </c>
      <c r="G314" s="309">
        <v>0</v>
      </c>
      <c r="H314" s="470">
        <v>-781333.43</v>
      </c>
      <c r="I314" s="470"/>
    </row>
    <row r="315" spans="1:9" ht="11.25" customHeight="1" x14ac:dyDescent="0.3">
      <c r="A315" s="318">
        <v>46003</v>
      </c>
      <c r="B315" s="317"/>
      <c r="C315" s="316" t="s">
        <v>730</v>
      </c>
      <c r="D315" s="315" t="s">
        <v>4164</v>
      </c>
      <c r="E315" s="315" t="s">
        <v>3789</v>
      </c>
      <c r="F315" s="314">
        <v>0</v>
      </c>
      <c r="G315" s="314">
        <v>3649.34</v>
      </c>
      <c r="H315" s="469">
        <v>-784982.77</v>
      </c>
      <c r="I315" s="469"/>
    </row>
    <row r="316" spans="1:9" ht="11.25" customHeight="1" x14ac:dyDescent="0.3">
      <c r="A316" s="313">
        <v>46005</v>
      </c>
      <c r="B316" s="312"/>
      <c r="C316" s="311" t="s">
        <v>730</v>
      </c>
      <c r="D316" s="310" t="s">
        <v>4165</v>
      </c>
      <c r="E316" s="310" t="s">
        <v>3758</v>
      </c>
      <c r="F316" s="309">
        <v>16473.490000000002</v>
      </c>
      <c r="G316" s="309">
        <v>0</v>
      </c>
      <c r="H316" s="470">
        <v>-768509.28</v>
      </c>
      <c r="I316" s="470"/>
    </row>
    <row r="317" spans="1:9" ht="20.25" customHeight="1" x14ac:dyDescent="0.3">
      <c r="A317" s="472"/>
      <c r="B317" s="472"/>
      <c r="C317" s="472"/>
      <c r="D317" s="308" t="s">
        <v>4166</v>
      </c>
      <c r="E317" s="307">
        <v>223790.17</v>
      </c>
      <c r="F317" s="306">
        <v>726647.6</v>
      </c>
      <c r="G317" s="306">
        <v>502857.43</v>
      </c>
      <c r="H317" s="473">
        <v>-768509.28</v>
      </c>
      <c r="I317" s="473"/>
    </row>
    <row r="318" spans="1:9" ht="0.75" customHeight="1" x14ac:dyDescent="0.3"/>
    <row r="319" spans="1:9" ht="23.25" customHeight="1" x14ac:dyDescent="0.3">
      <c r="A319" s="472" t="s">
        <v>4167</v>
      </c>
      <c r="B319" s="472"/>
      <c r="C319" s="472"/>
      <c r="D319" s="308" t="s">
        <v>4168</v>
      </c>
      <c r="E319" s="307">
        <v>-81588.070000000007</v>
      </c>
      <c r="F319" s="306">
        <v>10158070.949999999</v>
      </c>
      <c r="G319" s="306">
        <v>10239659.02</v>
      </c>
      <c r="H319" s="473">
        <v>-768509.28</v>
      </c>
      <c r="I319" s="473"/>
    </row>
    <row r="320" spans="1:9" ht="1.5" customHeight="1" x14ac:dyDescent="0.3"/>
    <row r="321" spans="1:10" ht="11.25" customHeight="1" x14ac:dyDescent="0.3">
      <c r="A321" s="474" t="s">
        <v>3735</v>
      </c>
      <c r="B321" s="474"/>
      <c r="C321" s="474"/>
      <c r="D321" s="474"/>
      <c r="E321" s="474"/>
      <c r="F321" s="474"/>
      <c r="G321" s="474"/>
      <c r="H321" s="474"/>
      <c r="I321" s="474"/>
      <c r="J321" s="474"/>
    </row>
  </sheetData>
  <mergeCells count="320">
    <mergeCell ref="H307:I307"/>
    <mergeCell ref="H308:I308"/>
    <mergeCell ref="A319:C319"/>
    <mergeCell ref="H319:I319"/>
    <mergeCell ref="A321:J321"/>
    <mergeCell ref="H309:I309"/>
    <mergeCell ref="H310:I310"/>
    <mergeCell ref="H311:I311"/>
    <mergeCell ref="H312:I312"/>
    <mergeCell ref="H313:I313"/>
    <mergeCell ref="H314:I314"/>
    <mergeCell ref="H315:I315"/>
    <mergeCell ref="H316:I316"/>
    <mergeCell ref="A317:C317"/>
    <mergeCell ref="H317:I317"/>
    <mergeCell ref="A298:C298"/>
    <mergeCell ref="H298:I298"/>
    <mergeCell ref="H300:I300"/>
    <mergeCell ref="H301:I301"/>
    <mergeCell ref="H302:I302"/>
    <mergeCell ref="H303:I303"/>
    <mergeCell ref="H304:I304"/>
    <mergeCell ref="H305:I305"/>
    <mergeCell ref="H306:I306"/>
    <mergeCell ref="H289:I289"/>
    <mergeCell ref="H290:I290"/>
    <mergeCell ref="H291:I291"/>
    <mergeCell ref="H292:I292"/>
    <mergeCell ref="H293:I293"/>
    <mergeCell ref="H294:I294"/>
    <mergeCell ref="H295:I295"/>
    <mergeCell ref="H296:I296"/>
    <mergeCell ref="H297:I297"/>
    <mergeCell ref="H280:I280"/>
    <mergeCell ref="H281:I281"/>
    <mergeCell ref="H282:I282"/>
    <mergeCell ref="H283:I283"/>
    <mergeCell ref="H284:I284"/>
    <mergeCell ref="H285:I285"/>
    <mergeCell ref="H286:I286"/>
    <mergeCell ref="H287:I287"/>
    <mergeCell ref="H288:I288"/>
    <mergeCell ref="H271:I271"/>
    <mergeCell ref="H272:I272"/>
    <mergeCell ref="H273:I273"/>
    <mergeCell ref="A274:C274"/>
    <mergeCell ref="H274:I274"/>
    <mergeCell ref="H276:I276"/>
    <mergeCell ref="H277:I277"/>
    <mergeCell ref="H278:I278"/>
    <mergeCell ref="H279:I279"/>
    <mergeCell ref="H262:I262"/>
    <mergeCell ref="H263:I263"/>
    <mergeCell ref="H264:I264"/>
    <mergeCell ref="H265:I265"/>
    <mergeCell ref="H266:I266"/>
    <mergeCell ref="H267:I267"/>
    <mergeCell ref="H268:I268"/>
    <mergeCell ref="H269:I269"/>
    <mergeCell ref="H270:I270"/>
    <mergeCell ref="H253:I253"/>
    <mergeCell ref="H254:I254"/>
    <mergeCell ref="A255:C255"/>
    <mergeCell ref="H255:I255"/>
    <mergeCell ref="H257:I257"/>
    <mergeCell ref="H258:I258"/>
    <mergeCell ref="H259:I259"/>
    <mergeCell ref="H260:I260"/>
    <mergeCell ref="H261:I261"/>
    <mergeCell ref="H244:I244"/>
    <mergeCell ref="H245:I245"/>
    <mergeCell ref="H246:I246"/>
    <mergeCell ref="H247:I247"/>
    <mergeCell ref="H248:I248"/>
    <mergeCell ref="H249:I249"/>
    <mergeCell ref="H250:I250"/>
    <mergeCell ref="H251:I251"/>
    <mergeCell ref="H252:I252"/>
    <mergeCell ref="H235:I235"/>
    <mergeCell ref="H236:I236"/>
    <mergeCell ref="H237:I237"/>
    <mergeCell ref="H238:I238"/>
    <mergeCell ref="H239:I239"/>
    <mergeCell ref="H240:I240"/>
    <mergeCell ref="H241:I241"/>
    <mergeCell ref="H242:I242"/>
    <mergeCell ref="H243:I243"/>
    <mergeCell ref="H226:I226"/>
    <mergeCell ref="H227:I227"/>
    <mergeCell ref="H228:I228"/>
    <mergeCell ref="H229:I229"/>
    <mergeCell ref="H230:I230"/>
    <mergeCell ref="H231:I231"/>
    <mergeCell ref="H232:I232"/>
    <mergeCell ref="H233:I233"/>
    <mergeCell ref="H234:I234"/>
    <mergeCell ref="A217:C217"/>
    <mergeCell ref="H217:I217"/>
    <mergeCell ref="H219:I219"/>
    <mergeCell ref="H220:I220"/>
    <mergeCell ref="H221:I221"/>
    <mergeCell ref="H222:I222"/>
    <mergeCell ref="H223:I223"/>
    <mergeCell ref="H224:I224"/>
    <mergeCell ref="H225:I225"/>
    <mergeCell ref="H208:I208"/>
    <mergeCell ref="H209:I209"/>
    <mergeCell ref="H210:I210"/>
    <mergeCell ref="H211:I211"/>
    <mergeCell ref="H212:I212"/>
    <mergeCell ref="H213:I213"/>
    <mergeCell ref="H214:I214"/>
    <mergeCell ref="H215:I215"/>
    <mergeCell ref="H216:I216"/>
    <mergeCell ref="H199:I199"/>
    <mergeCell ref="H200:I200"/>
    <mergeCell ref="H201:I201"/>
    <mergeCell ref="H202:I202"/>
    <mergeCell ref="H203:I203"/>
    <mergeCell ref="H204:I204"/>
    <mergeCell ref="H205:I205"/>
    <mergeCell ref="H206:I206"/>
    <mergeCell ref="H207:I207"/>
    <mergeCell ref="H190:I190"/>
    <mergeCell ref="H191:I191"/>
    <mergeCell ref="H192:I192"/>
    <mergeCell ref="H193:I193"/>
    <mergeCell ref="H194:I194"/>
    <mergeCell ref="H195:I195"/>
    <mergeCell ref="H196:I196"/>
    <mergeCell ref="H197:I197"/>
    <mergeCell ref="H198:I198"/>
    <mergeCell ref="H181:I181"/>
    <mergeCell ref="H182:I182"/>
    <mergeCell ref="H183:I183"/>
    <mergeCell ref="H184:I184"/>
    <mergeCell ref="H185:I185"/>
    <mergeCell ref="H186:I186"/>
    <mergeCell ref="H187:I187"/>
    <mergeCell ref="A188:C188"/>
    <mergeCell ref="H188:I188"/>
    <mergeCell ref="H172:I172"/>
    <mergeCell ref="H173:I173"/>
    <mergeCell ref="H174:I174"/>
    <mergeCell ref="H175:I175"/>
    <mergeCell ref="H176:I176"/>
    <mergeCell ref="H177:I177"/>
    <mergeCell ref="H178:I178"/>
    <mergeCell ref="H179:I179"/>
    <mergeCell ref="H180:I180"/>
    <mergeCell ref="H163:I163"/>
    <mergeCell ref="H164:I164"/>
    <mergeCell ref="H165:I165"/>
    <mergeCell ref="H166:I166"/>
    <mergeCell ref="H167:I167"/>
    <mergeCell ref="H168:I168"/>
    <mergeCell ref="H169:I169"/>
    <mergeCell ref="H170:I170"/>
    <mergeCell ref="H171:I171"/>
    <mergeCell ref="H153:I153"/>
    <mergeCell ref="H154:I154"/>
    <mergeCell ref="H155:I155"/>
    <mergeCell ref="H156:I156"/>
    <mergeCell ref="H157:I157"/>
    <mergeCell ref="H158:I158"/>
    <mergeCell ref="H159:I159"/>
    <mergeCell ref="H160:I160"/>
    <mergeCell ref="A161:C161"/>
    <mergeCell ref="H161:I161"/>
    <mergeCell ref="H144:I144"/>
    <mergeCell ref="H145:I145"/>
    <mergeCell ref="H146:I146"/>
    <mergeCell ref="H147:I147"/>
    <mergeCell ref="H148:I148"/>
    <mergeCell ref="H149:I149"/>
    <mergeCell ref="H150:I150"/>
    <mergeCell ref="H151:I151"/>
    <mergeCell ref="H152:I152"/>
    <mergeCell ref="H135:I135"/>
    <mergeCell ref="H136:I136"/>
    <mergeCell ref="A137:C137"/>
    <mergeCell ref="H137:I137"/>
    <mergeCell ref="H139:I139"/>
    <mergeCell ref="H140:I140"/>
    <mergeCell ref="H141:I141"/>
    <mergeCell ref="H142:I142"/>
    <mergeCell ref="H143:I143"/>
    <mergeCell ref="H126:I126"/>
    <mergeCell ref="H127:I127"/>
    <mergeCell ref="H128:I128"/>
    <mergeCell ref="H129:I129"/>
    <mergeCell ref="H130:I130"/>
    <mergeCell ref="H131:I131"/>
    <mergeCell ref="H132:I132"/>
    <mergeCell ref="H133:I133"/>
    <mergeCell ref="H134:I134"/>
    <mergeCell ref="H117:I117"/>
    <mergeCell ref="H118:I118"/>
    <mergeCell ref="H119:I119"/>
    <mergeCell ref="H120:I120"/>
    <mergeCell ref="H121:I121"/>
    <mergeCell ref="H122:I122"/>
    <mergeCell ref="H123:I123"/>
    <mergeCell ref="H124:I124"/>
    <mergeCell ref="H125:I125"/>
    <mergeCell ref="H108:I108"/>
    <mergeCell ref="H109:I109"/>
    <mergeCell ref="H110:I110"/>
    <mergeCell ref="H111:I111"/>
    <mergeCell ref="A112:C112"/>
    <mergeCell ref="H112:I112"/>
    <mergeCell ref="H114:I114"/>
    <mergeCell ref="H115:I115"/>
    <mergeCell ref="H116:I116"/>
    <mergeCell ref="H99:I99"/>
    <mergeCell ref="H100:I100"/>
    <mergeCell ref="H101:I101"/>
    <mergeCell ref="H102:I102"/>
    <mergeCell ref="H103:I103"/>
    <mergeCell ref="H104:I104"/>
    <mergeCell ref="H105:I105"/>
    <mergeCell ref="H106:I106"/>
    <mergeCell ref="H107:I107"/>
    <mergeCell ref="A90:C90"/>
    <mergeCell ref="H90:I90"/>
    <mergeCell ref="H92:I92"/>
    <mergeCell ref="H93:I93"/>
    <mergeCell ref="H94:I94"/>
    <mergeCell ref="H95:I95"/>
    <mergeCell ref="H96:I96"/>
    <mergeCell ref="H97:I97"/>
    <mergeCell ref="H98:I98"/>
    <mergeCell ref="H81:I81"/>
    <mergeCell ref="H82:I82"/>
    <mergeCell ref="H83:I83"/>
    <mergeCell ref="H84:I84"/>
    <mergeCell ref="H85:I85"/>
    <mergeCell ref="H86:I86"/>
    <mergeCell ref="H87:I87"/>
    <mergeCell ref="H88:I88"/>
    <mergeCell ref="H89:I89"/>
    <mergeCell ref="H72:I72"/>
    <mergeCell ref="H53:I53"/>
    <mergeCell ref="H74:I74"/>
    <mergeCell ref="H75:I75"/>
    <mergeCell ref="H76:I76"/>
    <mergeCell ref="H77:I77"/>
    <mergeCell ref="H78:I78"/>
    <mergeCell ref="H79:I79"/>
    <mergeCell ref="H80:I80"/>
    <mergeCell ref="H73:I73"/>
    <mergeCell ref="H56:I56"/>
    <mergeCell ref="H57:I57"/>
    <mergeCell ref="H58:I58"/>
    <mergeCell ref="H59:I59"/>
    <mergeCell ref="H60:I60"/>
    <mergeCell ref="H61:I61"/>
    <mergeCell ref="H65:I65"/>
    <mergeCell ref="H66:I66"/>
    <mergeCell ref="H67:I67"/>
    <mergeCell ref="H68:I68"/>
    <mergeCell ref="H69:I69"/>
    <mergeCell ref="H70:I70"/>
    <mergeCell ref="H71:I71"/>
    <mergeCell ref="A62:C62"/>
    <mergeCell ref="H62:I62"/>
    <mergeCell ref="H64:I64"/>
    <mergeCell ref="H47:I47"/>
    <mergeCell ref="H48:I48"/>
    <mergeCell ref="H49:I49"/>
    <mergeCell ref="H50:I50"/>
    <mergeCell ref="H51:I51"/>
    <mergeCell ref="H52:I52"/>
    <mergeCell ref="H37:I37"/>
    <mergeCell ref="H54:I54"/>
    <mergeCell ref="H55:I55"/>
    <mergeCell ref="H38:I38"/>
    <mergeCell ref="H39:I39"/>
    <mergeCell ref="H40:I40"/>
    <mergeCell ref="H41:I41"/>
    <mergeCell ref="H42:I42"/>
    <mergeCell ref="H43:I43"/>
    <mergeCell ref="H44:I44"/>
    <mergeCell ref="H46:I46"/>
    <mergeCell ref="H45:I45"/>
    <mergeCell ref="A32:C32"/>
    <mergeCell ref="H32:I32"/>
    <mergeCell ref="H34:I34"/>
    <mergeCell ref="H35:I35"/>
    <mergeCell ref="H36:I36"/>
    <mergeCell ref="H21:I21"/>
    <mergeCell ref="H22:I22"/>
    <mergeCell ref="H23:I23"/>
    <mergeCell ref="H24:I24"/>
    <mergeCell ref="H28:I28"/>
    <mergeCell ref="H29:I29"/>
    <mergeCell ref="H30:I30"/>
    <mergeCell ref="H31:I31"/>
    <mergeCell ref="H26:I26"/>
    <mergeCell ref="H27:I27"/>
    <mergeCell ref="H25:I25"/>
    <mergeCell ref="A1:J1"/>
    <mergeCell ref="A2:J2"/>
    <mergeCell ref="A3:J3"/>
    <mergeCell ref="A4:J4"/>
    <mergeCell ref="A5:J5"/>
    <mergeCell ref="H6:I6"/>
    <mergeCell ref="A8:C8"/>
    <mergeCell ref="H17:I17"/>
    <mergeCell ref="H20:I20"/>
    <mergeCell ref="D8:H8"/>
    <mergeCell ref="H11:I11"/>
    <mergeCell ref="H12:I12"/>
    <mergeCell ref="H13:I13"/>
    <mergeCell ref="H14:I14"/>
    <mergeCell ref="H15:I15"/>
    <mergeCell ref="H16:I16"/>
    <mergeCell ref="H10:I10"/>
    <mergeCell ref="H18:I18"/>
    <mergeCell ref="H19:I19"/>
  </mergeCells>
  <pageMargins left="0.140000000596046" right="0.140000000596046" top="0.30000001192092901" bottom="0.30000001192092901" header="0.3" footer="0.3"/>
  <pageSetup paperSize="0" fitToHeight="0"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73"/>
  <sheetViews>
    <sheetView showGridLines="0" zoomScaleNormal="100" workbookViewId="0">
      <selection activeCell="I20" sqref="I20"/>
    </sheetView>
  </sheetViews>
  <sheetFormatPr defaultColWidth="8.5546875" defaultRowHeight="14.4" x14ac:dyDescent="0.3"/>
  <cols>
    <col min="1" max="1" width="40" customWidth="1"/>
    <col min="2" max="2" width="15" customWidth="1"/>
    <col min="3" max="3" width="5" customWidth="1"/>
    <col min="4" max="6" width="15" customWidth="1"/>
  </cols>
  <sheetData>
    <row r="1" spans="1:6" ht="24" customHeight="1" x14ac:dyDescent="0.3">
      <c r="A1" s="415" t="s">
        <v>4169</v>
      </c>
      <c r="B1" s="415"/>
      <c r="C1" s="415"/>
      <c r="D1" s="415"/>
      <c r="E1" s="415"/>
      <c r="F1" s="415"/>
    </row>
    <row r="2" spans="1:6" ht="15" customHeight="1" x14ac:dyDescent="0.3">
      <c r="A2" s="3" t="s">
        <v>4170</v>
      </c>
      <c r="B2" s="15" t="str">
        <f>IF(COUNTA(Draw_Register!A5:A204)=0,"DRW-001","DRW-"&amp;TEXT(COUNTA(Draw_Register!A5:A204)+1,"000"))</f>
        <v>DRW-028</v>
      </c>
    </row>
    <row r="3" spans="1:6" ht="15" customHeight="1" x14ac:dyDescent="0.3">
      <c r="A3" s="3" t="s">
        <v>4171</v>
      </c>
      <c r="B3" s="2">
        <f>COUNTA(Draw_Register!A5:A204)</f>
        <v>27</v>
      </c>
    </row>
    <row r="5" spans="1:6" ht="15" customHeight="1" x14ac:dyDescent="0.3">
      <c r="A5" s="442" t="s">
        <v>4172</v>
      </c>
      <c r="B5" s="442"/>
      <c r="D5" s="442" t="s">
        <v>4173</v>
      </c>
      <c r="E5" s="442"/>
      <c r="F5" s="442"/>
    </row>
    <row r="6" spans="1:6" ht="15" customHeight="1" x14ac:dyDescent="0.3">
      <c r="A6" s="16" t="s">
        <v>485</v>
      </c>
      <c r="D6" s="16" t="s">
        <v>4174</v>
      </c>
      <c r="E6" s="16" t="s">
        <v>4175</v>
      </c>
      <c r="F6" s="16" t="s">
        <v>280</v>
      </c>
    </row>
    <row r="7" spans="1:6" ht="15" customHeight="1" x14ac:dyDescent="0.3">
      <c r="A7" s="2" t="s">
        <v>514</v>
      </c>
      <c r="D7" t="s">
        <v>286</v>
      </c>
      <c r="E7" t="s">
        <v>501</v>
      </c>
      <c r="F7" t="s">
        <v>475</v>
      </c>
    </row>
    <row r="8" spans="1:6" ht="15" customHeight="1" x14ac:dyDescent="0.3">
      <c r="A8" s="2" t="s">
        <v>593</v>
      </c>
      <c r="D8" t="s">
        <v>288</v>
      </c>
      <c r="E8" t="s">
        <v>526</v>
      </c>
      <c r="F8" t="s">
        <v>4176</v>
      </c>
    </row>
    <row r="9" spans="1:6" ht="15" customHeight="1" x14ac:dyDescent="0.3">
      <c r="A9" s="2" t="s">
        <v>594</v>
      </c>
      <c r="D9" t="s">
        <v>290</v>
      </c>
      <c r="E9" t="s">
        <v>529</v>
      </c>
      <c r="F9" t="s">
        <v>503</v>
      </c>
    </row>
    <row r="10" spans="1:6" ht="15" customHeight="1" x14ac:dyDescent="0.3">
      <c r="A10" s="2" t="s">
        <v>525</v>
      </c>
      <c r="D10" t="s">
        <v>292</v>
      </c>
      <c r="E10" t="s">
        <v>538</v>
      </c>
      <c r="F10" t="s">
        <v>4177</v>
      </c>
    </row>
    <row r="11" spans="1:6" ht="15" customHeight="1" x14ac:dyDescent="0.3">
      <c r="A11" s="2" t="s">
        <v>541</v>
      </c>
      <c r="E11" t="s">
        <v>549</v>
      </c>
      <c r="F11" t="s">
        <v>4178</v>
      </c>
    </row>
    <row r="12" spans="1:6" ht="15" customHeight="1" x14ac:dyDescent="0.3">
      <c r="A12" s="2" t="s">
        <v>595</v>
      </c>
      <c r="E12" t="s">
        <v>552</v>
      </c>
    </row>
    <row r="13" spans="1:6" ht="15" customHeight="1" x14ac:dyDescent="0.3">
      <c r="A13" s="2" t="s">
        <v>596</v>
      </c>
      <c r="E13" t="s">
        <v>555</v>
      </c>
    </row>
    <row r="14" spans="1:6" ht="15" customHeight="1" x14ac:dyDescent="0.3">
      <c r="A14" s="2" t="s">
        <v>597</v>
      </c>
      <c r="E14" t="s">
        <v>561</v>
      </c>
    </row>
    <row r="15" spans="1:6" ht="15" customHeight="1" x14ac:dyDescent="0.3">
      <c r="A15" s="2" t="s">
        <v>598</v>
      </c>
      <c r="E15" t="s">
        <v>4179</v>
      </c>
    </row>
    <row r="16" spans="1:6" ht="15" customHeight="1" x14ac:dyDescent="0.3">
      <c r="A16" s="2" t="s">
        <v>599</v>
      </c>
      <c r="E16" t="s">
        <v>4180</v>
      </c>
    </row>
    <row r="17" spans="1:6" ht="15" customHeight="1" x14ac:dyDescent="0.3">
      <c r="A17" s="2" t="s">
        <v>546</v>
      </c>
      <c r="E17" t="s">
        <v>4181</v>
      </c>
    </row>
    <row r="18" spans="1:6" ht="15" customHeight="1" x14ac:dyDescent="0.3">
      <c r="A18" s="2" t="s">
        <v>600</v>
      </c>
      <c r="E18" t="s">
        <v>4182</v>
      </c>
    </row>
    <row r="19" spans="1:6" ht="15" customHeight="1" x14ac:dyDescent="0.3">
      <c r="A19" s="2" t="s">
        <v>558</v>
      </c>
    </row>
    <row r="20" spans="1:6" ht="15" customHeight="1" x14ac:dyDescent="0.3">
      <c r="A20" s="2" t="s">
        <v>586</v>
      </c>
      <c r="D20" s="442" t="s">
        <v>4183</v>
      </c>
      <c r="E20" s="442"/>
      <c r="F20" s="442"/>
    </row>
    <row r="21" spans="1:6" ht="15" customHeight="1" x14ac:dyDescent="0.3">
      <c r="A21" s="2" t="s">
        <v>601</v>
      </c>
    </row>
    <row r="22" spans="1:6" ht="15" customHeight="1" x14ac:dyDescent="0.3">
      <c r="A22" s="2" t="s">
        <v>602</v>
      </c>
    </row>
    <row r="23" spans="1:6" ht="15" customHeight="1" x14ac:dyDescent="0.3">
      <c r="A23" s="2" t="s">
        <v>603</v>
      </c>
    </row>
    <row r="24" spans="1:6" ht="15" customHeight="1" x14ac:dyDescent="0.3">
      <c r="A24" s="2" t="s">
        <v>506</v>
      </c>
    </row>
    <row r="25" spans="1:6" ht="15" customHeight="1" x14ac:dyDescent="0.3">
      <c r="A25" s="2" t="s">
        <v>604</v>
      </c>
      <c r="D25" s="475" t="s">
        <v>4184</v>
      </c>
      <c r="E25" s="475"/>
      <c r="F25" s="475"/>
    </row>
    <row r="26" spans="1:6" ht="15" customHeight="1" x14ac:dyDescent="0.3">
      <c r="A26" s="2" t="s">
        <v>605</v>
      </c>
    </row>
    <row r="27" spans="1:6" ht="15" customHeight="1" x14ac:dyDescent="0.3">
      <c r="A27" s="2" t="s">
        <v>606</v>
      </c>
    </row>
    <row r="28" spans="1:6" ht="15" customHeight="1" x14ac:dyDescent="0.3">
      <c r="A28" s="2" t="s">
        <v>607</v>
      </c>
    </row>
    <row r="29" spans="1:6" ht="15" customHeight="1" x14ac:dyDescent="0.3">
      <c r="A29" s="2" t="s">
        <v>608</v>
      </c>
    </row>
    <row r="30" spans="1:6" ht="15" customHeight="1" x14ac:dyDescent="0.3">
      <c r="A30" s="2" t="s">
        <v>500</v>
      </c>
    </row>
    <row r="31" spans="1:6" ht="15" customHeight="1" x14ac:dyDescent="0.3">
      <c r="A31" s="2" t="s">
        <v>609</v>
      </c>
    </row>
    <row r="32" spans="1:6" ht="15" customHeight="1" x14ac:dyDescent="0.3">
      <c r="A32" s="2" t="s">
        <v>610</v>
      </c>
    </row>
    <row r="33" spans="1:1" ht="15" customHeight="1" x14ac:dyDescent="0.3">
      <c r="A33" s="2" t="s">
        <v>611</v>
      </c>
    </row>
    <row r="34" spans="1:1" ht="15" customHeight="1" x14ac:dyDescent="0.3">
      <c r="A34" s="2" t="s">
        <v>612</v>
      </c>
    </row>
    <row r="35" spans="1:1" ht="15" customHeight="1" x14ac:dyDescent="0.3">
      <c r="A35" s="2" t="s">
        <v>613</v>
      </c>
    </row>
    <row r="36" spans="1:1" ht="15" customHeight="1" x14ac:dyDescent="0.3">
      <c r="A36" s="2" t="s">
        <v>535</v>
      </c>
    </row>
    <row r="37" spans="1:1" ht="15" customHeight="1" x14ac:dyDescent="0.3">
      <c r="A37" s="2" t="s">
        <v>614</v>
      </c>
    </row>
    <row r="38" spans="1:1" ht="15" customHeight="1" x14ac:dyDescent="0.3">
      <c r="A38" s="2" t="s">
        <v>615</v>
      </c>
    </row>
    <row r="39" spans="1:1" ht="15" customHeight="1" x14ac:dyDescent="0.3">
      <c r="A39" s="2" t="s">
        <v>616</v>
      </c>
    </row>
    <row r="40" spans="1:1" ht="15" customHeight="1" x14ac:dyDescent="0.3">
      <c r="A40" s="2" t="s">
        <v>617</v>
      </c>
    </row>
    <row r="41" spans="1:1" ht="15" customHeight="1" x14ac:dyDescent="0.3">
      <c r="A41" s="2" t="s">
        <v>618</v>
      </c>
    </row>
    <row r="42" spans="1:1" ht="15" customHeight="1" x14ac:dyDescent="0.3">
      <c r="A42" s="2" t="s">
        <v>619</v>
      </c>
    </row>
    <row r="43" spans="1:1" ht="15" customHeight="1" x14ac:dyDescent="0.3">
      <c r="A43" s="2" t="s">
        <v>620</v>
      </c>
    </row>
    <row r="44" spans="1:1" ht="15" customHeight="1" x14ac:dyDescent="0.3">
      <c r="A44" s="2" t="s">
        <v>621</v>
      </c>
    </row>
    <row r="45" spans="1:1" ht="15" customHeight="1" x14ac:dyDescent="0.3">
      <c r="A45" s="2" t="s">
        <v>622</v>
      </c>
    </row>
    <row r="46" spans="1:1" ht="15" customHeight="1" x14ac:dyDescent="0.3">
      <c r="A46" s="2" t="s">
        <v>623</v>
      </c>
    </row>
    <row r="47" spans="1:1" ht="15" customHeight="1" x14ac:dyDescent="0.3">
      <c r="A47" s="2" t="s">
        <v>624</v>
      </c>
    </row>
    <row r="48" spans="1:1" ht="15" customHeight="1" x14ac:dyDescent="0.3">
      <c r="A48" s="2" t="s">
        <v>625</v>
      </c>
    </row>
    <row r="49" spans="1:1" ht="15" customHeight="1" x14ac:dyDescent="0.3">
      <c r="A49" s="2" t="s">
        <v>626</v>
      </c>
    </row>
    <row r="50" spans="1:1" ht="15" customHeight="1" x14ac:dyDescent="0.3">
      <c r="A50" s="2" t="s">
        <v>627</v>
      </c>
    </row>
    <row r="51" spans="1:1" ht="15" customHeight="1" x14ac:dyDescent="0.3">
      <c r="A51" s="2" t="s">
        <v>628</v>
      </c>
    </row>
    <row r="52" spans="1:1" ht="15" customHeight="1" x14ac:dyDescent="0.3">
      <c r="A52" s="2" t="s">
        <v>629</v>
      </c>
    </row>
    <row r="53" spans="1:1" ht="15" customHeight="1" x14ac:dyDescent="0.3">
      <c r="A53" s="2" t="s">
        <v>630</v>
      </c>
    </row>
    <row r="54" spans="1:1" ht="15" customHeight="1" x14ac:dyDescent="0.3">
      <c r="A54" s="2" t="s">
        <v>631</v>
      </c>
    </row>
    <row r="55" spans="1:1" ht="15" customHeight="1" x14ac:dyDescent="0.3">
      <c r="A55" s="2" t="s">
        <v>632</v>
      </c>
    </row>
    <row r="56" spans="1:1" ht="15" customHeight="1" x14ac:dyDescent="0.3">
      <c r="A56" s="2" t="s">
        <v>633</v>
      </c>
    </row>
    <row r="57" spans="1:1" ht="15" customHeight="1" x14ac:dyDescent="0.3">
      <c r="A57" s="2" t="s">
        <v>634</v>
      </c>
    </row>
    <row r="58" spans="1:1" ht="15" customHeight="1" x14ac:dyDescent="0.3">
      <c r="A58" s="2" t="s">
        <v>635</v>
      </c>
    </row>
    <row r="59" spans="1:1" ht="15" customHeight="1" x14ac:dyDescent="0.3">
      <c r="A59" s="2" t="s">
        <v>636</v>
      </c>
    </row>
    <row r="60" spans="1:1" ht="15" customHeight="1" x14ac:dyDescent="0.3">
      <c r="A60" s="2" t="s">
        <v>637</v>
      </c>
    </row>
    <row r="61" spans="1:1" ht="15" customHeight="1" x14ac:dyDescent="0.3">
      <c r="A61" s="2" t="s">
        <v>638</v>
      </c>
    </row>
    <row r="62" spans="1:1" ht="15" customHeight="1" x14ac:dyDescent="0.3">
      <c r="A62" s="2" t="s">
        <v>639</v>
      </c>
    </row>
    <row r="63" spans="1:1" ht="15" customHeight="1" x14ac:dyDescent="0.3">
      <c r="A63" s="2" t="s">
        <v>533</v>
      </c>
    </row>
    <row r="64" spans="1:1" ht="15" customHeight="1" x14ac:dyDescent="0.3">
      <c r="A64" s="2" t="s">
        <v>640</v>
      </c>
    </row>
    <row r="65" spans="1:1" ht="15" customHeight="1" x14ac:dyDescent="0.3">
      <c r="A65" s="2" t="s">
        <v>641</v>
      </c>
    </row>
    <row r="66" spans="1:1" ht="15" customHeight="1" x14ac:dyDescent="0.3">
      <c r="A66" s="2" t="s">
        <v>642</v>
      </c>
    </row>
    <row r="67" spans="1:1" ht="15" customHeight="1" x14ac:dyDescent="0.3">
      <c r="A67" s="2" t="s">
        <v>643</v>
      </c>
    </row>
    <row r="68" spans="1:1" ht="15" customHeight="1" x14ac:dyDescent="0.3">
      <c r="A68" s="2" t="s">
        <v>644</v>
      </c>
    </row>
    <row r="69" spans="1:1" ht="15" customHeight="1" x14ac:dyDescent="0.3">
      <c r="A69" s="2" t="s">
        <v>645</v>
      </c>
    </row>
    <row r="70" spans="1:1" ht="15" customHeight="1" x14ac:dyDescent="0.3">
      <c r="A70" s="2" t="s">
        <v>646</v>
      </c>
    </row>
    <row r="71" spans="1:1" ht="15" customHeight="1" x14ac:dyDescent="0.3">
      <c r="A71" s="2" t="s">
        <v>647</v>
      </c>
    </row>
    <row r="72" spans="1:1" ht="15" customHeight="1" x14ac:dyDescent="0.3">
      <c r="A72" s="2" t="s">
        <v>648</v>
      </c>
    </row>
    <row r="73" spans="1:1" ht="15" customHeight="1" x14ac:dyDescent="0.3">
      <c r="A73" s="2" t="s">
        <v>579</v>
      </c>
    </row>
  </sheetData>
  <sheetProtection algorithmName="SHA-512" hashValue="icYHno98jS2DFSVyWNhBNevE0CgfNN4uX554wuXyUeTqsKmWKAUYeftPHljl5n0OPDZ8kMMn1FnlDeILXJs8tQ==" saltValue="wd7D6ZZQ42dfdGBwxYAs5Q==" spinCount="100000" sheet="1"/>
  <mergeCells count="5">
    <mergeCell ref="D25:F25"/>
    <mergeCell ref="A1:F1"/>
    <mergeCell ref="A5:B5"/>
    <mergeCell ref="D5:F5"/>
    <mergeCell ref="D20:F20"/>
  </mergeCells>
  <pageMargins left="0.75" right="0.75" top="1" bottom="1" header="0.511811023622047" footer="0.511811023622047"/>
  <pageSetup paperSize="9" orientation="portrait" horizontalDpi="300" verticalDpi="30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2E13670C3A1CC44A5064406F8CCD185" ma:contentTypeVersion="15" ma:contentTypeDescription="Create a new document." ma:contentTypeScope="" ma:versionID="8c2b85a346f43f39afabb5b7f0766f4a">
  <xsd:schema xmlns:xsd="http://www.w3.org/2001/XMLSchema" xmlns:xs="http://www.w3.org/2001/XMLSchema" xmlns:p="http://schemas.microsoft.com/office/2006/metadata/properties" xmlns:ns2="560d74da-75e6-4a2b-a394-f0f779b504c6" xmlns:ns3="63ed3ee1-3d89-4eab-85d8-b1edcaf37c19" targetNamespace="http://schemas.microsoft.com/office/2006/metadata/properties" ma:root="true" ma:fieldsID="6a7429014cb557a274c739c8662e52ed" ns2:_="" ns3:_="">
    <xsd:import namespace="560d74da-75e6-4a2b-a394-f0f779b504c6"/>
    <xsd:import namespace="63ed3ee1-3d89-4eab-85d8-b1edcaf37c1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0d74da-75e6-4a2b-a394-f0f779b504c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6dd0387f-4577-41fb-adfe-45bfda24fb13"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3ed3ee1-3d89-4eab-85d8-b1edcaf37c1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826577b2-205d-4e3b-952a-b63065427862}" ma:internalName="TaxCatchAll" ma:showField="CatchAllData" ma:web="63ed3ee1-3d89-4eab-85d8-b1edcaf37c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0d74da-75e6-4a2b-a394-f0f779b504c6">
      <Terms xmlns="http://schemas.microsoft.com/office/infopath/2007/PartnerControls"/>
    </lcf76f155ced4ddcb4097134ff3c332f>
    <TaxCatchAll xmlns="63ed3ee1-3d89-4eab-85d8-b1edcaf37c1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D163F8-86DB-4637-AE96-5E5D28B1E4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0d74da-75e6-4a2b-a394-f0f779b504c6"/>
    <ds:schemaRef ds:uri="63ed3ee1-3d89-4eab-85d8-b1edcaf37c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41B5E08-7E3D-429E-AE77-AED4EFE09632}">
  <ds:schemaRefs>
    <ds:schemaRef ds:uri="http://schemas.microsoft.com/office/2006/metadata/properties"/>
    <ds:schemaRef ds:uri="http://schemas.microsoft.com/office/infopath/2007/PartnerControls"/>
    <ds:schemaRef ds:uri="560d74da-75e6-4a2b-a394-f0f779b504c6"/>
    <ds:schemaRef ds:uri="63ed3ee1-3d89-4eab-85d8-b1edcaf37c19"/>
  </ds:schemaRefs>
</ds:datastoreItem>
</file>

<file path=customXml/itemProps3.xml><?xml version="1.0" encoding="utf-8"?>
<ds:datastoreItem xmlns:ds="http://schemas.openxmlformats.org/officeDocument/2006/customXml" ds:itemID="{A9F641F8-DE3D-4F42-912D-B2BC56CAA7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Claude Log</vt:lpstr>
      <vt:lpstr>Instructions</vt:lpstr>
      <vt:lpstr>Dashboard</vt:lpstr>
      <vt:lpstr>Reconciliation</vt:lpstr>
      <vt:lpstr>New_Draw</vt:lpstr>
      <vt:lpstr>Draw_Register</vt:lpstr>
      <vt:lpstr>Inflow_Register</vt:lpstr>
      <vt:lpstr>Budget_Tracker</vt:lpstr>
      <vt:lpstr>Print_View</vt:lpstr>
      <vt:lpstr>Expense_Projection_Models</vt:lpstr>
      <vt:lpstr>Funding_Summary_Models</vt:lpstr>
      <vt:lpstr>AP_Aging</vt:lpstr>
      <vt:lpstr>CAF_BS_APRvsMAR</vt:lpstr>
      <vt:lpstr>BS_GL_CAF</vt:lpstr>
      <vt:lpstr>IPS_BS_121425</vt:lpstr>
      <vt:lpstr>BS_GL_IPS</vt:lpstr>
      <vt:lpstr>Config</vt:lpstr>
      <vt:lpstr>Print_View!Print_Area</vt:lpstr>
      <vt:lpstr>AP_Aging!Print_Titles</vt:lpstr>
      <vt:lpstr>BS_GL_CAF!Print_Titles</vt:lpstr>
      <vt:lpstr>CAF_BS_APRvsMAR!Print_Titles</vt:lpstr>
      <vt:lpstr>IPS_BS_121425!Print_Titles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Sergio Chidichimo</cp:lastModifiedBy>
  <cp:revision>0</cp:revision>
  <dcterms:created xsi:type="dcterms:W3CDTF">2026-01-26T00:42:47Z</dcterms:created>
  <dcterms:modified xsi:type="dcterms:W3CDTF">2026-08-12T23:01:48Z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0x01010062E13670C3A1CC44A5064406F8CCD185</vt:lpwstr>
  </property>
</Properties>
</file>