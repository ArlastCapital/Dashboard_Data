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3137968-FECA-4FCA-8E14-540B3B38964C}" xr6:coauthVersionLast="47" xr6:coauthVersionMax="47" xr10:uidLastSave="{00000000-0000-0000-0000-000000000000}"/>
  <bookViews>
    <workbookView xWindow="19350" yWindow="2505" windowWidth="10140" windowHeight="9930" xr2:uid="{00000000-000D-0000-FFFF-FFFF00000000}"/>
  </bookViews>
  <sheets>
    <sheet name="AVA" sheetId="1" r:id="rId1"/>
    <sheet name="Report Parameters" sheetId="2" r:id="rId2"/>
  </sheets>
  <definedNames>
    <definedName name="_xlnm.Print_Area" localSheetId="1">'Report Parameters'!$A1:$B22</definedName>
    <definedName name="_xlnm.Print_Titles" localSheetId="0">AVA!$6:$6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F20" i="1" s="1"/>
  <c r="O20" i="1"/>
  <c r="C20" i="1" s="1"/>
  <c r="N20" i="1"/>
  <c r="M20" i="1"/>
  <c r="I20" i="1" s="1"/>
  <c r="L20" i="1"/>
  <c r="H20" i="1" s="1"/>
  <c r="K20" i="1"/>
  <c r="E20" i="1"/>
  <c r="D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</calcChain>
</file>

<file path=xl/sharedStrings.xml><?xml version="1.0" encoding="utf-8"?>
<sst xmlns="http://schemas.openxmlformats.org/spreadsheetml/2006/main" count="67" uniqueCount="47">
  <si>
    <t>Projected Occupancy MMR</t>
  </si>
  <si>
    <t>AVA</t>
  </si>
  <si>
    <t>08/17/2026 - 08/23/2026</t>
  </si>
  <si>
    <t>Property</t>
  </si>
  <si>
    <t>Period End</t>
  </si>
  <si>
    <t>Beginning Occupancy</t>
  </si>
  <si>
    <t>Move-ins</t>
  </si>
  <si>
    <t>Move-outs</t>
  </si>
  <si>
    <t>Ending Occupancy</t>
  </si>
  <si>
    <t>Beginning Occupied Units</t>
  </si>
  <si>
    <t>Ending Occupied Units</t>
  </si>
  <si>
    <t>Unit Space Count</t>
  </si>
  <si>
    <t>Summary Row Begin Units</t>
  </si>
  <si>
    <t>Summary Row Begin Occupied Units</t>
  </si>
  <si>
    <t>Summary Row End Occupied Units</t>
  </si>
  <si>
    <t>Summary Row Ending Units</t>
  </si>
  <si>
    <t>Summary Row Begin Occupancy</t>
  </si>
  <si>
    <t>Summary Row End Occupancy</t>
  </si>
  <si>
    <t>Trending Occupancy</t>
  </si>
  <si>
    <t>Report Parameters</t>
  </si>
  <si>
    <t>Report Name</t>
  </si>
  <si>
    <t>Version</t>
  </si>
  <si>
    <t>1.9</t>
  </si>
  <si>
    <t>Property Groups</t>
  </si>
  <si>
    <t>Period</t>
  </si>
  <si>
    <t>Current Week</t>
  </si>
  <si>
    <t>Trailing Periods</t>
  </si>
  <si>
    <t>0</t>
  </si>
  <si>
    <t>Future Periods</t>
  </si>
  <si>
    <t>12</t>
  </si>
  <si>
    <t>Move-ins Based On</t>
  </si>
  <si>
    <t>Unit Rented Status</t>
  </si>
  <si>
    <t>Consider Lease End as Move-Out</t>
  </si>
  <si>
    <t>No</t>
  </si>
  <si>
    <t>Excluded Units</t>
  </si>
  <si>
    <t>Hide</t>
  </si>
  <si>
    <t>Graph Metric</t>
  </si>
  <si>
    <t>Move-Ins Without a Unit</t>
  </si>
  <si>
    <t>Consolidate By</t>
  </si>
  <si>
    <t>Do Not Consolidate</t>
  </si>
  <si>
    <t>Arrange By Property</t>
  </si>
  <si>
    <t>Subtotals</t>
  </si>
  <si>
    <t>Enable Drill-ins</t>
  </si>
  <si>
    <t>Yes</t>
  </si>
  <si>
    <t>Trending Occupancy 1.9 generated</t>
  </si>
  <si>
    <t>08/17/2026 08:22 PM CDT</t>
  </si>
  <si>
    <t xml:space="preserve"> data as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</si>
</sst>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7">
    <font>
      <sz val="11"/>
      <color theme="1"/>
      <name val="Calibri"/>
      <family val="2"/>
      <scheme val="minor"/>
    </font>
    <font>
      <b/>
      <sz val="12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b/>
      <sz val="12"/>
      <name val="sans-serif"/>
    </font>
    <font>
      <b/>
      <sz val="1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0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/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top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0"/>
  <sheetViews>
    <sheetView tabSelected="1" workbookViewId="0">
      <pane ySplit="6" topLeftCell="A7" activePane="bottomLeft" state="frozen"/>
      <selection pane="bottomLeft" activeCell="F8" sqref="F8"/>
    </sheetView>
  </sheetViews>
  <sheetFormatPr defaultRowHeight="15"/>
  <cols>
    <col min="1" max="6" width="13.5703125" customWidth="1"/>
    <col min="7" max="16" width="9" hidden="1" customWidth="1"/>
  </cols>
  <sheetData>
    <row r="2" spans="1:16" ht="15.75">
      <c r="A2" s="1" t="s">
        <v>0</v>
      </c>
    </row>
    <row r="3" spans="1:16">
      <c r="A3" s="2" t="s">
        <v>1</v>
      </c>
    </row>
    <row r="4" spans="1:16">
      <c r="A4" s="2" t="s">
        <v>2</v>
      </c>
    </row>
    <row r="6" spans="1:16" ht="25.5">
      <c r="A6" s="3" t="s">
        <v>3</v>
      </c>
      <c r="B6" s="3" t="s">
        <v>4</v>
      </c>
      <c r="C6" s="4" t="s">
        <v>5</v>
      </c>
      <c r="D6" s="4" t="s">
        <v>6</v>
      </c>
      <c r="E6" s="4" t="s">
        <v>7</v>
      </c>
      <c r="F6" s="4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15</v>
      </c>
      <c r="O6" s="5" t="s">
        <v>16</v>
      </c>
      <c r="P6" s="5" t="s">
        <v>17</v>
      </c>
    </row>
    <row r="7" spans="1:16">
      <c r="A7" s="6" t="s">
        <v>1</v>
      </c>
      <c r="B7" s="7">
        <v>46257</v>
      </c>
      <c r="C7" s="8">
        <f t="shared" ref="C7:C19" si="0">IF(J7 &gt; 0, H7 / J7, 0)</f>
        <v>0.74426605504587151</v>
      </c>
      <c r="D7" s="9">
        <v>12</v>
      </c>
      <c r="E7" s="9">
        <v>3</v>
      </c>
      <c r="F7" s="8">
        <f t="shared" ref="F7:F19" si="1">IF(J7 &gt; 0, I7 / J7, 0)</f>
        <v>0.75458715596330272</v>
      </c>
      <c r="H7" s="10">
        <v>649</v>
      </c>
      <c r="I7" s="10">
        <v>658</v>
      </c>
      <c r="J7" s="10">
        <v>872</v>
      </c>
      <c r="K7" s="10">
        <v>872</v>
      </c>
      <c r="L7" s="10">
        <v>649</v>
      </c>
      <c r="M7" s="10">
        <v>0</v>
      </c>
      <c r="N7" s="10">
        <v>0</v>
      </c>
      <c r="O7" s="10">
        <v>0.74426605504587151</v>
      </c>
      <c r="P7" s="10"/>
    </row>
    <row r="8" spans="1:16">
      <c r="A8" s="6" t="s">
        <v>1</v>
      </c>
      <c r="B8" s="7">
        <v>46264</v>
      </c>
      <c r="C8" s="8">
        <f t="shared" si="0"/>
        <v>0.75458715596330272</v>
      </c>
      <c r="D8" s="9">
        <v>11</v>
      </c>
      <c r="E8" s="9">
        <v>2</v>
      </c>
      <c r="F8" s="8">
        <f t="shared" si="1"/>
        <v>0.76490825688073394</v>
      </c>
      <c r="H8" s="10">
        <v>658</v>
      </c>
      <c r="I8" s="10">
        <v>667</v>
      </c>
      <c r="J8" s="10">
        <v>872</v>
      </c>
      <c r="K8" s="10">
        <v>0</v>
      </c>
      <c r="L8" s="10">
        <v>0</v>
      </c>
      <c r="M8" s="10">
        <v>0</v>
      </c>
      <c r="N8" s="10">
        <v>0</v>
      </c>
      <c r="O8" s="10"/>
      <c r="P8" s="10"/>
    </row>
    <row r="9" spans="1:16">
      <c r="A9" s="6" t="s">
        <v>1</v>
      </c>
      <c r="B9" s="7">
        <v>46271</v>
      </c>
      <c r="C9" s="8">
        <f t="shared" si="0"/>
        <v>0.76490825688073394</v>
      </c>
      <c r="D9" s="9">
        <v>11</v>
      </c>
      <c r="E9" s="9">
        <v>16</v>
      </c>
      <c r="F9" s="8">
        <f t="shared" si="1"/>
        <v>0.75917431192660545</v>
      </c>
      <c r="H9" s="10">
        <v>667</v>
      </c>
      <c r="I9" s="10">
        <v>662</v>
      </c>
      <c r="J9" s="10">
        <v>872</v>
      </c>
      <c r="K9" s="10">
        <v>0</v>
      </c>
      <c r="L9" s="10">
        <v>0</v>
      </c>
      <c r="M9" s="10">
        <v>0</v>
      </c>
      <c r="N9" s="10">
        <v>0</v>
      </c>
      <c r="O9" s="10"/>
      <c r="P9" s="10"/>
    </row>
    <row r="10" spans="1:16">
      <c r="A10" s="6" t="s">
        <v>1</v>
      </c>
      <c r="B10" s="7">
        <v>46278</v>
      </c>
      <c r="C10" s="8">
        <f t="shared" si="0"/>
        <v>0.75917431192660545</v>
      </c>
      <c r="D10" s="9">
        <v>3</v>
      </c>
      <c r="E10" s="9">
        <v>2</v>
      </c>
      <c r="F10" s="8">
        <f t="shared" si="1"/>
        <v>0.76032110091743121</v>
      </c>
      <c r="H10" s="10">
        <v>662</v>
      </c>
      <c r="I10" s="10">
        <v>663</v>
      </c>
      <c r="J10" s="10">
        <v>872</v>
      </c>
      <c r="K10" s="10">
        <v>0</v>
      </c>
      <c r="L10" s="10">
        <v>0</v>
      </c>
      <c r="M10" s="10">
        <v>0</v>
      </c>
      <c r="N10" s="10">
        <v>0</v>
      </c>
      <c r="O10" s="10"/>
      <c r="P10" s="10"/>
    </row>
    <row r="11" spans="1:16">
      <c r="A11" s="6" t="s">
        <v>1</v>
      </c>
      <c r="B11" s="7">
        <v>46285</v>
      </c>
      <c r="C11" s="8">
        <f t="shared" si="0"/>
        <v>0.76032110091743121</v>
      </c>
      <c r="D11" s="9">
        <v>6</v>
      </c>
      <c r="E11" s="9">
        <v>0</v>
      </c>
      <c r="F11" s="8">
        <f t="shared" si="1"/>
        <v>0.76720183486238536</v>
      </c>
      <c r="H11" s="10">
        <v>663</v>
      </c>
      <c r="I11" s="10">
        <v>669</v>
      </c>
      <c r="J11" s="10">
        <v>872</v>
      </c>
      <c r="K11" s="10">
        <v>0</v>
      </c>
      <c r="L11" s="10">
        <v>0</v>
      </c>
      <c r="M11" s="10">
        <v>0</v>
      </c>
      <c r="N11" s="10">
        <v>0</v>
      </c>
      <c r="O11" s="10"/>
      <c r="P11" s="10"/>
    </row>
    <row r="12" spans="1:16">
      <c r="A12" s="6" t="s">
        <v>1</v>
      </c>
      <c r="B12" s="7">
        <v>46292</v>
      </c>
      <c r="C12" s="8">
        <f t="shared" si="0"/>
        <v>0.76720183486238536</v>
      </c>
      <c r="D12" s="9">
        <v>3</v>
      </c>
      <c r="E12" s="9">
        <v>1</v>
      </c>
      <c r="F12" s="8">
        <f t="shared" si="1"/>
        <v>0.76949541284403666</v>
      </c>
      <c r="H12" s="10">
        <v>669</v>
      </c>
      <c r="I12" s="10">
        <v>671</v>
      </c>
      <c r="J12" s="10">
        <v>872</v>
      </c>
      <c r="K12" s="10">
        <v>0</v>
      </c>
      <c r="L12" s="10">
        <v>0</v>
      </c>
      <c r="M12" s="10">
        <v>0</v>
      </c>
      <c r="N12" s="10">
        <v>0</v>
      </c>
      <c r="O12" s="10"/>
      <c r="P12" s="10"/>
    </row>
    <row r="13" spans="1:16">
      <c r="A13" s="6" t="s">
        <v>1</v>
      </c>
      <c r="B13" s="7">
        <v>46299</v>
      </c>
      <c r="C13" s="8">
        <f t="shared" si="0"/>
        <v>0.76949541284403666</v>
      </c>
      <c r="D13" s="9">
        <v>5</v>
      </c>
      <c r="E13" s="9">
        <v>9</v>
      </c>
      <c r="F13" s="8">
        <f t="shared" si="1"/>
        <v>0.76490825688073394</v>
      </c>
      <c r="H13" s="10">
        <v>671</v>
      </c>
      <c r="I13" s="10">
        <v>667</v>
      </c>
      <c r="J13" s="10">
        <v>872</v>
      </c>
      <c r="K13" s="10">
        <v>0</v>
      </c>
      <c r="L13" s="10">
        <v>0</v>
      </c>
      <c r="M13" s="10">
        <v>0</v>
      </c>
      <c r="N13" s="10">
        <v>0</v>
      </c>
      <c r="O13" s="10"/>
      <c r="P13" s="10"/>
    </row>
    <row r="14" spans="1:16">
      <c r="A14" s="6" t="s">
        <v>1</v>
      </c>
      <c r="B14" s="7">
        <v>46306</v>
      </c>
      <c r="C14" s="8">
        <f t="shared" si="0"/>
        <v>0.76490825688073394</v>
      </c>
      <c r="D14" s="9">
        <v>4</v>
      </c>
      <c r="E14" s="9">
        <v>3</v>
      </c>
      <c r="F14" s="8">
        <f t="shared" si="1"/>
        <v>0.76605504587155959</v>
      </c>
      <c r="H14" s="10">
        <v>667</v>
      </c>
      <c r="I14" s="10">
        <v>668</v>
      </c>
      <c r="J14" s="10">
        <v>872</v>
      </c>
      <c r="K14" s="10">
        <v>0</v>
      </c>
      <c r="L14" s="10">
        <v>0</v>
      </c>
      <c r="M14" s="10">
        <v>0</v>
      </c>
      <c r="N14" s="10">
        <v>0</v>
      </c>
      <c r="O14" s="10"/>
      <c r="P14" s="10"/>
    </row>
    <row r="15" spans="1:16">
      <c r="A15" s="6" t="s">
        <v>1</v>
      </c>
      <c r="B15" s="7">
        <v>46313</v>
      </c>
      <c r="C15" s="8">
        <f t="shared" si="0"/>
        <v>0.76605504587155959</v>
      </c>
      <c r="D15" s="9">
        <v>1</v>
      </c>
      <c r="E15" s="9">
        <v>0</v>
      </c>
      <c r="F15" s="8">
        <f t="shared" si="1"/>
        <v>0.76720183486238536</v>
      </c>
      <c r="H15" s="10">
        <v>668</v>
      </c>
      <c r="I15" s="10">
        <v>669</v>
      </c>
      <c r="J15" s="10">
        <v>872</v>
      </c>
      <c r="K15" s="10">
        <v>0</v>
      </c>
      <c r="L15" s="10">
        <v>0</v>
      </c>
      <c r="M15" s="10">
        <v>0</v>
      </c>
      <c r="N15" s="10">
        <v>0</v>
      </c>
      <c r="O15" s="10"/>
      <c r="P15" s="10"/>
    </row>
    <row r="16" spans="1:16">
      <c r="A16" s="6" t="s">
        <v>1</v>
      </c>
      <c r="B16" s="7">
        <v>46320</v>
      </c>
      <c r="C16" s="8">
        <f t="shared" si="0"/>
        <v>0.76720183486238536</v>
      </c>
      <c r="D16" s="9">
        <v>1</v>
      </c>
      <c r="E16" s="9">
        <v>1</v>
      </c>
      <c r="F16" s="8">
        <f t="shared" si="1"/>
        <v>0.76720183486238536</v>
      </c>
      <c r="H16" s="10">
        <v>669</v>
      </c>
      <c r="I16" s="10">
        <v>669</v>
      </c>
      <c r="J16" s="10">
        <v>872</v>
      </c>
      <c r="K16" s="10">
        <v>0</v>
      </c>
      <c r="L16" s="10">
        <v>0</v>
      </c>
      <c r="M16" s="10">
        <v>0</v>
      </c>
      <c r="N16" s="10">
        <v>0</v>
      </c>
      <c r="O16" s="10"/>
      <c r="P16" s="10"/>
    </row>
    <row r="17" spans="1:16">
      <c r="A17" s="6" t="s">
        <v>1</v>
      </c>
      <c r="B17" s="7">
        <v>46327</v>
      </c>
      <c r="C17" s="8">
        <f t="shared" si="0"/>
        <v>0.76720183486238536</v>
      </c>
      <c r="D17" s="9">
        <v>0</v>
      </c>
      <c r="E17" s="9">
        <v>1</v>
      </c>
      <c r="F17" s="8">
        <f t="shared" si="1"/>
        <v>0.76605504587155959</v>
      </c>
      <c r="H17" s="10">
        <v>669</v>
      </c>
      <c r="I17" s="10">
        <v>668</v>
      </c>
      <c r="J17" s="10">
        <v>872</v>
      </c>
      <c r="K17" s="10">
        <v>0</v>
      </c>
      <c r="L17" s="10">
        <v>0</v>
      </c>
      <c r="M17" s="10">
        <v>0</v>
      </c>
      <c r="N17" s="10">
        <v>0</v>
      </c>
      <c r="O17" s="10"/>
      <c r="P17" s="10"/>
    </row>
    <row r="18" spans="1:16">
      <c r="A18" s="6" t="s">
        <v>1</v>
      </c>
      <c r="B18" s="7">
        <v>46334</v>
      </c>
      <c r="C18" s="8">
        <f t="shared" si="0"/>
        <v>0.76605504587155959</v>
      </c>
      <c r="D18" s="9">
        <v>0</v>
      </c>
      <c r="E18" s="9">
        <v>0</v>
      </c>
      <c r="F18" s="8">
        <f t="shared" si="1"/>
        <v>0.76605504587155959</v>
      </c>
      <c r="H18" s="10">
        <v>668</v>
      </c>
      <c r="I18" s="10">
        <v>668</v>
      </c>
      <c r="J18" s="10">
        <v>872</v>
      </c>
      <c r="K18" s="10">
        <v>0</v>
      </c>
      <c r="L18" s="10">
        <v>0</v>
      </c>
      <c r="M18" s="10">
        <v>0</v>
      </c>
      <c r="N18" s="10">
        <v>0</v>
      </c>
      <c r="O18" s="10"/>
      <c r="P18" s="10"/>
    </row>
    <row r="19" spans="1:16">
      <c r="A19" s="6" t="s">
        <v>1</v>
      </c>
      <c r="B19" s="7">
        <v>46341</v>
      </c>
      <c r="C19" s="8">
        <f t="shared" si="0"/>
        <v>0.76605504587155959</v>
      </c>
      <c r="D19" s="9">
        <v>0</v>
      </c>
      <c r="E19" s="9">
        <v>0</v>
      </c>
      <c r="F19" s="8">
        <f t="shared" si="1"/>
        <v>0.76605504587155959</v>
      </c>
      <c r="H19" s="10">
        <v>668</v>
      </c>
      <c r="I19" s="10">
        <v>668</v>
      </c>
      <c r="J19" s="10">
        <v>872</v>
      </c>
      <c r="K19" s="10">
        <v>0</v>
      </c>
      <c r="L19" s="10">
        <v>0</v>
      </c>
      <c r="M19" s="10">
        <v>668</v>
      </c>
      <c r="N19" s="10">
        <v>872</v>
      </c>
      <c r="O19" s="10"/>
      <c r="P19" s="10">
        <v>0.76605504587155959</v>
      </c>
    </row>
    <row r="20" spans="1:16">
      <c r="A20" s="11"/>
      <c r="B20" s="12"/>
      <c r="C20" s="13">
        <f>O20</f>
        <v>0.74426605504587151</v>
      </c>
      <c r="D20" s="14">
        <f>SUM(D7:D19)</f>
        <v>57</v>
      </c>
      <c r="E20" s="14">
        <f>SUM(E7:E19)</f>
        <v>38</v>
      </c>
      <c r="F20" s="13">
        <f>P20</f>
        <v>0.76605504587155959</v>
      </c>
      <c r="H20" s="14">
        <f>L20</f>
        <v>649</v>
      </c>
      <c r="I20" s="14">
        <f>M20</f>
        <v>668</v>
      </c>
      <c r="J20" s="14"/>
      <c r="K20" s="14">
        <f t="shared" ref="K20:P20" si="2">SUM(K7:K19)</f>
        <v>872</v>
      </c>
      <c r="L20" s="14">
        <f t="shared" si="2"/>
        <v>649</v>
      </c>
      <c r="M20" s="14">
        <f t="shared" si="2"/>
        <v>668</v>
      </c>
      <c r="N20" s="14">
        <f t="shared" si="2"/>
        <v>872</v>
      </c>
      <c r="O20" s="14">
        <f t="shared" si="2"/>
        <v>0.74426605504587151</v>
      </c>
      <c r="P20" s="14">
        <f t="shared" si="2"/>
        <v>0.76605504587155959</v>
      </c>
    </row>
  </sheetData>
  <printOptions horizontalCentered="1"/>
  <pageMargins left="0.5" right="0.5" top="0.5" bottom="0.5" header="0.25" footer="0.25"/>
  <pageSetup fitToHeight="0" orientation="portrait" horizontalDpi="4294967295" verticalDpi="4294967295"/>
  <headerFooter>
    <oddHeader>&amp;L Projected Occupancy MMR</oddHeader>
    <oddFooter>&amp;L Page &amp;P of &amp;N &amp;R &amp;ITrending Occupancy 1.9 generated08/17/2026 at 8:22pm CDT&amp;I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/>
  <cols>
    <col min="1" max="1" width="20" customWidth="1"/>
    <col min="2" max="2" width="80" customWidth="1"/>
  </cols>
  <sheetData>
    <row r="1" spans="1:2" ht="15.75">
      <c r="A1" s="17" t="s">
        <v>18</v>
      </c>
      <c r="B1" s="18"/>
    </row>
    <row r="2" spans="1:2" ht="15.75">
      <c r="A2" s="17" t="s">
        <v>19</v>
      </c>
      <c r="B2" s="18"/>
    </row>
    <row r="4" spans="1:2">
      <c r="A4" s="15" t="s">
        <v>20</v>
      </c>
      <c r="B4" s="16" t="s">
        <v>18</v>
      </c>
    </row>
    <row r="5" spans="1:2">
      <c r="A5" s="15" t="s">
        <v>21</v>
      </c>
      <c r="B5" s="16" t="s">
        <v>22</v>
      </c>
    </row>
    <row r="6" spans="1:2">
      <c r="A6" s="15" t="s">
        <v>23</v>
      </c>
      <c r="B6" s="16" t="s">
        <v>1</v>
      </c>
    </row>
    <row r="7" spans="1:2">
      <c r="A7" s="15" t="s">
        <v>24</v>
      </c>
      <c r="B7" s="16" t="s">
        <v>25</v>
      </c>
    </row>
    <row r="8" spans="1:2">
      <c r="A8" s="15" t="s">
        <v>26</v>
      </c>
      <c r="B8" s="16" t="s">
        <v>27</v>
      </c>
    </row>
    <row r="9" spans="1:2">
      <c r="A9" s="15" t="s">
        <v>28</v>
      </c>
      <c r="B9" s="16" t="s">
        <v>29</v>
      </c>
    </row>
    <row r="10" spans="1:2">
      <c r="A10" s="15" t="s">
        <v>30</v>
      </c>
      <c r="B10" s="16" t="s">
        <v>31</v>
      </c>
    </row>
    <row r="11" spans="1:2">
      <c r="A11" s="15" t="s">
        <v>32</v>
      </c>
      <c r="B11" s="16" t="s">
        <v>33</v>
      </c>
    </row>
    <row r="12" spans="1:2">
      <c r="A12" s="15" t="s">
        <v>34</v>
      </c>
      <c r="B12" s="16" t="s">
        <v>35</v>
      </c>
    </row>
    <row r="13" spans="1:2">
      <c r="A13" s="15" t="s">
        <v>36</v>
      </c>
      <c r="B13" s="16" t="s">
        <v>8</v>
      </c>
    </row>
    <row r="14" spans="1:2">
      <c r="A14" s="15" t="s">
        <v>37</v>
      </c>
      <c r="B14" s="16" t="s">
        <v>35</v>
      </c>
    </row>
    <row r="15" spans="1:2">
      <c r="A15" s="15" t="s">
        <v>38</v>
      </c>
      <c r="B15" s="16" t="s">
        <v>39</v>
      </c>
    </row>
    <row r="16" spans="1:2">
      <c r="A16" s="15" t="s">
        <v>40</v>
      </c>
      <c r="B16" s="16" t="s">
        <v>33</v>
      </c>
    </row>
    <row r="17" spans="1:2">
      <c r="A17" s="15" t="s">
        <v>41</v>
      </c>
      <c r="B17" s="16" t="s">
        <v>35</v>
      </c>
    </row>
    <row r="18" spans="1:2">
      <c r="A18" s="15" t="s">
        <v>42</v>
      </c>
      <c r="B18" s="16" t="s">
        <v>43</v>
      </c>
    </row>
    <row r="20" spans="1:2">
      <c r="A20" s="15" t="s">
        <v>44</v>
      </c>
      <c r="B20" s="16" t="s">
        <v>45</v>
      </c>
    </row>
    <row r="21" spans="1:2">
      <c r="A21" s="15" t="s">
        <v>46</v>
      </c>
      <c r="B21" s="16" t="s">
        <v>45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AVA</vt:lpstr>
      <vt:lpstr>Report Parameters</vt:lpstr>
      <vt:lpstr>'Report Parameters'!Print_Area</vt:lpstr>
      <vt:lpstr>AVA!Print_Titles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2026-08-18T01:22:46Z</dcterms:created>
  <dcterms:modified xsi:type="dcterms:W3CDTF">2026-08-18T01:23:44Z</dcterms:modified>
  <cp:category/>
</cp:coreProperties>
</file>