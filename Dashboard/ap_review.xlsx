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rlast-my.sharepoint.com/personal/sergio_arlast_com/Documents/Desktop/AVA_Dashboard/dashboard/public/"/>
    </mc:Choice>
  </mc:AlternateContent>
  <xr:revisionPtr revIDLastSave="0" documentId="8_{EC93A894-E55A-4461-B477-B3C93BCFBC8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va" sheetId="1" r:id="rId1"/>
    <sheet name="Report Parameters" sheetId="2" r:id="rId2"/>
  </sheets>
  <definedNames>
    <definedName name="_xlnm.Print_Area" localSheetId="1">'Report Parameters'!$A$1:$B$20</definedName>
    <definedName name="_xlnm.Print_Titles" localSheetId="0">Ava!$5:$5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9" i="1" l="1"/>
  <c r="F39" i="1"/>
  <c r="E39" i="1"/>
  <c r="D39" i="1"/>
  <c r="C39" i="1"/>
  <c r="B39" i="1"/>
</calcChain>
</file>

<file path=xl/sharedStrings.xml><?xml version="1.0" encoding="utf-8"?>
<sst xmlns="http://schemas.openxmlformats.org/spreadsheetml/2006/main" count="76" uniqueCount="67">
  <si>
    <t>AP Aging</t>
  </si>
  <si>
    <t>AVA</t>
  </si>
  <si>
    <t>06/04/2026</t>
  </si>
  <si>
    <t>Vendor</t>
  </si>
  <si>
    <t>Open Balance</t>
  </si>
  <si>
    <t>Current</t>
  </si>
  <si>
    <t>1-30 Days</t>
  </si>
  <si>
    <t>31-60 Days</t>
  </si>
  <si>
    <t>61-90 Days</t>
  </si>
  <si>
    <t>91+ Days</t>
  </si>
  <si>
    <t>Ameristar Screen &amp; Glass</t>
  </si>
  <si>
    <t>Aplus Carpet Cleaning and Services</t>
  </si>
  <si>
    <t>Arizona Air-Scent Inc.</t>
  </si>
  <si>
    <t>Atmos Energy</t>
  </si>
  <si>
    <t>Capital Partners Management, LLC</t>
  </si>
  <si>
    <t>Celeri Labs, Inc</t>
  </si>
  <si>
    <t>Chadwell Supply, Inc.</t>
  </si>
  <si>
    <t>City of Dallas</t>
  </si>
  <si>
    <t>Clear Evaluations</t>
  </si>
  <si>
    <t>Foundation Specialists, Inc.</t>
  </si>
  <si>
    <t>Gold Landscape, LLC</t>
  </si>
  <si>
    <t>Handytrac Systems LLC</t>
  </si>
  <si>
    <t>HD Supply Facilities Maintenance</t>
  </si>
  <si>
    <t>KPMG LLP</t>
  </si>
  <si>
    <t>LeaseLock Payment Services, Inc</t>
  </si>
  <si>
    <t>Maintenance Supply HQ DBA Lowe's Pro Supply</t>
  </si>
  <si>
    <t>Make Ready Central</t>
  </si>
  <si>
    <t>Massey Services, Inc</t>
  </si>
  <si>
    <t>Pennybacker Evergreen Partners, LP</t>
  </si>
  <si>
    <t>Possession Partner LLC</t>
  </si>
  <si>
    <t>Rasa Floors, LLC</t>
  </si>
  <si>
    <t>RC Housekeeping Services</t>
  </si>
  <si>
    <t>Redi Carpet - Dallas, Texas</t>
  </si>
  <si>
    <t>Renovations Services</t>
  </si>
  <si>
    <t>Rentable</t>
  </si>
  <si>
    <t>Texas Apartment Locating</t>
  </si>
  <si>
    <t>the copier guy</t>
  </si>
  <si>
    <t>TXU Electric</t>
  </si>
  <si>
    <t>UG Management LLC</t>
  </si>
  <si>
    <t>Verified Response Security &amp; Investigations</t>
  </si>
  <si>
    <t>Waterproofing &amp; Constructions Solutions LLC, DBA LSR Multifamily</t>
  </si>
  <si>
    <t>W Partnership</t>
  </si>
  <si>
    <t>AVA Total:</t>
  </si>
  <si>
    <t>Report Parameters</t>
  </si>
  <si>
    <t>Report Name</t>
  </si>
  <si>
    <t>Version</t>
  </si>
  <si>
    <t>Property Groups</t>
  </si>
  <si>
    <t>Period</t>
  </si>
  <si>
    <t>Vendors</t>
  </si>
  <si>
    <t>All</t>
  </si>
  <si>
    <t>Include Resident Refunds</t>
  </si>
  <si>
    <t>Yes</t>
  </si>
  <si>
    <t>Invoice Type</t>
  </si>
  <si>
    <t>Consolidate By</t>
  </si>
  <si>
    <t>Do Not Consolidate</t>
  </si>
  <si>
    <t>Arrange By Property</t>
  </si>
  <si>
    <t>No</t>
  </si>
  <si>
    <t>Summarize By</t>
  </si>
  <si>
    <t>Invoice Details</t>
  </si>
  <si>
    <t>Hide</t>
  </si>
  <si>
    <t>Age Invoices By</t>
  </si>
  <si>
    <t>Due Date</t>
  </si>
  <si>
    <t>Include Reimbursement Invoices</t>
  </si>
  <si>
    <t>Approved for Payment Invoices Only</t>
  </si>
  <si>
    <t>AP Aging 2.6 generated</t>
  </si>
  <si>
    <t>06/04/2026 01:52 PM CDT</t>
  </si>
  <si>
    <t xml:space="preserve"> data as 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</si>
</sst>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"/>
  </numFmts>
  <fonts count="6">
    <font>
      <sz val="11"/>
      <color rgb="FF000000"/>
      <name val="Calibri"/>
    </font>
    <font>
      <b/>
      <sz val="12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12"/>
      <color rgb="FF000000"/>
      <name val="sans-serif"/>
    </font>
    <font>
      <b/>
      <sz val="10"/>
      <color rgb="FF000000"/>
      <name val="sans-serif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 applyAlignment="1">
      <alignment horizontal="left" vertical="center" wrapText="1"/>
    </xf>
    <xf numFmtId="164" fontId="3" fillId="2" borderId="0" xfId="0" applyNumberFormat="1" applyFont="1" applyFill="1" applyAlignment="1">
      <alignment horizontal="right" vertical="center" wrapText="1"/>
    </xf>
    <xf numFmtId="49" fontId="3" fillId="0" borderId="0" xfId="0" applyNumberFormat="1" applyFont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right" vertical="top"/>
    </xf>
    <xf numFmtId="0" fontId="0" fillId="0" borderId="0" xfId="0" applyAlignment="1">
      <alignment horizontal="left" wrapText="1"/>
    </xf>
    <xf numFmtId="0" fontId="4" fillId="0" borderId="0" xfId="0" applyFont="1" applyAlignment="1">
      <alignment horizontal="left"/>
    </xf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L39"/>
  <sheetViews>
    <sheetView tabSelected="1" workbookViewId="0">
      <pane ySplit="6" topLeftCell="A7" activePane="bottomLeft" state="frozen"/>
      <selection pane="bottomLeft" activeCell="G7" sqref="G7:G38"/>
    </sheetView>
  </sheetViews>
  <sheetFormatPr defaultRowHeight="14.5"/>
  <cols>
    <col min="1" max="1" width="7.81640625" customWidth="1"/>
    <col min="2" max="7" width="10" customWidth="1"/>
    <col min="9" max="18" width="9.08984375" hidden="1"/>
    <col min="25" max="38" width="9.08984375" hidden="1"/>
  </cols>
  <sheetData>
    <row r="2" spans="1:7" ht="15.5">
      <c r="A2" s="1" t="s">
        <v>0</v>
      </c>
    </row>
    <row r="3" spans="1:7">
      <c r="A3" s="2" t="s">
        <v>1</v>
      </c>
    </row>
    <row r="4" spans="1:7">
      <c r="A4" s="2" t="s">
        <v>2</v>
      </c>
    </row>
    <row r="6" spans="1:7" ht="26">
      <c r="A6" s="3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</row>
    <row r="7" spans="1:7">
      <c r="A7" s="2" t="s">
        <v>10</v>
      </c>
      <c r="B7" s="7">
        <v>2267.84</v>
      </c>
      <c r="C7" s="7">
        <v>1094.03</v>
      </c>
      <c r="D7" s="7">
        <v>673.87</v>
      </c>
      <c r="E7" s="7">
        <v>499.94</v>
      </c>
      <c r="F7" s="7">
        <v>0</v>
      </c>
      <c r="G7" s="7">
        <v>0</v>
      </c>
    </row>
    <row r="8" spans="1:7">
      <c r="A8" s="2" t="s">
        <v>11</v>
      </c>
      <c r="B8" s="7">
        <v>58059.44</v>
      </c>
      <c r="C8" s="7">
        <v>0</v>
      </c>
      <c r="D8" s="7">
        <v>23893.040000000001</v>
      </c>
      <c r="E8" s="7">
        <v>33912.79</v>
      </c>
      <c r="F8" s="7">
        <v>253.61</v>
      </c>
      <c r="G8" s="7">
        <v>0</v>
      </c>
    </row>
    <row r="9" spans="1:7">
      <c r="A9" s="2" t="s">
        <v>12</v>
      </c>
      <c r="B9" s="7">
        <v>798.9</v>
      </c>
      <c r="C9" s="7">
        <v>0</v>
      </c>
      <c r="D9" s="7">
        <v>399.45</v>
      </c>
      <c r="E9" s="7">
        <v>0</v>
      </c>
      <c r="F9" s="7">
        <v>399.45</v>
      </c>
      <c r="G9" s="7">
        <v>0</v>
      </c>
    </row>
    <row r="10" spans="1:7">
      <c r="A10" s="2" t="s">
        <v>13</v>
      </c>
      <c r="B10" s="7">
        <v>10071</v>
      </c>
      <c r="C10" s="7">
        <v>0</v>
      </c>
      <c r="D10" s="7">
        <v>2233.7800000000002</v>
      </c>
      <c r="E10" s="7">
        <v>1015.59</v>
      </c>
      <c r="F10" s="7">
        <v>0</v>
      </c>
      <c r="G10" s="7">
        <v>6821.63</v>
      </c>
    </row>
    <row r="11" spans="1:7">
      <c r="A11" s="2" t="s">
        <v>14</v>
      </c>
      <c r="B11" s="7">
        <v>2982.15</v>
      </c>
      <c r="C11" s="7">
        <v>0</v>
      </c>
      <c r="D11" s="7">
        <v>0</v>
      </c>
      <c r="E11" s="7">
        <v>2982.15</v>
      </c>
      <c r="F11" s="7">
        <v>0</v>
      </c>
      <c r="G11" s="7">
        <v>0</v>
      </c>
    </row>
    <row r="12" spans="1:7">
      <c r="A12" s="2" t="s">
        <v>15</v>
      </c>
      <c r="B12" s="7">
        <v>3273.6</v>
      </c>
      <c r="C12" s="7">
        <v>0</v>
      </c>
      <c r="D12" s="7">
        <v>1091.2</v>
      </c>
      <c r="E12" s="7">
        <v>1091.2</v>
      </c>
      <c r="F12" s="7">
        <v>1091.2</v>
      </c>
      <c r="G12" s="7">
        <v>0</v>
      </c>
    </row>
    <row r="13" spans="1:7">
      <c r="A13" s="2" t="s">
        <v>16</v>
      </c>
      <c r="B13" s="7">
        <v>4508.96</v>
      </c>
      <c r="C13" s="7">
        <v>0</v>
      </c>
      <c r="D13" s="7">
        <v>4508.96</v>
      </c>
      <c r="E13" s="7">
        <v>0</v>
      </c>
      <c r="F13" s="7">
        <v>0</v>
      </c>
      <c r="G13" s="7">
        <v>0</v>
      </c>
    </row>
    <row r="14" spans="1:7">
      <c r="A14" s="2" t="s">
        <v>17</v>
      </c>
      <c r="B14" s="7">
        <v>86080.53</v>
      </c>
      <c r="C14" s="7">
        <v>0</v>
      </c>
      <c r="D14" s="7">
        <v>37746.58</v>
      </c>
      <c r="E14" s="7">
        <v>0</v>
      </c>
      <c r="F14" s="7">
        <v>0</v>
      </c>
      <c r="G14" s="7">
        <v>48333.95</v>
      </c>
    </row>
    <row r="15" spans="1:7">
      <c r="A15" s="2" t="s">
        <v>18</v>
      </c>
      <c r="B15" s="7">
        <v>400</v>
      </c>
      <c r="C15" s="7">
        <v>0</v>
      </c>
      <c r="D15" s="7">
        <v>200</v>
      </c>
      <c r="E15" s="7">
        <v>200</v>
      </c>
      <c r="F15" s="7">
        <v>0</v>
      </c>
      <c r="G15" s="7">
        <v>0</v>
      </c>
    </row>
    <row r="16" spans="1:7">
      <c r="A16" s="2" t="s">
        <v>19</v>
      </c>
      <c r="B16" s="7">
        <v>750</v>
      </c>
      <c r="C16" s="7">
        <v>0</v>
      </c>
      <c r="D16" s="7">
        <v>0</v>
      </c>
      <c r="E16" s="7">
        <v>750</v>
      </c>
      <c r="F16" s="7">
        <v>0</v>
      </c>
      <c r="G16" s="7">
        <v>0</v>
      </c>
    </row>
    <row r="17" spans="1:7">
      <c r="A17" s="2" t="s">
        <v>20</v>
      </c>
      <c r="B17" s="7">
        <v>30845.84</v>
      </c>
      <c r="C17" s="7">
        <v>0</v>
      </c>
      <c r="D17" s="7">
        <v>10494.84</v>
      </c>
      <c r="E17" s="7">
        <v>10175.5</v>
      </c>
      <c r="F17" s="7">
        <v>10175.5</v>
      </c>
      <c r="G17" s="7">
        <v>0</v>
      </c>
    </row>
    <row r="18" spans="1:7">
      <c r="A18" s="2" t="s">
        <v>21</v>
      </c>
      <c r="B18" s="7">
        <v>324.75</v>
      </c>
      <c r="C18" s="7">
        <v>0</v>
      </c>
      <c r="D18" s="7">
        <v>64.95</v>
      </c>
      <c r="E18" s="7">
        <v>64.95</v>
      </c>
      <c r="F18" s="7">
        <v>64.95</v>
      </c>
      <c r="G18" s="7">
        <v>129.9</v>
      </c>
    </row>
    <row r="19" spans="1:7">
      <c r="A19" s="2" t="s">
        <v>22</v>
      </c>
      <c r="B19" s="7">
        <v>2892.33</v>
      </c>
      <c r="C19" s="7">
        <v>0</v>
      </c>
      <c r="D19" s="7">
        <v>1927.18</v>
      </c>
      <c r="E19" s="7">
        <v>857.12</v>
      </c>
      <c r="F19" s="7">
        <v>0</v>
      </c>
      <c r="G19" s="7">
        <v>108.03</v>
      </c>
    </row>
    <row r="20" spans="1:7">
      <c r="A20" s="2" t="s">
        <v>23</v>
      </c>
      <c r="B20" s="7">
        <v>12660</v>
      </c>
      <c r="C20" s="7">
        <v>0</v>
      </c>
      <c r="D20" s="7">
        <v>0</v>
      </c>
      <c r="E20" s="7">
        <v>0</v>
      </c>
      <c r="F20" s="7">
        <v>12660</v>
      </c>
      <c r="G20" s="7">
        <v>0</v>
      </c>
    </row>
    <row r="21" spans="1:7">
      <c r="A21" s="2" t="s">
        <v>24</v>
      </c>
      <c r="B21" s="7">
        <v>26267.759999999998</v>
      </c>
      <c r="C21" s="7">
        <v>0</v>
      </c>
      <c r="D21" s="7">
        <v>13330.43</v>
      </c>
      <c r="E21" s="7">
        <v>12937.33</v>
      </c>
      <c r="F21" s="7">
        <v>0</v>
      </c>
      <c r="G21" s="7">
        <v>0</v>
      </c>
    </row>
    <row r="22" spans="1:7">
      <c r="A22" s="2" t="s">
        <v>25</v>
      </c>
      <c r="B22" s="7">
        <v>2837.79</v>
      </c>
      <c r="C22" s="7">
        <v>0</v>
      </c>
      <c r="D22" s="7">
        <v>2837.79</v>
      </c>
      <c r="E22" s="7">
        <v>0</v>
      </c>
      <c r="F22" s="7">
        <v>0</v>
      </c>
      <c r="G22" s="7">
        <v>0</v>
      </c>
    </row>
    <row r="23" spans="1:7">
      <c r="A23" s="2" t="s">
        <v>26</v>
      </c>
      <c r="B23" s="7">
        <v>25400.98</v>
      </c>
      <c r="C23" s="7">
        <v>0</v>
      </c>
      <c r="D23" s="7">
        <v>0</v>
      </c>
      <c r="E23" s="7">
        <v>0</v>
      </c>
      <c r="F23" s="7">
        <v>0</v>
      </c>
      <c r="G23" s="7">
        <v>25400.98</v>
      </c>
    </row>
    <row r="24" spans="1:7">
      <c r="A24" s="2" t="s">
        <v>27</v>
      </c>
      <c r="B24" s="7">
        <v>2844.83</v>
      </c>
      <c r="C24" s="7">
        <v>0</v>
      </c>
      <c r="D24" s="7">
        <v>0</v>
      </c>
      <c r="E24" s="7">
        <v>487.14</v>
      </c>
      <c r="F24" s="7">
        <v>2357.69</v>
      </c>
      <c r="G24" s="7">
        <v>0</v>
      </c>
    </row>
    <row r="25" spans="1:7">
      <c r="A25" s="2" t="s">
        <v>28</v>
      </c>
      <c r="B25" s="7">
        <v>127143</v>
      </c>
      <c r="C25" s="7">
        <v>0</v>
      </c>
      <c r="D25" s="7">
        <v>0</v>
      </c>
      <c r="E25" s="7">
        <v>0</v>
      </c>
      <c r="F25" s="7">
        <v>0</v>
      </c>
      <c r="G25" s="7">
        <v>127143</v>
      </c>
    </row>
    <row r="26" spans="1:7">
      <c r="A26" s="2" t="s">
        <v>29</v>
      </c>
      <c r="B26" s="7">
        <v>15989.72</v>
      </c>
      <c r="C26" s="7">
        <v>0</v>
      </c>
      <c r="D26" s="7">
        <v>15989.72</v>
      </c>
      <c r="E26" s="7">
        <v>0</v>
      </c>
      <c r="F26" s="7">
        <v>0</v>
      </c>
      <c r="G26" s="7">
        <v>0</v>
      </c>
    </row>
    <row r="27" spans="1:7">
      <c r="A27" s="2" t="s">
        <v>30</v>
      </c>
      <c r="B27" s="7">
        <v>1719.58</v>
      </c>
      <c r="C27" s="7">
        <v>0</v>
      </c>
      <c r="D27" s="7">
        <v>0</v>
      </c>
      <c r="E27" s="7">
        <v>0</v>
      </c>
      <c r="F27" s="7">
        <v>0</v>
      </c>
      <c r="G27" s="7">
        <v>1719.58</v>
      </c>
    </row>
    <row r="28" spans="1:7">
      <c r="A28" s="2" t="s">
        <v>31</v>
      </c>
      <c r="B28" s="7">
        <v>3399.07</v>
      </c>
      <c r="C28" s="7">
        <v>0</v>
      </c>
      <c r="D28" s="7">
        <v>0</v>
      </c>
      <c r="E28" s="7">
        <v>1461.39</v>
      </c>
      <c r="F28" s="7">
        <v>1937.68</v>
      </c>
      <c r="G28" s="7">
        <v>0</v>
      </c>
    </row>
    <row r="29" spans="1:7">
      <c r="A29" s="2" t="s">
        <v>32</v>
      </c>
      <c r="B29" s="7">
        <v>17243.97</v>
      </c>
      <c r="C29" s="7">
        <v>0</v>
      </c>
      <c r="D29" s="7">
        <v>12998.67</v>
      </c>
      <c r="E29" s="7">
        <v>4245.3</v>
      </c>
      <c r="F29" s="7">
        <v>0</v>
      </c>
      <c r="G29" s="7">
        <v>0</v>
      </c>
    </row>
    <row r="30" spans="1:7">
      <c r="A30" s="2" t="s">
        <v>33</v>
      </c>
      <c r="B30" s="7">
        <v>3975</v>
      </c>
      <c r="C30" s="7">
        <v>0</v>
      </c>
      <c r="D30" s="7">
        <v>0</v>
      </c>
      <c r="E30" s="7">
        <v>3975</v>
      </c>
      <c r="F30" s="7">
        <v>0</v>
      </c>
      <c r="G30" s="7">
        <v>0</v>
      </c>
    </row>
    <row r="31" spans="1:7">
      <c r="A31" s="2" t="s">
        <v>34</v>
      </c>
      <c r="B31" s="7">
        <v>1885.98</v>
      </c>
      <c r="C31" s="7">
        <v>0</v>
      </c>
      <c r="D31" s="7">
        <v>0</v>
      </c>
      <c r="E31" s="7">
        <v>431.52</v>
      </c>
      <c r="F31" s="7">
        <v>431.52</v>
      </c>
      <c r="G31" s="7">
        <v>1022.94</v>
      </c>
    </row>
    <row r="32" spans="1:7">
      <c r="A32" s="2" t="s">
        <v>35</v>
      </c>
      <c r="B32" s="7">
        <v>439</v>
      </c>
      <c r="C32" s="7">
        <v>0</v>
      </c>
      <c r="D32" s="7">
        <v>439</v>
      </c>
      <c r="E32" s="7">
        <v>0</v>
      </c>
      <c r="F32" s="7">
        <v>0</v>
      </c>
      <c r="G32" s="7">
        <v>0</v>
      </c>
    </row>
    <row r="33" spans="1:7">
      <c r="A33" s="2" t="s">
        <v>36</v>
      </c>
      <c r="B33" s="7">
        <v>357.22</v>
      </c>
      <c r="C33" s="7">
        <v>0</v>
      </c>
      <c r="D33" s="7">
        <v>0</v>
      </c>
      <c r="E33" s="7">
        <v>178.61</v>
      </c>
      <c r="F33" s="7">
        <v>178.61</v>
      </c>
      <c r="G33" s="7">
        <v>0</v>
      </c>
    </row>
    <row r="34" spans="1:7">
      <c r="A34" s="2" t="s">
        <v>37</v>
      </c>
      <c r="B34" s="7">
        <v>77343.37</v>
      </c>
      <c r="C34" s="7">
        <v>0</v>
      </c>
      <c r="D34" s="7">
        <v>2250.65</v>
      </c>
      <c r="E34" s="7">
        <v>2839.91</v>
      </c>
      <c r="F34" s="7">
        <v>0</v>
      </c>
      <c r="G34" s="7">
        <v>72252.81</v>
      </c>
    </row>
    <row r="35" spans="1:7">
      <c r="A35" s="2" t="s">
        <v>38</v>
      </c>
      <c r="B35" s="7">
        <v>20000</v>
      </c>
      <c r="C35" s="7">
        <v>0</v>
      </c>
      <c r="D35" s="7">
        <v>0</v>
      </c>
      <c r="E35" s="7">
        <v>0</v>
      </c>
      <c r="F35" s="7">
        <v>0</v>
      </c>
      <c r="G35" s="7">
        <v>20000</v>
      </c>
    </row>
    <row r="36" spans="1:7">
      <c r="A36" s="2" t="s">
        <v>39</v>
      </c>
      <c r="B36" s="7">
        <v>8660</v>
      </c>
      <c r="C36" s="7">
        <v>0</v>
      </c>
      <c r="D36" s="7">
        <v>4330</v>
      </c>
      <c r="E36" s="7">
        <v>0</v>
      </c>
      <c r="F36" s="7">
        <v>4330</v>
      </c>
      <c r="G36" s="7">
        <v>0</v>
      </c>
    </row>
    <row r="37" spans="1:7">
      <c r="A37" s="2" t="s">
        <v>40</v>
      </c>
      <c r="B37" s="7">
        <v>8250</v>
      </c>
      <c r="C37" s="7">
        <v>0</v>
      </c>
      <c r="D37" s="7">
        <v>500</v>
      </c>
      <c r="E37" s="7">
        <v>7500</v>
      </c>
      <c r="F37" s="7">
        <v>250</v>
      </c>
      <c r="G37" s="7">
        <v>0</v>
      </c>
    </row>
    <row r="38" spans="1:7">
      <c r="A38" s="2" t="s">
        <v>41</v>
      </c>
      <c r="B38" s="7">
        <v>13175</v>
      </c>
      <c r="C38" s="7">
        <v>0</v>
      </c>
      <c r="D38" s="7">
        <v>0</v>
      </c>
      <c r="E38" s="7">
        <v>0</v>
      </c>
      <c r="F38" s="7">
        <v>0</v>
      </c>
      <c r="G38" s="7">
        <v>13175</v>
      </c>
    </row>
    <row r="39" spans="1:7">
      <c r="A39" s="5" t="s">
        <v>42</v>
      </c>
      <c r="B39" s="6">
        <f t="shared" ref="B39:G39" si="0">SUM(B7:B38)</f>
        <v>572847.61</v>
      </c>
      <c r="C39" s="6">
        <f t="shared" si="0"/>
        <v>1094.03</v>
      </c>
      <c r="D39" s="6">
        <f t="shared" si="0"/>
        <v>135910.10999999999</v>
      </c>
      <c r="E39" s="6">
        <f t="shared" si="0"/>
        <v>85605.440000000017</v>
      </c>
      <c r="F39" s="6">
        <f t="shared" si="0"/>
        <v>34130.21</v>
      </c>
      <c r="G39" s="6">
        <f t="shared" si="0"/>
        <v>316107.81999999995</v>
      </c>
    </row>
  </sheetData>
  <printOptions horizontalCentered="1"/>
  <pageMargins left="0.5" right="0.5" top="0.5" bottom="0.5" header="0.25" footer="0.25"/>
  <pageSetup fitToHeight="0" orientation="landscape"/>
  <headerFooter>
    <oddHeader>&amp;L AP Aging</oddHeader>
    <oddFooter>&amp;L Page &amp;P of &amp;N &amp;R &amp;I AP Aging 2.6 generated06/04/2026 at 1:52pm CDT&amp;I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20"/>
  <sheetViews>
    <sheetView workbookViewId="0">
      <selection activeCell="B20" sqref="B20"/>
    </sheetView>
  </sheetViews>
  <sheetFormatPr defaultRowHeight="14.5"/>
  <cols>
    <col min="1" max="1" width="20" customWidth="1"/>
    <col min="2" max="2" width="80" customWidth="1"/>
  </cols>
  <sheetData>
    <row r="1" spans="1:2" ht="15.5">
      <c r="A1" s="10" t="s">
        <v>0</v>
      </c>
      <c r="B1" s="11"/>
    </row>
    <row r="2" spans="1:2" ht="15.5">
      <c r="A2" s="10" t="s">
        <v>43</v>
      </c>
      <c r="B2" s="11"/>
    </row>
    <row r="4" spans="1:2">
      <c r="A4" s="8" t="s">
        <v>44</v>
      </c>
      <c r="B4" s="9" t="s">
        <v>0</v>
      </c>
    </row>
    <row r="5" spans="1:2">
      <c r="A5" s="8" t="s">
        <v>45</v>
      </c>
      <c r="B5" s="9">
        <v>2.6</v>
      </c>
    </row>
    <row r="6" spans="1:2">
      <c r="A6" s="8" t="s">
        <v>46</v>
      </c>
      <c r="B6" s="9" t="s">
        <v>1</v>
      </c>
    </row>
    <row r="7" spans="1:2">
      <c r="A7" s="8" t="s">
        <v>47</v>
      </c>
      <c r="B7" s="9" t="s">
        <v>2</v>
      </c>
    </row>
    <row r="8" spans="1:2">
      <c r="A8" s="8" t="s">
        <v>48</v>
      </c>
      <c r="B8" s="9" t="s">
        <v>49</v>
      </c>
    </row>
    <row r="9" spans="1:2">
      <c r="A9" s="8" t="s">
        <v>50</v>
      </c>
      <c r="B9" s="9" t="s">
        <v>51</v>
      </c>
    </row>
    <row r="10" spans="1:2">
      <c r="A10" s="8" t="s">
        <v>52</v>
      </c>
      <c r="B10" s="9" t="s">
        <v>49</v>
      </c>
    </row>
    <row r="11" spans="1:2">
      <c r="A11" s="8" t="s">
        <v>53</v>
      </c>
      <c r="B11" s="9" t="s">
        <v>54</v>
      </c>
    </row>
    <row r="12" spans="1:2">
      <c r="A12" s="8" t="s">
        <v>55</v>
      </c>
      <c r="B12" s="9" t="s">
        <v>56</v>
      </c>
    </row>
    <row r="13" spans="1:2">
      <c r="A13" s="8" t="s">
        <v>57</v>
      </c>
      <c r="B13" s="9" t="s">
        <v>3</v>
      </c>
    </row>
    <row r="14" spans="1:2">
      <c r="A14" s="8" t="s">
        <v>58</v>
      </c>
      <c r="B14" s="9" t="s">
        <v>59</v>
      </c>
    </row>
    <row r="15" spans="1:2">
      <c r="A15" s="8" t="s">
        <v>60</v>
      </c>
      <c r="B15" s="9" t="s">
        <v>61</v>
      </c>
    </row>
    <row r="16" spans="1:2">
      <c r="A16" s="8" t="s">
        <v>62</v>
      </c>
      <c r="B16" s="9" t="s">
        <v>56</v>
      </c>
    </row>
    <row r="17" spans="1:2">
      <c r="A17" s="8" t="s">
        <v>63</v>
      </c>
      <c r="B17" s="9" t="s">
        <v>56</v>
      </c>
    </row>
    <row r="19" spans="1:2">
      <c r="A19" s="8" t="s">
        <v>64</v>
      </c>
      <c r="B19" s="9" t="s">
        <v>65</v>
      </c>
    </row>
    <row r="20" spans="1:2">
      <c r="A20" s="8" t="s">
        <v>66</v>
      </c>
      <c r="B20" s="9" t="s">
        <v>65</v>
      </c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Ava</vt:lpstr>
      <vt:lpstr>Report Parameters</vt:lpstr>
      <vt:lpstr>'Report Parameters'!Print_Area</vt:lpstr>
      <vt:lpstr>Ava!Print_Titles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Sergio Chidichimo</cp:lastModifiedBy>
  <dcterms:created xsi:type="dcterms:W3CDTF">2026-06-04T18:53:11Z</dcterms:created>
  <dcterms:modified xsi:type="dcterms:W3CDTF">2026-06-04T18:54:10Z</dcterms:modified>
  <cp:category/>
</cp:coreProperties>
</file>