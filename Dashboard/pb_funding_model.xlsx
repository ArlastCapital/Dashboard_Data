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rlast.sharepoint.com/sites/ArdisiaResidential/Shared Documents/AVA/PB_Funding_Models/"/>
    </mc:Choice>
  </mc:AlternateContent>
  <xr:revisionPtr revIDLastSave="14" documentId="8_{612C2C80-7984-4D97-9040-D3C1DF78A274}" xr6:coauthVersionLast="47" xr6:coauthVersionMax="47" xr10:uidLastSave="{8A6A85A2-EBF1-46DB-9FC6-E2F3CFF69D02}"/>
  <bookViews>
    <workbookView xWindow="28695" yWindow="0" windowWidth="29010" windowHeight="15585" tabRatio="500" activeTab="1" xr2:uid="{00000000-000D-0000-FFFF-FFFF00000000}"/>
  </bookViews>
  <sheets>
    <sheet name="Cover" sheetId="1" r:id="rId1"/>
    <sheet name="Dashboard" sheetId="2" r:id="rId2"/>
    <sheet name="Assumptions" sheetId="5" r:id="rId3"/>
    <sheet name="Action Items" sheetId="6" r:id="rId4"/>
    <sheet name="2025 vs 2026" sheetId="3" r:id="rId5"/>
    <sheet name="Cash Burn" sheetId="4" r:id="rId6"/>
    <sheet name="Draw Model Recon" sheetId="7" r:id="rId7"/>
    <sheet name="Uses Detail" sheetId="8" r:id="rId8"/>
    <sheet name="Capex Run Rate" sheetId="9" r:id="rId9"/>
    <sheet name="Operating Actuals" sheetId="10" r:id="rId10"/>
    <sheet name="Model - Conservative" sheetId="11" r:id="rId11"/>
    <sheet name="Model - Expected" sheetId="12" r:id="rId12"/>
    <sheet name="Model - Recovery" sheetId="13" r:id="rId13"/>
    <sheet name="Model - Custom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7" l="1"/>
  <c r="C61" i="14"/>
  <c r="J59" i="14"/>
  <c r="I59" i="14"/>
  <c r="H59" i="14"/>
  <c r="G59" i="14"/>
  <c r="C58" i="14"/>
  <c r="C54" i="14"/>
  <c r="T51" i="14"/>
  <c r="T48" i="14"/>
  <c r="T47" i="14"/>
  <c r="J37" i="14"/>
  <c r="I37" i="14"/>
  <c r="H37" i="14"/>
  <c r="G37" i="14"/>
  <c r="F37" i="14"/>
  <c r="E37" i="14"/>
  <c r="D37" i="14"/>
  <c r="C37" i="14"/>
  <c r="K37" i="14" s="1"/>
  <c r="J36" i="14"/>
  <c r="I36" i="14"/>
  <c r="H36" i="14"/>
  <c r="G36" i="14"/>
  <c r="F36" i="14"/>
  <c r="E36" i="14"/>
  <c r="D36" i="14"/>
  <c r="C36" i="14"/>
  <c r="K36" i="14" s="1"/>
  <c r="J35" i="14"/>
  <c r="I35" i="14"/>
  <c r="H35" i="14"/>
  <c r="G35" i="14"/>
  <c r="F35" i="14"/>
  <c r="E35" i="14"/>
  <c r="D35" i="14"/>
  <c r="C35" i="14"/>
  <c r="K35" i="14" s="1"/>
  <c r="J33" i="14"/>
  <c r="I33" i="14"/>
  <c r="H33" i="14"/>
  <c r="G33" i="14"/>
  <c r="F33" i="14"/>
  <c r="E33" i="14"/>
  <c r="D33" i="14"/>
  <c r="C33" i="14"/>
  <c r="J31" i="14"/>
  <c r="I31" i="14"/>
  <c r="H31" i="14"/>
  <c r="G31" i="14"/>
  <c r="F31" i="14"/>
  <c r="E31" i="14"/>
  <c r="D31" i="14"/>
  <c r="C31" i="14"/>
  <c r="J30" i="14"/>
  <c r="I30" i="14"/>
  <c r="H30" i="14"/>
  <c r="G30" i="14"/>
  <c r="F30" i="14"/>
  <c r="E30" i="14"/>
  <c r="D30" i="14"/>
  <c r="C30" i="14"/>
  <c r="K30" i="14" s="1"/>
  <c r="J29" i="14"/>
  <c r="K29" i="14" s="1"/>
  <c r="I29" i="14"/>
  <c r="H29" i="14"/>
  <c r="G29" i="14"/>
  <c r="F29" i="14"/>
  <c r="E29" i="14"/>
  <c r="D29" i="14"/>
  <c r="C29" i="14"/>
  <c r="J23" i="14"/>
  <c r="I23" i="14"/>
  <c r="H23" i="14"/>
  <c r="G23" i="14"/>
  <c r="F23" i="14"/>
  <c r="E23" i="14"/>
  <c r="D23" i="14"/>
  <c r="C23" i="14"/>
  <c r="K23" i="14" s="1"/>
  <c r="J22" i="14"/>
  <c r="I22" i="14"/>
  <c r="H22" i="14"/>
  <c r="G22" i="14"/>
  <c r="F22" i="14"/>
  <c r="E22" i="14"/>
  <c r="D22" i="14"/>
  <c r="C22" i="14"/>
  <c r="K22" i="14" s="1"/>
  <c r="J21" i="14"/>
  <c r="I21" i="14"/>
  <c r="H21" i="14"/>
  <c r="G21" i="14"/>
  <c r="F21" i="14"/>
  <c r="E21" i="14"/>
  <c r="D21" i="14"/>
  <c r="C21" i="14"/>
  <c r="K21" i="14" s="1"/>
  <c r="J20" i="14"/>
  <c r="I20" i="14"/>
  <c r="H20" i="14"/>
  <c r="G20" i="14"/>
  <c r="F20" i="14"/>
  <c r="E20" i="14"/>
  <c r="D20" i="14"/>
  <c r="C20" i="14"/>
  <c r="K20" i="14" s="1"/>
  <c r="J19" i="14"/>
  <c r="I19" i="14"/>
  <c r="H19" i="14"/>
  <c r="G19" i="14"/>
  <c r="F19" i="14"/>
  <c r="E19" i="14"/>
  <c r="D19" i="14"/>
  <c r="C19" i="14"/>
  <c r="K19" i="14" s="1"/>
  <c r="J18" i="14"/>
  <c r="I18" i="14"/>
  <c r="H18" i="14"/>
  <c r="G18" i="14"/>
  <c r="F18" i="14"/>
  <c r="E18" i="14"/>
  <c r="D18" i="14"/>
  <c r="C18" i="14"/>
  <c r="K18" i="14" s="1"/>
  <c r="J17" i="14"/>
  <c r="I17" i="14"/>
  <c r="H17" i="14"/>
  <c r="G17" i="14"/>
  <c r="F17" i="14"/>
  <c r="E17" i="14"/>
  <c r="D17" i="14"/>
  <c r="C17" i="14"/>
  <c r="J13" i="14"/>
  <c r="I13" i="14"/>
  <c r="H13" i="14"/>
  <c r="G13" i="14"/>
  <c r="F13" i="14"/>
  <c r="E13" i="14"/>
  <c r="D13" i="14"/>
  <c r="C13" i="14"/>
  <c r="K13" i="14" s="1"/>
  <c r="J11" i="14"/>
  <c r="I11" i="14"/>
  <c r="H11" i="14"/>
  <c r="G11" i="14"/>
  <c r="F11" i="14"/>
  <c r="E11" i="14"/>
  <c r="D11" i="14"/>
  <c r="C11" i="14"/>
  <c r="K11" i="14" s="1"/>
  <c r="J10" i="14"/>
  <c r="I10" i="14"/>
  <c r="H10" i="14"/>
  <c r="G10" i="14"/>
  <c r="F10" i="14"/>
  <c r="E10" i="14"/>
  <c r="D10" i="14"/>
  <c r="C10" i="14"/>
  <c r="K10" i="14" s="1"/>
  <c r="J8" i="14"/>
  <c r="I8" i="14"/>
  <c r="H8" i="14"/>
  <c r="G8" i="14"/>
  <c r="F8" i="14"/>
  <c r="E8" i="14"/>
  <c r="D8" i="14"/>
  <c r="C8" i="14"/>
  <c r="B3" i="14"/>
  <c r="C61" i="13"/>
  <c r="J59" i="13"/>
  <c r="I59" i="13"/>
  <c r="H59" i="13"/>
  <c r="G59" i="13"/>
  <c r="C58" i="13"/>
  <c r="C54" i="13"/>
  <c r="T51" i="13"/>
  <c r="T48" i="13"/>
  <c r="T47" i="13"/>
  <c r="J37" i="13"/>
  <c r="I37" i="13"/>
  <c r="H37" i="13"/>
  <c r="G37" i="13"/>
  <c r="F37" i="13"/>
  <c r="E37" i="13"/>
  <c r="D37" i="13"/>
  <c r="C37" i="13"/>
  <c r="K37" i="13" s="1"/>
  <c r="J36" i="13"/>
  <c r="I36" i="13"/>
  <c r="H36" i="13"/>
  <c r="G36" i="13"/>
  <c r="F36" i="13"/>
  <c r="E36" i="13"/>
  <c r="D36" i="13"/>
  <c r="C36" i="13"/>
  <c r="K36" i="13" s="1"/>
  <c r="J35" i="13"/>
  <c r="I35" i="13"/>
  <c r="H35" i="13"/>
  <c r="G35" i="13"/>
  <c r="F35" i="13"/>
  <c r="F31" i="4" s="1"/>
  <c r="E35" i="13"/>
  <c r="E31" i="4" s="1"/>
  <c r="D35" i="13"/>
  <c r="D31" i="4" s="1"/>
  <c r="C35" i="13"/>
  <c r="J33" i="13"/>
  <c r="I33" i="13"/>
  <c r="H33" i="13"/>
  <c r="G33" i="13"/>
  <c r="F33" i="13"/>
  <c r="E33" i="13"/>
  <c r="D33" i="13"/>
  <c r="C33" i="13"/>
  <c r="J31" i="13"/>
  <c r="I31" i="13"/>
  <c r="H31" i="13"/>
  <c r="G31" i="13"/>
  <c r="F31" i="13"/>
  <c r="F29" i="4" s="1"/>
  <c r="E31" i="13"/>
  <c r="E29" i="4" s="1"/>
  <c r="D31" i="13"/>
  <c r="D29" i="4" s="1"/>
  <c r="C31" i="13"/>
  <c r="J30" i="13"/>
  <c r="I30" i="13"/>
  <c r="H30" i="13"/>
  <c r="G30" i="13"/>
  <c r="F30" i="13"/>
  <c r="E30" i="13"/>
  <c r="D30" i="13"/>
  <c r="C30" i="13"/>
  <c r="K30" i="13" s="1"/>
  <c r="J29" i="13"/>
  <c r="K29" i="13" s="1"/>
  <c r="I29" i="13"/>
  <c r="H29" i="13"/>
  <c r="G29" i="13"/>
  <c r="F29" i="13"/>
  <c r="E29" i="13"/>
  <c r="D29" i="13"/>
  <c r="C29" i="13"/>
  <c r="J23" i="13"/>
  <c r="I23" i="13"/>
  <c r="H23" i="13"/>
  <c r="G23" i="13"/>
  <c r="F23" i="13"/>
  <c r="E23" i="13"/>
  <c r="D23" i="13"/>
  <c r="C23" i="13"/>
  <c r="K23" i="13" s="1"/>
  <c r="J22" i="13"/>
  <c r="I22" i="13"/>
  <c r="H22" i="13"/>
  <c r="G22" i="13"/>
  <c r="F22" i="13"/>
  <c r="E22" i="13"/>
  <c r="D22" i="13"/>
  <c r="C22" i="13"/>
  <c r="K22" i="13" s="1"/>
  <c r="J21" i="13"/>
  <c r="I21" i="13"/>
  <c r="H21" i="13"/>
  <c r="G21" i="13"/>
  <c r="F21" i="13"/>
  <c r="E21" i="13"/>
  <c r="D21" i="13"/>
  <c r="C21" i="13"/>
  <c r="J20" i="13"/>
  <c r="I20" i="13"/>
  <c r="H20" i="13"/>
  <c r="G20" i="13"/>
  <c r="F20" i="13"/>
  <c r="E20" i="13"/>
  <c r="D20" i="13"/>
  <c r="C20" i="13"/>
  <c r="J19" i="13"/>
  <c r="I19" i="13"/>
  <c r="H19" i="13"/>
  <c r="G19" i="13"/>
  <c r="F19" i="13"/>
  <c r="E19" i="13"/>
  <c r="D19" i="13"/>
  <c r="C19" i="13"/>
  <c r="K19" i="13" s="1"/>
  <c r="J18" i="13"/>
  <c r="I18" i="13"/>
  <c r="H18" i="13"/>
  <c r="G18" i="13"/>
  <c r="F18" i="13"/>
  <c r="E18" i="13"/>
  <c r="D18" i="13"/>
  <c r="C18" i="13"/>
  <c r="K18" i="13" s="1"/>
  <c r="J17" i="13"/>
  <c r="I17" i="13"/>
  <c r="H17" i="13"/>
  <c r="G17" i="13"/>
  <c r="F17" i="13"/>
  <c r="E17" i="13"/>
  <c r="D17" i="13"/>
  <c r="C17" i="13"/>
  <c r="K17" i="13" s="1"/>
  <c r="J13" i="13"/>
  <c r="I13" i="13"/>
  <c r="H13" i="13"/>
  <c r="G13" i="13"/>
  <c r="F13" i="13"/>
  <c r="E13" i="13"/>
  <c r="D13" i="13"/>
  <c r="C13" i="13"/>
  <c r="K13" i="13" s="1"/>
  <c r="J11" i="13"/>
  <c r="I11" i="13"/>
  <c r="H11" i="13"/>
  <c r="G11" i="13"/>
  <c r="F11" i="13"/>
  <c r="E11" i="13"/>
  <c r="D11" i="13"/>
  <c r="C11" i="13"/>
  <c r="K11" i="13" s="1"/>
  <c r="J10" i="13"/>
  <c r="I10" i="13"/>
  <c r="H10" i="13"/>
  <c r="G10" i="13"/>
  <c r="F10" i="13"/>
  <c r="E10" i="13"/>
  <c r="D10" i="13"/>
  <c r="C10" i="13"/>
  <c r="K10" i="13" s="1"/>
  <c r="J8" i="13"/>
  <c r="I8" i="13"/>
  <c r="H8" i="13"/>
  <c r="G8" i="13"/>
  <c r="F8" i="13"/>
  <c r="E8" i="13"/>
  <c r="D8" i="13"/>
  <c r="C8" i="13"/>
  <c r="B3" i="13"/>
  <c r="C61" i="12"/>
  <c r="J59" i="12"/>
  <c r="I59" i="12"/>
  <c r="H59" i="12"/>
  <c r="G59" i="12"/>
  <c r="C58" i="12"/>
  <c r="C54" i="12"/>
  <c r="E8" i="2" s="1"/>
  <c r="T51" i="12"/>
  <c r="T48" i="12"/>
  <c r="C13" i="2" s="1"/>
  <c r="T47" i="12"/>
  <c r="C12" i="2" s="1"/>
  <c r="K37" i="12"/>
  <c r="J37" i="12"/>
  <c r="I37" i="12"/>
  <c r="H37" i="12"/>
  <c r="G37" i="12"/>
  <c r="F37" i="12"/>
  <c r="E37" i="12"/>
  <c r="D37" i="12"/>
  <c r="C37" i="12"/>
  <c r="J36" i="12"/>
  <c r="I36" i="12"/>
  <c r="H36" i="12"/>
  <c r="G36" i="12"/>
  <c r="F36" i="12"/>
  <c r="E36" i="12"/>
  <c r="D36" i="12"/>
  <c r="C36" i="12"/>
  <c r="K36" i="12" s="1"/>
  <c r="J35" i="12"/>
  <c r="I35" i="12"/>
  <c r="H35" i="12"/>
  <c r="G35" i="12"/>
  <c r="F35" i="12"/>
  <c r="F24" i="4" s="1"/>
  <c r="E35" i="12"/>
  <c r="E24" i="4" s="1"/>
  <c r="D35" i="12"/>
  <c r="D24" i="4" s="1"/>
  <c r="C35" i="12"/>
  <c r="J33" i="12"/>
  <c r="I33" i="12"/>
  <c r="H33" i="12"/>
  <c r="G33" i="12"/>
  <c r="F33" i="12"/>
  <c r="E33" i="12"/>
  <c r="D33" i="12"/>
  <c r="C33" i="12"/>
  <c r="J31" i="12"/>
  <c r="I31" i="12"/>
  <c r="H31" i="12"/>
  <c r="G31" i="12"/>
  <c r="F31" i="12"/>
  <c r="F22" i="4" s="1"/>
  <c r="E31" i="12"/>
  <c r="E22" i="4" s="1"/>
  <c r="D31" i="12"/>
  <c r="D22" i="4" s="1"/>
  <c r="C31" i="12"/>
  <c r="J30" i="12"/>
  <c r="I30" i="12"/>
  <c r="H30" i="12"/>
  <c r="G30" i="12"/>
  <c r="F30" i="12"/>
  <c r="E30" i="12"/>
  <c r="D30" i="12"/>
  <c r="C30" i="12"/>
  <c r="K30" i="12" s="1"/>
  <c r="J29" i="12"/>
  <c r="K29" i="12" s="1"/>
  <c r="I29" i="12"/>
  <c r="H29" i="12"/>
  <c r="G29" i="12"/>
  <c r="F29" i="12"/>
  <c r="E29" i="12"/>
  <c r="D29" i="12"/>
  <c r="C29" i="12"/>
  <c r="J23" i="12"/>
  <c r="I23" i="12"/>
  <c r="H23" i="12"/>
  <c r="G23" i="12"/>
  <c r="F23" i="12"/>
  <c r="E23" i="12"/>
  <c r="D23" i="12"/>
  <c r="C23" i="12"/>
  <c r="K23" i="12" s="1"/>
  <c r="J22" i="12"/>
  <c r="I22" i="12"/>
  <c r="H22" i="12"/>
  <c r="G22" i="12"/>
  <c r="F22" i="12"/>
  <c r="E22" i="12"/>
  <c r="D22" i="12"/>
  <c r="C22" i="12"/>
  <c r="K22" i="12" s="1"/>
  <c r="J21" i="12"/>
  <c r="I21" i="12"/>
  <c r="H21" i="12"/>
  <c r="G21" i="12"/>
  <c r="F21" i="12"/>
  <c r="E21" i="12"/>
  <c r="D21" i="12"/>
  <c r="C21" i="12"/>
  <c r="K21" i="12" s="1"/>
  <c r="J20" i="12"/>
  <c r="I20" i="12"/>
  <c r="H20" i="12"/>
  <c r="G20" i="12"/>
  <c r="F20" i="12"/>
  <c r="E20" i="12"/>
  <c r="D20" i="12"/>
  <c r="C20" i="12"/>
  <c r="K20" i="12" s="1"/>
  <c r="J19" i="12"/>
  <c r="I19" i="12"/>
  <c r="H19" i="12"/>
  <c r="G19" i="12"/>
  <c r="F19" i="12"/>
  <c r="E19" i="12"/>
  <c r="D19" i="12"/>
  <c r="C19" i="12"/>
  <c r="K19" i="12" s="1"/>
  <c r="J18" i="12"/>
  <c r="I18" i="12"/>
  <c r="H18" i="12"/>
  <c r="G18" i="12"/>
  <c r="F18" i="12"/>
  <c r="E18" i="12"/>
  <c r="D18" i="12"/>
  <c r="C18" i="12"/>
  <c r="K18" i="12" s="1"/>
  <c r="J17" i="12"/>
  <c r="I17" i="12"/>
  <c r="H17" i="12"/>
  <c r="G17" i="12"/>
  <c r="F17" i="12"/>
  <c r="E17" i="12"/>
  <c r="D17" i="12"/>
  <c r="C17" i="12"/>
  <c r="J13" i="12"/>
  <c r="I13" i="12"/>
  <c r="H13" i="12"/>
  <c r="K13" i="12" s="1"/>
  <c r="G13" i="12"/>
  <c r="F13" i="12"/>
  <c r="E13" i="12"/>
  <c r="D13" i="12"/>
  <c r="C13" i="12"/>
  <c r="J11" i="12"/>
  <c r="I11" i="12"/>
  <c r="H11" i="12"/>
  <c r="G11" i="12"/>
  <c r="F11" i="12"/>
  <c r="E11" i="12"/>
  <c r="D11" i="12"/>
  <c r="C11" i="12"/>
  <c r="K11" i="12" s="1"/>
  <c r="J10" i="12"/>
  <c r="I10" i="12"/>
  <c r="H10" i="12"/>
  <c r="G10" i="12"/>
  <c r="F10" i="12"/>
  <c r="E10" i="12"/>
  <c r="D10" i="12"/>
  <c r="C10" i="12"/>
  <c r="K10" i="12" s="1"/>
  <c r="J8" i="12"/>
  <c r="I8" i="12"/>
  <c r="H8" i="12"/>
  <c r="G8" i="12"/>
  <c r="F8" i="12"/>
  <c r="E8" i="12"/>
  <c r="D8" i="12"/>
  <c r="C8" i="12"/>
  <c r="B3" i="12"/>
  <c r="C61" i="11"/>
  <c r="J59" i="11"/>
  <c r="I59" i="11"/>
  <c r="H59" i="11"/>
  <c r="G59" i="11"/>
  <c r="C58" i="11"/>
  <c r="C54" i="11"/>
  <c r="T51" i="11"/>
  <c r="T48" i="11"/>
  <c r="T47" i="11"/>
  <c r="C47" i="11"/>
  <c r="J37" i="11"/>
  <c r="I37" i="11"/>
  <c r="H37" i="11"/>
  <c r="G37" i="11"/>
  <c r="F37" i="11"/>
  <c r="E37" i="11"/>
  <c r="D37" i="11"/>
  <c r="C37" i="11"/>
  <c r="K37" i="11" s="1"/>
  <c r="J36" i="11"/>
  <c r="I36" i="11"/>
  <c r="H36" i="11"/>
  <c r="G36" i="11"/>
  <c r="F36" i="11"/>
  <c r="E36" i="11"/>
  <c r="D36" i="11"/>
  <c r="C36" i="11"/>
  <c r="K36" i="11" s="1"/>
  <c r="J35" i="11"/>
  <c r="I35" i="11"/>
  <c r="H35" i="11"/>
  <c r="G35" i="11"/>
  <c r="F35" i="11"/>
  <c r="F17" i="4" s="1"/>
  <c r="E35" i="11"/>
  <c r="E17" i="4" s="1"/>
  <c r="D35" i="11"/>
  <c r="D17" i="4" s="1"/>
  <c r="C35" i="11"/>
  <c r="J33" i="11"/>
  <c r="I33" i="11"/>
  <c r="H33" i="11"/>
  <c r="G33" i="11"/>
  <c r="F33" i="11"/>
  <c r="E33" i="11"/>
  <c r="D33" i="11"/>
  <c r="C33" i="11"/>
  <c r="J31" i="11"/>
  <c r="I31" i="11"/>
  <c r="H31" i="11"/>
  <c r="G31" i="11"/>
  <c r="F31" i="11"/>
  <c r="E31" i="11"/>
  <c r="D31" i="11"/>
  <c r="C31" i="11"/>
  <c r="K31" i="11" s="1"/>
  <c r="J30" i="11"/>
  <c r="I30" i="11"/>
  <c r="H30" i="11"/>
  <c r="G30" i="11"/>
  <c r="F30" i="11"/>
  <c r="E30" i="11"/>
  <c r="D30" i="11"/>
  <c r="C30" i="11"/>
  <c r="K30" i="11" s="1"/>
  <c r="J29" i="11"/>
  <c r="K29" i="11" s="1"/>
  <c r="I29" i="11"/>
  <c r="H29" i="11"/>
  <c r="G29" i="11"/>
  <c r="F29" i="11"/>
  <c r="E29" i="11"/>
  <c r="D29" i="11"/>
  <c r="C29" i="11"/>
  <c r="J23" i="11"/>
  <c r="I23" i="11"/>
  <c r="H23" i="11"/>
  <c r="G23" i="11"/>
  <c r="F23" i="11"/>
  <c r="E23" i="11"/>
  <c r="D23" i="11"/>
  <c r="C23" i="11"/>
  <c r="K23" i="11" s="1"/>
  <c r="J22" i="11"/>
  <c r="I22" i="11"/>
  <c r="H22" i="11"/>
  <c r="G22" i="11"/>
  <c r="F22" i="11"/>
  <c r="E22" i="11"/>
  <c r="D22" i="11"/>
  <c r="C22" i="11"/>
  <c r="K22" i="11" s="1"/>
  <c r="J21" i="11"/>
  <c r="I21" i="11"/>
  <c r="H21" i="11"/>
  <c r="G21" i="11"/>
  <c r="F21" i="11"/>
  <c r="E21" i="11"/>
  <c r="D21" i="11"/>
  <c r="C21" i="11"/>
  <c r="K21" i="11" s="1"/>
  <c r="J20" i="11"/>
  <c r="I20" i="11"/>
  <c r="H20" i="11"/>
  <c r="G20" i="11"/>
  <c r="F20" i="11"/>
  <c r="E20" i="11"/>
  <c r="D20" i="11"/>
  <c r="C20" i="11"/>
  <c r="K20" i="11" s="1"/>
  <c r="J19" i="11"/>
  <c r="I19" i="11"/>
  <c r="H19" i="11"/>
  <c r="G19" i="11"/>
  <c r="F19" i="11"/>
  <c r="E19" i="11"/>
  <c r="D19" i="11"/>
  <c r="C19" i="11"/>
  <c r="K19" i="11" s="1"/>
  <c r="J18" i="11"/>
  <c r="I18" i="11"/>
  <c r="H18" i="11"/>
  <c r="G18" i="11"/>
  <c r="F18" i="11"/>
  <c r="E18" i="11"/>
  <c r="D18" i="11"/>
  <c r="C18" i="11"/>
  <c r="K18" i="11" s="1"/>
  <c r="J17" i="11"/>
  <c r="I17" i="11"/>
  <c r="H17" i="11"/>
  <c r="G17" i="11"/>
  <c r="F17" i="11"/>
  <c r="E17" i="11"/>
  <c r="D17" i="11"/>
  <c r="C17" i="11"/>
  <c r="J13" i="11"/>
  <c r="I13" i="11"/>
  <c r="H13" i="11"/>
  <c r="G13" i="11"/>
  <c r="F13" i="11"/>
  <c r="E13" i="11"/>
  <c r="D13" i="11"/>
  <c r="C13" i="11"/>
  <c r="K13" i="11" s="1"/>
  <c r="J11" i="11"/>
  <c r="I11" i="11"/>
  <c r="H11" i="11"/>
  <c r="G11" i="11"/>
  <c r="F11" i="11"/>
  <c r="E11" i="11"/>
  <c r="D11" i="11"/>
  <c r="C11" i="11"/>
  <c r="K11" i="11" s="1"/>
  <c r="J10" i="11"/>
  <c r="I10" i="11"/>
  <c r="H10" i="11"/>
  <c r="G10" i="11"/>
  <c r="F10" i="11"/>
  <c r="E10" i="11"/>
  <c r="D10" i="11"/>
  <c r="C10" i="11"/>
  <c r="K10" i="11" s="1"/>
  <c r="J9" i="11"/>
  <c r="J12" i="11" s="1"/>
  <c r="J14" i="11" s="1"/>
  <c r="I9" i="11"/>
  <c r="I12" i="11" s="1"/>
  <c r="I14" i="11" s="1"/>
  <c r="H9" i="11"/>
  <c r="H12" i="11" s="1"/>
  <c r="H14" i="11" s="1"/>
  <c r="G9" i="11"/>
  <c r="G12" i="11" s="1"/>
  <c r="G14" i="11" s="1"/>
  <c r="F9" i="11"/>
  <c r="F12" i="11" s="1"/>
  <c r="F14" i="11" s="1"/>
  <c r="E9" i="11"/>
  <c r="E12" i="11" s="1"/>
  <c r="E14" i="11" s="1"/>
  <c r="D9" i="11"/>
  <c r="D12" i="11" s="1"/>
  <c r="D14" i="11" s="1"/>
  <c r="C9" i="11"/>
  <c r="K8" i="11"/>
  <c r="J8" i="11"/>
  <c r="I8" i="11"/>
  <c r="H8" i="11"/>
  <c r="G8" i="11"/>
  <c r="F8" i="11"/>
  <c r="E8" i="11"/>
  <c r="D8" i="11"/>
  <c r="C8" i="11"/>
  <c r="B3" i="11"/>
  <c r="F19" i="8"/>
  <c r="F10" i="6"/>
  <c r="F9" i="6"/>
  <c r="F8" i="6"/>
  <c r="F7" i="6"/>
  <c r="F6" i="6"/>
  <c r="E58" i="5"/>
  <c r="E54" i="5"/>
  <c r="K45" i="5"/>
  <c r="C3" i="9" s="1"/>
  <c r="C40" i="5"/>
  <c r="D6" i="5"/>
  <c r="F15" i="4"/>
  <c r="E15" i="4"/>
  <c r="D15" i="4"/>
  <c r="C15" i="4"/>
  <c r="B23" i="1"/>
  <c r="B22" i="1"/>
  <c r="B21" i="1"/>
  <c r="B20" i="1"/>
  <c r="B19" i="1"/>
  <c r="B18" i="1"/>
  <c r="B17" i="1"/>
  <c r="B16" i="1"/>
  <c r="B15" i="1"/>
  <c r="B14" i="1"/>
  <c r="B13" i="1"/>
  <c r="B12" i="1"/>
  <c r="D45" i="2"/>
  <c r="F42" i="2"/>
  <c r="E42" i="2"/>
  <c r="D42" i="2"/>
  <c r="C42" i="2"/>
  <c r="B2" i="2"/>
  <c r="C47" i="14" l="1"/>
  <c r="K31" i="14"/>
  <c r="K17" i="14"/>
  <c r="J9" i="14"/>
  <c r="J12" i="14" s="1"/>
  <c r="J14" i="14" s="1"/>
  <c r="I9" i="14"/>
  <c r="I12" i="14"/>
  <c r="I14" i="14" s="1"/>
  <c r="H9" i="14"/>
  <c r="H12" i="14"/>
  <c r="H14" i="14" s="1"/>
  <c r="G9" i="14"/>
  <c r="G12" i="14" s="1"/>
  <c r="G14" i="14" s="1"/>
  <c r="F9" i="14"/>
  <c r="F12" i="14" s="1"/>
  <c r="F14" i="14" s="1"/>
  <c r="E9" i="14"/>
  <c r="E12" i="14" s="1"/>
  <c r="E14" i="14" s="1"/>
  <c r="D9" i="14"/>
  <c r="D12" i="14"/>
  <c r="D14" i="14" s="1"/>
  <c r="K8" i="14"/>
  <c r="C9" i="14"/>
  <c r="C31" i="4"/>
  <c r="K35" i="13"/>
  <c r="C29" i="4"/>
  <c r="K31" i="13"/>
  <c r="C47" i="13"/>
  <c r="K21" i="13"/>
  <c r="K20" i="13"/>
  <c r="J9" i="13"/>
  <c r="J12" i="13"/>
  <c r="J14" i="13" s="1"/>
  <c r="I9" i="13"/>
  <c r="I12" i="13" s="1"/>
  <c r="I14" i="13" s="1"/>
  <c r="H9" i="13"/>
  <c r="H12" i="13" s="1"/>
  <c r="H14" i="13" s="1"/>
  <c r="G9" i="13"/>
  <c r="G12" i="13" s="1"/>
  <c r="G14" i="13" s="1"/>
  <c r="F12" i="13"/>
  <c r="F14" i="13" s="1"/>
  <c r="F9" i="13"/>
  <c r="E9" i="13"/>
  <c r="E12" i="13" s="1"/>
  <c r="E14" i="13" s="1"/>
  <c r="D9" i="13"/>
  <c r="D12" i="13" s="1"/>
  <c r="D14" i="13" s="1"/>
  <c r="C9" i="13"/>
  <c r="C12" i="13" s="1"/>
  <c r="K8" i="13"/>
  <c r="K35" i="12"/>
  <c r="C24" i="4"/>
  <c r="C22" i="4"/>
  <c r="C47" i="12"/>
  <c r="K31" i="12"/>
  <c r="K17" i="12"/>
  <c r="J9" i="12"/>
  <c r="J12" i="12" s="1"/>
  <c r="J14" i="12" s="1"/>
  <c r="I9" i="12"/>
  <c r="I12" i="12" s="1"/>
  <c r="I14" i="12" s="1"/>
  <c r="H9" i="12"/>
  <c r="H12" i="12" s="1"/>
  <c r="H14" i="12" s="1"/>
  <c r="G9" i="12"/>
  <c r="G12" i="12"/>
  <c r="G14" i="12" s="1"/>
  <c r="F9" i="12"/>
  <c r="F12" i="12" s="1"/>
  <c r="F14" i="12" s="1"/>
  <c r="E9" i="12"/>
  <c r="E12" i="12" s="1"/>
  <c r="E14" i="12" s="1"/>
  <c r="D9" i="12"/>
  <c r="D12" i="12"/>
  <c r="D14" i="12" s="1"/>
  <c r="C9" i="12"/>
  <c r="K9" i="12" s="1"/>
  <c r="C12" i="12"/>
  <c r="K8" i="12"/>
  <c r="K35" i="11"/>
  <c r="C17" i="4"/>
  <c r="K17" i="11"/>
  <c r="J24" i="11"/>
  <c r="J25" i="11" s="1"/>
  <c r="J26" i="11"/>
  <c r="J32" i="11" s="1"/>
  <c r="J38" i="11" s="1"/>
  <c r="J57" i="11" s="1"/>
  <c r="I24" i="11"/>
  <c r="I25" i="11" s="1"/>
  <c r="I26" i="11"/>
  <c r="I32" i="11" s="1"/>
  <c r="I38" i="11" s="1"/>
  <c r="I57" i="11" s="1"/>
  <c r="H24" i="11"/>
  <c r="H25" i="11" s="1"/>
  <c r="H26" i="11"/>
  <c r="H32" i="11" s="1"/>
  <c r="H38" i="11" s="1"/>
  <c r="H57" i="11" s="1"/>
  <c r="G24" i="11"/>
  <c r="G25" i="11" s="1"/>
  <c r="G26" i="11"/>
  <c r="G32" i="11" s="1"/>
  <c r="G38" i="11" s="1"/>
  <c r="G57" i="11" s="1"/>
  <c r="F24" i="11"/>
  <c r="F25" i="11" s="1"/>
  <c r="F26" i="11"/>
  <c r="E24" i="11"/>
  <c r="E25" i="11" s="1"/>
  <c r="E26" i="11"/>
  <c r="D24" i="11"/>
  <c r="D25" i="11" s="1"/>
  <c r="D26" i="11"/>
  <c r="K9" i="11"/>
  <c r="C12" i="11"/>
  <c r="T46" i="12"/>
  <c r="T46" i="11"/>
  <c r="T46" i="13"/>
  <c r="T46" i="14"/>
  <c r="C35" i="5"/>
  <c r="J24" i="14" l="1"/>
  <c r="J25" i="14" s="1"/>
  <c r="J26" i="14" s="1"/>
  <c r="J32" i="14" s="1"/>
  <c r="J38" i="14" s="1"/>
  <c r="J57" i="14" s="1"/>
  <c r="I24" i="14"/>
  <c r="I25" i="14" s="1"/>
  <c r="I26" i="14" s="1"/>
  <c r="I32" i="14" s="1"/>
  <c r="I38" i="14" s="1"/>
  <c r="I57" i="14" s="1"/>
  <c r="H24" i="14"/>
  <c r="H25" i="14" s="1"/>
  <c r="H26" i="14" s="1"/>
  <c r="H32" i="14" s="1"/>
  <c r="H38" i="14" s="1"/>
  <c r="H57" i="14" s="1"/>
  <c r="G24" i="14"/>
  <c r="G25" i="14" s="1"/>
  <c r="G26" i="14"/>
  <c r="G32" i="14" s="1"/>
  <c r="G38" i="14" s="1"/>
  <c r="G57" i="14" s="1"/>
  <c r="F24" i="14"/>
  <c r="F25" i="14" s="1"/>
  <c r="F26" i="14" s="1"/>
  <c r="F32" i="14" s="1"/>
  <c r="F38" i="14" s="1"/>
  <c r="F57" i="14" s="1"/>
  <c r="E24" i="14"/>
  <c r="E25" i="14" s="1"/>
  <c r="E26" i="14"/>
  <c r="E32" i="14" s="1"/>
  <c r="E38" i="14" s="1"/>
  <c r="E57" i="14" s="1"/>
  <c r="D24" i="14"/>
  <c r="D25" i="14" s="1"/>
  <c r="D26" i="14" s="1"/>
  <c r="D32" i="14" s="1"/>
  <c r="D38" i="14" s="1"/>
  <c r="D57" i="14" s="1"/>
  <c r="J24" i="13"/>
  <c r="J25" i="13" s="1"/>
  <c r="J26" i="13" s="1"/>
  <c r="J32" i="13" s="1"/>
  <c r="J38" i="13" s="1"/>
  <c r="J57" i="13" s="1"/>
  <c r="I24" i="13"/>
  <c r="I25" i="13" s="1"/>
  <c r="I26" i="13" s="1"/>
  <c r="I32" i="13" s="1"/>
  <c r="I38" i="13" s="1"/>
  <c r="I57" i="13" s="1"/>
  <c r="H24" i="13"/>
  <c r="H25" i="13" s="1"/>
  <c r="H26" i="13" s="1"/>
  <c r="H32" i="13" s="1"/>
  <c r="H38" i="13" s="1"/>
  <c r="H57" i="13" s="1"/>
  <c r="G24" i="13"/>
  <c r="G25" i="13" s="1"/>
  <c r="G26" i="13" s="1"/>
  <c r="G32" i="13" s="1"/>
  <c r="G38" i="13" s="1"/>
  <c r="G57" i="13" s="1"/>
  <c r="F24" i="13"/>
  <c r="F25" i="13" s="1"/>
  <c r="F26" i="13" s="1"/>
  <c r="E24" i="13"/>
  <c r="E25" i="13" s="1"/>
  <c r="E26" i="13" s="1"/>
  <c r="D24" i="13"/>
  <c r="D25" i="13" s="1"/>
  <c r="D26" i="13" s="1"/>
  <c r="K12" i="13"/>
  <c r="C14" i="13"/>
  <c r="J24" i="12"/>
  <c r="J25" i="12" s="1"/>
  <c r="J26" i="12" s="1"/>
  <c r="J32" i="12" s="1"/>
  <c r="J38" i="12" s="1"/>
  <c r="J57" i="12" s="1"/>
  <c r="I24" i="12"/>
  <c r="I25" i="12" s="1"/>
  <c r="I26" i="12" s="1"/>
  <c r="I32" i="12" s="1"/>
  <c r="I38" i="12" s="1"/>
  <c r="I57" i="12" s="1"/>
  <c r="H24" i="12"/>
  <c r="H25" i="12" s="1"/>
  <c r="H26" i="12" s="1"/>
  <c r="H32" i="12" s="1"/>
  <c r="H38" i="12" s="1"/>
  <c r="H57" i="12" s="1"/>
  <c r="G24" i="12"/>
  <c r="G25" i="12" s="1"/>
  <c r="G26" i="12" s="1"/>
  <c r="G32" i="12" s="1"/>
  <c r="G38" i="12" s="1"/>
  <c r="G57" i="12" s="1"/>
  <c r="F24" i="12"/>
  <c r="F25" i="12" s="1"/>
  <c r="F26" i="12" s="1"/>
  <c r="E24" i="12"/>
  <c r="E25" i="12" s="1"/>
  <c r="E26" i="12" s="1"/>
  <c r="D24" i="12"/>
  <c r="D25" i="12" s="1"/>
  <c r="D26" i="12" s="1"/>
  <c r="C14" i="12"/>
  <c r="K12" i="12"/>
  <c r="F32" i="11"/>
  <c r="F14" i="4"/>
  <c r="E32" i="11"/>
  <c r="E14" i="4"/>
  <c r="D32" i="11"/>
  <c r="D14" i="4"/>
  <c r="K12" i="11"/>
  <c r="C14" i="11"/>
  <c r="C11" i="2"/>
  <c r="K9" i="13"/>
  <c r="K9" i="14"/>
  <c r="C12" i="14"/>
  <c r="F32" i="13" l="1"/>
  <c r="F28" i="4"/>
  <c r="E32" i="13"/>
  <c r="E28" i="4"/>
  <c r="D28" i="4"/>
  <c r="D32" i="13"/>
  <c r="K14" i="13"/>
  <c r="C24" i="13"/>
  <c r="F32" i="12"/>
  <c r="F21" i="4"/>
  <c r="E32" i="12"/>
  <c r="E21" i="4"/>
  <c r="D32" i="12"/>
  <c r="D21" i="4"/>
  <c r="K14" i="12"/>
  <c r="C24" i="12"/>
  <c r="F38" i="11"/>
  <c r="F57" i="11" s="1"/>
  <c r="F16" i="4"/>
  <c r="F18" i="4"/>
  <c r="F37" i="4" s="1"/>
  <c r="E38" i="11"/>
  <c r="E57" i="11" s="1"/>
  <c r="E16" i="4"/>
  <c r="E18" i="4"/>
  <c r="E37" i="4" s="1"/>
  <c r="D38" i="11"/>
  <c r="D57" i="11" s="1"/>
  <c r="D16" i="4"/>
  <c r="D18" i="4"/>
  <c r="D37" i="4" s="1"/>
  <c r="K14" i="11"/>
  <c r="C24" i="11"/>
  <c r="C14" i="14"/>
  <c r="K12" i="14"/>
  <c r="F30" i="4" l="1"/>
  <c r="F32" i="4"/>
  <c r="F39" i="4" s="1"/>
  <c r="F38" i="13"/>
  <c r="F57" i="13" s="1"/>
  <c r="E30" i="4"/>
  <c r="E32" i="4"/>
  <c r="E39" i="4" s="1"/>
  <c r="E38" i="13"/>
  <c r="E57" i="13" s="1"/>
  <c r="D38" i="13"/>
  <c r="D57" i="13" s="1"/>
  <c r="D30" i="4"/>
  <c r="D32" i="4"/>
  <c r="D39" i="4" s="1"/>
  <c r="C25" i="13"/>
  <c r="K24" i="13"/>
  <c r="F38" i="12"/>
  <c r="F57" i="12" s="1"/>
  <c r="F23" i="4"/>
  <c r="F25" i="4"/>
  <c r="F38" i="4" s="1"/>
  <c r="E38" i="12"/>
  <c r="E57" i="12" s="1"/>
  <c r="E23" i="4"/>
  <c r="E25" i="4"/>
  <c r="E38" i="4" s="1"/>
  <c r="D23" i="4"/>
  <c r="D25" i="4"/>
  <c r="D38" i="4" s="1"/>
  <c r="D38" i="12"/>
  <c r="D57" i="12" s="1"/>
  <c r="C25" i="12"/>
  <c r="K24" i="12"/>
  <c r="C25" i="11"/>
  <c r="K24" i="11"/>
  <c r="K14" i="14"/>
  <c r="C24" i="14"/>
  <c r="C26" i="13" l="1"/>
  <c r="K25" i="13"/>
  <c r="C26" i="12"/>
  <c r="K25" i="12"/>
  <c r="C26" i="11"/>
  <c r="K25" i="11"/>
  <c r="C25" i="14"/>
  <c r="K24" i="14"/>
  <c r="C28" i="4" l="1"/>
  <c r="C49" i="13"/>
  <c r="E25" i="2" s="1"/>
  <c r="C48" i="13"/>
  <c r="E24" i="2" s="1"/>
  <c r="C46" i="13"/>
  <c r="E23" i="2" s="1"/>
  <c r="C32" i="13"/>
  <c r="K26" i="13"/>
  <c r="C21" i="4"/>
  <c r="C49" i="12"/>
  <c r="C48" i="12"/>
  <c r="C46" i="12"/>
  <c r="C32" i="12"/>
  <c r="K26" i="12"/>
  <c r="C14" i="4"/>
  <c r="C48" i="11"/>
  <c r="C24" i="2" s="1"/>
  <c r="C46" i="11"/>
  <c r="C23" i="2" s="1"/>
  <c r="C49" i="11"/>
  <c r="C25" i="2" s="1"/>
  <c r="C32" i="11"/>
  <c r="K26" i="11"/>
  <c r="C26" i="14"/>
  <c r="K25" i="14"/>
  <c r="C52" i="13" l="1"/>
  <c r="E28" i="2" s="1"/>
  <c r="C30" i="4"/>
  <c r="C32" i="4"/>
  <c r="C39" i="4" s="1"/>
  <c r="K32" i="13"/>
  <c r="T49" i="13"/>
  <c r="T50" i="13" s="1"/>
  <c r="C53" i="13"/>
  <c r="E26" i="2" s="1"/>
  <c r="C38" i="13"/>
  <c r="C8" i="2"/>
  <c r="D25" i="2"/>
  <c r="D6" i="2"/>
  <c r="D24" i="2"/>
  <c r="C6" i="2"/>
  <c r="D23" i="2"/>
  <c r="K32" i="12"/>
  <c r="T49" i="12"/>
  <c r="C52" i="12"/>
  <c r="D28" i="2" s="1"/>
  <c r="C53" i="12"/>
  <c r="C23" i="4"/>
  <c r="C25" i="4"/>
  <c r="C38" i="4" s="1"/>
  <c r="C38" i="12"/>
  <c r="C52" i="11"/>
  <c r="C28" i="2" s="1"/>
  <c r="T49" i="11"/>
  <c r="T50" i="11" s="1"/>
  <c r="C38" i="11"/>
  <c r="C53" i="11"/>
  <c r="C26" i="2" s="1"/>
  <c r="C16" i="4"/>
  <c r="C18" i="4"/>
  <c r="C37" i="4" s="1"/>
  <c r="K32" i="11"/>
  <c r="C49" i="14"/>
  <c r="C48" i="14"/>
  <c r="C46" i="14"/>
  <c r="C32" i="14"/>
  <c r="K26" i="14"/>
  <c r="C42" i="13" l="1"/>
  <c r="C43" i="13" s="1"/>
  <c r="T52" i="13"/>
  <c r="C50" i="13"/>
  <c r="E22" i="2"/>
  <c r="K38" i="13"/>
  <c r="C57" i="13"/>
  <c r="T50" i="12"/>
  <c r="C14" i="2"/>
  <c r="E6" i="2"/>
  <c r="D26" i="2"/>
  <c r="K38" i="12"/>
  <c r="C57" i="12"/>
  <c r="T52" i="11"/>
  <c r="C50" i="11"/>
  <c r="C42" i="11"/>
  <c r="C43" i="11" s="1"/>
  <c r="C22" i="2"/>
  <c r="K38" i="11"/>
  <c r="C57" i="11"/>
  <c r="K32" i="14"/>
  <c r="C38" i="14"/>
  <c r="T49" i="14"/>
  <c r="T50" i="14" s="1"/>
  <c r="C52" i="14"/>
  <c r="C53" i="14"/>
  <c r="D41" i="13" l="1"/>
  <c r="D43" i="13" s="1"/>
  <c r="C59" i="13"/>
  <c r="C60" i="13" s="1"/>
  <c r="D58" i="13" s="1"/>
  <c r="C50" i="12"/>
  <c r="C42" i="12"/>
  <c r="C43" i="12" s="1"/>
  <c r="D22" i="2"/>
  <c r="C19" i="2"/>
  <c r="B6" i="2"/>
  <c r="T52" i="12"/>
  <c r="B8" i="2" s="1"/>
  <c r="C59" i="12"/>
  <c r="C60" i="12" s="1"/>
  <c r="D58" i="12" s="1"/>
  <c r="D41" i="11"/>
  <c r="D43" i="11" s="1"/>
  <c r="C59" i="11"/>
  <c r="C60" i="11" s="1"/>
  <c r="D58" i="11" s="1"/>
  <c r="K38" i="14"/>
  <c r="C57" i="14"/>
  <c r="C50" i="14"/>
  <c r="C42" i="14"/>
  <c r="C43" i="14" s="1"/>
  <c r="T52" i="14"/>
  <c r="D59" i="13" l="1"/>
  <c r="C63" i="13"/>
  <c r="C66" i="13" s="1"/>
  <c r="C43" i="2"/>
  <c r="D41" i="12"/>
  <c r="D43" i="12" s="1"/>
  <c r="C63" i="12"/>
  <c r="C66" i="12" s="1"/>
  <c r="D59" i="12"/>
  <c r="C63" i="11"/>
  <c r="C66" i="11" s="1"/>
  <c r="D6" i="7"/>
  <c r="E6" i="7" s="1"/>
  <c r="D59" i="11"/>
  <c r="C59" i="14"/>
  <c r="C60" i="14" s="1"/>
  <c r="D58" i="14" s="1"/>
  <c r="D41" i="14"/>
  <c r="D43" i="14" s="1"/>
  <c r="E41" i="14" s="1"/>
  <c r="E43" i="14" s="1"/>
  <c r="E41" i="13"/>
  <c r="E43" i="13" s="1"/>
  <c r="F41" i="13" s="1"/>
  <c r="F43" i="13" s="1"/>
  <c r="G41" i="13" s="1"/>
  <c r="G43" i="13" s="1"/>
  <c r="H41" i="13" s="1"/>
  <c r="H43" i="13" s="1"/>
  <c r="I41" i="13" s="1"/>
  <c r="I43" i="13" s="1"/>
  <c r="J41" i="13" s="1"/>
  <c r="J43" i="13" s="1"/>
  <c r="K43" i="13" s="1"/>
  <c r="C51" i="13"/>
  <c r="E27" i="2" s="1"/>
  <c r="E41" i="11"/>
  <c r="E43" i="11" s="1"/>
  <c r="F41" i="11" s="1"/>
  <c r="F43" i="11" s="1"/>
  <c r="G41" i="11" s="1"/>
  <c r="G43" i="11" s="1"/>
  <c r="H41" i="11" s="1"/>
  <c r="H43" i="11" s="1"/>
  <c r="I41" i="11" s="1"/>
  <c r="I43" i="11" s="1"/>
  <c r="J41" i="11" s="1"/>
  <c r="J43" i="11" s="1"/>
  <c r="K43" i="11" s="1"/>
  <c r="C51" i="11"/>
  <c r="C27" i="2" s="1"/>
  <c r="D63" i="13" l="1"/>
  <c r="D66" i="13" s="1"/>
  <c r="D36" i="2" s="1"/>
  <c r="D60" i="13"/>
  <c r="E58" i="13" s="1"/>
  <c r="D8" i="7"/>
  <c r="E8" i="7" s="1"/>
  <c r="E59" i="13"/>
  <c r="E60" i="13" s="1"/>
  <c r="F58" i="13" s="1"/>
  <c r="C36" i="2"/>
  <c r="D43" i="2"/>
  <c r="E41" i="12"/>
  <c r="E43" i="12" s="1"/>
  <c r="C35" i="2"/>
  <c r="C34" i="2"/>
  <c r="C63" i="14"/>
  <c r="C66" i="14" s="1"/>
  <c r="D59" i="14"/>
  <c r="D63" i="12"/>
  <c r="D66" i="12" s="1"/>
  <c r="D35" i="2" s="1"/>
  <c r="D44" i="2" s="1"/>
  <c r="D7" i="7"/>
  <c r="E7" i="7" s="1"/>
  <c r="C18" i="7"/>
  <c r="D60" i="12"/>
  <c r="E58" i="12" s="1"/>
  <c r="D63" i="11"/>
  <c r="D66" i="11" s="1"/>
  <c r="D34" i="2" s="1"/>
  <c r="D60" i="11"/>
  <c r="E58" i="11" s="1"/>
  <c r="F41" i="14"/>
  <c r="F43" i="14" s="1"/>
  <c r="G41" i="14" s="1"/>
  <c r="G43" i="14" s="1"/>
  <c r="H41" i="14" s="1"/>
  <c r="H43" i="14" s="1"/>
  <c r="I41" i="14" s="1"/>
  <c r="I43" i="14" s="1"/>
  <c r="J41" i="14" s="1"/>
  <c r="J43" i="14" s="1"/>
  <c r="K43" i="14" s="1"/>
  <c r="C51" i="14"/>
  <c r="F59" i="13" l="1"/>
  <c r="E63" i="13"/>
  <c r="E66" i="13" s="1"/>
  <c r="E43" i="2"/>
  <c r="F41" i="12"/>
  <c r="F43" i="12" s="1"/>
  <c r="C51" i="12" s="1"/>
  <c r="E59" i="12"/>
  <c r="E60" i="12" s="1"/>
  <c r="F58" i="12" s="1"/>
  <c r="E59" i="11"/>
  <c r="E60" i="11" s="1"/>
  <c r="F58" i="11" s="1"/>
  <c r="D63" i="14"/>
  <c r="D66" i="14" s="1"/>
  <c r="D60" i="14"/>
  <c r="E58" i="14" s="1"/>
  <c r="F63" i="13" l="1"/>
  <c r="F66" i="13" s="1"/>
  <c r="F36" i="2" s="1"/>
  <c r="F60" i="13"/>
  <c r="G58" i="13" s="1"/>
  <c r="G60" i="13" s="1"/>
  <c r="H58" i="13" s="1"/>
  <c r="H60" i="13" s="1"/>
  <c r="I58" i="13" s="1"/>
  <c r="I60" i="13" s="1"/>
  <c r="J58" i="13" s="1"/>
  <c r="J60" i="13" s="1"/>
  <c r="K59" i="13"/>
  <c r="G66" i="13"/>
  <c r="G36" i="2" s="1"/>
  <c r="E36" i="2"/>
  <c r="D27" i="2"/>
  <c r="D8" i="2"/>
  <c r="F43" i="2"/>
  <c r="G41" i="12"/>
  <c r="G43" i="12" s="1"/>
  <c r="H41" i="12" s="1"/>
  <c r="H43" i="12" s="1"/>
  <c r="I41" i="12" s="1"/>
  <c r="I43" i="12" s="1"/>
  <c r="J41" i="12" s="1"/>
  <c r="J43" i="12" s="1"/>
  <c r="K43" i="12" s="1"/>
  <c r="F59" i="12"/>
  <c r="E63" i="12"/>
  <c r="E66" i="12" s="1"/>
  <c r="F59" i="11"/>
  <c r="K59" i="11"/>
  <c r="E63" i="11"/>
  <c r="E66" i="11" s="1"/>
  <c r="E59" i="14"/>
  <c r="E60" i="14" s="1"/>
  <c r="F58" i="14" s="1"/>
  <c r="G66" i="12" l="1"/>
  <c r="G35" i="2" s="1"/>
  <c r="G44" i="2" s="1"/>
  <c r="E35" i="2"/>
  <c r="E44" i="2" s="1"/>
  <c r="G66" i="11"/>
  <c r="G34" i="2" s="1"/>
  <c r="E34" i="2"/>
  <c r="F59" i="14"/>
  <c r="E63" i="14"/>
  <c r="E66" i="14" s="1"/>
  <c r="F63" i="12"/>
  <c r="F66" i="12" s="1"/>
  <c r="F35" i="2" s="1"/>
  <c r="F44" i="2" s="1"/>
  <c r="F60" i="12"/>
  <c r="G58" i="12" s="1"/>
  <c r="G60" i="12" s="1"/>
  <c r="H58" i="12" s="1"/>
  <c r="H60" i="12" s="1"/>
  <c r="I58" i="12" s="1"/>
  <c r="I60" i="12" s="1"/>
  <c r="J58" i="12" s="1"/>
  <c r="J60" i="12" s="1"/>
  <c r="K59" i="12"/>
  <c r="F63" i="11"/>
  <c r="F66" i="11" s="1"/>
  <c r="F34" i="2" s="1"/>
  <c r="F60" i="11"/>
  <c r="G58" i="11" s="1"/>
  <c r="G60" i="11" s="1"/>
  <c r="H58" i="11" s="1"/>
  <c r="H60" i="11" s="1"/>
  <c r="I58" i="11" s="1"/>
  <c r="I60" i="11" s="1"/>
  <c r="J58" i="11" s="1"/>
  <c r="J60" i="11" s="1"/>
  <c r="F63" i="14" l="1"/>
  <c r="F66" i="14" s="1"/>
  <c r="G66" i="14" s="1"/>
  <c r="K59" i="14"/>
  <c r="F60" i="14"/>
  <c r="G58" i="14" s="1"/>
  <c r="G60" i="14" s="1"/>
  <c r="H58" i="14" s="1"/>
  <c r="H60" i="14" s="1"/>
  <c r="I58" i="14" s="1"/>
  <c r="I60" i="14" s="1"/>
  <c r="J58" i="14" s="1"/>
  <c r="J60" i="14" s="1"/>
</calcChain>
</file>

<file path=xl/sharedStrings.xml><?xml version="1.0" encoding="utf-8"?>
<sst xmlns="http://schemas.openxmlformats.org/spreadsheetml/2006/main" count="874" uniqueCount="542">
  <si>
    <t>AVA APARTMENTS</t>
  </si>
  <si>
    <t>Operating, Debt &amp; Capital Funding Model</t>
  </si>
  <si>
    <t>Mesa West Asset Services — Loan #330900386</t>
  </si>
  <si>
    <t>880 units  •  8401 Skillman St, Dallas, TX</t>
  </si>
  <si>
    <t>Prepared for Pennybacker Capital  •  July 14, 2026</t>
  </si>
  <si>
    <t>CONTENTS</t>
  </si>
  <si>
    <t>Funding summary, quarterly contributions, key metrics</t>
  </si>
  <si>
    <t>Monthly cash leak by scenario, with chart</t>
  </si>
  <si>
    <t>All drivers, occupancy path and scenario inputs</t>
  </si>
  <si>
    <t>Open items and responses</t>
  </si>
  <si>
    <t>Prior draw-model projection vs this model, reconciled</t>
  </si>
  <si>
    <t>Draw-by-draw detail of capital funded to date</t>
  </si>
  <si>
    <t>Below-the-line capex by category</t>
  </si>
  <si>
    <t>June 2026 operating results</t>
  </si>
  <si>
    <t>Downside case</t>
  </si>
  <si>
    <t>Base case</t>
  </si>
  <si>
    <t>Upside case</t>
  </si>
  <si>
    <t>User-editable case</t>
  </si>
  <si>
    <t>Cream cells are inputs. Confidential — prepared for Pennybacker Capital.</t>
  </si>
  <si>
    <t>AVA Apartments</t>
  </si>
  <si>
    <t>Mesa West Loan (matures 4/1/27)  •  880 units  •  figures in green link from the model tabs</t>
  </si>
  <si>
    <t>PB FUNDING (HORIZON, GROSS)</t>
  </si>
  <si>
    <t>FORWARD 12-MO NOI</t>
  </si>
  <si>
    <t>FORWARD 12-MO DSCR</t>
  </si>
  <si>
    <t>AVG MONTHLY BURN YR1</t>
  </si>
  <si>
    <t>REMAINING PB FUNDING</t>
  </si>
  <si>
    <t>DEBT YIELD</t>
  </si>
  <si>
    <t>MIN LIQUIDITY (HORIZON)</t>
  </si>
  <si>
    <t>PB FUNDED TO DATE</t>
  </si>
  <si>
    <t>PB FUNDING — USES (horizon to 4/1/27)</t>
  </si>
  <si>
    <t>Amount</t>
  </si>
  <si>
    <t>Below-the-line capex</t>
  </si>
  <si>
    <t>Franchise tax reimbursement (Aug+Sep)</t>
  </si>
  <si>
    <t>Closing &amp; legal</t>
  </si>
  <si>
    <t>Operating carry + reserve floor</t>
  </si>
  <si>
    <t>TOTAL PB FUNDING (HORIZON)</t>
  </si>
  <si>
    <t>SCENARIO COMPARISON</t>
  </si>
  <si>
    <t>Conservative</t>
  </si>
  <si>
    <t>Expected</t>
  </si>
  <si>
    <t>Recovery</t>
  </si>
  <si>
    <t>PB funding (horizon)</t>
  </si>
  <si>
    <t>Forward 12-mo NOI</t>
  </si>
  <si>
    <t>Forward 12-mo DSCR</t>
  </si>
  <si>
    <t>Debt yield</t>
  </si>
  <si>
    <t>Avg monthly burn (Yr1)</t>
  </si>
  <si>
    <t>Min liquidity (horizon)</t>
  </si>
  <si>
    <t>Cumulative op. cash flow</t>
  </si>
  <si>
    <t>Figures in green link from the model tabs. Occupancy path from the stabilization rollforward; capex at the current run rate.</t>
  </si>
  <si>
    <t>NET QUARTERLY PB FUNDING  (contributions to hold the reserve floor)</t>
  </si>
  <si>
    <t>Q3 2026</t>
  </si>
  <si>
    <t>Q4 2026</t>
  </si>
  <si>
    <t>Q1 2027</t>
  </si>
  <si>
    <t>Q2 2027</t>
  </si>
  <si>
    <t>Total</t>
  </si>
  <si>
    <t>Estimated contribution date</t>
  </si>
  <si>
    <t>Tue 9/1/26</t>
  </si>
  <si>
    <t>Tue 10/6/26</t>
  </si>
  <si>
    <t>Tue 1/5/27</t>
  </si>
  <si>
    <t>Tue 4/6/27</t>
  </si>
  <si>
    <t>No contribution needed in Q3 until September; the $1.30M WaFd balance carries the account. PB has funded $5.3M in 2026 to date.</t>
  </si>
  <si>
    <t>chart data</t>
  </si>
  <si>
    <t>WaFd reserve balance</t>
  </si>
  <si>
    <t>VS INITIAL DRAW-MODEL PROJECTION  (see Projection Bridge)</t>
  </si>
  <si>
    <t>•  Initial draw model projected $2.50M (Base) of additional 2026 funding; the current model shows materially less.</t>
  </si>
  <si>
    <t>•  Occupancy recovery lifts the property's contribution to the mortgage: 632 → 763 occupied units by December.</t>
  </si>
  <si>
    <t>•  One-time items are behind us: the $2.0M tax bill, $769K rate cap, $408K AP payoff and $122K RAAM lien sat in the historical run rate.</t>
  </si>
  <si>
    <t>•  Taxes now escrow monthly ($288,460) inside the mortgage rather than in lump-sum draws.</t>
  </si>
  <si>
    <t>•  Added since: franchise tax reimbursement to CPM, $58,622 in August and $67,987 in September.</t>
  </si>
  <si>
    <t>•  The initial projection effectively stands as the no-recovery case; a lease-up stall pulls the need back toward it.</t>
  </si>
  <si>
    <t>Capital Infusion, Uses and Burn — 2025 (IPS) vs 2026 (CAF)</t>
  </si>
  <si>
    <t>Source: ResMan general ledger, cash basis, Jan–Dec 2025; AVA Capital Draw System and 2026 financials.</t>
  </si>
  <si>
    <t>PENNYBACKER CAPITAL CONTRIBUTED</t>
  </si>
  <si>
    <t>2025 (IPS)</t>
  </si>
  <si>
    <t>2026 (CAF)</t>
  </si>
  <si>
    <t>Change</t>
  </si>
  <si>
    <t>March 2025 — PBC contribution</t>
  </si>
  <si>
    <t>GL 3100-0010 Equity Capital</t>
  </si>
  <si>
    <t>April 2025 — title, legal and HFC costs</t>
  </si>
  <si>
    <t>HFC conversion</t>
  </si>
  <si>
    <t>April 2025 — rate cap purchase</t>
  </si>
  <si>
    <t>2026: DRW-008</t>
  </si>
  <si>
    <t>April 2025 — loan amendment and extension fee</t>
  </si>
  <si>
    <t>One-time recapitalization</t>
  </si>
  <si>
    <t>2026 contributions (Jan, Apr, Jun)</t>
  </si>
  <si>
    <t>$2.6M + $1.1M + $1.6M; excludes rate cap line above to avoid double count</t>
  </si>
  <si>
    <t>TOTAL PB CAPITAL CONTRIBUTED</t>
  </si>
  <si>
    <t>Pennybacker put 62% less capital into the asset in 2026 than in 2025.</t>
  </si>
  <si>
    <t>Capitalized to the balance sheet (never in the P&amp;L)</t>
  </si>
  <si>
    <t>GL 1700/1730/1740/1750 accounts. Invisible in IPS income statements.</t>
  </si>
  <si>
    <t xml:space="preserve">  of which: HFC closing and title (one-time)</t>
  </si>
  <si>
    <t>Transaction cost, not property capex</t>
  </si>
  <si>
    <t xml:space="preserve">  of which: true property capex</t>
  </si>
  <si>
    <t>Appliances, flooring, painting, HVAC, plumbing, interior renovation</t>
  </si>
  <si>
    <t>Expensed through the P&amp;L (visible)</t>
  </si>
  <si>
    <t>2026: capital repairs at $58,383/mo run rate, annualized</t>
  </si>
  <si>
    <t>TOTAL PROPERTY CAPEX</t>
  </si>
  <si>
    <t>CAF is spending 84% less on capital, and reporting all of it through the income statement.</t>
  </si>
  <si>
    <t>Total income</t>
  </si>
  <si>
    <t>Operating expenses</t>
  </si>
  <si>
    <t>Net operating income</t>
  </si>
  <si>
    <t>THE STORY</t>
  </si>
  <si>
    <t>•  Pennybacker contributed $13.77M to AVA in 2025 and $5.30M in 2026 through July. That is 62% less capital, even with occupancy materially lower.</t>
  </si>
  <si>
    <t>•  IPS capitalized $6.97M of spend to the balance sheet in 2025, of which $4.30M was true property capex. None of it appeared in the income statements Pennybacker received.</t>
  </si>
  <si>
    <t>•  CAF is running capex at roughly $700K a year, entirely through the P&amp;L. That is an 84% reduction in capital spend, and it is fully visible.</t>
  </si>
  <si>
    <t>•  So the asset is consuming far less Pennybacker capital under CAF, while reporting honestly, despite operating from a weaker occupancy base.</t>
  </si>
  <si>
    <t>HOW TO READ THIS FAIRLY</t>
  </si>
  <si>
    <t>•  The 2025 total is dominated by a one-time $10.33M loan amendment and extension fee. Excluding that recapitalization event, 2025 contributions were $3.45M against $5.30M in 2026.</t>
  </si>
  <si>
    <t>•  The 2026 figure likewise carries one-time items: the $2.02M 2025 property tax bill inherited from IPS, the $769K rate cap and the $408K payables cleanup, roughly $3.2M of catch-up on prior obligations.</t>
  </si>
  <si>
    <t>•  Netting the one-time items from both years, ongoing capital support is broadly comparable, and the durable difference is the capex reduction and the transparency of reporting.</t>
  </si>
  <si>
    <t>2025</t>
  </si>
  <si>
    <t>2026</t>
  </si>
  <si>
    <t>PB capital contributed</t>
  </si>
  <si>
    <t>Property capex</t>
  </si>
  <si>
    <t>IPS LEGACY OBLIGATIONS SETTLED WITH 2026 CAPITAL</t>
  </si>
  <si>
    <t>Proof at handover — IPS balance sheet, December 31, 2025:</t>
  </si>
  <si>
    <t xml:space="preserve">   Accounts payable left on the books by IPS</t>
  </si>
  <si>
    <t>Balance sheet 12/31/25, account 2200-0000</t>
  </si>
  <si>
    <t xml:space="preserve">   Real estate tax payable left on the books by IPS</t>
  </si>
  <si>
    <t>Balance sheet 12/31/25, account 2465-0000</t>
  </si>
  <si>
    <t>2026 Pennybacker draws that settled those IPS-era obligations:</t>
  </si>
  <si>
    <t xml:space="preserve">   DRW-003 — 2025 property tax bill (8 parcels)</t>
  </si>
  <si>
    <t>IPS accrued the liability; CAF paid it 1/30/26</t>
  </si>
  <si>
    <t xml:space="preserve">   DRW-009 — accounts payable cleanup</t>
  </si>
  <si>
    <t>AP run 4/16/26 against the $782,603 IPS left</t>
  </si>
  <si>
    <t xml:space="preserve">   DRW-006 — RAAM LLC lien settlement</t>
  </si>
  <si>
    <t>Lien arising from unpaid IPS-era work</t>
  </si>
  <si>
    <t xml:space="preserve">   DRW-013 — franchise tax (tax years 2023-2025)</t>
  </si>
  <si>
    <t>All three tax years predate CAF; $126,609 still due</t>
  </si>
  <si>
    <t>Subtotal — IPS legacy settled with PB capital</t>
  </si>
  <si>
    <t xml:space="preserve">   Less: lender escrow release applied to taxes</t>
  </si>
  <si>
    <t>INF-001, 2/2/26</t>
  </si>
  <si>
    <t>NET PB CAPITAL CONSUMED ON IPS OBLIGATIONS</t>
  </si>
  <si>
    <t>RESTATED — CAPITAL ATTRIBUTABLE TO EACH OPERATOR</t>
  </si>
  <si>
    <t>PB capital contributed (as reported)</t>
  </si>
  <si>
    <t>Per the GL and the bank</t>
  </si>
  <si>
    <t>Reallocate: IPS legacy obligations settled in 2026</t>
  </si>
  <si>
    <t>Taxes, AP, lien and franchise tax incurred under IPS, paid with 2026 capital</t>
  </si>
  <si>
    <t>CAPITAL ATTRIBUTABLE TO THE OPERATOR'S OWN PERIOD</t>
  </si>
  <si>
    <t>Property capex spent</t>
  </si>
  <si>
    <t>2025 capitalized to the balance sheet; 2026 expensed through the P&amp;L</t>
  </si>
  <si>
    <t>THE RESTATED STORY</t>
  </si>
  <si>
    <t>•  Pennybacker put $13.77M into AVA in 2025 and $5.30M in 2026. Of the 2026 capital, roughly $1.94M went to settle obligations IPS incurred and left on the books: the 2025 tax bill, the payables backlog, the RAAM lien and three years of franchise tax.</t>
  </si>
  <si>
    <t>•  Attributing that legacy spend to the period in which it was incurred, capital supporting the operator's own period is roughly $15.7M under IPS and $3.4M under CAF.</t>
  </si>
  <si>
    <t>•  Capital expenditure fell from $4.30M to roughly $0.70M, and it moved from the balance sheet, where Pennybacker could not see it, into the income statement, where it is fully visible.</t>
  </si>
  <si>
    <t>•  This is with occupancy materially lower, so the reduction is not a function of an easier operating environment.</t>
  </si>
  <si>
    <t>Note: the 2025 figure includes a one-time $10.33M loan amendment and extension fee. Excluding it from both sides, 2025 was $3.45M against a restated $3.36M for 2026, essentially flat despite the weaker occupancy base and the capex reduction.</t>
  </si>
  <si>
    <t>Monthly Cash Burn — What the Property Is Actually Leaking</t>
  </si>
  <si>
    <t>Cash leak per month before any Pennybacker contribution. Debt service includes the tax and insurance escrows, net of the rate cap receipt.</t>
  </si>
  <si>
    <t>WHERE IT STANDS TODAY  (June 2026 actual, 632 occupied / 71.8%)</t>
  </si>
  <si>
    <t>June actual</t>
  </si>
  <si>
    <t>Net mortgage outlay (int + escrows − rate cap)</t>
  </si>
  <si>
    <t>Mesa West; taxes $288,460 + insurance $68,822</t>
  </si>
  <si>
    <t>Operating cash leak</t>
  </si>
  <si>
    <t>NOI less the mortgage</t>
  </si>
  <si>
    <t>Run rate, $350,299 YTD / 6</t>
  </si>
  <si>
    <t>TOTAL MONTHLY LEAK</t>
  </si>
  <si>
    <t>Before any PB contribution</t>
  </si>
  <si>
    <t>PROJECTED MONTHLY BURN BY SCENARIO</t>
  </si>
  <si>
    <t xml:space="preserve">   NOI per month</t>
  </si>
  <si>
    <t xml:space="preserve">   Net mortgage per month</t>
  </si>
  <si>
    <t xml:space="preserve">   Operating leak per month</t>
  </si>
  <si>
    <t xml:space="preserve">   Below-the-line capex per month</t>
  </si>
  <si>
    <t xml:space="preserve">   TOTAL MONTHLY BURN</t>
  </si>
  <si>
    <t>chart data (burn as positive)</t>
  </si>
  <si>
    <t>Quarter</t>
  </si>
  <si>
    <t>Q3 26</t>
  </si>
  <si>
    <t>Q4 26</t>
  </si>
  <si>
    <t>Q1 27</t>
  </si>
  <si>
    <t>Q2 27</t>
  </si>
  <si>
    <t>The leak is structural to the debt, not to operations. Even at stabilized occupancy the property does not cover the mortgage:</t>
  </si>
  <si>
    <t>•  Today the property leaks roughly $633,000 a month, of which $575,000 is the operating gap and $58,000 is capex.</t>
  </si>
  <si>
    <t>•  By Q2 2027 at 91% occupancy the leak narrows to roughly $357,000 a month in the Expected case, but it does not close.</t>
  </si>
  <si>
    <t>•  The mortgage runs $681,204 a month net of the rate cap, including $288,460 of tax escrow and $68,822 of insurance escrow.</t>
  </si>
  <si>
    <t>•  NOI would need to roughly double from the June run rate to break even on debt service alone.</t>
  </si>
  <si>
    <t>Mesa West Loan #330900386  •  880 units  •  8401 Skillman St, Dallas, TX</t>
  </si>
  <si>
    <t>SCENARIO SELECTOR</t>
  </si>
  <si>
    <t>Active scenario (1=Cons  2=Exp  3=Rec  4=Custom)</t>
  </si>
  <si>
    <t>Drives Dashboard. Each Model tab is bound to its own column.</t>
  </si>
  <si>
    <t>OPERATING DRIVERS  (monthly $ unless noted)</t>
  </si>
  <si>
    <t>Custom</t>
  </si>
  <si>
    <t>Gross potential rent (mo)</t>
  </si>
  <si>
    <t>June 2026 actual market rent. 880 units.</t>
  </si>
  <si>
    <t>Quarterly rent growth</t>
  </si>
  <si>
    <t>Modest; occupancy is the driver here, not rate.</t>
  </si>
  <si>
    <t>Economic vacancy (see quarterly path below)</t>
  </si>
  <si>
    <t>Driven by the quarterly occupancy path on rows 50-53, not a flat rate.</t>
  </si>
  <si>
    <t>Concessions (mo)</t>
  </si>
  <si>
    <t>June actual $32,098.</t>
  </si>
  <si>
    <t>Bad debt / write-offs (mo)</t>
  </si>
  <si>
    <t>June actual $91,414. Collections/evictions improving.</t>
  </si>
  <si>
    <t>Other income (mo)</t>
  </si>
  <si>
    <t>June actual $153,059 (RUBS, fees).</t>
  </si>
  <si>
    <t>(not used — occupancy in vacancy path)</t>
  </si>
  <si>
    <t>OPERATING EXPENSES  (monthly $; grown quarterly)</t>
  </si>
  <si>
    <t>Payroll</t>
  </si>
  <si>
    <t>June actual $125,388.</t>
  </si>
  <si>
    <t>Marketing &amp; other</t>
  </si>
  <si>
    <t>June actual $15,886.</t>
  </si>
  <si>
    <t>Administrative</t>
  </si>
  <si>
    <t>June: office ops $36,550 + contractual $15,913.</t>
  </si>
  <si>
    <t>Repairs &amp; maintenance</t>
  </si>
  <si>
    <t>June: redecorating $48,343 + maintenance $23,913.</t>
  </si>
  <si>
    <t>Utilities</t>
  </si>
  <si>
    <t>June actual $126,685.</t>
  </si>
  <si>
    <t>Insurance (escrowed via mortgage)</t>
  </si>
  <si>
    <t>Now escrowed monthly through the Mesa West payment; carried in debt service, not opex.</t>
  </si>
  <si>
    <t>Real estate taxes (escrowed via mortgage)</t>
  </si>
  <si>
    <t>Now escrowed monthly ($288,460) through the Mesa West payment; carried in debt service.</t>
  </si>
  <si>
    <t>Management fee (% EGI)</t>
  </si>
  <si>
    <t>June: $38,127 on $760,996 income.</t>
  </si>
  <si>
    <t>Quarterly opex growth</t>
  </si>
  <si>
    <t>Per quarter.</t>
  </si>
  <si>
    <t>DEBT — MESA WEST 330900386  (matures 4/1/2027)</t>
  </si>
  <si>
    <t>Loan principal balance</t>
  </si>
  <si>
    <t>Mesa West statement 6/16/26. MATURITY 4/1/2027 — extension or refinance to be determined with PBC.</t>
  </si>
  <si>
    <t>Interest rate (annual)</t>
  </si>
  <si>
    <t>7.1% per Mesa West statement. Rate cap in place (~$60,732/mo receipt, see below).</t>
  </si>
  <si>
    <t>Monthly tax escrow</t>
  </si>
  <si>
    <t>July statement. Lender now escrows RE taxes monthly (replaces lump-sum tax draws).</t>
  </si>
  <si>
    <t>Monthly insurance escrow</t>
  </si>
  <si>
    <t>July statement.</t>
  </si>
  <si>
    <t>Monthly rate cap receipt</t>
  </si>
  <si>
    <t>June actual; offsets interest.</t>
  </si>
  <si>
    <t>CAPITAL &amp; FUNDING</t>
  </si>
  <si>
    <t>Below-the-line capex (total, remaining)</t>
  </si>
  <si>
    <t>Run-rate capex for the funded horizon; see Capex Run Rate.</t>
  </si>
  <si>
    <t xml:space="preserve">  (capex phasing on row 45)</t>
  </si>
  <si>
    <t>Franchise tax reimbursement (Aug + Sep)</t>
  </si>
  <si>
    <t>Per Lingzi Hong (PBC) 6/30 plan: Aug $58,621.63 + Sep $67,987. July $63,508 PAID via DRW-013.</t>
  </si>
  <si>
    <t>None anticipated.</t>
  </si>
  <si>
    <t>Minimum reserve floor (WaFd)</t>
  </si>
  <si>
    <t>One month net mortgage outlay (interest + tax escrow + insurance escrow, less the rate cap receipt). Approximately $681,204.</t>
  </si>
  <si>
    <t>WaFd balance (7/14/26)</t>
  </si>
  <si>
    <t>Reconciled. July mortgage draw ($410,752) and franchise payment ($63,508) already disbursed.</t>
  </si>
  <si>
    <t>Restricted / memo</t>
  </si>
  <si>
    <t>None.</t>
  </si>
  <si>
    <t>Funding horizon (quarters)</t>
  </si>
  <si>
    <t>Q3 2026 through Q2 2027, to the 4/1/2027 loan maturity. Later quarters illustrative.</t>
  </si>
  <si>
    <t>CAPEX PHASING  (quarterly, $)</t>
  </si>
  <si>
    <t>NOTES</t>
  </si>
  <si>
    <t>Capex draws by quarter</t>
  </si>
  <si>
    <t>Franchise tax — Aug installment</t>
  </si>
  <si>
    <t>To CPM per PBC plan.</t>
  </si>
  <si>
    <t>Below-the-line capex at $58,383/mo (YTD gross capital repairs $350,299 / 6). Q3 2026 = 2 months (Aug, Sep); July already funded.</t>
  </si>
  <si>
    <t>Franchise tax — Sep installment</t>
  </si>
  <si>
    <t>To CPM; final installment.</t>
  </si>
  <si>
    <t>OCCUPANCY / VACANCY PATH  (% of GPR, by quarter)</t>
  </si>
  <si>
    <t>Q3 27</t>
  </si>
  <si>
    <t>Q4 27</t>
  </si>
  <si>
    <t>Q1 28</t>
  </si>
  <si>
    <t>Q2 28</t>
  </si>
  <si>
    <t>Vacancy — Conservative</t>
  </si>
  <si>
    <t>Vacancy — Expected</t>
  </si>
  <si>
    <t>Vacancy — Recovery</t>
  </si>
  <si>
    <t>Vacancy — Custom</t>
  </si>
  <si>
    <t>Occupancy path from the updated stabilization rollforward: 632 occupied (Jun) → 763 (Dec, 86.7%) → low-90s in Q1 2027. Conservative runs roughly half the absorption; Recovery faster.</t>
  </si>
  <si>
    <t>SECOND POSITION / OTHER</t>
  </si>
  <si>
    <t>(n/a)</t>
  </si>
  <si>
    <t>(n/a — set 1)</t>
  </si>
  <si>
    <t>Not applicable at AVA.</t>
  </si>
  <si>
    <t>PB funded to date (2026)</t>
  </si>
  <si>
    <t>$2.6M Jan 26 + $1.1M Apr 16 + $1.6M Jun 3. Reconciled to WaFd. Draws disbursed $5.73M; balance $1.30M.</t>
  </si>
  <si>
    <t>PBC Questions Answered — July 2026</t>
  </si>
  <si>
    <t>Responses to Pennybacker's two questions, with the supporting tabs noted.</t>
  </si>
  <si>
    <t>#</t>
  </si>
  <si>
    <t>Item</t>
  </si>
  <si>
    <t>Confirmed by</t>
  </si>
  <si>
    <t>Direction</t>
  </si>
  <si>
    <t>Cell</t>
  </si>
  <si>
    <t>1</t>
  </si>
  <si>
    <t>Remaining 2026 cash needs and timing of contributions</t>
  </si>
  <si>
    <t>PBC</t>
  </si>
  <si>
    <t>See Dashboard: quarterly schedule. Base case remaining funding shown; first contribution Tue 9/1/26.</t>
  </si>
  <si>
    <t>2</t>
  </si>
  <si>
    <t>Downside case for the rest of 2026</t>
  </si>
  <si>
    <t>Conservative case: ~half the rollforward absorption, capex at $70K/mo.</t>
  </si>
  <si>
    <t>3</t>
  </si>
  <si>
    <t>FY2027 estimate at low-90s stabilized occupancy</t>
  </si>
  <si>
    <t>Model horizon runs to the 4/1/27 maturity; Q1-Q2 2027 quarters carry stabilized occupancy.</t>
  </si>
  <si>
    <t>4</t>
  </si>
  <si>
    <t>Loan maturity 4/1/2027</t>
  </si>
  <si>
    <t>ARLAST</t>
  </si>
  <si>
    <t>Extension or refinance terms to be determined with PBC; model assumes current terms carry.</t>
  </si>
  <si>
    <t>5</t>
  </si>
  <si>
    <t>Franchise tax reimbursement to CPM</t>
  </si>
  <si>
    <t>DONE</t>
  </si>
  <si>
    <t>July $63,508 paid (DRW-013). Aug $58,622 and Sep $67,987 baked into the model.</t>
  </si>
  <si>
    <t>PB has funded $5.3M in 2026 to date; $5.73M disbursed across DRW-001 to DRW-013, leaving $1.30M at WaFd.</t>
  </si>
  <si>
    <t>Draw Model Reconciliation — Prior Projection vs Current Model</t>
  </si>
  <si>
    <t>Both views measure additional Pennybacker funding for the remainder of 2026, net of the $1,300,987 WaFd balance.</t>
  </si>
  <si>
    <t>SIDE BY SIDE — ADDITIONAL FUNDING, REMAINDER OF 2026</t>
  </si>
  <si>
    <t>Prior draw model</t>
  </si>
  <si>
    <t>Current model</t>
  </si>
  <si>
    <t>Downside</t>
  </si>
  <si>
    <t>Prior 'Base' — Q1 run-rate extrapolation; no occupancy recovery.</t>
  </si>
  <si>
    <t>Base</t>
  </si>
  <si>
    <t>Prior 'Middle' — operator's capex budget.</t>
  </si>
  <si>
    <t>Upside</t>
  </si>
  <si>
    <t>Prior 'High' — maximum headroom.</t>
  </si>
  <si>
    <t>The prior model extrapolated historical draws by category and did not model the lease-up, so its Base behaves as a no-recovery case. Mapping to the new scenarios is therefore directional.</t>
  </si>
  <si>
    <t>BRIDGE — PRIOR BASE TO CURRENT EXPECTED</t>
  </si>
  <si>
    <t>Prior projection (draw model, Base case)</t>
  </si>
  <si>
    <t>Funding_Summary_Models: Q3 + Q4 run-rate draws, less the WaFd balance.</t>
  </si>
  <si>
    <t>Less: occupancy recovery lifts property contribution</t>
  </si>
  <si>
    <t>Rollforward 632 → 763 occupied units by December. The property's own contribution to the mortgage rises from roughly $270K to $390K per month, reducing the draw.</t>
  </si>
  <si>
    <t>Less: one-time items embedded in the historical run rate</t>
  </si>
  <si>
    <t>Q1 draws carried the $2.02M tax bill, $769K rate cap, $408K AP payoff and $122K lien. A category run rate carries an echo of these forward; the bottom-up build does not.</t>
  </si>
  <si>
    <t>Less: tax escrow smoothing</t>
  </si>
  <si>
    <t>Taxes now escrow at $288,460 per month inside the mortgage payment. No lump-sum tax draws remain in 2026.</t>
  </si>
  <si>
    <t>Add: franchise tax reimbursement (Aug + Sep)</t>
  </si>
  <si>
    <t>New obligation to CPM, not contemplated in the prior model. July installment of $63,508 already paid via DRW-013.</t>
  </si>
  <si>
    <t>Other (reserve floor mechanics, interest, timing)</t>
  </si>
  <si>
    <t>Residual: floor-based sizing versus run-rate extrapolation.</t>
  </si>
  <si>
    <t>CURRENT EXPECTED — remainder of 2026</t>
  </si>
  <si>
    <t>Endpoints are exact and tie to the model; the intermediate attributions are estimates.</t>
  </si>
  <si>
    <t>WHERE THE TWO MODELS AGREE</t>
  </si>
  <si>
    <t>•  Near-term monthly draw rate: the prior model implied roughly $393K per month in Q3; this model runs a similar shortfall before the lease-up gains land.</t>
  </si>
  <si>
    <t>•  Both credit the same $1,300,987 WaFd balance and the same $5.3M funded to date.</t>
  </si>
  <si>
    <t>•  Both treat the rate cap, AP payoff and 2025 tax bill as completed, non-recurring uses.</t>
  </si>
  <si>
    <t>WHAT WOULD PULL US BACK TOWARD THE PRIOR PROJECTION</t>
  </si>
  <si>
    <t>•  Lease-up stall: if occupancy holds near 660 units rather than reaching 763 by December, the remaining 2026 need moves toward $2.0M and the Conservative case becomes the base.</t>
  </si>
  <si>
    <t>•  Capex above the $58,383 per month run rate (Conservative carries $70,000).</t>
  </si>
  <si>
    <t>•  A lower rate cap receipt if SOFR falls, reducing the roughly $60,732 monthly offset to interest.</t>
  </si>
  <si>
    <t>Uses of Capital to Date — Draw Detail (DRW-001 through DRW-013)</t>
  </si>
  <si>
    <t>Pennybacker funded $5,300,000 in 2026. Draws disbursed $5,732,407, offset by $3,324,564 of inflows. WaFd balance at 7/14/26: $1,300,987.</t>
  </si>
  <si>
    <t>Draw #</t>
  </si>
  <si>
    <t>Date</t>
  </si>
  <si>
    <t>Category</t>
  </si>
  <si>
    <t>Description</t>
  </si>
  <si>
    <t>Status / Notes</t>
  </si>
  <si>
    <t>DRW-001</t>
  </si>
  <si>
    <t>01/26/26</t>
  </si>
  <si>
    <t>Plumbing / Water Heater</t>
  </si>
  <si>
    <t>Storage tank replacement</t>
  </si>
  <si>
    <t>Q1</t>
  </si>
  <si>
    <t>Emergency; approved</t>
  </si>
  <si>
    <t>DRW-002</t>
  </si>
  <si>
    <t>Deferred Maintenance</t>
  </si>
  <si>
    <t>Annual inspections, fire extinguishers, service</t>
  </si>
  <si>
    <t>Approved</t>
  </si>
  <si>
    <t>DRW-003</t>
  </si>
  <si>
    <t>01/30/26</t>
  </si>
  <si>
    <t>Property Tax — 2025</t>
  </si>
  <si>
    <t>8 parcels: Dallas County + Richardson ISD</t>
  </si>
  <si>
    <t>Offset by $673,479 lender escrow release</t>
  </si>
  <si>
    <t>DRW-004</t>
  </si>
  <si>
    <t>02/04/26</t>
  </si>
  <si>
    <t>Debt Service</t>
  </si>
  <si>
    <t>Mortgage payment shortfall</t>
  </si>
  <si>
    <t>Refunded by property 02/06</t>
  </si>
  <si>
    <t>DRW-005</t>
  </si>
  <si>
    <t>03/04/26</t>
  </si>
  <si>
    <t>Refunded by property 03/10</t>
  </si>
  <si>
    <t>DRW-006</t>
  </si>
  <si>
    <t>03/12/26</t>
  </si>
  <si>
    <t>Lien / Legal</t>
  </si>
  <si>
    <t>RAAM LLC lien settlement + legal/late fees</t>
  </si>
  <si>
    <t>DRW-007</t>
  </si>
  <si>
    <t>04/02/26</t>
  </si>
  <si>
    <t>April mortgage shortfall</t>
  </si>
  <si>
    <t>Q2</t>
  </si>
  <si>
    <t>Refunded by property 04/08</t>
  </si>
  <si>
    <t>DRW-008</t>
  </si>
  <si>
    <t>04/16/26</t>
  </si>
  <si>
    <t>Rate Cap</t>
  </si>
  <si>
    <t>SOFR rate cap purchase + transaction fee</t>
  </si>
  <si>
    <t>Lender requirement</t>
  </si>
  <si>
    <t>DRW-009</t>
  </si>
  <si>
    <t>AP Balance</t>
  </si>
  <si>
    <t>AP run 04/16/2026 (multiple vendors)</t>
  </si>
  <si>
    <t>DRW-010</t>
  </si>
  <si>
    <t>05/04/26</t>
  </si>
  <si>
    <t>May mortgage payment</t>
  </si>
  <si>
    <t>DRW-011</t>
  </si>
  <si>
    <t>06/04/26</t>
  </si>
  <si>
    <t>May mortgage payment (true-up)</t>
  </si>
  <si>
    <t>DRW-012</t>
  </si>
  <si>
    <t>07/06/26</t>
  </si>
  <si>
    <t>Mortgage 07/06/2026</t>
  </si>
  <si>
    <t>Q3</t>
  </si>
  <si>
    <t>Property contributed $270,452; draw covered shortfall</t>
  </si>
  <si>
    <t>DRW-013</t>
  </si>
  <si>
    <t>07/08/26</t>
  </si>
  <si>
    <t>Accrued Expenses</t>
  </si>
  <si>
    <t>Franchise tax reimbursement to CPM (1 of 3)</t>
  </si>
  <si>
    <t>Aug $58,622 and Sep $67,987 remain</t>
  </si>
  <si>
    <t>TOTAL DRAWS</t>
  </si>
  <si>
    <t>INFLOWS (credited back to the account)</t>
  </si>
  <si>
    <t>INF-001</t>
  </si>
  <si>
    <t>02/02/26</t>
  </si>
  <si>
    <t>Lender escrow release</t>
  </si>
  <si>
    <t>RE tax escrow released by Mesa West</t>
  </si>
  <si>
    <t>INF-002</t>
  </si>
  <si>
    <t>02/06/26</t>
  </si>
  <si>
    <t>Refund</t>
  </si>
  <si>
    <t>DRW-004 mortgage shortfall repaid by property</t>
  </si>
  <si>
    <t>INF-003</t>
  </si>
  <si>
    <t>03/02/26</t>
  </si>
  <si>
    <t>Prior management</t>
  </si>
  <si>
    <t>Operating cash transferred to reserve</t>
  </si>
  <si>
    <t>INF-004</t>
  </si>
  <si>
    <t>03/10/26</t>
  </si>
  <si>
    <t>DRW-005 mortgage shortfall repaid by property</t>
  </si>
  <si>
    <t>INF-005</t>
  </si>
  <si>
    <t>04/08/26</t>
  </si>
  <si>
    <t>DRW-007 mortgage shortfall repaid by property</t>
  </si>
  <si>
    <t>INF-006</t>
  </si>
  <si>
    <t>PB contribution</t>
  </si>
  <si>
    <t>Q2 funding</t>
  </si>
  <si>
    <t>INF-007</t>
  </si>
  <si>
    <t>06/03/26</t>
  </si>
  <si>
    <t>Q3 funding</t>
  </si>
  <si>
    <t>—</t>
  </si>
  <si>
    <t>Jan–Jun</t>
  </si>
  <si>
    <t>Interest</t>
  </si>
  <si>
    <t>WaFd credit interest earned</t>
  </si>
  <si>
    <t>RECONCILIATION TO WAFD ACCOUNT *7940</t>
  </si>
  <si>
    <t>PB capital contributions (Jan $2.6M + Apr $1.1M + Jun $1.6M)</t>
  </si>
  <si>
    <t>Plus: lender escrow release, refunds, prior mgmt cash</t>
  </si>
  <si>
    <t>Plus: interest earned</t>
  </si>
  <si>
    <t>Less: draws disbursed (DRW-001 to DRW-013)</t>
  </si>
  <si>
    <t>WaFd balance, 7/14/2026</t>
  </si>
  <si>
    <t>Note: the three mortgage-shortfall draws (DRW-004/005/007, $922,000) were repaid by the property and are not a net use of Pennybacker capital.</t>
  </si>
  <si>
    <t>Source: AVA Capital Draw System, reconciled line by line to WaFd statements. Backup available in the draw packages.</t>
  </si>
  <si>
    <t>AVA APARTMENTS — CAPITAL USES &amp; RUN RATE</t>
  </si>
  <si>
    <t>Below-the-line capex run rate for the funded horizon; 2026 uses funded to date.</t>
  </si>
  <si>
    <t>TOTAL (horizon, 4 quarters)</t>
  </si>
  <si>
    <t>Monthly run rate</t>
  </si>
  <si>
    <t>Basis</t>
  </si>
  <si>
    <t>A/C &amp; heating</t>
  </si>
  <si>
    <t>YTD $41,194 / 6</t>
  </si>
  <si>
    <t>Countertops &amp; cabinets</t>
  </si>
  <si>
    <t>YTD $65,036 / 6</t>
  </si>
  <si>
    <t>Plumbing</t>
  </si>
  <si>
    <t>YTD $47,265 / 6</t>
  </si>
  <si>
    <t>Carpeting &amp; vinyl</t>
  </si>
  <si>
    <t>YTD $65,459 / 6</t>
  </si>
  <si>
    <t>Appliances</t>
  </si>
  <si>
    <t>YTD $19,497 / 6</t>
  </si>
  <si>
    <t>Window coverings</t>
  </si>
  <si>
    <t>YTD $20,138 / 6</t>
  </si>
  <si>
    <t>Painting &amp; interior</t>
  </si>
  <si>
    <t>YTD $19,159 / 6</t>
  </si>
  <si>
    <t>Fire sprinkler / extinguishers</t>
  </si>
  <si>
    <t>YTD $17,920 / 6</t>
  </si>
  <si>
    <t>Exterior, roofing, landscaping and other</t>
  </si>
  <si>
    <t>YTD $54,630 / 6</t>
  </si>
  <si>
    <t>TOTAL MONTHLY RUN RATE</t>
  </si>
  <si>
    <t>YTD gross capital repairs $350,299 / 6 months</t>
  </si>
  <si>
    <t>AVA APARTMENTS — JUNE 2026 ACTUALS</t>
  </si>
  <si>
    <t>Metric</t>
  </si>
  <si>
    <t>June 2026</t>
  </si>
  <si>
    <t>YTD</t>
  </si>
  <si>
    <t>Note</t>
  </si>
  <si>
    <t>Occupancy 632/880 = 71.8%</t>
  </si>
  <si>
    <t>Incl. RE taxes &amp; insurance (now escrowed)</t>
  </si>
  <si>
    <t>Net Operating Income</t>
  </si>
  <si>
    <t>Below-the-line capex (gross)</t>
  </si>
  <si>
    <t>Capital repairs; reimbursed through draws</t>
  </si>
  <si>
    <t>Debt service (net of rate cap)</t>
  </si>
  <si>
    <t>Interest $384,655 less rate cap $60,732</t>
  </si>
  <si>
    <t>Net income</t>
  </si>
  <si>
    <t>Incl. amortization</t>
  </si>
  <si>
    <t>Source: AVA June 2026 financial prelims (accrual).</t>
  </si>
  <si>
    <t>Conservative Case — AVA Apartments</t>
  </si>
  <si>
    <t>Quarterly Operating, Debt &amp; Capital Model  ($)</t>
  </si>
  <si>
    <t>Q3 2027</t>
  </si>
  <si>
    <t>Q4 2027</t>
  </si>
  <si>
    <t>Q1 2028</t>
  </si>
  <si>
    <t>Q2 2028</t>
  </si>
  <si>
    <t>2-Yr Total</t>
  </si>
  <si>
    <t>q-index</t>
  </si>
  <si>
    <t>months-in-qtr</t>
  </si>
  <si>
    <t>REVENUE BUILD</t>
  </si>
  <si>
    <t xml:space="preserve">   Gross potential rent</t>
  </si>
  <si>
    <t xml:space="preserve">   Vacancy (occupancy path)</t>
  </si>
  <si>
    <t xml:space="preserve">   Concessions</t>
  </si>
  <si>
    <t xml:space="preserve">   Bad debt / write-offs</t>
  </si>
  <si>
    <t xml:space="preserve">   Net rental income</t>
  </si>
  <si>
    <t xml:space="preserve">   Other income</t>
  </si>
  <si>
    <t xml:space="preserve">   Effective Gross Income</t>
  </si>
  <si>
    <t>OPERATING EXPENSES</t>
  </si>
  <si>
    <t xml:space="preserve">   Payroll</t>
  </si>
  <si>
    <t xml:space="preserve">   Marketing &amp; other</t>
  </si>
  <si>
    <t xml:space="preserve">   Administrative</t>
  </si>
  <si>
    <t xml:space="preserve">   Repairs &amp; maintenance</t>
  </si>
  <si>
    <t xml:space="preserve">   Utilities</t>
  </si>
  <si>
    <t xml:space="preserve">   Insurance (escrowed)</t>
  </si>
  <si>
    <t xml:space="preserve">   Real estate taxes (escrowed)</t>
  </si>
  <si>
    <t xml:space="preserve">   Management fee</t>
  </si>
  <si>
    <t xml:space="preserve">   Total Operating Expenses</t>
  </si>
  <si>
    <t xml:space="preserve">   NET OPERATING INCOME</t>
  </si>
  <si>
    <t>DEBT SERVICE &amp; ESCROWS (Mesa West)</t>
  </si>
  <si>
    <t xml:space="preserve">   Loan balance</t>
  </si>
  <si>
    <t xml:space="preserve">   Interest rate (annual)</t>
  </si>
  <si>
    <t xml:space="preserve">   Mortgage (int + tax/ins escrow, net cap)</t>
  </si>
  <si>
    <t xml:space="preserve">   Cash flow after debt service</t>
  </si>
  <si>
    <t xml:space="preserve">   (memo) gross mortgage before rate cap</t>
  </si>
  <si>
    <t>CAPITAL &amp; FUNDING USES</t>
  </si>
  <si>
    <t xml:space="preserve">   Below-the-line capex</t>
  </si>
  <si>
    <t xml:space="preserve">   Franchise tax reimbursement (CPM)</t>
  </si>
  <si>
    <t xml:space="preserve">   Closing &amp; legal</t>
  </si>
  <si>
    <t xml:space="preserve">   Net cash flow before funding</t>
  </si>
  <si>
    <t>PB FUNDING POOL  (single initial call)</t>
  </si>
  <si>
    <t xml:space="preserve">   Pool beginning</t>
  </si>
  <si>
    <t xml:space="preserve">   Initial PB funding (at close)</t>
  </si>
  <si>
    <t xml:space="preserve">   Pool ending (liquidity)</t>
  </si>
  <si>
    <t>KEY OUTPUTS</t>
  </si>
  <si>
    <t>FUNDING CALCULATION</t>
  </si>
  <si>
    <t xml:space="preserve">   Forward 12-mo NOI</t>
  </si>
  <si>
    <t>Below-the-line capex (horizon)</t>
  </si>
  <si>
    <t xml:space="preserve">   Forward 12-mo debt service</t>
  </si>
  <si>
    <t>Franchise tax reimbursement</t>
  </si>
  <si>
    <t xml:space="preserve">   Forward 12-mo DSCR</t>
  </si>
  <si>
    <t xml:space="preserve">   Debt yield (NOI/loan)</t>
  </si>
  <si>
    <t>Operating carry (cum. deficit + floor)</t>
  </si>
  <si>
    <t xml:space="preserve">   Remaining 2026-27 PB funding</t>
  </si>
  <si>
    <t>TOTAL PB FUNDING (horizon)</t>
  </si>
  <si>
    <t xml:space="preserve">   Min liquidity over horizon</t>
  </si>
  <si>
    <t xml:space="preserve">  less: WaFd balance on hand</t>
  </si>
  <si>
    <t xml:space="preserve">   Cumulative op. cash flow (horizon)</t>
  </si>
  <si>
    <t xml:space="preserve">  REMAINING PB FUNDING</t>
  </si>
  <si>
    <t xml:space="preserve">   Avg monthly cash burn (Yr 1)</t>
  </si>
  <si>
    <t xml:space="preserve">   PB funded to date (2026)</t>
  </si>
  <si>
    <t>QUARTERLY FUNDING (PB contributions)</t>
  </si>
  <si>
    <t xml:space="preserve">   All-in cash flow before funding</t>
  </si>
  <si>
    <t xml:space="preserve">   Beginning cash (WaFd)</t>
  </si>
  <si>
    <t xml:space="preserve">   PB funding injection (quarterly)</t>
  </si>
  <si>
    <t xml:space="preserve">   Ending cash (held at floor)</t>
  </si>
  <si>
    <t xml:space="preserve">   memo: PB funded to date (2026)</t>
  </si>
  <si>
    <t>NET PB FUNDING REQUIRED (by quarter)</t>
  </si>
  <si>
    <t xml:space="preserve">   Quarterly funding (as scheduled)</t>
  </si>
  <si>
    <t xml:space="preserve">   NET PB FUNDING REQUIRED</t>
  </si>
  <si>
    <t xml:space="preserve">   Estimated contribution date</t>
  </si>
  <si>
    <t>Expected Case — AVA Apartments</t>
  </si>
  <si>
    <t>Recovery Case — AVA Apartments</t>
  </si>
  <si>
    <t>Custom Case — AVA Apartments</t>
  </si>
  <si>
    <t>Per the 1/3-of-historical-IPS guide. CAF is tracking under it, which is why the Expected case carries $58,383/mo and Conservative $70,000/mo.</t>
  </si>
  <si>
    <t>SCOPE: taxes and insurance are now escrowed monthly through the Mesa West payment. Franchise tax reimbursement to PB: July paid, Aug and Sep remain.</t>
  </si>
  <si>
    <t>CAPITAL EXPENDITURES  (where IPS placed the spend)</t>
  </si>
  <si>
    <t>THE READ</t>
  </si>
  <si>
    <t>Approved. IPS vendors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</si>
</sst>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;\-"/>
    <numFmt numFmtId="165" formatCode="0.00\x"/>
    <numFmt numFmtId="166" formatCode="0.0%"/>
    <numFmt numFmtId="167" formatCode="\$#,##0.00"/>
    <numFmt numFmtId="168" formatCode="0.0%;\(0.0%\);\-"/>
    <numFmt numFmtId="169" formatCode="0.000%"/>
    <numFmt numFmtId="170" formatCode="_(* #,##0_);_(* \(#,##0\);_(* \-??_);_(@_)"/>
  </numFmts>
  <fonts count="59" x14ac:knownFonts="1">
    <font>
      <sz val="11"/>
      <color theme="1"/>
      <name val="Calibri"/>
      <family val="2"/>
      <charset val="1"/>
    </font>
    <font>
      <b/>
      <sz val="11"/>
      <color rgb="FFB0752E"/>
      <name val="Arial"/>
      <family val="2"/>
      <charset val="1"/>
    </font>
    <font>
      <b/>
      <sz val="22"/>
      <color rgb="FF102346"/>
      <name val="Arial"/>
      <family val="2"/>
      <charset val="1"/>
    </font>
    <font>
      <sz val="13"/>
      <color rgb="FF102346"/>
      <name val="Arial"/>
      <family val="2"/>
      <charset val="1"/>
    </font>
    <font>
      <sz val="9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563C1"/>
      <name val="Arial"/>
      <charset val="1"/>
    </font>
    <font>
      <sz val="9"/>
      <color rgb="FF7F7F7F"/>
      <name val="Arial"/>
      <charset val="1"/>
    </font>
    <font>
      <sz val="8"/>
      <color rgb="FF7F7F7F"/>
      <name val="Arial"/>
      <charset val="1"/>
    </font>
    <font>
      <b/>
      <sz val="17"/>
      <color rgb="FF102346"/>
      <name val="Arial"/>
      <charset val="1"/>
    </font>
    <font>
      <b/>
      <sz val="10"/>
      <color rgb="FFB0752E"/>
      <name val="Arial"/>
      <family val="2"/>
      <charset val="1"/>
    </font>
    <font>
      <b/>
      <sz val="10"/>
      <color rgb="FFFFFFFF"/>
      <name val="Arial"/>
      <charset val="1"/>
    </font>
    <font>
      <b/>
      <sz val="7"/>
      <color rgb="FF7F7F7F"/>
      <name val="Arial"/>
      <charset val="1"/>
    </font>
    <font>
      <b/>
      <sz val="7"/>
      <color rgb="FF7F7F7F"/>
      <name val="Arial"/>
      <family val="2"/>
      <charset val="1"/>
    </font>
    <font>
      <b/>
      <sz val="13"/>
      <color rgb="FF102346"/>
      <name val="Arial"/>
      <charset val="1"/>
    </font>
    <font>
      <b/>
      <sz val="13"/>
      <color rgb="FFC00000"/>
      <name val="Arial"/>
      <family val="2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sz val="9"/>
      <color rgb="FF0000FF"/>
      <name val="Arial"/>
      <family val="2"/>
      <charset val="1"/>
    </font>
    <font>
      <i/>
      <sz val="9"/>
      <color rgb="FF7F7F7F"/>
      <name val="Arial"/>
      <charset val="1"/>
    </font>
    <font>
      <sz val="9"/>
      <color rgb="FF1A1A1A"/>
      <name val="Arial"/>
      <family val="2"/>
      <charset val="1"/>
    </font>
    <font>
      <b/>
      <sz val="9"/>
      <color rgb="FF1A1A1A"/>
      <name val="Arial"/>
      <charset val="1"/>
    </font>
    <font>
      <b/>
      <sz val="9"/>
      <color rgb="FF0000FF"/>
      <name val="Arial"/>
      <family val="2"/>
      <charset val="1"/>
    </font>
    <font>
      <b/>
      <sz val="8"/>
      <color rgb="FFC00000"/>
      <name val="Arial"/>
      <charset val="1"/>
    </font>
    <font>
      <sz val="9"/>
      <color rgb="FF008000"/>
      <name val="Arial"/>
      <charset val="1"/>
    </font>
    <font>
      <b/>
      <sz val="9"/>
      <color rgb="FF008000"/>
      <name val="Arial"/>
      <charset val="1"/>
    </font>
    <font>
      <i/>
      <sz val="8"/>
      <color rgb="FF7F7F7F"/>
      <name val="Arial"/>
      <charset val="1"/>
    </font>
    <font>
      <sz val="11"/>
      <color theme="0"/>
      <name val="Calibri"/>
      <family val="2"/>
      <charset val="1"/>
    </font>
    <font>
      <sz val="8"/>
      <color theme="0"/>
      <name val="Arial"/>
      <family val="2"/>
      <charset val="1"/>
    </font>
    <font>
      <sz val="8"/>
      <color rgb="FF1A1A1A"/>
      <name val="Arial"/>
      <charset val="1"/>
    </font>
    <font>
      <b/>
      <sz val="16"/>
      <color rgb="FF102346"/>
      <name val="Arial"/>
      <charset val="1"/>
    </font>
    <font>
      <sz val="10"/>
      <color rgb="FFB0752E"/>
      <name val="Arial"/>
      <charset val="1"/>
    </font>
    <font>
      <b/>
      <sz val="8"/>
      <color rgb="FF102346"/>
      <name val="Arial"/>
      <charset val="1"/>
    </font>
    <font>
      <sz val="8"/>
      <color rgb="FFBFBFBF"/>
      <name val="Arial"/>
      <charset val="1"/>
    </font>
    <font>
      <b/>
      <sz val="8"/>
      <color rgb="FF1A1A1A"/>
      <name val="Arial"/>
      <charset val="1"/>
    </font>
    <font>
      <b/>
      <sz val="9"/>
      <color rgb="FF102346"/>
      <name val="Arial"/>
      <charset val="1"/>
    </font>
    <font>
      <b/>
      <sz val="9"/>
      <color rgb="FFC00000"/>
      <name val="Arial"/>
      <charset val="1"/>
    </font>
    <font>
      <sz val="9"/>
      <color rgb="FF0000FF"/>
      <name val="Arial"/>
      <charset val="1"/>
    </font>
    <font>
      <sz val="9"/>
      <color rgb="FFFF0000"/>
      <name val="Arial"/>
      <family val="2"/>
      <charset val="1"/>
    </font>
    <font>
      <sz val="9"/>
      <color rgb="FFC00000"/>
      <name val="Arial"/>
      <family val="2"/>
      <charset val="1"/>
    </font>
    <font>
      <b/>
      <sz val="11"/>
      <name val="Arial"/>
      <charset val="1"/>
    </font>
    <font>
      <b/>
      <sz val="8"/>
      <color rgb="FF0563C1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family val="2"/>
      <charset val="1"/>
    </font>
    <font>
      <b/>
      <sz val="8"/>
      <color rgb="FFFFFFFF"/>
      <name val="Arial"/>
      <charset val="1"/>
    </font>
    <font>
      <b/>
      <sz val="9"/>
      <color rgb="FF7F7F7F"/>
      <name val="Arial"/>
      <charset val="1"/>
    </font>
    <font>
      <sz val="9"/>
      <color theme="0"/>
      <name val="Arial"/>
      <family val="2"/>
      <charset val="1"/>
    </font>
    <font>
      <sz val="10"/>
      <color theme="0"/>
      <name val="Arial"/>
      <family val="2"/>
      <charset val="1"/>
    </font>
    <font>
      <b/>
      <sz val="9"/>
      <color rgb="FF0563C1"/>
      <name val="Arial"/>
      <charset val="1"/>
    </font>
    <font>
      <b/>
      <sz val="8"/>
      <color rgb="FF7F7F7F"/>
      <name val="Arial"/>
      <charset val="1"/>
    </font>
    <font>
      <b/>
      <sz val="9"/>
      <color rgb="FFB0752E"/>
      <name val="Arial"/>
      <charset val="1"/>
    </font>
    <font>
      <b/>
      <sz val="11"/>
      <color rgb="FF102346"/>
      <name val="Arial"/>
      <charset val="1"/>
    </font>
    <font>
      <b/>
      <sz val="11"/>
      <color rgb="FF000000"/>
      <name val="Arial"/>
      <charset val="1"/>
    </font>
    <font>
      <sz val="9"/>
      <color rgb="FF102346"/>
      <name val="Arial"/>
      <charset val="1"/>
    </font>
    <font>
      <sz val="9"/>
      <color theme="0"/>
      <name val="Arial"/>
      <family val="2"/>
    </font>
    <font>
      <b/>
      <sz val="10"/>
      <color rgb="FFFFFFFF"/>
      <name val="Arial"/>
      <family val="2"/>
    </font>
    <font>
      <sz val="8"/>
      <color rgb="FF7F7F7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02346"/>
        <bgColor rgb="FF002060"/>
      </patternFill>
    </fill>
    <fill>
      <patternFill patternType="solid">
        <fgColor rgb="FFFFFDF5"/>
        <bgColor rgb="FFFFFDF0"/>
      </patternFill>
    </fill>
    <fill>
      <patternFill patternType="solid">
        <fgColor rgb="FFF2F2F2"/>
        <bgColor rgb="FFFFFDF0"/>
      </patternFill>
    </fill>
    <fill>
      <patternFill patternType="solid">
        <fgColor rgb="FFFFFFFF"/>
        <bgColor rgb="FFFFFDF5"/>
      </patternFill>
    </fill>
    <fill>
      <patternFill patternType="solid">
        <fgColor theme="5" tint="0.79979857783745845"/>
        <bgColor rgb="FFD9D9D9"/>
      </patternFill>
    </fill>
    <fill>
      <patternFill patternType="solid">
        <fgColor theme="4" tint="0.79989013336588644"/>
        <bgColor rgb="FFD9D9D9"/>
      </patternFill>
    </fill>
    <fill>
      <patternFill patternType="solid">
        <fgColor rgb="FFFFFDF0"/>
        <bgColor rgb="FFFFFDF5"/>
      </patternFill>
    </fill>
    <fill>
      <patternFill patternType="solid">
        <fgColor rgb="FFC00000"/>
        <bgColor rgb="FFFF0000"/>
      </patternFill>
    </fill>
    <fill>
      <patternFill patternType="solid">
        <fgColor rgb="FFB0752E"/>
        <bgColor rgb="FF7F7F7F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medium">
        <color rgb="FF102346"/>
      </top>
      <bottom/>
      <diagonal/>
    </border>
    <border>
      <left style="thin">
        <color rgb="FFD9D9D9"/>
      </left>
      <right style="thin">
        <color rgb="FFD9D9D9"/>
      </right>
      <top style="medium">
        <color rgb="FF102346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14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11" fillId="0" borderId="0" xfId="0" applyFont="1"/>
    <xf numFmtId="0" fontId="12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6" fillId="0" borderId="0" xfId="0" applyFont="1"/>
    <xf numFmtId="164" fontId="17" fillId="0" borderId="0" xfId="0" applyNumberFormat="1" applyFont="1" applyAlignment="1">
      <alignment horizontal="right" vertical="center"/>
    </xf>
    <xf numFmtId="0" fontId="11" fillId="2" borderId="0" xfId="0" applyFont="1" applyFill="1"/>
    <xf numFmtId="164" fontId="18" fillId="2" borderId="1" xfId="0" applyNumberFormat="1" applyFont="1" applyFill="1" applyBorder="1" applyAlignment="1">
      <alignment horizontal="center" vertical="center"/>
    </xf>
    <xf numFmtId="0" fontId="19" fillId="0" borderId="0" xfId="0" applyFont="1"/>
    <xf numFmtId="167" fontId="20" fillId="3" borderId="1" xfId="0" applyNumberFormat="1" applyFont="1" applyFill="1" applyBorder="1" applyAlignment="1">
      <alignment horizontal="center" vertical="center"/>
    </xf>
    <xf numFmtId="0" fontId="0" fillId="5" borderId="0" xfId="0" applyFill="1"/>
    <xf numFmtId="164" fontId="20" fillId="6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0" fontId="21" fillId="0" borderId="0" xfId="0" applyFont="1"/>
    <xf numFmtId="164" fontId="21" fillId="3" borderId="1" xfId="0" applyNumberFormat="1" applyFont="1" applyFill="1" applyBorder="1" applyAlignment="1">
      <alignment horizontal="center" vertical="center"/>
    </xf>
    <xf numFmtId="0" fontId="22" fillId="0" borderId="0" xfId="0" applyFont="1"/>
    <xf numFmtId="164" fontId="11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/>
    <xf numFmtId="164" fontId="24" fillId="3" borderId="1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right" vertical="center"/>
    </xf>
    <xf numFmtId="165" fontId="20" fillId="3" borderId="1" xfId="0" applyNumberFormat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right" vertical="center"/>
    </xf>
    <xf numFmtId="166" fontId="20" fillId="3" borderId="1" xfId="0" applyNumberFormat="1" applyFont="1" applyFill="1" applyBorder="1" applyAlignment="1">
      <alignment horizontal="center" vertical="center"/>
    </xf>
    <xf numFmtId="168" fontId="16" fillId="0" borderId="0" xfId="0" applyNumberFormat="1" applyFont="1" applyAlignment="1">
      <alignment horizontal="right" vertical="center"/>
    </xf>
    <xf numFmtId="0" fontId="25" fillId="0" borderId="0" xfId="0" applyFont="1"/>
    <xf numFmtId="164" fontId="26" fillId="3" borderId="1" xfId="0" applyNumberFormat="1" applyFont="1" applyFill="1" applyBorder="1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164" fontId="30" fillId="0" borderId="0" xfId="0" applyNumberFormat="1" applyFont="1" applyAlignment="1">
      <alignment horizontal="right"/>
    </xf>
    <xf numFmtId="164" fontId="30" fillId="0" borderId="0" xfId="0" applyNumberFormat="1" applyFont="1" applyAlignment="1">
      <alignment horizontal="center"/>
    </xf>
    <xf numFmtId="0" fontId="32" fillId="0" borderId="0" xfId="0" applyFont="1"/>
    <xf numFmtId="0" fontId="33" fillId="0" borderId="0" xfId="0" applyFont="1"/>
    <xf numFmtId="0" fontId="18" fillId="2" borderId="0" xfId="0" applyFont="1" applyFill="1" applyAlignment="1">
      <alignment horizontal="center" vertical="center"/>
    </xf>
    <xf numFmtId="0" fontId="16" fillId="0" borderId="7" xfId="0" applyFont="1" applyBorder="1"/>
    <xf numFmtId="164" fontId="16" fillId="0" borderId="7" xfId="0" applyNumberFormat="1" applyFont="1" applyBorder="1" applyAlignment="1">
      <alignment horizontal="right" vertical="center"/>
    </xf>
    <xf numFmtId="166" fontId="26" fillId="0" borderId="7" xfId="0" applyNumberFormat="1" applyFont="1" applyBorder="1" applyAlignment="1">
      <alignment horizontal="right" vertical="center"/>
    </xf>
    <xf numFmtId="0" fontId="0" fillId="0" borderId="7" xfId="0" applyBorder="1"/>
    <xf numFmtId="164" fontId="11" fillId="2" borderId="0" xfId="0" applyNumberFormat="1" applyFont="1" applyFill="1" applyAlignment="1">
      <alignment horizontal="right" vertical="center"/>
    </xf>
    <xf numFmtId="166" fontId="11" fillId="2" borderId="0" xfId="0" applyNumberFormat="1" applyFont="1" applyFill="1" applyAlignment="1">
      <alignment horizontal="right" vertical="center"/>
    </xf>
    <xf numFmtId="0" fontId="34" fillId="0" borderId="0" xfId="0" applyFont="1"/>
    <xf numFmtId="0" fontId="17" fillId="0" borderId="7" xfId="0" applyFont="1" applyBorder="1"/>
    <xf numFmtId="164" fontId="17" fillId="0" borderId="7" xfId="0" applyNumberFormat="1" applyFont="1" applyBorder="1" applyAlignment="1">
      <alignment horizontal="right" vertical="center"/>
    </xf>
    <xf numFmtId="0" fontId="35" fillId="0" borderId="0" xfId="0" applyFont="1"/>
    <xf numFmtId="0" fontId="36" fillId="0" borderId="0" xfId="0" applyFont="1" applyAlignment="1">
      <alignment horizontal="left" vertical="center" wrapText="1"/>
    </xf>
    <xf numFmtId="0" fontId="37" fillId="4" borderId="7" xfId="0" applyFont="1" applyFill="1" applyBorder="1"/>
    <xf numFmtId="164" fontId="37" fillId="4" borderId="7" xfId="0" applyNumberFormat="1" applyFont="1" applyFill="1" applyBorder="1" applyAlignment="1">
      <alignment horizontal="right" vertical="center"/>
    </xf>
    <xf numFmtId="166" fontId="27" fillId="4" borderId="7" xfId="0" applyNumberFormat="1" applyFont="1" applyFill="1" applyBorder="1" applyAlignment="1">
      <alignment horizontal="right" vertical="center"/>
    </xf>
    <xf numFmtId="0" fontId="8" fillId="0" borderId="7" xfId="0" applyFont="1" applyBorder="1"/>
    <xf numFmtId="0" fontId="38" fillId="0" borderId="7" xfId="0" applyFont="1" applyBorder="1"/>
    <xf numFmtId="164" fontId="38" fillId="0" borderId="7" xfId="0" applyNumberFormat="1" applyFont="1" applyBorder="1" applyAlignment="1">
      <alignment horizontal="right" vertical="center"/>
    </xf>
    <xf numFmtId="0" fontId="37" fillId="4" borderId="0" xfId="0" applyFont="1" applyFill="1"/>
    <xf numFmtId="0" fontId="0" fillId="4" borderId="0" xfId="0" applyFill="1"/>
    <xf numFmtId="0" fontId="17" fillId="0" borderId="0" xfId="0" applyFont="1"/>
    <xf numFmtId="164" fontId="0" fillId="0" borderId="0" xfId="0" applyNumberFormat="1"/>
    <xf numFmtId="0" fontId="8" fillId="0" borderId="0" xfId="0" applyFont="1" applyAlignment="1">
      <alignment horizontal="left" vertical="center"/>
    </xf>
    <xf numFmtId="0" fontId="39" fillId="8" borderId="2" xfId="0" applyFont="1" applyFill="1" applyBorder="1" applyAlignment="1">
      <alignment horizontal="center"/>
    </xf>
    <xf numFmtId="0" fontId="17" fillId="0" borderId="3" xfId="0" applyFont="1" applyBorder="1" applyAlignment="1">
      <alignment horizontal="right" vertical="center"/>
    </xf>
    <xf numFmtId="0" fontId="0" fillId="0" borderId="3" xfId="0" applyBorder="1"/>
    <xf numFmtId="0" fontId="16" fillId="0" borderId="4" xfId="0" applyFont="1" applyBorder="1"/>
    <xf numFmtId="164" fontId="39" fillId="8" borderId="1" xfId="0" applyNumberFormat="1" applyFont="1" applyFill="1" applyBorder="1" applyAlignment="1">
      <alignment horizontal="right" vertical="center"/>
    </xf>
    <xf numFmtId="164" fontId="40" fillId="8" borderId="1" xfId="0" applyNumberFormat="1" applyFont="1" applyFill="1" applyBorder="1" applyAlignment="1">
      <alignment horizontal="right" vertical="center"/>
    </xf>
    <xf numFmtId="0" fontId="16" fillId="0" borderId="1" xfId="0" applyFont="1" applyBorder="1"/>
    <xf numFmtId="169" fontId="39" fillId="8" borderId="1" xfId="0" applyNumberFormat="1" applyFont="1" applyFill="1" applyBorder="1" applyAlignment="1">
      <alignment horizontal="right" vertical="center"/>
    </xf>
    <xf numFmtId="169" fontId="40" fillId="8" borderId="1" xfId="0" applyNumberFormat="1" applyFont="1" applyFill="1" applyBorder="1" applyAlignment="1">
      <alignment horizontal="right" vertical="center"/>
    </xf>
    <xf numFmtId="166" fontId="39" fillId="8" borderId="1" xfId="0" applyNumberFormat="1" applyFont="1" applyFill="1" applyBorder="1" applyAlignment="1">
      <alignment horizontal="right" vertical="center"/>
    </xf>
    <xf numFmtId="166" fontId="40" fillId="8" borderId="1" xfId="0" applyNumberFormat="1" applyFont="1" applyFill="1" applyBorder="1" applyAlignment="1">
      <alignment horizontal="right" vertical="center"/>
    </xf>
    <xf numFmtId="0" fontId="41" fillId="0" borderId="1" xfId="0" applyFont="1" applyBorder="1"/>
    <xf numFmtId="0" fontId="42" fillId="2" borderId="0" xfId="0" applyFont="1" applyFill="1"/>
    <xf numFmtId="0" fontId="43" fillId="0" borderId="0" xfId="0" applyFont="1" applyAlignment="1">
      <alignment horizontal="left" vertical="center"/>
    </xf>
    <xf numFmtId="164" fontId="16" fillId="0" borderId="1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/>
    </xf>
    <xf numFmtId="164" fontId="44" fillId="0" borderId="0" xfId="0" applyNumberFormat="1" applyFont="1"/>
    <xf numFmtId="164" fontId="44" fillId="0" borderId="1" xfId="0" applyNumberFormat="1" applyFont="1" applyBorder="1"/>
    <xf numFmtId="0" fontId="0" fillId="0" borderId="1" xfId="0" applyBorder="1"/>
    <xf numFmtId="1" fontId="39" fillId="8" borderId="8" xfId="0" applyNumberFormat="1" applyFont="1" applyFill="1" applyBorder="1" applyAlignment="1">
      <alignment horizontal="right" vertical="center"/>
    </xf>
    <xf numFmtId="0" fontId="45" fillId="2" borderId="1" xfId="0" applyFont="1" applyFill="1" applyBorder="1" applyAlignment="1">
      <alignment horizontal="left" vertical="center"/>
    </xf>
    <xf numFmtId="164" fontId="20" fillId="8" borderId="1" xfId="0" applyNumberFormat="1" applyFont="1" applyFill="1" applyBorder="1" applyAlignment="1">
      <alignment horizontal="left" vertical="center"/>
    </xf>
    <xf numFmtId="164" fontId="20" fillId="3" borderId="1" xfId="0" applyNumberFormat="1" applyFont="1" applyFill="1" applyBorder="1" applyAlignment="1">
      <alignment horizontal="right" vertical="center"/>
    </xf>
    <xf numFmtId="164" fontId="46" fillId="2" borderId="1" xfId="0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166" fontId="39" fillId="8" borderId="0" xfId="0" applyNumberFormat="1" applyFont="1" applyFill="1" applyAlignment="1">
      <alignment horizontal="right" vertical="center"/>
    </xf>
    <xf numFmtId="0" fontId="16" fillId="2" borderId="0" xfId="0" applyFont="1" applyFill="1"/>
    <xf numFmtId="0" fontId="47" fillId="8" borderId="1" xfId="0" applyFont="1" applyFill="1" applyBorder="1" applyAlignment="1">
      <alignment horizontal="right"/>
    </xf>
    <xf numFmtId="0" fontId="4" fillId="0" borderId="1" xfId="0" applyFont="1" applyBorder="1"/>
    <xf numFmtId="169" fontId="48" fillId="9" borderId="1" xfId="0" applyNumberFormat="1" applyFont="1" applyFill="1" applyBorder="1" applyAlignment="1">
      <alignment horizontal="right" vertical="center"/>
    </xf>
    <xf numFmtId="170" fontId="49" fillId="9" borderId="1" xfId="0" applyNumberFormat="1" applyFont="1" applyFill="1" applyBorder="1" applyAlignment="1">
      <alignment horizontal="right" vertical="center"/>
    </xf>
    <xf numFmtId="164" fontId="39" fillId="8" borderId="0" xfId="0" applyNumberFormat="1" applyFont="1" applyFill="1" applyAlignment="1">
      <alignment horizontal="right" vertical="center"/>
    </xf>
    <xf numFmtId="0" fontId="18" fillId="2" borderId="0" xfId="0" applyFont="1" applyFill="1"/>
    <xf numFmtId="0" fontId="3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vertical="center" wrapText="1"/>
    </xf>
    <xf numFmtId="0" fontId="50" fillId="0" borderId="7" xfId="0" applyFont="1" applyBorder="1" applyAlignment="1">
      <alignment horizontal="center" vertical="center"/>
    </xf>
    <xf numFmtId="0" fontId="19" fillId="0" borderId="7" xfId="0" applyFont="1" applyBorder="1"/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164" fontId="7" fillId="0" borderId="7" xfId="0" applyNumberFormat="1" applyFont="1" applyBorder="1" applyAlignment="1">
      <alignment horizontal="right" vertical="center"/>
    </xf>
    <xf numFmtId="164" fontId="26" fillId="0" borderId="7" xfId="0" applyNumberFormat="1" applyFont="1" applyBorder="1" applyAlignment="1">
      <alignment horizontal="right" vertical="center"/>
    </xf>
    <xf numFmtId="164" fontId="37" fillId="0" borderId="7" xfId="0" applyNumberFormat="1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26" fillId="0" borderId="0" xfId="0" applyNumberFormat="1" applyFont="1" applyAlignment="1">
      <alignment horizontal="right" vertical="center"/>
    </xf>
    <xf numFmtId="164" fontId="37" fillId="0" borderId="0" xfId="0" applyNumberFormat="1" applyFont="1" applyAlignment="1">
      <alignment horizontal="right" vertical="center"/>
    </xf>
    <xf numFmtId="164" fontId="18" fillId="2" borderId="0" xfId="0" applyNumberFormat="1" applyFont="1" applyFill="1" applyAlignment="1">
      <alignment horizontal="center" vertical="center"/>
    </xf>
    <xf numFmtId="164" fontId="26" fillId="2" borderId="0" xfId="0" applyNumberFormat="1" applyFont="1" applyFill="1" applyAlignment="1">
      <alignment horizontal="right" vertical="center"/>
    </xf>
    <xf numFmtId="164" fontId="47" fillId="0" borderId="7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left" vertical="center" wrapText="1"/>
    </xf>
    <xf numFmtId="164" fontId="19" fillId="0" borderId="7" xfId="0" applyNumberFormat="1" applyFont="1" applyBorder="1" applyAlignment="1">
      <alignment horizontal="right" vertical="center"/>
    </xf>
    <xf numFmtId="0" fontId="51" fillId="0" borderId="0" xfId="0" applyFont="1"/>
    <xf numFmtId="164" fontId="7" fillId="2" borderId="0" xfId="0" applyNumberFormat="1" applyFont="1" applyFill="1" applyAlignment="1">
      <alignment horizontal="right" vertical="center"/>
    </xf>
    <xf numFmtId="164" fontId="37" fillId="2" borderId="0" xfId="0" applyNumberFormat="1" applyFont="1" applyFill="1" applyAlignment="1">
      <alignment horizontal="right" vertical="center"/>
    </xf>
    <xf numFmtId="0" fontId="37" fillId="0" borderId="0" xfId="0" applyFont="1"/>
    <xf numFmtId="0" fontId="52" fillId="0" borderId="0" xfId="0" applyFont="1"/>
    <xf numFmtId="165" fontId="7" fillId="0" borderId="0" xfId="0" applyNumberFormat="1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0" fontId="18" fillId="2" borderId="0" xfId="0" applyFont="1" applyFill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167" fontId="16" fillId="0" borderId="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167" fontId="18" fillId="2" borderId="0" xfId="0" applyNumberFormat="1" applyFont="1" applyFill="1" applyAlignment="1">
      <alignment horizontal="right" vertical="center"/>
    </xf>
    <xf numFmtId="167" fontId="26" fillId="0" borderId="7" xfId="0" applyNumberFormat="1" applyFont="1" applyBorder="1" applyAlignment="1">
      <alignment horizontal="right" vertical="center"/>
    </xf>
    <xf numFmtId="0" fontId="37" fillId="0" borderId="7" xfId="0" applyFont="1" applyBorder="1"/>
    <xf numFmtId="167" fontId="17" fillId="0" borderId="7" xfId="0" applyNumberFormat="1" applyFont="1" applyBorder="1" applyAlignment="1">
      <alignment horizontal="right" vertical="center"/>
    </xf>
    <xf numFmtId="0" fontId="53" fillId="0" borderId="0" xfId="0" applyFont="1" applyAlignment="1">
      <alignment horizontal="left" vertical="center"/>
    </xf>
    <xf numFmtId="164" fontId="54" fillId="0" borderId="0" xfId="0" applyNumberFormat="1" applyFont="1" applyAlignment="1">
      <alignment horizontal="right" vertical="center"/>
    </xf>
    <xf numFmtId="0" fontId="18" fillId="10" borderId="0" xfId="0" applyFont="1" applyFill="1" applyAlignment="1">
      <alignment horizontal="left" wrapText="1"/>
    </xf>
    <xf numFmtId="0" fontId="18" fillId="10" borderId="0" xfId="0" applyFont="1" applyFill="1" applyAlignment="1">
      <alignment horizontal="center" wrapText="1"/>
    </xf>
    <xf numFmtId="0" fontId="17" fillId="10" borderId="0" xfId="0" applyFont="1" applyFill="1" applyAlignment="1">
      <alignment horizontal="center" wrapText="1"/>
    </xf>
    <xf numFmtId="0" fontId="16" fillId="4" borderId="0" xfId="0" applyFont="1" applyFill="1" applyAlignment="1">
      <alignment horizontal="center" vertical="center"/>
    </xf>
    <xf numFmtId="164" fontId="16" fillId="4" borderId="0" xfId="0" applyNumberFormat="1" applyFont="1" applyFill="1"/>
    <xf numFmtId="0" fontId="8" fillId="4" borderId="0" xfId="0" applyFont="1" applyFill="1"/>
    <xf numFmtId="164" fontId="16" fillId="8" borderId="0" xfId="0" applyNumberFormat="1" applyFont="1" applyFill="1" applyAlignment="1">
      <alignment horizontal="right" vertical="center"/>
    </xf>
    <xf numFmtId="164" fontId="8" fillId="8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164" fontId="11" fillId="2" borderId="0" xfId="0" applyNumberFormat="1" applyFont="1" applyFill="1"/>
    <xf numFmtId="0" fontId="18" fillId="10" borderId="0" xfId="0" applyFont="1" applyFill="1" applyAlignment="1">
      <alignment horizontal="left" vertical="center"/>
    </xf>
    <xf numFmtId="0" fontId="18" fillId="10" borderId="8" xfId="0" applyFont="1" applyFill="1" applyBorder="1" applyAlignment="1">
      <alignment horizontal="center"/>
    </xf>
    <xf numFmtId="0" fontId="18" fillId="10" borderId="8" xfId="0" applyFont="1" applyFill="1" applyBorder="1"/>
    <xf numFmtId="164" fontId="16" fillId="8" borderId="1" xfId="0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17" fillId="0" borderId="1" xfId="0" applyFont="1" applyBorder="1"/>
    <xf numFmtId="164" fontId="17" fillId="8" borderId="1" xfId="0" applyNumberFormat="1" applyFont="1" applyFill="1" applyBorder="1" applyAlignment="1">
      <alignment horizontal="center" vertical="center"/>
    </xf>
    <xf numFmtId="164" fontId="39" fillId="8" borderId="1" xfId="0" applyNumberFormat="1" applyFont="1" applyFill="1" applyBorder="1" applyAlignment="1">
      <alignment horizontal="center" vertical="center"/>
    </xf>
    <xf numFmtId="0" fontId="28" fillId="0" borderId="1" xfId="0" applyFont="1" applyBorder="1"/>
    <xf numFmtId="0" fontId="17" fillId="10" borderId="0" xfId="0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164" fontId="17" fillId="0" borderId="1" xfId="0" applyNumberFormat="1" applyFont="1" applyBorder="1" applyAlignment="1">
      <alignment horizontal="right" vertical="center"/>
    </xf>
    <xf numFmtId="168" fontId="16" fillId="0" borderId="1" xfId="0" applyNumberFormat="1" applyFont="1" applyBorder="1" applyAlignment="1">
      <alignment horizontal="right" vertical="center"/>
    </xf>
    <xf numFmtId="168" fontId="17" fillId="0" borderId="1" xfId="0" applyNumberFormat="1" applyFont="1" applyBorder="1" applyAlignment="1">
      <alignment horizontal="right" vertical="center"/>
    </xf>
    <xf numFmtId="0" fontId="17" fillId="10" borderId="0" xfId="0" applyFont="1" applyFill="1"/>
    <xf numFmtId="0" fontId="0" fillId="10" borderId="0" xfId="0" applyFill="1"/>
    <xf numFmtId="165" fontId="17" fillId="0" borderId="0" xfId="0" applyNumberFormat="1" applyFont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0" fontId="55" fillId="0" borderId="0" xfId="0" applyFont="1"/>
    <xf numFmtId="164" fontId="21" fillId="0" borderId="0" xfId="0" applyNumberFormat="1" applyFont="1" applyAlignment="1">
      <alignment horizontal="right" vertical="center"/>
    </xf>
    <xf numFmtId="0" fontId="28" fillId="0" borderId="7" xfId="0" applyFont="1" applyBorder="1" applyAlignment="1">
      <alignment horizontal="left" vertical="center"/>
    </xf>
    <xf numFmtId="164" fontId="56" fillId="11" borderId="1" xfId="0" applyNumberFormat="1" applyFont="1" applyFill="1" applyBorder="1" applyAlignment="1">
      <alignment horizontal="right" vertical="center"/>
    </xf>
    <xf numFmtId="0" fontId="57" fillId="2" borderId="0" xfId="0" applyFont="1" applyFill="1"/>
    <xf numFmtId="0" fontId="58" fillId="0" borderId="7" xfId="0" applyFont="1" applyBorder="1"/>
    <xf numFmtId="164" fontId="8" fillId="0" borderId="0" xfId="0" applyNumberFormat="1" applyFont="1" applyAlignment="1">
      <alignment horizontal="left" vertical="center"/>
    </xf>
    <xf numFmtId="164" fontId="3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41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B0752E"/>
      <rgbColor rgb="FF800080"/>
      <rgbColor rgb="FF008080"/>
      <rgbColor rgb="FFBFBFBF"/>
      <rgbColor rgb="FF7F7F7F"/>
      <rgbColor rgb="FF9999FF"/>
      <rgbColor rgb="FF993366"/>
      <rgbColor rgb="FFFFFDF0"/>
      <rgbColor rgb="FFDCE6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DF5"/>
      <rgbColor rgb="FF99CCFF"/>
      <rgbColor rgb="FFFF99CC"/>
      <rgbColor rgb="FFCC99FF"/>
      <rgbColor rgb="FFF2DCDB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2060"/>
      <rgbColor rgb="FF339966"/>
      <rgbColor rgb="FF003300"/>
      <rgbColor rgb="FF1A1A1A"/>
      <rgbColor rgb="FF993300"/>
      <rgbColor rgb="FF993366"/>
      <rgbColor rgb="FF595959"/>
      <rgbColor rgb="FF1023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02346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02346"/>
                </a:solidFill>
                <a:latin typeface="Calibri"/>
              </a:rPr>
              <a:t>Reserve / WC Pool Balance  (active case)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Reserve/WC pool</c:v>
          </c:tx>
          <c:spPr>
            <a:ln w="28440" cap="rnd">
              <a:solidFill>
                <a:srgbClr val="1023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Dashboard!$C$43:$F$43</c:f>
              <c:numCache>
                <c:formatCode>\$#,##0;"($"#,##0\);\-</c:formatCode>
                <c:ptCount val="4"/>
                <c:pt idx="0">
                  <c:v>3903506.4982288205</c:v>
                </c:pt>
                <c:pt idx="1">
                  <c:v>2717704.3745738203</c:v>
                </c:pt>
                <c:pt idx="2">
                  <c:v>1684746.6351447301</c:v>
                </c:pt>
                <c:pt idx="3">
                  <c:v>681204.63999416656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C-4537-99EC-753523DD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27431"/>
        <c:axId val="18911374"/>
      </c:lineChart>
      <c:catAx>
        <c:axId val="337274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8911374"/>
        <c:crosses val="autoZero"/>
        <c:auto val="1"/>
        <c:lblAlgn val="ctr"/>
        <c:lblOffset val="100"/>
        <c:noMultiLvlLbl val="0"/>
      </c:catAx>
      <c:valAx>
        <c:axId val="189113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37274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02346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02346"/>
                </a:solidFill>
                <a:latin typeface="Calibri"/>
              </a:rPr>
              <a:t>Forward 12-Mo NOI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Forward 12-mo NOI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B72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00C-458D-8BDF-B3E8B4C5712F}"/>
              </c:ext>
            </c:extLst>
          </c:dPt>
          <c:dPt>
            <c:idx val="1"/>
            <c:invertIfNegative val="0"/>
            <c:bubble3D val="0"/>
            <c:spPr>
              <a:solidFill>
                <a:srgbClr val="1023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00C-458D-8BDF-B3E8B4C5712F}"/>
              </c:ext>
            </c:extLst>
          </c:dPt>
          <c:dPt>
            <c:idx val="2"/>
            <c:invertIfNegative val="0"/>
            <c:bubble3D val="0"/>
            <c:spPr>
              <a:solidFill>
                <a:srgbClr val="B075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00C-458D-8BDF-B3E8B4C5712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0C-458D-8BDF-B3E8B4C5712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0C-458D-8BDF-B3E8B4C5712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0C-458D-8BDF-B3E8B4C571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Dashboard!$C$21:$E$21</c:f>
              <c:strCache>
                <c:ptCount val="3"/>
                <c:pt idx="0">
                  <c:v>Conservative</c:v>
                </c:pt>
                <c:pt idx="1">
                  <c:v>Expected</c:v>
                </c:pt>
                <c:pt idx="2">
                  <c:v>Recovery</c:v>
                </c:pt>
              </c:strCache>
            </c:strRef>
          </c:cat>
          <c:val>
            <c:numRef>
              <c:f>Dashboard!$C$23:$E$23</c:f>
              <c:numCache>
                <c:formatCode>\$#,##0;"($"#,##0\);\-</c:formatCode>
                <c:ptCount val="3"/>
                <c:pt idx="0">
                  <c:v>2998166.311616906</c:v>
                </c:pt>
                <c:pt idx="1">
                  <c:v>4009726.577212845</c:v>
                </c:pt>
                <c:pt idx="2">
                  <c:v>4392346.0604536207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0C-458D-8BDF-B3E8B4C57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23242436"/>
        <c:axId val="86251685"/>
      </c:barChart>
      <c:catAx>
        <c:axId val="232424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6251685"/>
        <c:crosses val="autoZero"/>
        <c:auto val="1"/>
        <c:lblAlgn val="ctr"/>
        <c:lblOffset val="100"/>
        <c:noMultiLvlLbl val="0"/>
      </c:catAx>
      <c:valAx>
        <c:axId val="862516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3242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57240</xdr:colOff>
      <xdr:row>0</xdr:row>
      <xdr:rowOff>162000</xdr:rowOff>
    </xdr:from>
    <xdr:to>
      <xdr:col>1</xdr:col>
      <xdr:colOff>2202840</xdr:colOff>
      <xdr:row>2</xdr:row>
      <xdr:rowOff>190800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8560" y="162000"/>
          <a:ext cx="2145600" cy="676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66600</xdr:colOff>
      <xdr:row>7</xdr:row>
      <xdr:rowOff>152280</xdr:rowOff>
    </xdr:from>
    <xdr:to>
      <xdr:col>10</xdr:col>
      <xdr:colOff>87840</xdr:colOff>
      <xdr:row>18</xdr:row>
      <xdr:rowOff>123840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66600</xdr:colOff>
      <xdr:row>19</xdr:row>
      <xdr:rowOff>3240</xdr:rowOff>
    </xdr:from>
    <xdr:to>
      <xdr:col>10</xdr:col>
      <xdr:colOff>85680</xdr:colOff>
      <xdr:row>29</xdr:row>
      <xdr:rowOff>164160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C25"/>
  <sheetViews>
    <sheetView showGridLines="0" zoomScaleNormal="100" workbookViewId="0">
      <selection activeCell="E22" sqref="E22"/>
    </sheetView>
  </sheetViews>
  <sheetFormatPr defaultColWidth="8.6640625" defaultRowHeight="14.4" x14ac:dyDescent="0.3"/>
  <cols>
    <col min="1" max="1" width="3" customWidth="1"/>
    <col min="2" max="2" width="40" customWidth="1"/>
    <col min="3" max="3" width="48" customWidth="1"/>
    <col min="4" max="5" width="20" customWidth="1"/>
  </cols>
  <sheetData>
    <row r="1" spans="2:3" ht="25.5" customHeight="1" x14ac:dyDescent="0.3"/>
    <row r="2" spans="2:3" ht="25.5" customHeight="1" x14ac:dyDescent="0.3">
      <c r="B2" s="6"/>
    </row>
    <row r="3" spans="2:3" ht="27.75" customHeight="1" x14ac:dyDescent="0.3"/>
    <row r="4" spans="2:3" ht="26.25" customHeight="1" x14ac:dyDescent="0.5">
      <c r="B4" s="7" t="s">
        <v>0</v>
      </c>
    </row>
    <row r="5" spans="2:3" ht="15.75" customHeight="1" x14ac:dyDescent="0.3">
      <c r="B5" s="8" t="s">
        <v>1</v>
      </c>
    </row>
    <row r="6" spans="2:3" ht="10.5" customHeight="1" x14ac:dyDescent="0.3"/>
    <row r="7" spans="2:3" ht="15" customHeight="1" x14ac:dyDescent="0.3">
      <c r="B7" s="9" t="s">
        <v>2</v>
      </c>
    </row>
    <row r="8" spans="2:3" ht="15" customHeight="1" x14ac:dyDescent="0.3">
      <c r="B8" s="9" t="s">
        <v>3</v>
      </c>
    </row>
    <row r="9" spans="2:3" ht="15" customHeight="1" x14ac:dyDescent="0.3">
      <c r="B9" s="9" t="s">
        <v>4</v>
      </c>
    </row>
    <row r="10" spans="2:3" ht="15" customHeight="1" x14ac:dyDescent="0.3"/>
    <row r="11" spans="2:3" ht="15" customHeight="1" x14ac:dyDescent="0.3">
      <c r="B11" s="10" t="s">
        <v>5</v>
      </c>
      <c r="C11" s="11"/>
    </row>
    <row r="12" spans="2:3" ht="15" customHeight="1" x14ac:dyDescent="0.3">
      <c r="B12" s="12" t="str">
        <f>HYPERLINK("#'Dashboard'!A1","Dashboard")</f>
        <v>Dashboard</v>
      </c>
      <c r="C12" s="13" t="s">
        <v>6</v>
      </c>
    </row>
    <row r="13" spans="2:3" ht="15" customHeight="1" x14ac:dyDescent="0.3">
      <c r="B13" s="12" t="str">
        <f>HYPERLINK("#'Cash Burn'!A1","Cash Burn")</f>
        <v>Cash Burn</v>
      </c>
      <c r="C13" s="13" t="s">
        <v>7</v>
      </c>
    </row>
    <row r="14" spans="2:3" ht="15" customHeight="1" x14ac:dyDescent="0.3">
      <c r="B14" s="12" t="str">
        <f>HYPERLINK("#'Assumptions'!A1","Assumptions")</f>
        <v>Assumptions</v>
      </c>
      <c r="C14" s="13" t="s">
        <v>8</v>
      </c>
    </row>
    <row r="15" spans="2:3" ht="15" customHeight="1" x14ac:dyDescent="0.3">
      <c r="B15" s="12" t="str">
        <f>HYPERLINK("#'Action Items'!A1","Action Items")</f>
        <v>Action Items</v>
      </c>
      <c r="C15" s="13" t="s">
        <v>9</v>
      </c>
    </row>
    <row r="16" spans="2:3" ht="15" customHeight="1" x14ac:dyDescent="0.3">
      <c r="B16" s="12" t="str">
        <f>HYPERLINK("#'Draw Model Recon'!A1","Draw Model Recon")</f>
        <v>Draw Model Recon</v>
      </c>
      <c r="C16" s="13" t="s">
        <v>10</v>
      </c>
    </row>
    <row r="17" spans="2:3" ht="15" customHeight="1" x14ac:dyDescent="0.3">
      <c r="B17" s="12" t="str">
        <f>HYPERLINK("#'Uses Detail'!A1","Uses Detail")</f>
        <v>Uses Detail</v>
      </c>
      <c r="C17" s="13" t="s">
        <v>11</v>
      </c>
    </row>
    <row r="18" spans="2:3" ht="15" customHeight="1" x14ac:dyDescent="0.3">
      <c r="B18" s="12" t="str">
        <f>HYPERLINK("#'Capex Run Rate'!A1","Capex Run Rate")</f>
        <v>Capex Run Rate</v>
      </c>
      <c r="C18" s="13" t="s">
        <v>12</v>
      </c>
    </row>
    <row r="19" spans="2:3" ht="15" customHeight="1" x14ac:dyDescent="0.3">
      <c r="B19" s="12" t="str">
        <f>HYPERLINK("#'Operating Actuals'!A1","Operating Actuals")</f>
        <v>Operating Actuals</v>
      </c>
      <c r="C19" s="13" t="s">
        <v>13</v>
      </c>
    </row>
    <row r="20" spans="2:3" ht="15" customHeight="1" x14ac:dyDescent="0.3">
      <c r="B20" s="12" t="str">
        <f>HYPERLINK("#'Model - Conservative'!A1","Model - Conservative")</f>
        <v>Model - Conservative</v>
      </c>
      <c r="C20" s="13" t="s">
        <v>14</v>
      </c>
    </row>
    <row r="21" spans="2:3" ht="15" customHeight="1" x14ac:dyDescent="0.3">
      <c r="B21" s="12" t="str">
        <f>HYPERLINK("#'Model - Expected'!A1","Model - Expected")</f>
        <v>Model - Expected</v>
      </c>
      <c r="C21" s="13" t="s">
        <v>15</v>
      </c>
    </row>
    <row r="22" spans="2:3" ht="18.75" customHeight="1" x14ac:dyDescent="0.3">
      <c r="B22" s="12" t="str">
        <f>HYPERLINK("#'Model - Recovery'!A1","Model - Recovery")</f>
        <v>Model - Recovery</v>
      </c>
      <c r="C22" s="13" t="s">
        <v>16</v>
      </c>
    </row>
    <row r="23" spans="2:3" ht="18.75" customHeight="1" x14ac:dyDescent="0.3">
      <c r="B23" s="12" t="str">
        <f>HYPERLINK("#'Model - Custom'!A1","Model - Custom")</f>
        <v>Model - Custom</v>
      </c>
      <c r="C23" s="13" t="s">
        <v>17</v>
      </c>
    </row>
    <row r="24" spans="2:3" ht="15" customHeight="1" x14ac:dyDescent="0.3">
      <c r="B24" s="15"/>
    </row>
    <row r="25" spans="2:3" ht="15" customHeight="1" x14ac:dyDescent="0.3">
      <c r="B25" s="15" t="s">
        <v>18</v>
      </c>
    </row>
  </sheetData>
  <hyperlinks>
    <hyperlink ref="B12" location="'Dashboard'!A1" display="#'Dashboard'.A1" xr:uid="{00000000-0004-0000-0000-000000000000}"/>
    <hyperlink ref="B13" location="'Action Items'!A1" display="#'Action Items'.A1" xr:uid="{00000000-0004-0000-0000-000001000000}"/>
    <hyperlink ref="B14" location="'Assumptions'!A1" display="#'Assumptions'.A1" xr:uid="{00000000-0004-0000-0000-000002000000}"/>
    <hyperlink ref="B15" location="'Capex Detail'!A1" display="#'Capex Detail'.A1" xr:uid="{00000000-0004-0000-0000-000003000000}"/>
    <hyperlink ref="B16" location="'TTM Actuals'!A1" display="#'TTM Actuals'.A1" xr:uid="{00000000-0004-0000-0000-000004000000}"/>
    <hyperlink ref="B17" location="'Model - Conservative'!A1" display="#'Model - Conservative'.A1" xr:uid="{00000000-0004-0000-0000-000005000000}"/>
    <hyperlink ref="B18" location="'Model - Expected'!A1" display="#'Model - Expected'.A1" xr:uid="{00000000-0004-0000-0000-000006000000}"/>
    <hyperlink ref="B19" location="'Model - Recovery'!A1" display="#'Model - Recovery'.A1" xr:uid="{00000000-0004-0000-0000-000007000000}"/>
    <hyperlink ref="B20" location="'Model - Custom'!A1" display="#'Model - Custom'.A1" xr:uid="{00000000-0004-0000-0000-000008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G53"/>
  <sheetViews>
    <sheetView showGridLines="0" tabSelected="1" zoomScaleNormal="100" workbookViewId="0">
      <pane xSplit="1" ySplit="3" topLeftCell="B9" activePane="bottomRight" state="frozen"/>
      <selection pane="topRight" activeCell="B1" sqref="B1"/>
      <selection pane="bottomLeft" activeCell="A22" sqref="A22"/>
      <selection pane="bottomRight" activeCell="O29" sqref="O29"/>
    </sheetView>
  </sheetViews>
  <sheetFormatPr defaultColWidth="8.6640625" defaultRowHeight="14.4" x14ac:dyDescent="0.3"/>
  <cols>
    <col min="1" max="1" width="2" customWidth="1"/>
    <col min="2" max="2" width="39.33203125" customWidth="1"/>
    <col min="3" max="7" width="21.6640625" customWidth="1"/>
  </cols>
  <sheetData>
    <row r="1" spans="2:5" ht="23.25" customHeight="1" x14ac:dyDescent="0.4">
      <c r="B1" s="16" t="s">
        <v>19</v>
      </c>
    </row>
    <row r="2" spans="2:5" ht="15" customHeight="1" x14ac:dyDescent="0.3">
      <c r="B2" s="17" t="str">
        <f>"Active scenario:  "&amp;Assumptions!$D$6</f>
        <v>Active scenario:  Expected</v>
      </c>
      <c r="C2" s="18"/>
      <c r="D2" s="18"/>
      <c r="E2" s="19"/>
    </row>
    <row r="3" spans="2:5" ht="15" customHeight="1" x14ac:dyDescent="0.3">
      <c r="B3" s="15" t="s">
        <v>20</v>
      </c>
    </row>
    <row r="4" spans="2:5" ht="15" customHeight="1" x14ac:dyDescent="0.3">
      <c r="B4" s="20"/>
    </row>
    <row r="5" spans="2:5" ht="15" customHeight="1" x14ac:dyDescent="0.3">
      <c r="B5" s="21" t="s">
        <v>21</v>
      </c>
      <c r="C5" s="22" t="s">
        <v>22</v>
      </c>
      <c r="D5" s="22" t="s">
        <v>23</v>
      </c>
      <c r="E5" s="22" t="s">
        <v>24</v>
      </c>
    </row>
    <row r="6" spans="2:5" ht="15" customHeight="1" x14ac:dyDescent="0.3">
      <c r="B6" s="23">
        <f>CHOOSE(Assumptions!$C$6,'Model - Conservative'!$T$50,'Model - Expected'!$T$50,'Model - Recovery'!$T$50,'Model - Custom'!$T$50)</f>
        <v>4933550.7327171536</v>
      </c>
      <c r="C6" s="23">
        <f>CHOOSE(Assumptions!$C$6,'Model - Conservative'!$C$46,'Model - Expected'!$C$46,'Model - Recovery'!$C$46,'Model - Custom'!$C$46)</f>
        <v>4009726.577212845</v>
      </c>
      <c r="D6" s="24">
        <f>CHOOSE(Assumptions!$C$6,'Model - Conservative'!$C$48,'Model - Expected'!$C$48,'Model - Recovery'!$C$48,'Model - Custom'!$C$48)</f>
        <v>0.53511173666045786</v>
      </c>
      <c r="E6" s="25">
        <f>CHOOSE(Assumptions!$C$6,'Model - Conservative'!$C$53,'Model - Expected'!$C$53,'Model - Recovery'!$C$53,'Model - Custom'!$C$53)</f>
        <v>-290293.7052269156</v>
      </c>
    </row>
    <row r="7" spans="2:5" ht="15" customHeight="1" x14ac:dyDescent="0.3">
      <c r="B7" s="26" t="s">
        <v>25</v>
      </c>
      <c r="C7" s="27" t="s">
        <v>26</v>
      </c>
      <c r="D7" s="27" t="s">
        <v>27</v>
      </c>
      <c r="E7" s="27" t="s">
        <v>28</v>
      </c>
    </row>
    <row r="8" spans="2:5" ht="15" customHeight="1" x14ac:dyDescent="0.3">
      <c r="B8" s="23">
        <f>CHOOSE(Assumptions!$C$6,'Model - Conservative'!$T$52,'Model - Expected'!$T$52,'Model - Recovery'!$T$52,'Model - Custom'!$T$52)</f>
        <v>3632563.4927171534</v>
      </c>
      <c r="C8" s="28">
        <f>CHOOSE(Assumptions!$C$6,'Model - Conservative'!$C$49,'Model - Expected'!$C$49,'Model - Recovery'!$C$49,'Model - Custom'!$C$49)</f>
        <v>6.1676665546534025E-2</v>
      </c>
      <c r="D8" s="23">
        <f ca="1">CHOOSE(Assumptions!$C$6,'Model - Conservative'!$C$51,'Model - Expected'!$C$51,'Model - Recovery'!$C$51,'Model - Custom'!$C$51)</f>
        <v>681204.63999416656</v>
      </c>
      <c r="E8" s="25">
        <f>CHOOSE(Assumptions!$C$6,'Model - Conservative'!$C$54,'Model - Expected'!$C$54,'Model - Recovery'!$C$54,'Model - Custom'!$C$54)</f>
        <v>5300000</v>
      </c>
    </row>
    <row r="9" spans="2:5" ht="15" customHeight="1" x14ac:dyDescent="0.3">
      <c r="B9" s="29"/>
      <c r="C9" s="30"/>
    </row>
    <row r="10" spans="2:5" ht="15" customHeight="1" x14ac:dyDescent="0.3">
      <c r="B10" s="31" t="s">
        <v>29</v>
      </c>
      <c r="C10" s="32" t="s">
        <v>30</v>
      </c>
      <c r="D10" s="11"/>
      <c r="E10" s="11"/>
    </row>
    <row r="11" spans="2:5" ht="15" customHeight="1" x14ac:dyDescent="0.3">
      <c r="B11" s="33" t="s">
        <v>31</v>
      </c>
      <c r="C11" s="34">
        <f>CHOOSE(Assumptions!$C$6,'Model - Conservative'!$T$46,'Model - Expected'!$T$46,'Model - Recovery'!$T$46,'Model - Custom'!$T$46)</f>
        <v>642213</v>
      </c>
      <c r="D11" s="35"/>
      <c r="E11" s="35"/>
    </row>
    <row r="12" spans="2:5" ht="15" customHeight="1" x14ac:dyDescent="0.3">
      <c r="B12" s="33" t="s">
        <v>32</v>
      </c>
      <c r="C12" s="36">
        <f>CHOOSE(Assumptions!$C$6,'Model - Conservative'!$T$47,'Model - Expected'!$T$47,'Model - Recovery'!$T$47,'Model - Custom'!$T$47)</f>
        <v>126608.63</v>
      </c>
      <c r="D12" s="35"/>
      <c r="E12" s="35"/>
    </row>
    <row r="13" spans="2:5" ht="15" customHeight="1" x14ac:dyDescent="0.3">
      <c r="B13" s="33" t="s">
        <v>33</v>
      </c>
      <c r="C13" s="36">
        <f>CHOOSE(Assumptions!$C$6,'Model - Conservative'!$T$48,'Model - Expected'!$T$48,'Model - Recovery'!$T$48,'Model - Custom'!$T$48)</f>
        <v>0</v>
      </c>
      <c r="D13" s="35"/>
      <c r="E13" s="35"/>
    </row>
    <row r="14" spans="2:5" ht="15" customHeight="1" x14ac:dyDescent="0.3">
      <c r="B14" s="33" t="s">
        <v>34</v>
      </c>
      <c r="C14" s="37">
        <f>CHOOSE(Assumptions!$C$6,'Model - Conservative'!$T$49,'Model - Expected'!$T$49,'Model - Recovery'!$T$49,'Model - Custom'!$T$49)</f>
        <v>4164729.1027171537</v>
      </c>
      <c r="D14" s="35"/>
      <c r="E14" s="35"/>
    </row>
    <row r="15" spans="2:5" ht="15" customHeight="1" x14ac:dyDescent="0.3">
      <c r="B15" s="38"/>
      <c r="C15" s="39"/>
      <c r="D15" s="35"/>
      <c r="E15" s="35"/>
    </row>
    <row r="16" spans="2:5" ht="15" customHeight="1" x14ac:dyDescent="0.3">
      <c r="B16" s="40"/>
      <c r="C16" s="37"/>
      <c r="D16" s="35"/>
      <c r="E16" s="35"/>
    </row>
    <row r="17" spans="2:6" ht="15" customHeight="1" x14ac:dyDescent="0.3">
      <c r="B17" s="33"/>
      <c r="C17" s="37"/>
      <c r="D17" s="35"/>
      <c r="E17" s="35"/>
    </row>
    <row r="18" spans="2:6" ht="15" customHeight="1" x14ac:dyDescent="0.3">
      <c r="B18" s="33"/>
      <c r="C18" s="37"/>
      <c r="D18" s="35"/>
      <c r="E18" s="35"/>
    </row>
    <row r="19" spans="2:6" ht="15" customHeight="1" x14ac:dyDescent="0.3">
      <c r="B19" s="31" t="s">
        <v>35</v>
      </c>
      <c r="C19" s="41">
        <f>CHOOSE(Assumptions!$C$6,'Model - Conservative'!$T$50,'Model - Expected'!$T$50,'Model - Recovery'!$T$50,'Model - Custom'!$T$50)</f>
        <v>4933550.7327171536</v>
      </c>
      <c r="D19" s="11"/>
      <c r="E19" s="11"/>
    </row>
    <row r="20" spans="2:6" ht="15" customHeight="1" x14ac:dyDescent="0.3"/>
    <row r="21" spans="2:6" ht="15" customHeight="1" x14ac:dyDescent="0.3">
      <c r="B21" s="31" t="s">
        <v>36</v>
      </c>
      <c r="C21" s="42" t="s">
        <v>37</v>
      </c>
      <c r="D21" s="42" t="s">
        <v>38</v>
      </c>
      <c r="E21" s="42" t="s">
        <v>39</v>
      </c>
      <c r="F21" s="43"/>
    </row>
    <row r="22" spans="2:6" ht="15" customHeight="1" x14ac:dyDescent="0.3">
      <c r="B22" s="44" t="s">
        <v>40</v>
      </c>
      <c r="C22" s="45">
        <f>'Model - Conservative'!$T$50</f>
        <v>5945110.9983130936</v>
      </c>
      <c r="D22" s="45">
        <f>'Model - Expected'!$T$50</f>
        <v>4933550.7327171536</v>
      </c>
      <c r="E22" s="45">
        <f>'Model - Recovery'!$T$50</f>
        <v>4550931.2494763769</v>
      </c>
      <c r="F22" s="46"/>
    </row>
    <row r="23" spans="2:6" ht="15" customHeight="1" x14ac:dyDescent="0.3">
      <c r="B23" s="44" t="s">
        <v>41</v>
      </c>
      <c r="C23" s="45">
        <f>'Model - Conservative'!$C$46</f>
        <v>2998166.311616906</v>
      </c>
      <c r="D23" s="45">
        <f>'Model - Expected'!$C$46</f>
        <v>4009726.577212845</v>
      </c>
      <c r="E23" s="45">
        <f>'Model - Recovery'!$C$46</f>
        <v>4392346.0604536207</v>
      </c>
      <c r="F23" s="46"/>
    </row>
    <row r="24" spans="2:6" ht="15" customHeight="1" x14ac:dyDescent="0.3">
      <c r="B24" s="33" t="s">
        <v>42</v>
      </c>
      <c r="C24" s="47">
        <f>'Model - Conservative'!$C$48</f>
        <v>0.40011555673738386</v>
      </c>
      <c r="D24" s="47">
        <f>'Model - Expected'!$C$48</f>
        <v>0.53511173666045786</v>
      </c>
      <c r="E24" s="47">
        <f>'Model - Recovery'!$C$48</f>
        <v>0.58617361637082355</v>
      </c>
      <c r="F24" s="48"/>
    </row>
    <row r="25" spans="2:6" ht="15" customHeight="1" x14ac:dyDescent="0.3">
      <c r="B25" s="33" t="s">
        <v>43</v>
      </c>
      <c r="C25" s="49">
        <f>'Model - Conservative'!$C$49</f>
        <v>4.6117084866922987E-2</v>
      </c>
      <c r="D25" s="49">
        <f>'Model - Expected'!$C$49</f>
        <v>6.1676665546534025E-2</v>
      </c>
      <c r="E25" s="49">
        <f>'Model - Recovery'!$C$49</f>
        <v>6.7562027913519257E-2</v>
      </c>
      <c r="F25" s="50"/>
    </row>
    <row r="26" spans="2:6" ht="15" customHeight="1" x14ac:dyDescent="0.3">
      <c r="B26" s="33" t="s">
        <v>44</v>
      </c>
      <c r="C26" s="37">
        <f>'Model - Conservative'!$C$53</f>
        <v>-374590.39402657724</v>
      </c>
      <c r="D26" s="37">
        <f>'Model - Expected'!$C$53</f>
        <v>-290293.7052269156</v>
      </c>
      <c r="E26" s="37">
        <f>'Model - Recovery'!$C$53</f>
        <v>-258408.74829018422</v>
      </c>
      <c r="F26" s="46"/>
    </row>
    <row r="27" spans="2:6" ht="15" customHeight="1" x14ac:dyDescent="0.3">
      <c r="B27" s="33" t="s">
        <v>45</v>
      </c>
      <c r="C27" s="37">
        <f ca="1">'Model - Conservative'!$C$51</f>
        <v>681204.63999416656</v>
      </c>
      <c r="D27" s="37">
        <f ca="1">'Model - Expected'!$C$51</f>
        <v>681204.63999416656</v>
      </c>
      <c r="E27" s="37">
        <f ca="1">'Model - Recovery'!$C$51</f>
        <v>681204.63999416633</v>
      </c>
      <c r="F27" s="46"/>
    </row>
    <row r="28" spans="2:6" ht="15" customHeight="1" x14ac:dyDescent="0.3">
      <c r="B28" s="33" t="s">
        <v>46</v>
      </c>
      <c r="C28" s="37">
        <f>'Model - Conservative'!$C$52</f>
        <v>-4495084.7283189269</v>
      </c>
      <c r="D28" s="37">
        <f>'Model - Expected'!$C$52</f>
        <v>-3483524.4627229869</v>
      </c>
      <c r="E28" s="37">
        <f>'Model - Recovery'!$C$52</f>
        <v>-3100904.9794822107</v>
      </c>
    </row>
    <row r="29" spans="2:6" ht="15" customHeight="1" x14ac:dyDescent="0.3">
      <c r="B29" s="29"/>
    </row>
    <row r="30" spans="2:6" ht="15" customHeight="1" x14ac:dyDescent="0.3">
      <c r="B30" s="15" t="s">
        <v>47</v>
      </c>
    </row>
    <row r="31" spans="2:6" ht="15" customHeight="1" x14ac:dyDescent="0.3">
      <c r="B31" s="51" t="s">
        <v>538</v>
      </c>
    </row>
    <row r="33" spans="2:7" ht="15" customHeight="1" x14ac:dyDescent="0.3">
      <c r="B33" s="31" t="s">
        <v>48</v>
      </c>
      <c r="C33" s="42" t="s">
        <v>49</v>
      </c>
      <c r="D33" s="42" t="s">
        <v>50</v>
      </c>
      <c r="E33" s="42" t="s">
        <v>51</v>
      </c>
      <c r="F33" s="42" t="s">
        <v>52</v>
      </c>
      <c r="G33" s="42" t="s">
        <v>53</v>
      </c>
    </row>
    <row r="34" spans="2:7" ht="15" customHeight="1" x14ac:dyDescent="0.3">
      <c r="B34" s="33" t="s">
        <v>37</v>
      </c>
      <c r="C34" s="52">
        <f>'Model - Conservative'!C66</f>
        <v>553102.07648249972</v>
      </c>
      <c r="D34" s="52">
        <f>'Model - Conservative'!D66</f>
        <v>1509227.5117324998</v>
      </c>
      <c r="E34" s="52">
        <f>'Model - Conservative'!E66</f>
        <v>1308598.527395</v>
      </c>
      <c r="F34" s="52">
        <f>'Model - Conservative'!F66</f>
        <v>1273195.6427030936</v>
      </c>
      <c r="G34" s="53">
        <f>'Model - Conservative'!$G$66</f>
        <v>4644123.7583130933</v>
      </c>
    </row>
    <row r="35" spans="2:7" ht="15" customHeight="1" x14ac:dyDescent="0.3">
      <c r="B35" s="33" t="s">
        <v>38</v>
      </c>
      <c r="C35" s="54">
        <f>'Model - Expected'!C66</f>
        <v>410261.63448249968</v>
      </c>
      <c r="D35" s="54">
        <f>'Model - Expected'!D66</f>
        <v>1185802.123655</v>
      </c>
      <c r="E35" s="54">
        <f>'Model - Expected'!E66</f>
        <v>1032957.7394290902</v>
      </c>
      <c r="F35" s="54">
        <f>'Model - Expected'!F66</f>
        <v>1003541.9951505635</v>
      </c>
      <c r="G35" s="54">
        <f>'Model - Expected'!$G$66</f>
        <v>3632563.4927171534</v>
      </c>
    </row>
    <row r="36" spans="2:7" ht="15" customHeight="1" x14ac:dyDescent="0.3">
      <c r="B36" s="33" t="s">
        <v>39</v>
      </c>
      <c r="C36" s="52">
        <f>'Model - Recovery'!C66</f>
        <v>352723.63998249965</v>
      </c>
      <c r="D36" s="52">
        <f>'Model - Recovery'!D66</f>
        <v>1083095.3230737501</v>
      </c>
      <c r="E36" s="52">
        <f>'Model - Recovery'!E66</f>
        <v>922894.06345784431</v>
      </c>
      <c r="F36" s="52">
        <f>'Model - Recovery'!F66</f>
        <v>891230.98296228331</v>
      </c>
      <c r="G36" s="53">
        <f>'Model - Recovery'!$G$66</f>
        <v>3249944.0094763776</v>
      </c>
    </row>
    <row r="37" spans="2:7" ht="15" customHeight="1" x14ac:dyDescent="0.3">
      <c r="B37" s="55" t="s">
        <v>54</v>
      </c>
      <c r="C37" s="56" t="s">
        <v>55</v>
      </c>
      <c r="D37" s="56" t="s">
        <v>56</v>
      </c>
      <c r="E37" s="56" t="s">
        <v>57</v>
      </c>
      <c r="F37" s="56" t="s">
        <v>58</v>
      </c>
    </row>
    <row r="38" spans="2:7" ht="18.75" customHeight="1" x14ac:dyDescent="0.3">
      <c r="B38" s="203" t="s">
        <v>59</v>
      </c>
      <c r="C38" s="203"/>
      <c r="D38" s="203"/>
      <c r="E38" s="203"/>
      <c r="F38" s="203"/>
      <c r="G38" s="203"/>
    </row>
    <row r="39" spans="2:7" ht="15" hidden="1" customHeight="1" x14ac:dyDescent="0.3"/>
    <row r="40" spans="2:7" ht="15" hidden="1" customHeight="1" x14ac:dyDescent="0.3"/>
    <row r="41" spans="2:7" s="57" customFormat="1" ht="15" hidden="1" customHeight="1" x14ac:dyDescent="0.3">
      <c r="B41" s="58" t="s">
        <v>60</v>
      </c>
    </row>
    <row r="42" spans="2:7" s="57" customFormat="1" ht="15" hidden="1" customHeight="1" x14ac:dyDescent="0.3">
      <c r="C42" s="59" t="str">
        <f>C33</f>
        <v>Q3 2026</v>
      </c>
      <c r="D42" s="59" t="str">
        <f>D33</f>
        <v>Q4 2026</v>
      </c>
      <c r="E42" s="59" t="str">
        <f>E33</f>
        <v>Q1 2027</v>
      </c>
      <c r="F42" s="59" t="str">
        <f>F33</f>
        <v>Q2 2027</v>
      </c>
    </row>
    <row r="43" spans="2:7" s="57" customFormat="1" ht="15" customHeight="1" x14ac:dyDescent="0.3">
      <c r="B43" s="58" t="s">
        <v>61</v>
      </c>
      <c r="C43" s="60">
        <f>CHOOSE(Assumptions!$C$6,'Model - Conservative'!C43,'Model - Expected'!C43,'Model - Recovery'!C43,'Model - Custom'!C43)</f>
        <v>3903506.4982288205</v>
      </c>
      <c r="D43" s="60">
        <f>CHOOSE(Assumptions!$C$6,'Model - Conservative'!D43,'Model - Expected'!D43,'Model - Recovery'!D43,'Model - Custom'!D43)</f>
        <v>2717704.3745738203</v>
      </c>
      <c r="E43" s="60">
        <f>CHOOSE(Assumptions!$C$6,'Model - Conservative'!E43,'Model - Expected'!E43,'Model - Recovery'!E43,'Model - Custom'!E43)</f>
        <v>1684746.6351447301</v>
      </c>
      <c r="F43" s="60">
        <f>CHOOSE(Assumptions!$C$6,'Model - Conservative'!F43,'Model - Expected'!F43,'Model - Recovery'!F43,'Model - Custom'!F43)</f>
        <v>681204.63999416656</v>
      </c>
    </row>
    <row r="44" spans="2:7" s="57" customFormat="1" ht="15" hidden="1" customHeight="1" x14ac:dyDescent="0.3">
      <c r="D44" s="61">
        <f>D35</f>
        <v>1185802.123655</v>
      </c>
      <c r="E44" s="61">
        <f>E35</f>
        <v>1032957.7394290902</v>
      </c>
      <c r="F44" s="61">
        <f>F35</f>
        <v>1003541.9951505635</v>
      </c>
      <c r="G44" s="61">
        <f>G35</f>
        <v>3632563.4927171534</v>
      </c>
    </row>
    <row r="45" spans="2:7" s="57" customFormat="1" ht="15" hidden="1" customHeight="1" x14ac:dyDescent="0.3">
      <c r="C45" s="58" t="s">
        <v>61</v>
      </c>
      <c r="D45" s="60">
        <f>CHOOSE(Assumptions!$C$6,'Model - Conservative'!D45,'Model - Expected'!D45,'Model - Recovery'!D45,'Model - Custom'!D45)</f>
        <v>0</v>
      </c>
    </row>
    <row r="46" spans="2:7" hidden="1" x14ac:dyDescent="0.3"/>
    <row r="47" spans="2:7" ht="15" customHeight="1" x14ac:dyDescent="0.3">
      <c r="B47" s="31" t="s">
        <v>62</v>
      </c>
      <c r="C47" s="11"/>
      <c r="D47" s="11"/>
      <c r="E47" s="11"/>
      <c r="F47" s="11"/>
      <c r="G47" s="11"/>
    </row>
    <row r="48" spans="2:7" ht="24" customHeight="1" x14ac:dyDescent="0.3">
      <c r="B48" s="202" t="s">
        <v>63</v>
      </c>
      <c r="C48" s="202"/>
      <c r="D48" s="202"/>
      <c r="E48" s="202"/>
      <c r="F48" s="202"/>
      <c r="G48" s="202"/>
    </row>
    <row r="49" spans="2:7" ht="24" customHeight="1" x14ac:dyDescent="0.3">
      <c r="B49" s="202" t="s">
        <v>64</v>
      </c>
      <c r="C49" s="202"/>
      <c r="D49" s="202"/>
      <c r="E49" s="202"/>
      <c r="F49" s="202"/>
      <c r="G49" s="202"/>
    </row>
    <row r="50" spans="2:7" ht="24" customHeight="1" x14ac:dyDescent="0.3">
      <c r="B50" s="202" t="s">
        <v>65</v>
      </c>
      <c r="C50" s="202"/>
      <c r="D50" s="202"/>
      <c r="E50" s="202"/>
      <c r="F50" s="202"/>
      <c r="G50" s="202"/>
    </row>
    <row r="51" spans="2:7" ht="24" customHeight="1" x14ac:dyDescent="0.3">
      <c r="B51" s="202" t="s">
        <v>66</v>
      </c>
      <c r="C51" s="202"/>
      <c r="D51" s="202"/>
      <c r="E51" s="202"/>
      <c r="F51" s="202"/>
      <c r="G51" s="202"/>
    </row>
    <row r="52" spans="2:7" ht="24" customHeight="1" x14ac:dyDescent="0.3">
      <c r="B52" s="202" t="s">
        <v>67</v>
      </c>
      <c r="C52" s="202"/>
      <c r="D52" s="202"/>
      <c r="E52" s="202"/>
      <c r="F52" s="202"/>
      <c r="G52" s="202"/>
    </row>
    <row r="53" spans="2:7" ht="24" customHeight="1" x14ac:dyDescent="0.3">
      <c r="B53" s="202" t="s">
        <v>68</v>
      </c>
      <c r="C53" s="202"/>
      <c r="D53" s="202"/>
      <c r="E53" s="202"/>
      <c r="F53" s="202"/>
      <c r="G53" s="202"/>
    </row>
  </sheetData>
  <mergeCells count="7">
    <mergeCell ref="B52:G52"/>
    <mergeCell ref="B53:G53"/>
    <mergeCell ref="B38:G38"/>
    <mergeCell ref="B48:G48"/>
    <mergeCell ref="B49:G49"/>
    <mergeCell ref="B50:G50"/>
    <mergeCell ref="B51:G51"/>
  </mergeCells>
  <pageMargins left="0.75" right="0.75" top="1" bottom="1" header="0.511811023622047" footer="0.511811023622047"/>
  <pageSetup paperSize="9" orientation="portrait" horizontalDpi="300" verticalDpi="300"/>
  <ignoredErrors>
    <ignoredError sqref="D43:F4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:K61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14" sqref="E14"/>
    </sheetView>
  </sheetViews>
  <sheetFormatPr defaultColWidth="8.6640625" defaultRowHeight="14.4" x14ac:dyDescent="0.3"/>
  <cols>
    <col min="1" max="1" width="2" customWidth="1"/>
    <col min="2" max="2" width="42" customWidth="1"/>
    <col min="3" max="6" width="14" customWidth="1"/>
    <col min="7" max="7" width="157.33203125" customWidth="1"/>
  </cols>
  <sheetData>
    <row r="1" spans="2:7" ht="17.25" customHeight="1" x14ac:dyDescent="0.3">
      <c r="B1" s="204" t="s">
        <v>0</v>
      </c>
      <c r="C1" s="204"/>
      <c r="D1" s="204"/>
      <c r="E1" s="204"/>
      <c r="F1" s="204"/>
      <c r="G1" s="204"/>
    </row>
    <row r="2" spans="2:7" ht="15" customHeight="1" x14ac:dyDescent="0.3">
      <c r="B2" s="205" t="s">
        <v>1</v>
      </c>
      <c r="C2" s="205"/>
      <c r="D2" s="205"/>
      <c r="E2" s="205"/>
      <c r="F2" s="205"/>
      <c r="G2" s="205"/>
    </row>
    <row r="3" spans="2:7" ht="15" customHeight="1" x14ac:dyDescent="0.3">
      <c r="B3" s="86" t="s">
        <v>174</v>
      </c>
    </row>
    <row r="5" spans="2:7" ht="15" customHeight="1" x14ac:dyDescent="0.3">
      <c r="B5" s="31" t="s">
        <v>175</v>
      </c>
      <c r="C5" s="11"/>
      <c r="D5" s="11"/>
      <c r="E5" s="11"/>
      <c r="F5" s="11"/>
      <c r="G5" s="11"/>
    </row>
    <row r="6" spans="2:7" ht="15" customHeight="1" x14ac:dyDescent="0.3">
      <c r="B6" s="84" t="s">
        <v>176</v>
      </c>
      <c r="C6" s="87">
        <v>2</v>
      </c>
      <c r="D6" s="88" t="str">
        <f>CHOOSE($C$6,"Conservative","Expected","Recovery","Custom")</f>
        <v>Expected</v>
      </c>
      <c r="E6" s="89"/>
      <c r="F6" s="89"/>
      <c r="G6" s="90" t="s">
        <v>177</v>
      </c>
    </row>
    <row r="8" spans="2:7" ht="15" customHeight="1" x14ac:dyDescent="0.3">
      <c r="B8" s="31" t="s">
        <v>178</v>
      </c>
      <c r="C8" s="42" t="s">
        <v>37</v>
      </c>
      <c r="D8" s="42" t="s">
        <v>38</v>
      </c>
      <c r="E8" s="42" t="s">
        <v>39</v>
      </c>
      <c r="F8" s="42" t="s">
        <v>179</v>
      </c>
      <c r="G8" s="11"/>
    </row>
    <row r="9" spans="2:7" ht="15" customHeight="1" x14ac:dyDescent="0.3">
      <c r="B9" s="29" t="s">
        <v>180</v>
      </c>
      <c r="C9" s="91">
        <v>864935</v>
      </c>
      <c r="D9" s="91">
        <v>864935</v>
      </c>
      <c r="E9" s="91">
        <v>864935</v>
      </c>
      <c r="F9" s="92">
        <v>864935</v>
      </c>
      <c r="G9" s="93" t="s">
        <v>181</v>
      </c>
    </row>
    <row r="10" spans="2:7" ht="15" customHeight="1" x14ac:dyDescent="0.3">
      <c r="B10" s="29" t="s">
        <v>182</v>
      </c>
      <c r="C10" s="94">
        <v>0</v>
      </c>
      <c r="D10" s="94">
        <v>2.5000000000000001E-3</v>
      </c>
      <c r="E10" s="94">
        <v>5.0000000000000001E-3</v>
      </c>
      <c r="F10" s="95">
        <v>2.5000000000000001E-3</v>
      </c>
      <c r="G10" s="93" t="s">
        <v>183</v>
      </c>
    </row>
    <row r="11" spans="2:7" ht="15" customHeight="1" x14ac:dyDescent="0.3">
      <c r="B11" s="29" t="s">
        <v>184</v>
      </c>
      <c r="C11" s="96">
        <v>0</v>
      </c>
      <c r="D11" s="96">
        <v>0</v>
      </c>
      <c r="E11" s="96">
        <v>0</v>
      </c>
      <c r="F11" s="97">
        <v>0</v>
      </c>
      <c r="G11" s="93" t="s">
        <v>185</v>
      </c>
    </row>
    <row r="12" spans="2:7" ht="15" customHeight="1" x14ac:dyDescent="0.3">
      <c r="B12" s="29" t="s">
        <v>186</v>
      </c>
      <c r="C12" s="91">
        <v>38000</v>
      </c>
      <c r="D12" s="91">
        <v>32098</v>
      </c>
      <c r="E12" s="91">
        <v>26000</v>
      </c>
      <c r="F12" s="92">
        <v>32098</v>
      </c>
      <c r="G12" s="93" t="s">
        <v>187</v>
      </c>
    </row>
    <row r="13" spans="2:7" ht="15" customHeight="1" x14ac:dyDescent="0.3">
      <c r="B13" s="29" t="s">
        <v>188</v>
      </c>
      <c r="C13" s="91">
        <v>105000</v>
      </c>
      <c r="D13" s="91">
        <v>68000</v>
      </c>
      <c r="E13" s="91">
        <v>62000</v>
      </c>
      <c r="F13" s="92">
        <v>91414</v>
      </c>
      <c r="G13" s="93" t="s">
        <v>189</v>
      </c>
    </row>
    <row r="14" spans="2:7" ht="15" customHeight="1" x14ac:dyDescent="0.3">
      <c r="B14" s="29" t="s">
        <v>190</v>
      </c>
      <c r="C14" s="91">
        <v>145000</v>
      </c>
      <c r="D14" s="91">
        <v>153059</v>
      </c>
      <c r="E14" s="91">
        <v>160000</v>
      </c>
      <c r="F14" s="92">
        <v>153059</v>
      </c>
      <c r="G14" s="93" t="s">
        <v>191</v>
      </c>
    </row>
    <row r="15" spans="2:7" ht="15" customHeight="1" x14ac:dyDescent="0.3">
      <c r="B15" s="29" t="s">
        <v>192</v>
      </c>
      <c r="C15" s="91">
        <v>0</v>
      </c>
      <c r="D15" s="91">
        <v>0</v>
      </c>
      <c r="E15" s="91">
        <v>0</v>
      </c>
      <c r="F15" s="91">
        <v>0</v>
      </c>
      <c r="G15" s="98"/>
    </row>
    <row r="16" spans="2:7" ht="15" customHeight="1" x14ac:dyDescent="0.3">
      <c r="B16" s="31" t="s">
        <v>193</v>
      </c>
      <c r="C16" s="99"/>
      <c r="D16" s="11"/>
      <c r="E16" s="11"/>
      <c r="F16" s="11"/>
      <c r="G16" s="11"/>
    </row>
    <row r="17" spans="2:7" ht="15" customHeight="1" x14ac:dyDescent="0.3">
      <c r="B17" s="29" t="s">
        <v>194</v>
      </c>
      <c r="C17" s="91">
        <v>125388</v>
      </c>
      <c r="D17" s="91">
        <v>125388</v>
      </c>
      <c r="E17" s="91">
        <v>125388</v>
      </c>
      <c r="F17" s="92">
        <v>125388</v>
      </c>
      <c r="G17" s="93" t="s">
        <v>195</v>
      </c>
    </row>
    <row r="18" spans="2:7" ht="15" customHeight="1" x14ac:dyDescent="0.3">
      <c r="B18" s="29" t="s">
        <v>196</v>
      </c>
      <c r="C18" s="91">
        <v>15886</v>
      </c>
      <c r="D18" s="91">
        <v>15886</v>
      </c>
      <c r="E18" s="91">
        <v>15886</v>
      </c>
      <c r="F18" s="92">
        <v>15886</v>
      </c>
      <c r="G18" s="93" t="s">
        <v>197</v>
      </c>
    </row>
    <row r="19" spans="2:7" ht="15" customHeight="1" x14ac:dyDescent="0.3">
      <c r="B19" s="29" t="s">
        <v>198</v>
      </c>
      <c r="C19" s="91">
        <v>52463</v>
      </c>
      <c r="D19" s="91">
        <v>52463</v>
      </c>
      <c r="E19" s="91">
        <v>52463</v>
      </c>
      <c r="F19" s="92">
        <v>52463</v>
      </c>
      <c r="G19" s="93" t="s">
        <v>199</v>
      </c>
    </row>
    <row r="20" spans="2:7" ht="15" customHeight="1" x14ac:dyDescent="0.3">
      <c r="B20" s="29" t="s">
        <v>200</v>
      </c>
      <c r="C20" s="91">
        <v>72256</v>
      </c>
      <c r="D20" s="91">
        <v>72256</v>
      </c>
      <c r="E20" s="91">
        <v>72256</v>
      </c>
      <c r="F20" s="92">
        <v>72256</v>
      </c>
      <c r="G20" s="93" t="s">
        <v>201</v>
      </c>
    </row>
    <row r="21" spans="2:7" ht="15" customHeight="1" x14ac:dyDescent="0.3">
      <c r="B21" s="29" t="s">
        <v>202</v>
      </c>
      <c r="C21" s="91">
        <v>126685</v>
      </c>
      <c r="D21" s="91">
        <v>126685</v>
      </c>
      <c r="E21" s="91">
        <v>126685</v>
      </c>
      <c r="F21" s="92">
        <v>126685</v>
      </c>
      <c r="G21" s="93" t="s">
        <v>203</v>
      </c>
    </row>
    <row r="22" spans="2:7" ht="15" customHeight="1" x14ac:dyDescent="0.3">
      <c r="B22" s="29" t="s">
        <v>204</v>
      </c>
      <c r="C22" s="91">
        <v>0</v>
      </c>
      <c r="D22" s="91">
        <v>0</v>
      </c>
      <c r="E22" s="91">
        <v>0</v>
      </c>
      <c r="F22" s="92">
        <v>0</v>
      </c>
      <c r="G22" s="93" t="s">
        <v>205</v>
      </c>
    </row>
    <row r="23" spans="2:7" ht="15" customHeight="1" x14ac:dyDescent="0.3">
      <c r="B23" s="29" t="s">
        <v>206</v>
      </c>
      <c r="C23" s="91">
        <v>0</v>
      </c>
      <c r="D23" s="91">
        <v>0</v>
      </c>
      <c r="E23" s="91">
        <v>0</v>
      </c>
      <c r="F23" s="92">
        <v>0</v>
      </c>
      <c r="G23" s="93" t="s">
        <v>207</v>
      </c>
    </row>
    <row r="24" spans="2:7" ht="15" customHeight="1" x14ac:dyDescent="0.3">
      <c r="B24" s="29" t="s">
        <v>208</v>
      </c>
      <c r="C24" s="96">
        <v>0.05</v>
      </c>
      <c r="D24" s="96">
        <v>0.05</v>
      </c>
      <c r="E24" s="96">
        <v>0.05</v>
      </c>
      <c r="F24" s="97">
        <v>0.05</v>
      </c>
      <c r="G24" s="93" t="s">
        <v>209</v>
      </c>
    </row>
    <row r="25" spans="2:7" ht="15" customHeight="1" x14ac:dyDescent="0.3">
      <c r="B25" s="29" t="s">
        <v>210</v>
      </c>
      <c r="C25" s="94">
        <v>7.4999999999999997E-3</v>
      </c>
      <c r="D25" s="94">
        <v>5.0000000000000001E-3</v>
      </c>
      <c r="E25" s="94">
        <v>4.0000000000000001E-3</v>
      </c>
      <c r="F25" s="95">
        <v>5.0000000000000001E-3</v>
      </c>
      <c r="G25" s="93" t="s">
        <v>211</v>
      </c>
    </row>
    <row r="27" spans="2:7" ht="15" customHeight="1" x14ac:dyDescent="0.3">
      <c r="B27" s="31" t="s">
        <v>212</v>
      </c>
      <c r="C27" s="11"/>
      <c r="D27" s="11"/>
      <c r="E27" s="11"/>
      <c r="F27" s="11"/>
      <c r="G27" s="11"/>
    </row>
    <row r="28" spans="2:7" ht="15" customHeight="1" x14ac:dyDescent="0.3">
      <c r="B28" s="29" t="s">
        <v>213</v>
      </c>
      <c r="C28" s="91">
        <v>65012051.829999998</v>
      </c>
      <c r="G28" s="93" t="s">
        <v>214</v>
      </c>
    </row>
    <row r="29" spans="2:7" ht="15" customHeight="1" x14ac:dyDescent="0.3">
      <c r="B29" s="29" t="s">
        <v>215</v>
      </c>
      <c r="C29" s="94">
        <v>7.0999999999999994E-2</v>
      </c>
      <c r="E29" s="100"/>
      <c r="G29" s="98" t="s">
        <v>216</v>
      </c>
    </row>
    <row r="30" spans="2:7" ht="15" customHeight="1" x14ac:dyDescent="0.3">
      <c r="B30" s="29" t="s">
        <v>217</v>
      </c>
      <c r="C30" s="91">
        <v>288460</v>
      </c>
      <c r="G30" s="93" t="s">
        <v>218</v>
      </c>
    </row>
    <row r="31" spans="2:7" ht="15" customHeight="1" x14ac:dyDescent="0.3">
      <c r="B31" s="29" t="s">
        <v>219</v>
      </c>
      <c r="C31" s="91">
        <v>68822</v>
      </c>
      <c r="G31" s="93" t="s">
        <v>220</v>
      </c>
    </row>
    <row r="32" spans="2:7" ht="15" customHeight="1" x14ac:dyDescent="0.3">
      <c r="B32" s="29" t="s">
        <v>221</v>
      </c>
      <c r="C32" s="91">
        <v>60732</v>
      </c>
      <c r="G32" s="93" t="s">
        <v>222</v>
      </c>
    </row>
    <row r="34" spans="2:11" ht="15" customHeight="1" x14ac:dyDescent="0.3">
      <c r="B34" s="31" t="s">
        <v>223</v>
      </c>
      <c r="C34" s="11"/>
      <c r="D34" s="11"/>
      <c r="E34" s="11"/>
      <c r="F34" s="11"/>
      <c r="G34" s="11"/>
    </row>
    <row r="35" spans="2:11" ht="15" customHeight="1" x14ac:dyDescent="0.3">
      <c r="B35" s="29" t="s">
        <v>224</v>
      </c>
      <c r="C35" s="101">
        <f>'Capex Run Rate'!$C$3</f>
        <v>642213</v>
      </c>
      <c r="G35" s="93" t="s">
        <v>225</v>
      </c>
    </row>
    <row r="36" spans="2:11" ht="15" customHeight="1" x14ac:dyDescent="0.3">
      <c r="B36" s="102" t="s">
        <v>226</v>
      </c>
      <c r="C36" s="91"/>
      <c r="D36" s="103"/>
      <c r="G36" s="93"/>
    </row>
    <row r="37" spans="2:11" ht="15" customHeight="1" x14ac:dyDescent="0.3">
      <c r="C37" s="104"/>
      <c r="G37" s="105"/>
    </row>
    <row r="38" spans="2:11" ht="15" customHeight="1" x14ac:dyDescent="0.3">
      <c r="B38" s="29" t="s">
        <v>227</v>
      </c>
      <c r="C38" s="91">
        <v>126608.63</v>
      </c>
      <c r="G38" s="93" t="s">
        <v>228</v>
      </c>
    </row>
    <row r="39" spans="2:11" ht="15" customHeight="1" x14ac:dyDescent="0.3">
      <c r="B39" s="29" t="s">
        <v>33</v>
      </c>
      <c r="C39" s="91">
        <v>0</v>
      </c>
      <c r="G39" s="93" t="s">
        <v>229</v>
      </c>
    </row>
    <row r="40" spans="2:11" ht="15" customHeight="1" x14ac:dyDescent="0.3">
      <c r="B40" s="29" t="s">
        <v>230</v>
      </c>
      <c r="C40" s="195">
        <f>(Assumptions!$C$28*Assumptions!$C$29/12)+Assumptions!$C$30+Assumptions!$C$31-Assumptions!$C$32</f>
        <v>681204.63999416656</v>
      </c>
      <c r="E40" s="100"/>
      <c r="G40" s="98" t="s">
        <v>231</v>
      </c>
    </row>
    <row r="41" spans="2:11" ht="15" customHeight="1" x14ac:dyDescent="0.3">
      <c r="B41" s="29" t="s">
        <v>232</v>
      </c>
      <c r="C41" s="91">
        <v>1300987.24</v>
      </c>
      <c r="G41" s="93" t="s">
        <v>233</v>
      </c>
    </row>
    <row r="42" spans="2:11" ht="15" customHeight="1" x14ac:dyDescent="0.3">
      <c r="B42" s="29" t="s">
        <v>234</v>
      </c>
      <c r="C42" s="91">
        <v>0</v>
      </c>
      <c r="G42" s="93" t="s">
        <v>235</v>
      </c>
    </row>
    <row r="43" spans="2:11" ht="15" customHeight="1" x14ac:dyDescent="0.3">
      <c r="B43" s="29" t="s">
        <v>236</v>
      </c>
      <c r="C43" s="106">
        <v>4</v>
      </c>
      <c r="G43" s="98" t="s">
        <v>237</v>
      </c>
    </row>
    <row r="44" spans="2:11" ht="15" customHeight="1" x14ac:dyDescent="0.3">
      <c r="B44" s="31" t="s">
        <v>238</v>
      </c>
      <c r="C44" s="42" t="s">
        <v>49</v>
      </c>
      <c r="D44" s="42" t="s">
        <v>50</v>
      </c>
      <c r="E44" s="42" t="s">
        <v>51</v>
      </c>
      <c r="F44" s="42" t="s">
        <v>52</v>
      </c>
      <c r="G44" s="107" t="s">
        <v>239</v>
      </c>
    </row>
    <row r="45" spans="2:11" ht="15" customHeight="1" x14ac:dyDescent="0.3">
      <c r="B45" s="29" t="s">
        <v>240</v>
      </c>
      <c r="C45" s="91">
        <v>116766</v>
      </c>
      <c r="D45" s="91">
        <v>175149</v>
      </c>
      <c r="E45" s="91">
        <v>175149</v>
      </c>
      <c r="F45" s="91">
        <v>175149</v>
      </c>
      <c r="G45" s="108">
        <v>0</v>
      </c>
      <c r="H45" s="85">
        <v>0</v>
      </c>
      <c r="I45" s="85">
        <v>0</v>
      </c>
      <c r="J45" s="85">
        <v>0</v>
      </c>
      <c r="K45">
        <f>SUM(C45:J45)</f>
        <v>642213</v>
      </c>
    </row>
    <row r="46" spans="2:11" ht="15" customHeight="1" x14ac:dyDescent="0.3">
      <c r="B46" s="29" t="s">
        <v>241</v>
      </c>
      <c r="C46" s="109">
        <v>58621.63</v>
      </c>
      <c r="G46" s="93" t="s">
        <v>242</v>
      </c>
    </row>
    <row r="47" spans="2:11" ht="15" customHeight="1" x14ac:dyDescent="0.3">
      <c r="B47" s="29" t="s">
        <v>243</v>
      </c>
      <c r="C47" s="91">
        <v>0</v>
      </c>
      <c r="G47" s="93"/>
    </row>
    <row r="48" spans="2:11" ht="15" customHeight="1" x14ac:dyDescent="0.3">
      <c r="B48" s="29" t="s">
        <v>244</v>
      </c>
      <c r="C48" s="91">
        <v>67987</v>
      </c>
      <c r="G48" s="93" t="s">
        <v>245</v>
      </c>
    </row>
    <row r="49" spans="2:11" ht="15" customHeight="1" x14ac:dyDescent="0.3">
      <c r="B49" s="31" t="s">
        <v>246</v>
      </c>
      <c r="C49" s="110" t="s">
        <v>165</v>
      </c>
      <c r="D49" s="111" t="s">
        <v>166</v>
      </c>
      <c r="E49" s="111" t="s">
        <v>167</v>
      </c>
      <c r="F49" s="111" t="s">
        <v>168</v>
      </c>
      <c r="G49" s="112" t="s">
        <v>247</v>
      </c>
      <c r="H49" s="111" t="s">
        <v>248</v>
      </c>
      <c r="I49" s="111" t="s">
        <v>249</v>
      </c>
      <c r="J49" s="111" t="s">
        <v>250</v>
      </c>
      <c r="K49" s="11"/>
    </row>
    <row r="50" spans="2:11" ht="15" customHeight="1" x14ac:dyDescent="0.3">
      <c r="B50" s="29" t="s">
        <v>251</v>
      </c>
      <c r="C50" s="96">
        <v>0.26100000000000001</v>
      </c>
      <c r="D50" s="113">
        <v>0.23300000000000001</v>
      </c>
      <c r="E50" s="113">
        <v>0.14799999999999999</v>
      </c>
      <c r="F50" s="113">
        <v>0.13</v>
      </c>
      <c r="G50" s="96">
        <v>0.13</v>
      </c>
      <c r="H50" s="113">
        <v>0.13</v>
      </c>
      <c r="I50" s="113">
        <v>0.13</v>
      </c>
      <c r="J50" s="113">
        <v>0.13</v>
      </c>
    </row>
    <row r="51" spans="2:11" ht="15" customHeight="1" x14ac:dyDescent="0.3">
      <c r="B51" s="114" t="s">
        <v>252</v>
      </c>
      <c r="C51" s="113">
        <v>0.23300000000000001</v>
      </c>
      <c r="D51" s="113">
        <v>0.16400000000000001</v>
      </c>
      <c r="E51" s="113">
        <v>0.10199999999999999</v>
      </c>
      <c r="F51" s="113">
        <v>0.09</v>
      </c>
      <c r="G51" s="113">
        <v>0.09</v>
      </c>
      <c r="H51" s="113">
        <v>0.09</v>
      </c>
      <c r="I51" s="113">
        <v>0.09</v>
      </c>
      <c r="J51" s="113">
        <v>0.09</v>
      </c>
    </row>
    <row r="52" spans="2:11" ht="15" customHeight="1" x14ac:dyDescent="0.3">
      <c r="B52" s="29" t="s">
        <v>253</v>
      </c>
      <c r="C52" s="96">
        <v>0.22</v>
      </c>
      <c r="D52" s="113">
        <v>0.14699999999999999</v>
      </c>
      <c r="E52" s="113">
        <v>8.5000000000000006E-2</v>
      </c>
      <c r="F52" s="113">
        <v>7.4999999999999997E-2</v>
      </c>
      <c r="G52" s="96">
        <v>7.4999999999999997E-2</v>
      </c>
      <c r="H52" s="113">
        <v>7.4999999999999997E-2</v>
      </c>
      <c r="I52" s="113">
        <v>7.4999999999999997E-2</v>
      </c>
      <c r="J52" s="113">
        <v>7.4999999999999997E-2</v>
      </c>
    </row>
    <row r="53" spans="2:11" ht="15" customHeight="1" x14ac:dyDescent="0.3">
      <c r="B53" s="29" t="s">
        <v>254</v>
      </c>
      <c r="C53" s="96">
        <v>0.23300000000000001</v>
      </c>
      <c r="D53" s="113">
        <v>0.16400000000000001</v>
      </c>
      <c r="E53" s="113">
        <v>0.10199999999999999</v>
      </c>
      <c r="F53" s="113">
        <v>0.09</v>
      </c>
      <c r="G53" s="96">
        <v>0.09</v>
      </c>
      <c r="H53" s="113">
        <v>0.09</v>
      </c>
      <c r="I53" s="113">
        <v>0.09</v>
      </c>
      <c r="J53" s="113">
        <v>0.09</v>
      </c>
    </row>
    <row r="54" spans="2:11" ht="15" customHeight="1" x14ac:dyDescent="0.3">
      <c r="B54" s="55" t="s">
        <v>255</v>
      </c>
      <c r="C54" s="115"/>
      <c r="E54" s="100" t="str">
        <f>HYPERLINK("#'Action Items'!A1","confirm status →")</f>
        <v>confirm status →</v>
      </c>
      <c r="G54" s="98"/>
    </row>
    <row r="55" spans="2:11" ht="15" customHeight="1" x14ac:dyDescent="0.3">
      <c r="B55" s="31" t="s">
        <v>256</v>
      </c>
      <c r="C55" s="11"/>
      <c r="D55" s="11"/>
      <c r="E55" s="11"/>
      <c r="F55" s="11"/>
      <c r="G55" s="11"/>
    </row>
    <row r="56" spans="2:11" ht="15" customHeight="1" x14ac:dyDescent="0.3">
      <c r="B56" s="29" t="s">
        <v>257</v>
      </c>
      <c r="C56" s="91">
        <v>0</v>
      </c>
      <c r="G56" s="116"/>
    </row>
    <row r="57" spans="2:11" ht="15" customHeight="1" x14ac:dyDescent="0.3">
      <c r="B57" s="29" t="s">
        <v>257</v>
      </c>
      <c r="C57" s="117">
        <v>0</v>
      </c>
      <c r="E57" s="100"/>
      <c r="G57" s="98"/>
    </row>
    <row r="58" spans="2:11" ht="15" customHeight="1" x14ac:dyDescent="0.3">
      <c r="B58" s="29" t="s">
        <v>258</v>
      </c>
      <c r="C58" s="118">
        <v>1</v>
      </c>
      <c r="E58" s="100" t="str">
        <f>HYPERLINK("#'Action Items'!A1","accrue/pay →")</f>
        <v>accrue/pay →</v>
      </c>
      <c r="G58" s="98" t="s">
        <v>259</v>
      </c>
    </row>
    <row r="60" spans="2:11" ht="15" customHeight="1" x14ac:dyDescent="0.3">
      <c r="B60" s="29" t="s">
        <v>260</v>
      </c>
      <c r="C60" s="119">
        <v>5300000</v>
      </c>
      <c r="G60" s="206" t="s">
        <v>261</v>
      </c>
    </row>
    <row r="61" spans="2:11" ht="15" customHeight="1" x14ac:dyDescent="0.3">
      <c r="G61" s="206"/>
    </row>
  </sheetData>
  <mergeCells count="3">
    <mergeCell ref="B1:G1"/>
    <mergeCell ref="B2:G2"/>
    <mergeCell ref="G60:G6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F59"/>
  <sheetViews>
    <sheetView showGridLines="0" zoomScaleNormal="100" workbookViewId="0">
      <selection activeCell="D21" sqref="D21"/>
    </sheetView>
  </sheetViews>
  <sheetFormatPr defaultColWidth="8.6640625" defaultRowHeight="14.4" x14ac:dyDescent="0.3"/>
  <cols>
    <col min="1" max="1" width="2" customWidth="1"/>
    <col min="2" max="2" width="4" customWidth="1"/>
    <col min="3" max="3" width="46" customWidth="1"/>
    <col min="4" max="4" width="16" customWidth="1"/>
    <col min="5" max="5" width="52" customWidth="1"/>
    <col min="6" max="6" width="13" customWidth="1"/>
  </cols>
  <sheetData>
    <row r="1" spans="2:6" ht="19.5" customHeight="1" x14ac:dyDescent="0.4">
      <c r="B1" s="62" t="s">
        <v>19</v>
      </c>
    </row>
    <row r="2" spans="2:6" ht="25.5" customHeight="1" x14ac:dyDescent="0.3">
      <c r="B2" s="2" t="s">
        <v>262</v>
      </c>
    </row>
    <row r="3" spans="2:6" ht="15" customHeight="1" x14ac:dyDescent="0.3">
      <c r="B3" s="15" t="s">
        <v>263</v>
      </c>
    </row>
    <row r="4" spans="2:6" ht="15" customHeight="1" x14ac:dyDescent="0.3">
      <c r="B4" s="29"/>
    </row>
    <row r="5" spans="2:6" ht="15" customHeight="1" x14ac:dyDescent="0.3">
      <c r="B5" s="64" t="s">
        <v>264</v>
      </c>
      <c r="C5" s="120" t="s">
        <v>265</v>
      </c>
      <c r="D5" s="64" t="s">
        <v>266</v>
      </c>
      <c r="E5" s="64" t="s">
        <v>267</v>
      </c>
      <c r="F5" s="64" t="s">
        <v>268</v>
      </c>
    </row>
    <row r="6" spans="2:6" ht="33.75" customHeight="1" x14ac:dyDescent="0.3">
      <c r="B6" s="121" t="s">
        <v>269</v>
      </c>
      <c r="C6" s="122" t="s">
        <v>270</v>
      </c>
      <c r="D6" s="121" t="s">
        <v>271</v>
      </c>
      <c r="E6" s="123" t="s">
        <v>272</v>
      </c>
      <c r="F6" s="124" t="str">
        <f>HYPERLINK("#'Dashboard'!A1","Dashboard →")</f>
        <v>Dashboard →</v>
      </c>
    </row>
    <row r="7" spans="2:6" ht="33.75" customHeight="1" x14ac:dyDescent="0.3">
      <c r="B7" s="121" t="s">
        <v>273</v>
      </c>
      <c r="C7" s="122" t="s">
        <v>274</v>
      </c>
      <c r="D7" s="121" t="s">
        <v>271</v>
      </c>
      <c r="E7" s="123" t="s">
        <v>275</v>
      </c>
      <c r="F7" s="124" t="str">
        <f>HYPERLINK("#'Assumptions'!A1","Assumptions →")</f>
        <v>Assumptions →</v>
      </c>
    </row>
    <row r="8" spans="2:6" ht="33.75" customHeight="1" x14ac:dyDescent="0.3">
      <c r="B8" s="121" t="s">
        <v>276</v>
      </c>
      <c r="C8" s="122" t="s">
        <v>277</v>
      </c>
      <c r="D8" s="121" t="s">
        <v>271</v>
      </c>
      <c r="E8" s="123" t="s">
        <v>278</v>
      </c>
      <c r="F8" s="124" t="str">
        <f>HYPERLINK("#'Model - Expected'!A1","Model - Expected →")</f>
        <v>Model - Expected →</v>
      </c>
    </row>
    <row r="9" spans="2:6" ht="33.75" customHeight="1" x14ac:dyDescent="0.3">
      <c r="B9" s="121" t="s">
        <v>279</v>
      </c>
      <c r="C9" s="122" t="s">
        <v>280</v>
      </c>
      <c r="D9" s="121" t="s">
        <v>281</v>
      </c>
      <c r="E9" s="123" t="s">
        <v>282</v>
      </c>
      <c r="F9" s="124" t="str">
        <f>HYPERLINK("#'Assumptions'!A1","Assumptions →")</f>
        <v>Assumptions →</v>
      </c>
    </row>
    <row r="10" spans="2:6" ht="33.75" customHeight="1" x14ac:dyDescent="0.3">
      <c r="B10" s="121" t="s">
        <v>283</v>
      </c>
      <c r="C10" s="122" t="s">
        <v>284</v>
      </c>
      <c r="D10" s="125" t="s">
        <v>285</v>
      </c>
      <c r="E10" s="123" t="s">
        <v>286</v>
      </c>
      <c r="F10" s="124" t="str">
        <f>HYPERLINK("#'Assumptions'!A1","Assumptions →")</f>
        <v>Assumptions →</v>
      </c>
    </row>
    <row r="11" spans="2:6" ht="36" customHeight="1" x14ac:dyDescent="0.3">
      <c r="B11" s="121"/>
      <c r="C11" s="126"/>
      <c r="D11" s="125"/>
      <c r="E11" s="122"/>
      <c r="F11" s="127"/>
    </row>
    <row r="12" spans="2:6" ht="36" customHeight="1" x14ac:dyDescent="0.3">
      <c r="B12" s="194" t="s">
        <v>287</v>
      </c>
      <c r="C12" s="128"/>
      <c r="D12" s="125"/>
      <c r="E12" s="122"/>
      <c r="F12" s="127"/>
    </row>
    <row r="13" spans="2:6" ht="19.5" customHeight="1" x14ac:dyDescent="0.3">
      <c r="B13" s="29"/>
      <c r="E13" s="129"/>
    </row>
    <row r="14" spans="2:6" ht="6" customHeight="1" x14ac:dyDescent="0.3">
      <c r="B14" s="130"/>
    </row>
    <row r="15" spans="2:6" ht="15" customHeight="1" x14ac:dyDescent="0.3"/>
    <row r="16" spans="2:6" ht="21.75" customHeight="1" x14ac:dyDescent="0.3">
      <c r="B16" s="129"/>
      <c r="C16" s="131"/>
    </row>
    <row r="17" spans="2:5" ht="27.75" customHeight="1" x14ac:dyDescent="0.3">
      <c r="B17" s="132"/>
    </row>
    <row r="18" spans="2:5" ht="19.5" customHeight="1" x14ac:dyDescent="0.3">
      <c r="B18" s="29"/>
      <c r="E18" s="129"/>
    </row>
    <row r="19" spans="2:5" ht="6" customHeight="1" x14ac:dyDescent="0.3"/>
    <row r="20" spans="2:5" ht="15" customHeight="1" x14ac:dyDescent="0.3"/>
    <row r="21" spans="2:5" ht="21.75" customHeight="1" x14ac:dyDescent="0.3">
      <c r="B21" s="133"/>
      <c r="C21" s="131"/>
    </row>
    <row r="22" spans="2:5" ht="27.75" customHeight="1" x14ac:dyDescent="0.3">
      <c r="B22" s="132"/>
    </row>
    <row r="23" spans="2:5" ht="19.5" customHeight="1" x14ac:dyDescent="0.3">
      <c r="B23" s="29"/>
      <c r="E23" s="129"/>
    </row>
    <row r="24" spans="2:5" ht="6" customHeight="1" x14ac:dyDescent="0.3"/>
    <row r="25" spans="2:5" ht="15" customHeight="1" x14ac:dyDescent="0.3"/>
    <row r="26" spans="2:5" ht="21.75" customHeight="1" x14ac:dyDescent="0.3">
      <c r="B26" s="129"/>
      <c r="C26" s="131"/>
    </row>
    <row r="27" spans="2:5" ht="27.75" customHeight="1" x14ac:dyDescent="0.3">
      <c r="B27" s="132"/>
    </row>
    <row r="28" spans="2:5" ht="19.5" customHeight="1" x14ac:dyDescent="0.3">
      <c r="B28" s="29"/>
      <c r="E28" s="129"/>
    </row>
    <row r="29" spans="2:5" ht="6" customHeight="1" x14ac:dyDescent="0.3"/>
    <row r="30" spans="2:5" ht="15" customHeight="1" x14ac:dyDescent="0.3"/>
    <row r="31" spans="2:5" ht="15" customHeight="1" x14ac:dyDescent="0.3"/>
    <row r="32" spans="2:5" ht="15" customHeight="1" x14ac:dyDescent="0.3">
      <c r="B32" s="134"/>
    </row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3"/>
  <sheetViews>
    <sheetView showGridLines="0" topLeftCell="A10" zoomScaleNormal="100" workbookViewId="0">
      <selection activeCell="E40" sqref="E40"/>
    </sheetView>
  </sheetViews>
  <sheetFormatPr defaultColWidth="8.6640625" defaultRowHeight="14.4" x14ac:dyDescent="0.3"/>
  <cols>
    <col min="1" max="1" width="2" customWidth="1"/>
    <col min="2" max="2" width="57.33203125" customWidth="1"/>
    <col min="3" max="5" width="15" customWidth="1"/>
    <col min="6" max="6" width="2" customWidth="1"/>
    <col min="7" max="7" width="62" customWidth="1"/>
  </cols>
  <sheetData>
    <row r="1" spans="2:7" ht="19.5" customHeight="1" x14ac:dyDescent="0.4">
      <c r="B1" s="62" t="s">
        <v>19</v>
      </c>
    </row>
    <row r="2" spans="2:7" ht="15" customHeight="1" x14ac:dyDescent="0.3">
      <c r="B2" s="63" t="s">
        <v>69</v>
      </c>
    </row>
    <row r="3" spans="2:7" ht="15" customHeight="1" x14ac:dyDescent="0.3">
      <c r="B3" s="55" t="s">
        <v>70</v>
      </c>
    </row>
    <row r="5" spans="2:7" ht="15" customHeight="1" x14ac:dyDescent="0.3">
      <c r="B5" s="31" t="s">
        <v>71</v>
      </c>
      <c r="C5" s="64" t="s">
        <v>72</v>
      </c>
      <c r="D5" s="64" t="s">
        <v>73</v>
      </c>
      <c r="E5" s="64" t="s">
        <v>74</v>
      </c>
    </row>
    <row r="6" spans="2:7" ht="15" customHeight="1" x14ac:dyDescent="0.3">
      <c r="B6" s="65" t="s">
        <v>75</v>
      </c>
      <c r="C6" s="66">
        <v>1100000</v>
      </c>
      <c r="D6" s="66">
        <v>0</v>
      </c>
      <c r="E6" s="67">
        <v>-1</v>
      </c>
      <c r="G6" s="15" t="s">
        <v>76</v>
      </c>
    </row>
    <row r="7" spans="2:7" ht="15" customHeight="1" x14ac:dyDescent="0.3">
      <c r="B7" s="65" t="s">
        <v>77</v>
      </c>
      <c r="C7" s="66">
        <v>1419192</v>
      </c>
      <c r="D7" s="66">
        <v>0</v>
      </c>
      <c r="E7" s="67">
        <v>-1</v>
      </c>
      <c r="G7" s="15" t="s">
        <v>78</v>
      </c>
    </row>
    <row r="8" spans="2:7" ht="15" customHeight="1" x14ac:dyDescent="0.3">
      <c r="B8" s="65" t="s">
        <v>79</v>
      </c>
      <c r="C8" s="66">
        <v>926000</v>
      </c>
      <c r="D8" s="66">
        <v>768540</v>
      </c>
      <c r="E8" s="67">
        <v>-0.17004319654427699</v>
      </c>
      <c r="G8" s="15" t="s">
        <v>80</v>
      </c>
    </row>
    <row r="9" spans="2:7" ht="15" customHeight="1" x14ac:dyDescent="0.3">
      <c r="B9" s="65" t="s">
        <v>81</v>
      </c>
      <c r="C9" s="66">
        <v>10325060</v>
      </c>
      <c r="D9" s="66">
        <v>0</v>
      </c>
      <c r="E9" s="67">
        <v>-1</v>
      </c>
      <c r="G9" s="15" t="s">
        <v>82</v>
      </c>
    </row>
    <row r="10" spans="2:7" ht="15" customHeight="1" x14ac:dyDescent="0.3">
      <c r="B10" s="65" t="s">
        <v>83</v>
      </c>
      <c r="C10" s="66">
        <v>0</v>
      </c>
      <c r="D10" s="66">
        <v>5300000</v>
      </c>
      <c r="E10" s="68"/>
      <c r="G10" s="15" t="s">
        <v>84</v>
      </c>
    </row>
    <row r="11" spans="2:7" ht="15" customHeight="1" x14ac:dyDescent="0.3">
      <c r="B11" s="31" t="s">
        <v>85</v>
      </c>
      <c r="C11" s="69">
        <v>13770252</v>
      </c>
      <c r="D11" s="69">
        <v>5300000</v>
      </c>
      <c r="E11" s="70">
        <v>-0.61511234507545698</v>
      </c>
      <c r="G11" s="71" t="s">
        <v>86</v>
      </c>
    </row>
    <row r="13" spans="2:7" ht="15" customHeight="1" x14ac:dyDescent="0.3">
      <c r="B13" s="196" t="s">
        <v>539</v>
      </c>
      <c r="C13" s="64" t="s">
        <v>72</v>
      </c>
      <c r="D13" s="64" t="s">
        <v>73</v>
      </c>
      <c r="E13" s="64" t="s">
        <v>74</v>
      </c>
    </row>
    <row r="14" spans="2:7" ht="15" customHeight="1" x14ac:dyDescent="0.3">
      <c r="B14" s="65" t="s">
        <v>87</v>
      </c>
      <c r="C14" s="66">
        <v>6974242</v>
      </c>
      <c r="D14" s="66">
        <v>0</v>
      </c>
      <c r="E14" s="67">
        <v>-1</v>
      </c>
      <c r="G14" s="15" t="s">
        <v>88</v>
      </c>
    </row>
    <row r="15" spans="2:7" ht="15" customHeight="1" x14ac:dyDescent="0.3">
      <c r="B15" s="65" t="s">
        <v>89</v>
      </c>
      <c r="C15" s="66">
        <v>2678098</v>
      </c>
      <c r="D15" s="66">
        <v>0</v>
      </c>
      <c r="E15" s="67">
        <v>-1</v>
      </c>
      <c r="G15" s="15" t="s">
        <v>90</v>
      </c>
    </row>
    <row r="16" spans="2:7" ht="15" customHeight="1" x14ac:dyDescent="0.3">
      <c r="B16" s="65" t="s">
        <v>91</v>
      </c>
      <c r="C16" s="66">
        <v>4296144</v>
      </c>
      <c r="D16" s="66">
        <v>0</v>
      </c>
      <c r="E16" s="67">
        <v>-1</v>
      </c>
      <c r="G16" s="15" t="s">
        <v>92</v>
      </c>
    </row>
    <row r="17" spans="2:7" ht="15" customHeight="1" x14ac:dyDescent="0.3">
      <c r="B17" s="65" t="s">
        <v>93</v>
      </c>
      <c r="C17" s="66">
        <v>0</v>
      </c>
      <c r="D17" s="66">
        <v>700596</v>
      </c>
      <c r="E17" s="68"/>
      <c r="G17" s="15" t="s">
        <v>94</v>
      </c>
    </row>
    <row r="18" spans="2:7" ht="15" customHeight="1" x14ac:dyDescent="0.3">
      <c r="B18" s="31" t="s">
        <v>95</v>
      </c>
      <c r="C18" s="69">
        <v>4296144</v>
      </c>
      <c r="D18" s="69">
        <v>700596</v>
      </c>
      <c r="E18" s="70">
        <v>-0.83692446063260495</v>
      </c>
      <c r="G18" s="71" t="s">
        <v>96</v>
      </c>
    </row>
    <row r="20" spans="2:7" ht="15" customHeight="1" x14ac:dyDescent="0.3">
      <c r="B20" s="31" t="s">
        <v>100</v>
      </c>
      <c r="C20" s="11"/>
      <c r="D20" s="11"/>
      <c r="E20" s="11"/>
    </row>
    <row r="21" spans="2:7" ht="20.399999999999999" x14ac:dyDescent="0.3">
      <c r="B21" s="4" t="s">
        <v>101</v>
      </c>
    </row>
    <row r="22" spans="2:7" ht="30.6" x14ac:dyDescent="0.3">
      <c r="B22" s="4" t="s">
        <v>102</v>
      </c>
    </row>
    <row r="23" spans="2:7" ht="20.399999999999999" x14ac:dyDescent="0.3">
      <c r="B23" s="4" t="s">
        <v>103</v>
      </c>
    </row>
    <row r="24" spans="2:7" ht="20.399999999999999" x14ac:dyDescent="0.3">
      <c r="B24" s="4" t="s">
        <v>104</v>
      </c>
    </row>
    <row r="25" spans="2:7" ht="15" customHeight="1" x14ac:dyDescent="0.3">
      <c r="B25" s="31" t="s">
        <v>105</v>
      </c>
      <c r="C25" s="11"/>
      <c r="D25" s="11"/>
      <c r="E25" s="11"/>
    </row>
    <row r="26" spans="2:7" ht="30.6" x14ac:dyDescent="0.3">
      <c r="B26" s="5" t="s">
        <v>106</v>
      </c>
    </row>
    <row r="27" spans="2:7" ht="30.6" x14ac:dyDescent="0.3">
      <c r="B27" s="5" t="s">
        <v>107</v>
      </c>
    </row>
    <row r="28" spans="2:7" ht="30.6" x14ac:dyDescent="0.3">
      <c r="B28" s="5" t="s">
        <v>108</v>
      </c>
    </row>
    <row r="29" spans="2:7" hidden="1" x14ac:dyDescent="0.3"/>
    <row r="30" spans="2:7" hidden="1" x14ac:dyDescent="0.3"/>
    <row r="31" spans="2:7" ht="15" hidden="1" customHeight="1" x14ac:dyDescent="0.3">
      <c r="B31" s="74" t="s">
        <v>60</v>
      </c>
      <c r="C31" t="s">
        <v>109</v>
      </c>
      <c r="D31" t="s">
        <v>110</v>
      </c>
    </row>
    <row r="32" spans="2:7" ht="15" hidden="1" customHeight="1" x14ac:dyDescent="0.3">
      <c r="B32" t="s">
        <v>111</v>
      </c>
      <c r="C32">
        <v>13770252</v>
      </c>
      <c r="D32">
        <v>5300000</v>
      </c>
    </row>
    <row r="33" spans="2:7" ht="15" hidden="1" customHeight="1" x14ac:dyDescent="0.3">
      <c r="B33" t="s">
        <v>112</v>
      </c>
      <c r="C33">
        <v>4296144</v>
      </c>
      <c r="D33">
        <v>700596</v>
      </c>
    </row>
    <row r="34" spans="2:7" hidden="1" x14ac:dyDescent="0.3"/>
    <row r="36" spans="2:7" x14ac:dyDescent="0.3">
      <c r="B36" s="31" t="s">
        <v>113</v>
      </c>
      <c r="C36" s="64" t="s">
        <v>30</v>
      </c>
      <c r="D36" s="11"/>
      <c r="E36" s="11"/>
    </row>
    <row r="37" spans="2:7" x14ac:dyDescent="0.3">
      <c r="B37" s="75" t="s">
        <v>114</v>
      </c>
    </row>
    <row r="38" spans="2:7" x14ac:dyDescent="0.3">
      <c r="B38" s="65" t="s">
        <v>115</v>
      </c>
      <c r="C38" s="66">
        <v>782603.25</v>
      </c>
      <c r="D38" s="68"/>
      <c r="E38" s="68"/>
      <c r="G38" s="15" t="s">
        <v>116</v>
      </c>
    </row>
    <row r="39" spans="2:7" x14ac:dyDescent="0.3">
      <c r="B39" s="65" t="s">
        <v>117</v>
      </c>
      <c r="C39" s="66">
        <v>1852067.17</v>
      </c>
      <c r="D39" s="68"/>
      <c r="E39" s="68"/>
      <c r="G39" s="15" t="s">
        <v>118</v>
      </c>
    </row>
    <row r="41" spans="2:7" x14ac:dyDescent="0.3">
      <c r="B41" s="75" t="s">
        <v>119</v>
      </c>
    </row>
    <row r="42" spans="2:7" x14ac:dyDescent="0.3">
      <c r="B42" s="65" t="s">
        <v>120</v>
      </c>
      <c r="C42" s="66">
        <v>2016417.28</v>
      </c>
      <c r="D42" s="68"/>
      <c r="E42" s="68"/>
      <c r="G42" s="15" t="s">
        <v>121</v>
      </c>
    </row>
    <row r="43" spans="2:7" x14ac:dyDescent="0.3">
      <c r="B43" s="65" t="s">
        <v>122</v>
      </c>
      <c r="C43" s="66">
        <v>407984.73</v>
      </c>
      <c r="D43" s="68"/>
      <c r="E43" s="68"/>
      <c r="G43" s="15" t="s">
        <v>123</v>
      </c>
    </row>
    <row r="44" spans="2:7" x14ac:dyDescent="0.3">
      <c r="B44" s="65" t="s">
        <v>124</v>
      </c>
      <c r="C44" s="66">
        <v>121590.96</v>
      </c>
      <c r="D44" s="68"/>
      <c r="E44" s="68"/>
      <c r="G44" s="15" t="s">
        <v>125</v>
      </c>
    </row>
    <row r="45" spans="2:7" x14ac:dyDescent="0.3">
      <c r="B45" s="65" t="s">
        <v>126</v>
      </c>
      <c r="C45" s="66">
        <v>63508</v>
      </c>
      <c r="D45" s="68"/>
      <c r="E45" s="68"/>
      <c r="G45" s="15" t="s">
        <v>127</v>
      </c>
    </row>
    <row r="46" spans="2:7" x14ac:dyDescent="0.3">
      <c r="B46" s="72" t="s">
        <v>128</v>
      </c>
      <c r="C46" s="73">
        <v>2609500.9700000002</v>
      </c>
      <c r="D46" s="68"/>
      <c r="E46" s="68"/>
    </row>
    <row r="47" spans="2:7" x14ac:dyDescent="0.3">
      <c r="B47" s="65" t="s">
        <v>129</v>
      </c>
      <c r="C47" s="66">
        <v>-673478.96</v>
      </c>
      <c r="D47" s="68"/>
      <c r="E47" s="68"/>
      <c r="G47" s="15" t="s">
        <v>130</v>
      </c>
    </row>
    <row r="48" spans="2:7" x14ac:dyDescent="0.3">
      <c r="B48" s="76" t="s">
        <v>131</v>
      </c>
      <c r="C48" s="77">
        <v>1936022.01</v>
      </c>
      <c r="D48" s="68"/>
      <c r="E48" s="68"/>
    </row>
    <row r="50" spans="2:7" x14ac:dyDescent="0.3">
      <c r="B50" s="31" t="s">
        <v>132</v>
      </c>
      <c r="C50" s="64" t="s">
        <v>72</v>
      </c>
      <c r="D50" s="64" t="s">
        <v>73</v>
      </c>
      <c r="E50" s="64" t="s">
        <v>74</v>
      </c>
    </row>
    <row r="51" spans="2:7" x14ac:dyDescent="0.3">
      <c r="B51" s="65" t="s">
        <v>133</v>
      </c>
      <c r="C51" s="66">
        <v>13770252</v>
      </c>
      <c r="D51" s="66">
        <v>5300000</v>
      </c>
      <c r="E51" s="67">
        <v>-0.61511234507545698</v>
      </c>
      <c r="G51" s="15" t="s">
        <v>134</v>
      </c>
    </row>
    <row r="52" spans="2:7" x14ac:dyDescent="0.3">
      <c r="B52" s="65" t="s">
        <v>135</v>
      </c>
      <c r="C52" s="66">
        <v>1936022</v>
      </c>
      <c r="D52" s="66">
        <v>-1936022</v>
      </c>
      <c r="E52" s="67">
        <v>-2</v>
      </c>
      <c r="G52" s="15" t="s">
        <v>136</v>
      </c>
    </row>
    <row r="53" spans="2:7" x14ac:dyDescent="0.3">
      <c r="B53" s="76" t="s">
        <v>137</v>
      </c>
      <c r="C53" s="77">
        <v>15706274</v>
      </c>
      <c r="D53" s="77">
        <v>3363978</v>
      </c>
      <c r="E53" s="78">
        <v>-0.78581947570760602</v>
      </c>
    </row>
    <row r="55" spans="2:7" x14ac:dyDescent="0.3">
      <c r="B55" s="65" t="s">
        <v>138</v>
      </c>
      <c r="C55" s="66">
        <v>4296144</v>
      </c>
      <c r="D55" s="66">
        <v>700596</v>
      </c>
      <c r="E55" s="67">
        <v>-0.83692446063260495</v>
      </c>
      <c r="G55" s="15" t="s">
        <v>139</v>
      </c>
    </row>
    <row r="57" spans="2:7" x14ac:dyDescent="0.3">
      <c r="B57" s="31" t="s">
        <v>140</v>
      </c>
      <c r="C57" s="11"/>
      <c r="D57" s="11"/>
      <c r="E57" s="11"/>
    </row>
    <row r="58" spans="2:7" ht="40.799999999999997" x14ac:dyDescent="0.3">
      <c r="B58" s="4" t="s">
        <v>141</v>
      </c>
    </row>
    <row r="59" spans="2:7" ht="30.6" x14ac:dyDescent="0.3">
      <c r="B59" s="4" t="s">
        <v>142</v>
      </c>
    </row>
    <row r="60" spans="2:7" ht="30.6" x14ac:dyDescent="0.3">
      <c r="B60" s="4" t="s">
        <v>143</v>
      </c>
    </row>
    <row r="61" spans="2:7" ht="20.399999999999999" x14ac:dyDescent="0.3">
      <c r="B61" s="4" t="s">
        <v>144</v>
      </c>
    </row>
    <row r="63" spans="2:7" ht="30.6" x14ac:dyDescent="0.3">
      <c r="B63" s="5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58"/>
  <sheetViews>
    <sheetView showGridLines="0" zoomScaleNormal="100" workbookViewId="0">
      <selection activeCell="I20" sqref="I20"/>
    </sheetView>
  </sheetViews>
  <sheetFormatPr defaultColWidth="8.6640625" defaultRowHeight="14.4" x14ac:dyDescent="0.3"/>
  <cols>
    <col min="1" max="1" width="2" customWidth="1"/>
    <col min="2" max="2" width="38" customWidth="1"/>
    <col min="3" max="6" width="14" customWidth="1"/>
    <col min="7" max="7" width="2" customWidth="1"/>
  </cols>
  <sheetData>
    <row r="1" spans="2:6" ht="19.5" customHeight="1" x14ac:dyDescent="0.4">
      <c r="B1" s="62" t="s">
        <v>19</v>
      </c>
    </row>
    <row r="2" spans="2:6" ht="15" customHeight="1" x14ac:dyDescent="0.3">
      <c r="B2" s="63" t="s">
        <v>146</v>
      </c>
    </row>
    <row r="3" spans="2:6" ht="15" customHeight="1" x14ac:dyDescent="0.3">
      <c r="B3" s="55" t="s">
        <v>147</v>
      </c>
    </row>
    <row r="5" spans="2:6" ht="15" customHeight="1" x14ac:dyDescent="0.3">
      <c r="B5" s="31" t="s">
        <v>148</v>
      </c>
      <c r="C5" s="11"/>
      <c r="D5" s="11"/>
      <c r="E5" s="11"/>
      <c r="F5" s="11"/>
    </row>
    <row r="6" spans="2:6" ht="15" customHeight="1" x14ac:dyDescent="0.3">
      <c r="B6" s="65" t="s">
        <v>99</v>
      </c>
      <c r="C6" s="66">
        <v>106565</v>
      </c>
      <c r="D6" s="68"/>
      <c r="E6" s="79" t="s">
        <v>149</v>
      </c>
      <c r="F6" s="68"/>
    </row>
    <row r="7" spans="2:6" ht="15" customHeight="1" x14ac:dyDescent="0.3">
      <c r="B7" s="65" t="s">
        <v>150</v>
      </c>
      <c r="C7" s="66">
        <v>-681204</v>
      </c>
      <c r="D7" s="68"/>
      <c r="E7" s="79" t="s">
        <v>151</v>
      </c>
      <c r="F7" s="68"/>
    </row>
    <row r="8" spans="2:6" ht="15" customHeight="1" x14ac:dyDescent="0.3">
      <c r="B8" s="72" t="s">
        <v>152</v>
      </c>
      <c r="C8" s="73">
        <v>-574639</v>
      </c>
      <c r="D8" s="68"/>
      <c r="E8" s="79" t="s">
        <v>153</v>
      </c>
      <c r="F8" s="68"/>
    </row>
    <row r="9" spans="2:6" ht="15" customHeight="1" x14ac:dyDescent="0.3">
      <c r="B9" s="65" t="s">
        <v>31</v>
      </c>
      <c r="C9" s="66">
        <v>-58383</v>
      </c>
      <c r="D9" s="68"/>
      <c r="E9" s="79" t="s">
        <v>154</v>
      </c>
      <c r="F9" s="68"/>
    </row>
    <row r="10" spans="2:6" ht="15" customHeight="1" x14ac:dyDescent="0.3">
      <c r="B10" s="80" t="s">
        <v>155</v>
      </c>
      <c r="C10" s="81">
        <v>-633022</v>
      </c>
      <c r="D10" s="68"/>
      <c r="E10" s="79" t="s">
        <v>156</v>
      </c>
      <c r="F10" s="68"/>
    </row>
    <row r="12" spans="2:6" ht="15" customHeight="1" x14ac:dyDescent="0.3">
      <c r="B12" s="31" t="s">
        <v>157</v>
      </c>
      <c r="C12" s="64" t="s">
        <v>49</v>
      </c>
      <c r="D12" s="64" t="s">
        <v>50</v>
      </c>
      <c r="E12" s="64" t="s">
        <v>51</v>
      </c>
      <c r="F12" s="64" t="s">
        <v>52</v>
      </c>
    </row>
    <row r="13" spans="2:6" ht="15" customHeight="1" x14ac:dyDescent="0.3">
      <c r="B13" s="82" t="s">
        <v>37</v>
      </c>
      <c r="C13" s="83"/>
      <c r="D13" s="83"/>
      <c r="E13" s="83"/>
      <c r="F13" s="83"/>
    </row>
    <row r="14" spans="2:6" ht="15" customHeight="1" x14ac:dyDescent="0.3">
      <c r="B14" s="29" t="s">
        <v>158</v>
      </c>
      <c r="C14" s="46">
        <f>'Model - Conservative'!C26/2</f>
        <v>216449.61674999999</v>
      </c>
      <c r="D14" s="46">
        <f>'Model - Conservative'!D26/3</f>
        <v>236511.80274999994</v>
      </c>
      <c r="E14" s="46">
        <f>'Model - Conservative'!E26/3</f>
        <v>303388.13086249988</v>
      </c>
      <c r="F14" s="46">
        <f>'Model - Conservative'!F26/3</f>
        <v>315189.09242646868</v>
      </c>
    </row>
    <row r="15" spans="2:6" ht="15" customHeight="1" x14ac:dyDescent="0.3">
      <c r="B15" s="29" t="s">
        <v>159</v>
      </c>
      <c r="C15" s="46">
        <f>'Model - Conservative'!C31/2</f>
        <v>-681204.63999416656</v>
      </c>
      <c r="D15" s="46">
        <f>'Model - Conservative'!D31/3</f>
        <v>-681204.63999416656</v>
      </c>
      <c r="E15" s="46">
        <f>'Model - Conservative'!E31/3</f>
        <v>-681204.63999416656</v>
      </c>
      <c r="F15" s="46">
        <f>'Model - Conservative'!F31/3</f>
        <v>-681204.63999416656</v>
      </c>
    </row>
    <row r="16" spans="2:6" ht="15" customHeight="1" x14ac:dyDescent="0.3">
      <c r="B16" s="84" t="s">
        <v>160</v>
      </c>
      <c r="C16" s="30">
        <f>'Model - Conservative'!C32/2</f>
        <v>-464755.02324416657</v>
      </c>
      <c r="D16" s="30">
        <f>'Model - Conservative'!D32/3</f>
        <v>-444692.83724416659</v>
      </c>
      <c r="E16" s="30">
        <f>'Model - Conservative'!E32/3</f>
        <v>-377816.50913166668</v>
      </c>
      <c r="F16" s="30">
        <f>'Model - Conservative'!F32/3</f>
        <v>-366015.54756769788</v>
      </c>
    </row>
    <row r="17" spans="2:6" ht="15" customHeight="1" x14ac:dyDescent="0.3">
      <c r="B17" s="29" t="s">
        <v>161</v>
      </c>
      <c r="C17" s="46">
        <f>'Model - Conservative'!C35/2</f>
        <v>-58383</v>
      </c>
      <c r="D17" s="46">
        <f>'Model - Conservative'!D35/3</f>
        <v>-58383</v>
      </c>
      <c r="E17" s="46">
        <f>'Model - Conservative'!E35/3</f>
        <v>-58383</v>
      </c>
      <c r="F17" s="46">
        <f>'Model - Conservative'!F35/3</f>
        <v>-58383</v>
      </c>
    </row>
    <row r="18" spans="2:6" ht="15" customHeight="1" x14ac:dyDescent="0.3">
      <c r="B18" s="80" t="s">
        <v>162</v>
      </c>
      <c r="C18" s="81">
        <f>('Model - Conservative'!C32+'Model - Conservative'!C35)/2</f>
        <v>-523138.02324416657</v>
      </c>
      <c r="D18" s="81">
        <f>('Model - Conservative'!D32+'Model - Conservative'!D35)/3</f>
        <v>-503075.83724416659</v>
      </c>
      <c r="E18" s="81">
        <f>('Model - Conservative'!E32+'Model - Conservative'!E35)/3</f>
        <v>-436199.50913166668</v>
      </c>
      <c r="F18" s="81">
        <f>('Model - Conservative'!F32+'Model - Conservative'!F35)/3</f>
        <v>-424398.54756769788</v>
      </c>
    </row>
    <row r="20" spans="2:6" ht="15" customHeight="1" x14ac:dyDescent="0.3">
      <c r="B20" s="82" t="s">
        <v>38</v>
      </c>
      <c r="C20" s="83"/>
      <c r="D20" s="83"/>
      <c r="E20" s="83"/>
      <c r="F20" s="83"/>
    </row>
    <row r="21" spans="2:6" ht="15" customHeight="1" x14ac:dyDescent="0.3">
      <c r="B21" s="29" t="s">
        <v>158</v>
      </c>
      <c r="C21" s="46">
        <f>'Model - Expected'!C26/2</f>
        <v>287869.83775000001</v>
      </c>
      <c r="D21" s="46">
        <f>'Model - Expected'!D26/3</f>
        <v>344320.26544249989</v>
      </c>
      <c r="E21" s="46">
        <f>'Model - Expected'!E26/3</f>
        <v>395268.39351780317</v>
      </c>
      <c r="F21" s="46">
        <f>'Model - Expected'!F26/3</f>
        <v>405073.6416106454</v>
      </c>
    </row>
    <row r="22" spans="2:6" ht="15" customHeight="1" x14ac:dyDescent="0.3">
      <c r="B22" s="29" t="s">
        <v>159</v>
      </c>
      <c r="C22" s="46">
        <f>'Model - Expected'!C31/2</f>
        <v>-681204.63999416656</v>
      </c>
      <c r="D22" s="46">
        <f>'Model - Expected'!D31/3</f>
        <v>-681204.63999416656</v>
      </c>
      <c r="E22" s="46">
        <f>'Model - Expected'!E31/3</f>
        <v>-681204.63999416656</v>
      </c>
      <c r="F22" s="46">
        <f>'Model - Expected'!F31/3</f>
        <v>-681204.63999416656</v>
      </c>
    </row>
    <row r="23" spans="2:6" ht="15" customHeight="1" x14ac:dyDescent="0.3">
      <c r="B23" s="84" t="s">
        <v>160</v>
      </c>
      <c r="C23" s="30">
        <f>'Model - Expected'!C32/2</f>
        <v>-393334.80224416655</v>
      </c>
      <c r="D23" s="30">
        <f>'Model - Expected'!D32/3</f>
        <v>-336884.37455166667</v>
      </c>
      <c r="E23" s="30">
        <f>'Model - Expected'!E32/3</f>
        <v>-285936.24647636339</v>
      </c>
      <c r="F23" s="30">
        <f>'Model - Expected'!F32/3</f>
        <v>-276130.99838352116</v>
      </c>
    </row>
    <row r="24" spans="2:6" ht="15" customHeight="1" x14ac:dyDescent="0.3">
      <c r="B24" s="29" t="s">
        <v>161</v>
      </c>
      <c r="C24" s="46">
        <f>'Model - Expected'!C35/2</f>
        <v>-58383</v>
      </c>
      <c r="D24" s="46">
        <f>'Model - Expected'!D35/3</f>
        <v>-58383</v>
      </c>
      <c r="E24" s="46">
        <f>'Model - Expected'!E35/3</f>
        <v>-58383</v>
      </c>
      <c r="F24" s="46">
        <f>'Model - Expected'!F35/3</f>
        <v>-58383</v>
      </c>
    </row>
    <row r="25" spans="2:6" ht="15" customHeight="1" x14ac:dyDescent="0.3">
      <c r="B25" s="80" t="s">
        <v>162</v>
      </c>
      <c r="C25" s="81">
        <f>('Model - Expected'!C32+'Model - Expected'!C35)/2</f>
        <v>-451717.80224416655</v>
      </c>
      <c r="D25" s="81">
        <f>('Model - Expected'!D32+'Model - Expected'!D35)/3</f>
        <v>-395267.37455166667</v>
      </c>
      <c r="E25" s="81">
        <f>('Model - Expected'!E32+'Model - Expected'!E35)/3</f>
        <v>-344319.24647636339</v>
      </c>
      <c r="F25" s="81">
        <f>('Model - Expected'!F32+'Model - Expected'!F35)/3</f>
        <v>-334513.99838352116</v>
      </c>
    </row>
    <row r="27" spans="2:6" ht="15" customHeight="1" x14ac:dyDescent="0.3">
      <c r="B27" s="82" t="s">
        <v>39</v>
      </c>
      <c r="C27" s="83"/>
      <c r="D27" s="83"/>
      <c r="E27" s="83"/>
      <c r="F27" s="83"/>
    </row>
    <row r="28" spans="2:6" ht="15" customHeight="1" x14ac:dyDescent="0.3">
      <c r="B28" s="29" t="s">
        <v>158</v>
      </c>
      <c r="C28" s="46">
        <f>'Model - Recovery'!C26/2</f>
        <v>316638.83500000002</v>
      </c>
      <c r="D28" s="46">
        <f>'Model - Recovery'!D26/3</f>
        <v>378555.86563624983</v>
      </c>
      <c r="E28" s="46">
        <f>'Model - Recovery'!E26/3</f>
        <v>431956.28550821845</v>
      </c>
      <c r="F28" s="46">
        <f>'Model - Recovery'!F26/3</f>
        <v>442510.64567340544</v>
      </c>
    </row>
    <row r="29" spans="2:6" ht="15" customHeight="1" x14ac:dyDescent="0.3">
      <c r="B29" s="29" t="s">
        <v>159</v>
      </c>
      <c r="C29" s="46">
        <f>'Model - Recovery'!C31/2</f>
        <v>-681204.63999416656</v>
      </c>
      <c r="D29" s="46">
        <f>'Model - Recovery'!D31/3</f>
        <v>-681204.63999416656</v>
      </c>
      <c r="E29" s="46">
        <f>'Model - Recovery'!E31/3</f>
        <v>-681204.63999416656</v>
      </c>
      <c r="F29" s="46">
        <f>'Model - Recovery'!F31/3</f>
        <v>-681204.63999416656</v>
      </c>
    </row>
    <row r="30" spans="2:6" ht="15" customHeight="1" x14ac:dyDescent="0.3">
      <c r="B30" s="84" t="s">
        <v>160</v>
      </c>
      <c r="C30" s="30">
        <f>'Model - Recovery'!C32/2</f>
        <v>-364565.80499416654</v>
      </c>
      <c r="D30" s="30">
        <f>'Model - Recovery'!D32/3</f>
        <v>-302648.77435791673</v>
      </c>
      <c r="E30" s="30">
        <f>'Model - Recovery'!E32/3</f>
        <v>-249248.3544859481</v>
      </c>
      <c r="F30" s="30">
        <f>'Model - Recovery'!F32/3</f>
        <v>-238693.99432076109</v>
      </c>
    </row>
    <row r="31" spans="2:6" ht="15" customHeight="1" x14ac:dyDescent="0.3">
      <c r="B31" s="29" t="s">
        <v>161</v>
      </c>
      <c r="C31" s="46">
        <f>'Model - Recovery'!C35/2</f>
        <v>-58383</v>
      </c>
      <c r="D31" s="46">
        <f>'Model - Recovery'!D35/3</f>
        <v>-58383</v>
      </c>
      <c r="E31" s="46">
        <f>'Model - Recovery'!E35/3</f>
        <v>-58383</v>
      </c>
      <c r="F31" s="46">
        <f>'Model - Recovery'!F35/3</f>
        <v>-58383</v>
      </c>
    </row>
    <row r="32" spans="2:6" ht="15" customHeight="1" x14ac:dyDescent="0.3">
      <c r="B32" s="80" t="s">
        <v>162</v>
      </c>
      <c r="C32" s="81">
        <f>('Model - Recovery'!C32+'Model - Recovery'!C35)/2</f>
        <v>-422948.80499416654</v>
      </c>
      <c r="D32" s="81">
        <f>('Model - Recovery'!D32+'Model - Recovery'!D35)/3</f>
        <v>-361031.77435791673</v>
      </c>
      <c r="E32" s="81">
        <f>('Model - Recovery'!E32+'Model - Recovery'!E35)/3</f>
        <v>-307631.3544859481</v>
      </c>
      <c r="F32" s="81">
        <f>('Model - Recovery'!F32+'Model - Recovery'!F35)/3</f>
        <v>-297076.99432076112</v>
      </c>
    </row>
    <row r="34" spans="2:6" x14ac:dyDescent="0.3">
      <c r="B34" s="196" t="s">
        <v>540</v>
      </c>
    </row>
    <row r="35" spans="2:6" ht="15" hidden="1" customHeight="1" x14ac:dyDescent="0.3">
      <c r="B35" s="74" t="s">
        <v>163</v>
      </c>
    </row>
    <row r="36" spans="2:6" ht="15" hidden="1" customHeight="1" x14ac:dyDescent="0.3">
      <c r="B36" t="s">
        <v>164</v>
      </c>
      <c r="C36" t="s">
        <v>165</v>
      </c>
      <c r="D36" t="s">
        <v>166</v>
      </c>
      <c r="E36" t="s">
        <v>167</v>
      </c>
      <c r="F36" t="s">
        <v>168</v>
      </c>
    </row>
    <row r="37" spans="2:6" ht="15" hidden="1" customHeight="1" x14ac:dyDescent="0.3">
      <c r="B37" t="s">
        <v>37</v>
      </c>
      <c r="C37" s="85">
        <f>-C18</f>
        <v>523138.02324416657</v>
      </c>
      <c r="D37" s="85">
        <f>-D18</f>
        <v>503075.83724416659</v>
      </c>
      <c r="E37" s="85">
        <f>-E18</f>
        <v>436199.50913166668</v>
      </c>
      <c r="F37" s="85">
        <f>-F18</f>
        <v>424398.54756769788</v>
      </c>
    </row>
    <row r="38" spans="2:6" ht="15" hidden="1" customHeight="1" x14ac:dyDescent="0.3">
      <c r="B38" t="s">
        <v>38</v>
      </c>
      <c r="C38" s="85">
        <f>-C25</f>
        <v>451717.80224416655</v>
      </c>
      <c r="D38" s="85">
        <f>-D25</f>
        <v>395267.37455166667</v>
      </c>
      <c r="E38" s="85">
        <f>-E25</f>
        <v>344319.24647636339</v>
      </c>
      <c r="F38" s="85">
        <f>-F25</f>
        <v>334513.99838352116</v>
      </c>
    </row>
    <row r="39" spans="2:6" ht="15" hidden="1" customHeight="1" x14ac:dyDescent="0.3">
      <c r="B39" t="s">
        <v>39</v>
      </c>
      <c r="C39" s="85">
        <f>-C32</f>
        <v>422948.80499416654</v>
      </c>
      <c r="D39" s="85">
        <f>-D32</f>
        <v>361031.77435791673</v>
      </c>
      <c r="E39" s="85">
        <f>-E32</f>
        <v>307631.3544859481</v>
      </c>
      <c r="F39" s="85">
        <f>-F32</f>
        <v>297076.99432076112</v>
      </c>
    </row>
    <row r="40" spans="2:6" ht="30.6" x14ac:dyDescent="0.3">
      <c r="B40" s="75" t="s">
        <v>169</v>
      </c>
    </row>
    <row r="41" spans="2:6" ht="30.6" x14ac:dyDescent="0.3">
      <c r="B41" s="4" t="s">
        <v>170</v>
      </c>
    </row>
    <row r="42" spans="2:6" ht="30.6" x14ac:dyDescent="0.3">
      <c r="B42" s="4" t="s">
        <v>171</v>
      </c>
    </row>
    <row r="43" spans="2:6" ht="30.6" x14ac:dyDescent="0.3">
      <c r="B43" s="4" t="s">
        <v>172</v>
      </c>
    </row>
    <row r="44" spans="2:6" ht="20.399999999999999" x14ac:dyDescent="0.3">
      <c r="B44" s="4" t="s">
        <v>173</v>
      </c>
    </row>
    <row r="54" spans="2:2" ht="27.75" customHeight="1" x14ac:dyDescent="0.3">
      <c r="B54" s="75"/>
    </row>
    <row r="55" spans="2:2" ht="27.75" customHeight="1" x14ac:dyDescent="0.3">
      <c r="B55" s="4"/>
    </row>
    <row r="56" spans="2:2" ht="27.75" customHeight="1" x14ac:dyDescent="0.3">
      <c r="B56" s="4"/>
    </row>
    <row r="57" spans="2:2" ht="27.75" customHeight="1" x14ac:dyDescent="0.3">
      <c r="B57" s="4"/>
    </row>
    <row r="58" spans="2:2" ht="27.75" customHeight="1" x14ac:dyDescent="0.3">
      <c r="B5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59"/>
  <sheetViews>
    <sheetView showGridLines="0" zoomScaleNormal="100" workbookViewId="0">
      <selection activeCell="F27" sqref="F27"/>
    </sheetView>
  </sheetViews>
  <sheetFormatPr defaultColWidth="8.6640625" defaultRowHeight="14.4" x14ac:dyDescent="0.3"/>
  <cols>
    <col min="1" max="1" width="2" customWidth="1"/>
    <col min="2" max="2" width="56.44140625" customWidth="1"/>
    <col min="3" max="5" width="15" customWidth="1"/>
    <col min="6" max="6" width="20.5546875" customWidth="1"/>
  </cols>
  <sheetData>
    <row r="1" spans="2:6" ht="19.5" customHeight="1" x14ac:dyDescent="0.4">
      <c r="B1" s="62" t="s">
        <v>19</v>
      </c>
    </row>
    <row r="2" spans="2:6" ht="15" customHeight="1" x14ac:dyDescent="0.3">
      <c r="B2" s="63" t="s">
        <v>288</v>
      </c>
    </row>
    <row r="3" spans="2:6" ht="15" customHeight="1" x14ac:dyDescent="0.3">
      <c r="B3" s="55" t="s">
        <v>289</v>
      </c>
    </row>
    <row r="4" spans="2:6" ht="15" customHeight="1" x14ac:dyDescent="0.3"/>
    <row r="5" spans="2:6" ht="15" customHeight="1" x14ac:dyDescent="0.3">
      <c r="B5" s="31" t="s">
        <v>290</v>
      </c>
      <c r="C5" s="64" t="s">
        <v>291</v>
      </c>
      <c r="D5" s="64" t="s">
        <v>292</v>
      </c>
      <c r="E5" s="64" t="s">
        <v>74</v>
      </c>
    </row>
    <row r="6" spans="2:6" ht="15" customHeight="1" x14ac:dyDescent="0.3">
      <c r="B6" s="65" t="s">
        <v>293</v>
      </c>
      <c r="C6" s="135">
        <v>2502937</v>
      </c>
      <c r="D6" s="136">
        <f>'Model - Conservative'!C59+'Model - Conservative'!D59</f>
        <v>2062329.5882149995</v>
      </c>
      <c r="E6" s="137">
        <f>D6-C6</f>
        <v>-440607.41178500047</v>
      </c>
      <c r="F6" s="86" t="s">
        <v>294</v>
      </c>
    </row>
    <row r="7" spans="2:6" ht="15" customHeight="1" x14ac:dyDescent="0.3">
      <c r="B7" s="65" t="s">
        <v>295</v>
      </c>
      <c r="C7" s="135">
        <v>2894322</v>
      </c>
      <c r="D7" s="136">
        <f>'Model - Expected'!C59+'Model - Expected'!D59</f>
        <v>1596063.7581374997</v>
      </c>
      <c r="E7" s="137">
        <f>D7-C7</f>
        <v>-1298258.2418625003</v>
      </c>
      <c r="F7" s="198" t="s">
        <v>296</v>
      </c>
    </row>
    <row r="8" spans="2:6" ht="15" customHeight="1" x14ac:dyDescent="0.3">
      <c r="B8" s="65" t="s">
        <v>297</v>
      </c>
      <c r="C8" s="135">
        <v>3353178</v>
      </c>
      <c r="D8" s="136">
        <f>'Model - Recovery'!C59+'Model - Recovery'!D59</f>
        <v>1435818.9630562498</v>
      </c>
      <c r="E8" s="137">
        <f>D8-C8</f>
        <v>-1917359.0369437502</v>
      </c>
      <c r="F8" s="198" t="s">
        <v>298</v>
      </c>
    </row>
    <row r="9" spans="2:6" ht="30.6" x14ac:dyDescent="0.3">
      <c r="B9" s="5" t="s">
        <v>299</v>
      </c>
      <c r="C9" s="140"/>
      <c r="D9" s="140"/>
      <c r="E9" s="140"/>
      <c r="F9" s="199"/>
    </row>
    <row r="10" spans="2:6" ht="15" customHeight="1" x14ac:dyDescent="0.3">
      <c r="B10" s="14"/>
      <c r="C10" s="138"/>
      <c r="D10" s="138"/>
      <c r="E10" s="138"/>
      <c r="F10" s="200"/>
    </row>
    <row r="11" spans="2:6" ht="15" customHeight="1" x14ac:dyDescent="0.3">
      <c r="B11" s="31" t="s">
        <v>300</v>
      </c>
      <c r="C11" s="141" t="s">
        <v>30</v>
      </c>
      <c r="D11" s="142"/>
      <c r="E11" s="142"/>
      <c r="F11" s="201"/>
    </row>
    <row r="12" spans="2:6" ht="21.75" customHeight="1" x14ac:dyDescent="0.3">
      <c r="B12" s="72" t="s">
        <v>301</v>
      </c>
      <c r="C12" s="143">
        <v>2502937</v>
      </c>
      <c r="D12" s="137"/>
      <c r="E12" s="137"/>
      <c r="F12" s="144" t="s">
        <v>302</v>
      </c>
    </row>
    <row r="13" spans="2:6" ht="21.75" customHeight="1" x14ac:dyDescent="0.3">
      <c r="B13" s="65" t="s">
        <v>303</v>
      </c>
      <c r="C13" s="145">
        <v>-520000</v>
      </c>
      <c r="D13" s="135"/>
      <c r="E13" s="135"/>
      <c r="F13" s="144" t="s">
        <v>304</v>
      </c>
    </row>
    <row r="14" spans="2:6" ht="21.75" customHeight="1" x14ac:dyDescent="0.3">
      <c r="B14" s="65" t="s">
        <v>305</v>
      </c>
      <c r="C14" s="145">
        <v>-260000</v>
      </c>
      <c r="D14" s="136"/>
      <c r="E14" s="136"/>
      <c r="F14" s="144" t="s">
        <v>306</v>
      </c>
    </row>
    <row r="15" spans="2:6" ht="21.75" customHeight="1" x14ac:dyDescent="0.3">
      <c r="B15" s="65" t="s">
        <v>307</v>
      </c>
      <c r="C15" s="145">
        <v>-120000</v>
      </c>
      <c r="D15" s="137"/>
      <c r="E15" s="137"/>
      <c r="F15" s="144" t="s">
        <v>308</v>
      </c>
    </row>
    <row r="16" spans="2:6" ht="21.75" customHeight="1" x14ac:dyDescent="0.3">
      <c r="B16" s="65" t="s">
        <v>309</v>
      </c>
      <c r="C16" s="145">
        <v>126609</v>
      </c>
      <c r="D16" s="135"/>
      <c r="E16" s="135"/>
      <c r="F16" s="144" t="s">
        <v>310</v>
      </c>
    </row>
    <row r="17" spans="2:6" ht="21.75" customHeight="1" x14ac:dyDescent="0.3">
      <c r="B17" s="65" t="s">
        <v>311</v>
      </c>
      <c r="C17" s="145">
        <f>C18-SUM(C12:C16)</f>
        <v>-133482.24186250032</v>
      </c>
      <c r="D17" s="136"/>
      <c r="E17" s="136"/>
      <c r="F17" s="144" t="s">
        <v>312</v>
      </c>
    </row>
    <row r="18" spans="2:6" ht="21.75" customHeight="1" x14ac:dyDescent="0.3">
      <c r="B18" s="72" t="s">
        <v>313</v>
      </c>
      <c r="C18" s="77">
        <f>'Model - Expected'!C59+'Model - Expected'!D59</f>
        <v>1596063.7581374997</v>
      </c>
      <c r="D18" s="137"/>
      <c r="E18" s="137"/>
      <c r="F18" s="144"/>
    </row>
    <row r="19" spans="2:6" ht="15" customHeight="1" x14ac:dyDescent="0.3"/>
    <row r="20" spans="2:6" ht="15" customHeight="1" x14ac:dyDescent="0.3">
      <c r="B20" s="55" t="s">
        <v>314</v>
      </c>
    </row>
    <row r="21" spans="2:6" ht="15" customHeight="1" x14ac:dyDescent="0.3">
      <c r="B21" s="146"/>
      <c r="C21" s="43"/>
      <c r="D21" s="43"/>
      <c r="E21" s="43"/>
      <c r="F21" s="43"/>
    </row>
    <row r="22" spans="2:6" ht="15" customHeight="1" x14ac:dyDescent="0.3">
      <c r="B22" s="31" t="s">
        <v>315</v>
      </c>
      <c r="C22" s="147"/>
      <c r="D22" s="147"/>
      <c r="E22" s="147"/>
      <c r="F22" s="138"/>
    </row>
    <row r="23" spans="2:6" ht="21.75" customHeight="1" x14ac:dyDescent="0.3">
      <c r="B23" s="4" t="s">
        <v>316</v>
      </c>
      <c r="C23" s="139"/>
      <c r="D23" s="139"/>
      <c r="E23" s="139"/>
      <c r="F23" s="139"/>
    </row>
    <row r="24" spans="2:6" ht="21.75" customHeight="1" x14ac:dyDescent="0.3">
      <c r="B24" s="4" t="s">
        <v>317</v>
      </c>
      <c r="C24" s="140"/>
      <c r="D24" s="140"/>
      <c r="E24" s="140"/>
      <c r="F24" s="140"/>
    </row>
    <row r="25" spans="2:6" ht="21.75" customHeight="1" x14ac:dyDescent="0.3">
      <c r="B25" s="4" t="s">
        <v>318</v>
      </c>
      <c r="C25" s="138"/>
      <c r="D25" s="138"/>
      <c r="E25" s="138"/>
      <c r="F25" s="138"/>
    </row>
    <row r="26" spans="2:6" ht="15" customHeight="1" x14ac:dyDescent="0.3">
      <c r="B26" s="33"/>
      <c r="C26" s="139"/>
      <c r="D26" s="139"/>
      <c r="E26" s="139"/>
      <c r="F26" s="139"/>
    </row>
    <row r="27" spans="2:6" ht="15" customHeight="1" x14ac:dyDescent="0.3">
      <c r="B27" s="31" t="s">
        <v>319</v>
      </c>
      <c r="C27" s="148"/>
      <c r="D27" s="148"/>
      <c r="E27" s="148"/>
      <c r="F27" s="140"/>
    </row>
    <row r="28" spans="2:6" ht="21.75" customHeight="1" x14ac:dyDescent="0.3">
      <c r="B28" s="4" t="s">
        <v>320</v>
      </c>
      <c r="C28" s="138"/>
      <c r="D28" s="138"/>
      <c r="E28" s="138"/>
      <c r="F28" s="138"/>
    </row>
    <row r="29" spans="2:6" ht="21.75" customHeight="1" x14ac:dyDescent="0.3">
      <c r="B29" s="4" t="s">
        <v>321</v>
      </c>
      <c r="C29" s="139"/>
      <c r="D29" s="139"/>
      <c r="E29" s="139"/>
      <c r="F29" s="139"/>
    </row>
    <row r="30" spans="2:6" ht="21.75" customHeight="1" x14ac:dyDescent="0.3">
      <c r="B30" s="4" t="s">
        <v>322</v>
      </c>
      <c r="C30" s="140"/>
      <c r="D30" s="140"/>
      <c r="E30" s="140"/>
      <c r="F30" s="140"/>
    </row>
    <row r="31" spans="2:6" ht="15" customHeight="1" x14ac:dyDescent="0.3">
      <c r="B31" s="14"/>
      <c r="C31" s="138"/>
      <c r="D31" s="138"/>
      <c r="E31" s="138"/>
      <c r="F31" s="138"/>
    </row>
    <row r="32" spans="2:6" ht="15" customHeight="1" x14ac:dyDescent="0.3">
      <c r="B32" s="33"/>
      <c r="C32" s="139"/>
      <c r="D32" s="139"/>
      <c r="E32" s="139"/>
      <c r="F32" s="139"/>
    </row>
    <row r="33" spans="2:6" ht="15" customHeight="1" x14ac:dyDescent="0.3">
      <c r="B33" s="149"/>
      <c r="C33" s="140"/>
      <c r="D33" s="140"/>
      <c r="E33" s="140"/>
      <c r="F33" s="140"/>
    </row>
    <row r="34" spans="2:6" ht="15" customHeight="1" x14ac:dyDescent="0.3"/>
    <row r="35" spans="2:6" ht="15" customHeight="1" x14ac:dyDescent="0.3">
      <c r="B35" s="20"/>
      <c r="C35" s="43"/>
      <c r="D35" s="43"/>
      <c r="E35" s="43"/>
    </row>
    <row r="36" spans="2:6" ht="15" customHeight="1" x14ac:dyDescent="0.3">
      <c r="B36" s="150"/>
    </row>
    <row r="37" spans="2:6" ht="15" customHeight="1" x14ac:dyDescent="0.3">
      <c r="B37" s="33"/>
      <c r="C37" s="138"/>
      <c r="D37" s="139"/>
      <c r="E37" s="140"/>
    </row>
    <row r="38" spans="2:6" ht="15" customHeight="1" x14ac:dyDescent="0.3">
      <c r="B38" s="33"/>
      <c r="C38" s="138"/>
      <c r="D38" s="139"/>
      <c r="E38" s="140"/>
    </row>
    <row r="39" spans="2:6" ht="15" customHeight="1" x14ac:dyDescent="0.3">
      <c r="B39" s="33"/>
      <c r="C39" s="138"/>
      <c r="D39" s="139"/>
      <c r="E39" s="140"/>
    </row>
    <row r="40" spans="2:6" ht="15" customHeight="1" x14ac:dyDescent="0.3">
      <c r="B40" s="33"/>
      <c r="C40" s="138"/>
      <c r="D40" s="139"/>
      <c r="E40" s="140"/>
    </row>
    <row r="41" spans="2:6" ht="15" customHeight="1" x14ac:dyDescent="0.3">
      <c r="B41" s="33"/>
      <c r="C41" s="151"/>
      <c r="D41" s="152"/>
      <c r="E41" s="153"/>
    </row>
    <row r="42" spans="2:6" ht="15" customHeight="1" x14ac:dyDescent="0.3">
      <c r="B42" s="33"/>
      <c r="C42" s="138"/>
      <c r="D42" s="139"/>
      <c r="E42" s="140"/>
    </row>
    <row r="43" spans="2:6" ht="15" customHeight="1" x14ac:dyDescent="0.3">
      <c r="B43" s="150"/>
    </row>
    <row r="44" spans="2:6" ht="15" customHeight="1" x14ac:dyDescent="0.3">
      <c r="B44" s="33"/>
      <c r="C44" s="138"/>
      <c r="D44" s="139"/>
      <c r="E44" s="140"/>
    </row>
    <row r="45" spans="2:6" ht="15" customHeight="1" x14ac:dyDescent="0.3">
      <c r="B45" s="33"/>
      <c r="C45" s="138"/>
      <c r="D45" s="139"/>
      <c r="E45" s="140"/>
    </row>
    <row r="46" spans="2:6" ht="15" customHeight="1" x14ac:dyDescent="0.3">
      <c r="B46" s="33"/>
      <c r="C46" s="138"/>
      <c r="D46" s="139"/>
      <c r="E46" s="140"/>
    </row>
    <row r="47" spans="2:6" ht="15" customHeight="1" x14ac:dyDescent="0.3">
      <c r="B47" s="33"/>
      <c r="C47" s="138"/>
      <c r="D47" s="139"/>
      <c r="E47" s="140"/>
    </row>
    <row r="48" spans="2:6" ht="15" customHeight="1" x14ac:dyDescent="0.3">
      <c r="B48" s="33"/>
      <c r="C48" s="151"/>
      <c r="D48" s="152"/>
      <c r="E48" s="153"/>
    </row>
    <row r="49" spans="2:5" ht="15" customHeight="1" x14ac:dyDescent="0.3">
      <c r="B49" s="33"/>
      <c r="C49" s="138"/>
      <c r="D49" s="139"/>
      <c r="E49" s="140"/>
    </row>
    <row r="50" spans="2:5" ht="15" customHeight="1" x14ac:dyDescent="0.3"/>
    <row r="51" spans="2:5" ht="15" customHeight="1" x14ac:dyDescent="0.3">
      <c r="B51" s="15"/>
    </row>
    <row r="52" spans="2:5" ht="15" customHeight="1" x14ac:dyDescent="0.3"/>
    <row r="53" spans="2:5" ht="15" customHeight="1" x14ac:dyDescent="0.3"/>
    <row r="54" spans="2:5" ht="15" customHeight="1" x14ac:dyDescent="0.3"/>
    <row r="55" spans="2:5" ht="15" customHeight="1" x14ac:dyDescent="0.3"/>
    <row r="56" spans="2:5" ht="15" customHeight="1" x14ac:dyDescent="0.3"/>
    <row r="57" spans="2:5" ht="15" customHeight="1" x14ac:dyDescent="0.3"/>
    <row r="58" spans="2:5" ht="15" customHeight="1" x14ac:dyDescent="0.3"/>
    <row r="59" spans="2:5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39"/>
  <sheetViews>
    <sheetView showGridLines="0" topLeftCell="A6" zoomScaleNormal="100" workbookViewId="0">
      <selection activeCell="K18" sqref="K18"/>
    </sheetView>
  </sheetViews>
  <sheetFormatPr defaultColWidth="8.6640625" defaultRowHeight="14.4" x14ac:dyDescent="0.3"/>
  <cols>
    <col min="1" max="1" width="2" customWidth="1"/>
    <col min="2" max="2" width="10" customWidth="1"/>
    <col min="3" max="3" width="12" customWidth="1"/>
    <col min="4" max="4" width="30" customWidth="1"/>
    <col min="5" max="5" width="34" customWidth="1"/>
    <col min="6" max="6" width="14" customWidth="1"/>
    <col min="7" max="7" width="13" customWidth="1"/>
    <col min="8" max="8" width="30" customWidth="1"/>
  </cols>
  <sheetData>
    <row r="1" spans="2:8" ht="19.5" customHeight="1" x14ac:dyDescent="0.4">
      <c r="B1" s="62" t="s">
        <v>19</v>
      </c>
    </row>
    <row r="2" spans="2:8" ht="15" customHeight="1" x14ac:dyDescent="0.3">
      <c r="B2" s="63" t="s">
        <v>323</v>
      </c>
    </row>
    <row r="3" spans="2:8" ht="15" customHeight="1" x14ac:dyDescent="0.3">
      <c r="B3" s="55" t="s">
        <v>324</v>
      </c>
    </row>
    <row r="5" spans="2:8" ht="15" customHeight="1" x14ac:dyDescent="0.3">
      <c r="B5" s="64" t="s">
        <v>325</v>
      </c>
      <c r="C5" s="154" t="s">
        <v>326</v>
      </c>
      <c r="D5" s="154" t="s">
        <v>327</v>
      </c>
      <c r="E5" s="154" t="s">
        <v>328</v>
      </c>
      <c r="F5" s="64" t="s">
        <v>30</v>
      </c>
      <c r="G5" s="64" t="s">
        <v>164</v>
      </c>
      <c r="H5" s="154" t="s">
        <v>329</v>
      </c>
    </row>
    <row r="6" spans="2:8" ht="15" customHeight="1" x14ac:dyDescent="0.3">
      <c r="B6" s="121" t="s">
        <v>330</v>
      </c>
      <c r="C6" s="155" t="s">
        <v>331</v>
      </c>
      <c r="D6" s="65" t="s">
        <v>332</v>
      </c>
      <c r="E6" s="128" t="s">
        <v>333</v>
      </c>
      <c r="F6" s="156">
        <v>11771.11</v>
      </c>
      <c r="G6" s="157" t="s">
        <v>334</v>
      </c>
      <c r="H6" s="79" t="s">
        <v>335</v>
      </c>
    </row>
    <row r="7" spans="2:8" ht="15" customHeight="1" x14ac:dyDescent="0.3">
      <c r="B7" s="121" t="s">
        <v>336</v>
      </c>
      <c r="C7" s="155" t="s">
        <v>331</v>
      </c>
      <c r="D7" s="65" t="s">
        <v>337</v>
      </c>
      <c r="E7" s="128" t="s">
        <v>338</v>
      </c>
      <c r="F7" s="156">
        <v>4842.87</v>
      </c>
      <c r="G7" s="157" t="s">
        <v>334</v>
      </c>
      <c r="H7" s="79" t="s">
        <v>339</v>
      </c>
    </row>
    <row r="8" spans="2:8" ht="15" customHeight="1" x14ac:dyDescent="0.3">
      <c r="B8" s="121" t="s">
        <v>340</v>
      </c>
      <c r="C8" s="155" t="s">
        <v>341</v>
      </c>
      <c r="D8" s="65" t="s">
        <v>342</v>
      </c>
      <c r="E8" s="128" t="s">
        <v>343</v>
      </c>
      <c r="F8" s="156">
        <v>2016417.28</v>
      </c>
      <c r="G8" s="157" t="s">
        <v>334</v>
      </c>
      <c r="H8" s="79" t="s">
        <v>344</v>
      </c>
    </row>
    <row r="9" spans="2:8" ht="15" customHeight="1" x14ac:dyDescent="0.3">
      <c r="B9" s="121" t="s">
        <v>345</v>
      </c>
      <c r="C9" s="155" t="s">
        <v>346</v>
      </c>
      <c r="D9" s="65" t="s">
        <v>347</v>
      </c>
      <c r="E9" s="128" t="s">
        <v>348</v>
      </c>
      <c r="F9" s="156">
        <v>215000</v>
      </c>
      <c r="G9" s="157" t="s">
        <v>334</v>
      </c>
      <c r="H9" s="79" t="s">
        <v>349</v>
      </c>
    </row>
    <row r="10" spans="2:8" ht="15" customHeight="1" x14ac:dyDescent="0.3">
      <c r="B10" s="121" t="s">
        <v>350</v>
      </c>
      <c r="C10" s="155" t="s">
        <v>351</v>
      </c>
      <c r="D10" s="65" t="s">
        <v>347</v>
      </c>
      <c r="E10" s="128" t="s">
        <v>348</v>
      </c>
      <c r="F10" s="156">
        <v>275000</v>
      </c>
      <c r="G10" s="157" t="s">
        <v>334</v>
      </c>
      <c r="H10" s="79" t="s">
        <v>352</v>
      </c>
    </row>
    <row r="11" spans="2:8" ht="15" customHeight="1" x14ac:dyDescent="0.3">
      <c r="B11" s="121" t="s">
        <v>353</v>
      </c>
      <c r="C11" s="155" t="s">
        <v>354</v>
      </c>
      <c r="D11" s="65" t="s">
        <v>355</v>
      </c>
      <c r="E11" s="128" t="s">
        <v>356</v>
      </c>
      <c r="F11" s="156">
        <v>121590.96</v>
      </c>
      <c r="G11" s="157" t="s">
        <v>334</v>
      </c>
      <c r="H11" s="79" t="s">
        <v>339</v>
      </c>
    </row>
    <row r="12" spans="2:8" ht="15" customHeight="1" x14ac:dyDescent="0.3">
      <c r="B12" s="121" t="s">
        <v>357</v>
      </c>
      <c r="C12" s="155" t="s">
        <v>358</v>
      </c>
      <c r="D12" s="65" t="s">
        <v>347</v>
      </c>
      <c r="E12" s="128" t="s">
        <v>359</v>
      </c>
      <c r="F12" s="156">
        <v>432000</v>
      </c>
      <c r="G12" s="157" t="s">
        <v>360</v>
      </c>
      <c r="H12" s="79" t="s">
        <v>361</v>
      </c>
    </row>
    <row r="13" spans="2:8" ht="15" customHeight="1" x14ac:dyDescent="0.3">
      <c r="B13" s="121" t="s">
        <v>362</v>
      </c>
      <c r="C13" s="155" t="s">
        <v>363</v>
      </c>
      <c r="D13" s="65" t="s">
        <v>364</v>
      </c>
      <c r="E13" s="128" t="s">
        <v>365</v>
      </c>
      <c r="F13" s="156">
        <v>768540</v>
      </c>
      <c r="G13" s="157" t="s">
        <v>360</v>
      </c>
      <c r="H13" s="79" t="s">
        <v>366</v>
      </c>
    </row>
    <row r="14" spans="2:8" ht="15" customHeight="1" x14ac:dyDescent="0.3">
      <c r="B14" s="121" t="s">
        <v>367</v>
      </c>
      <c r="C14" s="155" t="s">
        <v>363</v>
      </c>
      <c r="D14" s="65" t="s">
        <v>368</v>
      </c>
      <c r="E14" s="128" t="s">
        <v>369</v>
      </c>
      <c r="F14" s="156">
        <v>407984.73</v>
      </c>
      <c r="G14" s="157" t="s">
        <v>360</v>
      </c>
      <c r="H14" s="197" t="s">
        <v>541</v>
      </c>
    </row>
    <row r="15" spans="2:8" ht="15" customHeight="1" x14ac:dyDescent="0.3">
      <c r="B15" s="121" t="s">
        <v>370</v>
      </c>
      <c r="C15" s="155" t="s">
        <v>371</v>
      </c>
      <c r="D15" s="65" t="s">
        <v>347</v>
      </c>
      <c r="E15" s="128" t="s">
        <v>372</v>
      </c>
      <c r="F15" s="156">
        <v>776000</v>
      </c>
      <c r="G15" s="157" t="s">
        <v>360</v>
      </c>
      <c r="H15" s="79" t="s">
        <v>339</v>
      </c>
    </row>
    <row r="16" spans="2:8" ht="15" customHeight="1" x14ac:dyDescent="0.3">
      <c r="B16" s="121" t="s">
        <v>373</v>
      </c>
      <c r="C16" s="155" t="s">
        <v>374</v>
      </c>
      <c r="D16" s="65" t="s">
        <v>347</v>
      </c>
      <c r="E16" s="128" t="s">
        <v>375</v>
      </c>
      <c r="F16" s="156">
        <v>229000</v>
      </c>
      <c r="G16" s="157" t="s">
        <v>360</v>
      </c>
      <c r="H16" s="79" t="s">
        <v>339</v>
      </c>
    </row>
    <row r="17" spans="2:8" ht="15" customHeight="1" x14ac:dyDescent="0.3">
      <c r="B17" s="121" t="s">
        <v>376</v>
      </c>
      <c r="C17" s="155" t="s">
        <v>377</v>
      </c>
      <c r="D17" s="65" t="s">
        <v>347</v>
      </c>
      <c r="E17" s="128" t="s">
        <v>378</v>
      </c>
      <c r="F17" s="156">
        <v>410752.3</v>
      </c>
      <c r="G17" s="157" t="s">
        <v>379</v>
      </c>
      <c r="H17" s="79" t="s">
        <v>380</v>
      </c>
    </row>
    <row r="18" spans="2:8" ht="15" customHeight="1" x14ac:dyDescent="0.3">
      <c r="B18" s="121" t="s">
        <v>381</v>
      </c>
      <c r="C18" s="155" t="s">
        <v>382</v>
      </c>
      <c r="D18" s="65" t="s">
        <v>383</v>
      </c>
      <c r="E18" s="128" t="s">
        <v>384</v>
      </c>
      <c r="F18" s="156">
        <v>63508</v>
      </c>
      <c r="G18" s="157" t="s">
        <v>379</v>
      </c>
      <c r="H18" s="79" t="s">
        <v>385</v>
      </c>
    </row>
    <row r="19" spans="2:8" ht="15" customHeight="1" x14ac:dyDescent="0.3">
      <c r="B19" s="11"/>
      <c r="C19" s="11"/>
      <c r="D19" s="11"/>
      <c r="E19" s="120" t="s">
        <v>386</v>
      </c>
      <c r="F19" s="158">
        <f>SUM(F6:F18)</f>
        <v>5732407.2499999991</v>
      </c>
      <c r="G19" s="11"/>
      <c r="H19" s="11"/>
    </row>
    <row r="21" spans="2:8" ht="15" customHeight="1" x14ac:dyDescent="0.3">
      <c r="B21" s="31" t="s">
        <v>387</v>
      </c>
      <c r="C21" s="11"/>
      <c r="D21" s="11"/>
      <c r="E21" s="11"/>
      <c r="F21" s="11"/>
      <c r="G21" s="11"/>
      <c r="H21" s="11"/>
    </row>
    <row r="22" spans="2:8" ht="15" customHeight="1" x14ac:dyDescent="0.3">
      <c r="B22" s="125" t="s">
        <v>388</v>
      </c>
      <c r="C22" s="155" t="s">
        <v>389</v>
      </c>
      <c r="D22" s="65" t="s">
        <v>390</v>
      </c>
      <c r="E22" s="128" t="s">
        <v>391</v>
      </c>
      <c r="F22" s="159">
        <v>673478.96</v>
      </c>
      <c r="G22" s="68"/>
      <c r="H22" s="68"/>
    </row>
    <row r="23" spans="2:8" ht="15" customHeight="1" x14ac:dyDescent="0.3">
      <c r="B23" s="125" t="s">
        <v>392</v>
      </c>
      <c r="C23" s="155" t="s">
        <v>393</v>
      </c>
      <c r="D23" s="65" t="s">
        <v>394</v>
      </c>
      <c r="E23" s="128" t="s">
        <v>395</v>
      </c>
      <c r="F23" s="159">
        <v>215000</v>
      </c>
      <c r="G23" s="68"/>
      <c r="H23" s="68"/>
    </row>
    <row r="24" spans="2:8" ht="15" customHeight="1" x14ac:dyDescent="0.3">
      <c r="B24" s="125" t="s">
        <v>396</v>
      </c>
      <c r="C24" s="155" t="s">
        <v>397</v>
      </c>
      <c r="D24" s="65" t="s">
        <v>398</v>
      </c>
      <c r="E24" s="128" t="s">
        <v>399</v>
      </c>
      <c r="F24" s="159">
        <v>129084.75</v>
      </c>
      <c r="G24" s="68"/>
      <c r="H24" s="68"/>
    </row>
    <row r="25" spans="2:8" ht="15" customHeight="1" x14ac:dyDescent="0.3">
      <c r="B25" s="125" t="s">
        <v>400</v>
      </c>
      <c r="C25" s="155" t="s">
        <v>401</v>
      </c>
      <c r="D25" s="65" t="s">
        <v>394</v>
      </c>
      <c r="E25" s="128" t="s">
        <v>402</v>
      </c>
      <c r="F25" s="159">
        <v>275000</v>
      </c>
      <c r="G25" s="68"/>
      <c r="H25" s="68"/>
    </row>
    <row r="26" spans="2:8" ht="15" customHeight="1" x14ac:dyDescent="0.3">
      <c r="B26" s="125" t="s">
        <v>403</v>
      </c>
      <c r="C26" s="155" t="s">
        <v>404</v>
      </c>
      <c r="D26" s="65" t="s">
        <v>394</v>
      </c>
      <c r="E26" s="128" t="s">
        <v>405</v>
      </c>
      <c r="F26" s="159">
        <v>432000</v>
      </c>
      <c r="G26" s="68"/>
      <c r="H26" s="68"/>
    </row>
    <row r="27" spans="2:8" ht="15" customHeight="1" x14ac:dyDescent="0.3">
      <c r="B27" s="125" t="s">
        <v>406</v>
      </c>
      <c r="C27" s="155" t="s">
        <v>363</v>
      </c>
      <c r="D27" s="65" t="s">
        <v>407</v>
      </c>
      <c r="E27" s="128" t="s">
        <v>408</v>
      </c>
      <c r="F27" s="159">
        <v>1100000</v>
      </c>
      <c r="G27" s="68"/>
      <c r="H27" s="68"/>
    </row>
    <row r="28" spans="2:8" ht="15" customHeight="1" x14ac:dyDescent="0.3">
      <c r="B28" s="125" t="s">
        <v>409</v>
      </c>
      <c r="C28" s="155" t="s">
        <v>410</v>
      </c>
      <c r="D28" s="65" t="s">
        <v>407</v>
      </c>
      <c r="E28" s="128" t="s">
        <v>411</v>
      </c>
      <c r="F28" s="159">
        <v>1600000</v>
      </c>
      <c r="G28" s="68"/>
      <c r="H28" s="68"/>
    </row>
    <row r="29" spans="2:8" ht="15" customHeight="1" x14ac:dyDescent="0.3">
      <c r="B29" s="125" t="s">
        <v>412</v>
      </c>
      <c r="C29" s="155" t="s">
        <v>413</v>
      </c>
      <c r="D29" s="65" t="s">
        <v>414</v>
      </c>
      <c r="E29" s="128" t="s">
        <v>415</v>
      </c>
      <c r="F29" s="159">
        <v>8830.7800000000007</v>
      </c>
      <c r="G29" s="68"/>
      <c r="H29" s="68"/>
    </row>
    <row r="31" spans="2:8" ht="15" customHeight="1" x14ac:dyDescent="0.3">
      <c r="B31" s="31" t="s">
        <v>416</v>
      </c>
      <c r="C31" s="11"/>
      <c r="D31" s="11"/>
      <c r="E31" s="11"/>
      <c r="F31" s="11"/>
      <c r="G31" s="11"/>
      <c r="H31" s="11"/>
    </row>
    <row r="32" spans="2:8" ht="15" customHeight="1" x14ac:dyDescent="0.3">
      <c r="B32" s="68"/>
      <c r="C32" s="68"/>
      <c r="D32" s="68"/>
      <c r="E32" s="65" t="s">
        <v>417</v>
      </c>
      <c r="F32" s="156">
        <v>5300000</v>
      </c>
      <c r="G32" s="68"/>
      <c r="H32" s="68"/>
    </row>
    <row r="33" spans="2:8" ht="15" customHeight="1" x14ac:dyDescent="0.3">
      <c r="B33" s="68"/>
      <c r="C33" s="68"/>
      <c r="D33" s="68"/>
      <c r="E33" s="65" t="s">
        <v>418</v>
      </c>
      <c r="F33" s="156">
        <v>1724563.71</v>
      </c>
      <c r="G33" s="68"/>
      <c r="H33" s="68"/>
    </row>
    <row r="34" spans="2:8" ht="15" customHeight="1" x14ac:dyDescent="0.3">
      <c r="B34" s="68"/>
      <c r="C34" s="68"/>
      <c r="D34" s="68"/>
      <c r="E34" s="65" t="s">
        <v>419</v>
      </c>
      <c r="F34" s="156">
        <v>8830.7800000000007</v>
      </c>
      <c r="G34" s="68"/>
      <c r="H34" s="68"/>
    </row>
    <row r="35" spans="2:8" ht="15" customHeight="1" x14ac:dyDescent="0.3">
      <c r="B35" s="68"/>
      <c r="C35" s="68"/>
      <c r="D35" s="68"/>
      <c r="E35" s="65" t="s">
        <v>420</v>
      </c>
      <c r="F35" s="156">
        <v>-5732407.25</v>
      </c>
      <c r="G35" s="68"/>
      <c r="H35" s="68"/>
    </row>
    <row r="36" spans="2:8" ht="15" customHeight="1" x14ac:dyDescent="0.3">
      <c r="B36" s="68"/>
      <c r="C36" s="68"/>
      <c r="D36" s="68"/>
      <c r="E36" s="160" t="s">
        <v>421</v>
      </c>
      <c r="F36" s="161">
        <v>1300987.24</v>
      </c>
      <c r="G36" s="68"/>
      <c r="H36" s="68"/>
    </row>
    <row r="38" spans="2:8" ht="15" customHeight="1" x14ac:dyDescent="0.3">
      <c r="B38" s="55" t="s">
        <v>422</v>
      </c>
    </row>
    <row r="39" spans="2:8" ht="15" customHeight="1" x14ac:dyDescent="0.3">
      <c r="B39" s="55" t="s">
        <v>423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2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18" sqref="A18"/>
      <selection pane="bottomRight" activeCell="C30" sqref="C30"/>
    </sheetView>
  </sheetViews>
  <sheetFormatPr defaultColWidth="8.6640625" defaultRowHeight="14.4" x14ac:dyDescent="0.3"/>
  <cols>
    <col min="1" max="1" width="2" customWidth="1"/>
    <col min="2" max="2" width="64" customWidth="1"/>
    <col min="3" max="6" width="15" customWidth="1"/>
  </cols>
  <sheetData>
    <row r="1" spans="2:5" ht="17.25" customHeight="1" x14ac:dyDescent="0.3">
      <c r="B1" s="3" t="s">
        <v>424</v>
      </c>
    </row>
    <row r="2" spans="2:5" ht="15" customHeight="1" x14ac:dyDescent="0.3">
      <c r="B2" s="2" t="s">
        <v>425</v>
      </c>
    </row>
    <row r="3" spans="2:5" ht="15" customHeight="1" x14ac:dyDescent="0.3">
      <c r="B3" s="162" t="s">
        <v>426</v>
      </c>
      <c r="C3" s="163">
        <f>Assumptions!$K$45</f>
        <v>642213</v>
      </c>
    </row>
    <row r="5" spans="2:5" ht="15" customHeight="1" x14ac:dyDescent="0.3">
      <c r="B5" s="164" t="s">
        <v>327</v>
      </c>
      <c r="C5" s="165" t="s">
        <v>427</v>
      </c>
      <c r="D5" s="165" t="s">
        <v>428</v>
      </c>
      <c r="E5" s="166"/>
    </row>
    <row r="6" spans="2:5" ht="15" customHeight="1" x14ac:dyDescent="0.3">
      <c r="B6" s="167" t="s">
        <v>429</v>
      </c>
      <c r="C6" s="168">
        <v>6866</v>
      </c>
      <c r="D6" s="169" t="s">
        <v>430</v>
      </c>
      <c r="E6" s="83"/>
    </row>
    <row r="7" spans="2:5" ht="15" customHeight="1" x14ac:dyDescent="0.3">
      <c r="B7" s="29" t="s">
        <v>431</v>
      </c>
      <c r="C7" s="170">
        <v>10839</v>
      </c>
      <c r="D7" s="171" t="s">
        <v>432</v>
      </c>
      <c r="E7" s="46"/>
    </row>
    <row r="8" spans="2:5" ht="15" customHeight="1" x14ac:dyDescent="0.3">
      <c r="B8" s="29" t="s">
        <v>433</v>
      </c>
      <c r="C8" s="170">
        <v>7878</v>
      </c>
      <c r="D8" s="171" t="s">
        <v>434</v>
      </c>
      <c r="E8" s="46"/>
    </row>
    <row r="9" spans="2:5" ht="15" customHeight="1" x14ac:dyDescent="0.3">
      <c r="B9" s="29" t="s">
        <v>435</v>
      </c>
      <c r="C9" s="170">
        <v>10910</v>
      </c>
      <c r="D9" s="171" t="s">
        <v>436</v>
      </c>
      <c r="E9" s="46"/>
    </row>
    <row r="10" spans="2:5" ht="15" customHeight="1" x14ac:dyDescent="0.3">
      <c r="B10" s="29" t="s">
        <v>437</v>
      </c>
      <c r="C10" s="170">
        <v>3250</v>
      </c>
      <c r="D10" s="171" t="s">
        <v>438</v>
      </c>
      <c r="E10" s="46"/>
    </row>
    <row r="11" spans="2:5" ht="15" customHeight="1" x14ac:dyDescent="0.3">
      <c r="B11" s="29" t="s">
        <v>439</v>
      </c>
      <c r="C11" s="170">
        <v>3356</v>
      </c>
      <c r="D11" s="171" t="s">
        <v>440</v>
      </c>
      <c r="E11" s="46"/>
    </row>
    <row r="12" spans="2:5" ht="15" customHeight="1" x14ac:dyDescent="0.3">
      <c r="B12" s="29" t="s">
        <v>441</v>
      </c>
      <c r="C12" s="170">
        <v>3193</v>
      </c>
      <c r="D12" s="171" t="s">
        <v>442</v>
      </c>
      <c r="E12" s="46"/>
    </row>
    <row r="13" spans="2:5" ht="15" customHeight="1" x14ac:dyDescent="0.3">
      <c r="B13" s="29" t="s">
        <v>443</v>
      </c>
      <c r="C13" s="170">
        <v>2987</v>
      </c>
      <c r="D13" s="171" t="s">
        <v>444</v>
      </c>
      <c r="E13" s="46"/>
    </row>
    <row r="14" spans="2:5" ht="15" customHeight="1" x14ac:dyDescent="0.3">
      <c r="B14" s="29" t="s">
        <v>445</v>
      </c>
      <c r="C14" s="170">
        <v>9104</v>
      </c>
      <c r="D14" s="171" t="s">
        <v>446</v>
      </c>
      <c r="E14" s="46"/>
    </row>
    <row r="15" spans="2:5" ht="15" customHeight="1" x14ac:dyDescent="0.3">
      <c r="B15" s="149" t="s">
        <v>447</v>
      </c>
      <c r="C15" s="172">
        <v>58383</v>
      </c>
      <c r="D15" s="171" t="s">
        <v>448</v>
      </c>
      <c r="E15" s="46"/>
    </row>
    <row r="16" spans="2:5" ht="15" customHeight="1" x14ac:dyDescent="0.3">
      <c r="B16" s="29"/>
      <c r="C16" s="119"/>
      <c r="D16" s="119"/>
      <c r="E16" s="46"/>
    </row>
    <row r="17" spans="2:5" ht="15" customHeight="1" x14ac:dyDescent="0.3">
      <c r="B17" s="55" t="s">
        <v>537</v>
      </c>
      <c r="C17" s="119"/>
      <c r="D17" s="119"/>
      <c r="E17" s="46"/>
    </row>
    <row r="18" spans="2:5" ht="15" customHeight="1" x14ac:dyDescent="0.3">
      <c r="B18" s="31"/>
      <c r="C18" s="173"/>
      <c r="D18" s="173"/>
      <c r="E18" s="173"/>
    </row>
    <row r="20" spans="2:5" ht="15" customHeight="1" x14ac:dyDescent="0.3">
      <c r="B20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5"/>
  <sheetViews>
    <sheetView showGridLines="0" zoomScaleNormal="100" workbookViewId="0">
      <selection activeCell="C20" sqref="C20"/>
    </sheetView>
  </sheetViews>
  <sheetFormatPr defaultColWidth="8.6640625" defaultRowHeight="14.4" x14ac:dyDescent="0.3"/>
  <cols>
    <col min="1" max="1" width="2" customWidth="1"/>
    <col min="2" max="2" width="36" customWidth="1"/>
    <col min="3" max="4" width="16" customWidth="1"/>
    <col min="5" max="5" width="40" customWidth="1"/>
  </cols>
  <sheetData>
    <row r="1" spans="2:5" ht="17.25" customHeight="1" x14ac:dyDescent="0.3">
      <c r="B1" s="1" t="s">
        <v>449</v>
      </c>
    </row>
    <row r="2" spans="2:5" ht="15" customHeight="1" x14ac:dyDescent="0.3">
      <c r="B2" s="2"/>
    </row>
    <row r="3" spans="2:5" ht="15" customHeight="1" x14ac:dyDescent="0.3">
      <c r="B3" s="174" t="s">
        <v>450</v>
      </c>
      <c r="C3" s="175" t="s">
        <v>451</v>
      </c>
      <c r="D3" s="175" t="s">
        <v>452</v>
      </c>
      <c r="E3" s="176" t="s">
        <v>453</v>
      </c>
    </row>
    <row r="4" spans="2:5" ht="15" customHeight="1" x14ac:dyDescent="0.3">
      <c r="B4" s="93" t="s">
        <v>97</v>
      </c>
      <c r="C4" s="177">
        <v>760996</v>
      </c>
      <c r="D4" s="177">
        <v>4549903</v>
      </c>
      <c r="E4" s="178" t="s">
        <v>454</v>
      </c>
    </row>
    <row r="5" spans="2:5" ht="15" customHeight="1" x14ac:dyDescent="0.3">
      <c r="B5" s="93" t="s">
        <v>98</v>
      </c>
      <c r="C5" s="177">
        <v>654431</v>
      </c>
      <c r="D5" s="177">
        <v>3891174</v>
      </c>
      <c r="E5" s="178" t="s">
        <v>455</v>
      </c>
    </row>
    <row r="6" spans="2:5" ht="15" customHeight="1" x14ac:dyDescent="0.3">
      <c r="B6" s="179" t="s">
        <v>456</v>
      </c>
      <c r="C6" s="180">
        <v>106565</v>
      </c>
      <c r="D6" s="180">
        <v>658728</v>
      </c>
      <c r="E6" s="178"/>
    </row>
    <row r="7" spans="2:5" ht="15" customHeight="1" x14ac:dyDescent="0.3">
      <c r="B7" s="93" t="s">
        <v>457</v>
      </c>
      <c r="C7" s="177">
        <v>104735</v>
      </c>
      <c r="D7" s="177">
        <v>350299</v>
      </c>
      <c r="E7" s="178" t="s">
        <v>458</v>
      </c>
    </row>
    <row r="8" spans="2:5" ht="15" customHeight="1" x14ac:dyDescent="0.3">
      <c r="B8" s="93" t="s">
        <v>459</v>
      </c>
      <c r="C8" s="177">
        <v>323923</v>
      </c>
      <c r="D8" s="177">
        <v>1940693</v>
      </c>
      <c r="E8" s="178" t="s">
        <v>460</v>
      </c>
    </row>
    <row r="9" spans="2:5" ht="15" customHeight="1" x14ac:dyDescent="0.3">
      <c r="B9" s="93" t="s">
        <v>461</v>
      </c>
      <c r="C9" s="177">
        <v>-415496</v>
      </c>
      <c r="D9" s="177">
        <v>-2364797</v>
      </c>
      <c r="E9" s="178" t="s">
        <v>462</v>
      </c>
    </row>
    <row r="10" spans="2:5" ht="15" customHeight="1" x14ac:dyDescent="0.3">
      <c r="B10" s="93"/>
      <c r="C10" s="181"/>
      <c r="D10" s="181"/>
      <c r="E10" s="93"/>
    </row>
    <row r="11" spans="2:5" ht="15" customHeight="1" x14ac:dyDescent="0.3">
      <c r="B11" s="182" t="s">
        <v>463</v>
      </c>
      <c r="C11" s="181"/>
      <c r="D11" s="181"/>
      <c r="E11" s="93"/>
    </row>
    <row r="12" spans="2:5" ht="15" customHeight="1" x14ac:dyDescent="0.3">
      <c r="B12" s="93"/>
      <c r="C12" s="181"/>
      <c r="D12" s="181"/>
      <c r="E12" s="93"/>
    </row>
    <row r="13" spans="2:5" ht="15" customHeight="1" x14ac:dyDescent="0.3">
      <c r="B13" s="93"/>
      <c r="C13" s="181"/>
      <c r="D13" s="181"/>
      <c r="E13" s="93"/>
    </row>
    <row r="15" spans="2:5" ht="15" customHeight="1" x14ac:dyDescent="0.3">
      <c r="B15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T6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13" sqref="A13"/>
      <selection pane="bottomRight" activeCell="C11" sqref="C11"/>
    </sheetView>
  </sheetViews>
  <sheetFormatPr defaultColWidth="8.6640625" defaultRowHeight="14.4" x14ac:dyDescent="0.3"/>
  <cols>
    <col min="1" max="1" width="2" customWidth="1"/>
    <col min="2" max="2" width="36" customWidth="1"/>
    <col min="3" max="10" width="13" customWidth="1"/>
    <col min="11" max="11" width="15" customWidth="1"/>
    <col min="13" max="17" width="0" hidden="1" customWidth="1"/>
    <col min="19" max="19" width="34" customWidth="1"/>
    <col min="20" max="20" width="15" customWidth="1"/>
  </cols>
  <sheetData>
    <row r="1" spans="2:11" ht="17.25" customHeight="1" x14ac:dyDescent="0.3">
      <c r="B1" s="207" t="s">
        <v>464</v>
      </c>
      <c r="C1" s="207"/>
      <c r="D1" s="207"/>
      <c r="E1" s="207"/>
      <c r="F1" s="207"/>
      <c r="G1" s="207"/>
      <c r="H1" s="207"/>
      <c r="I1" s="207"/>
      <c r="J1" s="207"/>
      <c r="K1" s="207"/>
    </row>
    <row r="2" spans="2:11" ht="15" customHeight="1" x14ac:dyDescent="0.3">
      <c r="B2" s="205" t="s">
        <v>465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2:11" ht="15" customHeight="1" x14ac:dyDescent="0.3">
      <c r="B3" s="55" t="str">
        <f>"Funded horizon: through "&amp;INDEX(C4:J4,Assumptions!$C$43)&amp;"  (4/1/27 loan maturity).  Later quarters illustrative."</f>
        <v>Funded horizon: through Q2 2027  (4/1/27 loan maturity).  Later quarters illustrative.</v>
      </c>
    </row>
    <row r="4" spans="2:11" ht="15" customHeight="1" x14ac:dyDescent="0.3">
      <c r="B4" s="84" t="s">
        <v>164</v>
      </c>
      <c r="C4" s="64" t="s">
        <v>49</v>
      </c>
      <c r="D4" s="64" t="s">
        <v>50</v>
      </c>
      <c r="E4" s="64" t="s">
        <v>51</v>
      </c>
      <c r="F4" s="64" t="s">
        <v>52</v>
      </c>
      <c r="G4" s="64" t="s">
        <v>466</v>
      </c>
      <c r="H4" s="64" t="s">
        <v>467</v>
      </c>
      <c r="I4" s="64" t="s">
        <v>468</v>
      </c>
      <c r="J4" s="64" t="s">
        <v>469</v>
      </c>
      <c r="K4" s="183" t="s">
        <v>470</v>
      </c>
    </row>
    <row r="5" spans="2:11" ht="15" hidden="1" customHeight="1" x14ac:dyDescent="0.3">
      <c r="B5" s="29" t="s">
        <v>471</v>
      </c>
      <c r="C5" s="184">
        <v>1</v>
      </c>
      <c r="D5" s="184">
        <v>2</v>
      </c>
      <c r="E5" s="184">
        <v>3</v>
      </c>
      <c r="F5" s="184">
        <v>4</v>
      </c>
      <c r="G5" s="184">
        <v>5</v>
      </c>
      <c r="H5" s="184">
        <v>6</v>
      </c>
      <c r="I5" s="184">
        <v>7</v>
      </c>
      <c r="J5" s="184">
        <v>8</v>
      </c>
    </row>
    <row r="6" spans="2:11" ht="15" hidden="1" customHeight="1" x14ac:dyDescent="0.3">
      <c r="B6" s="74" t="s">
        <v>472</v>
      </c>
      <c r="C6" s="74">
        <v>2</v>
      </c>
      <c r="D6" s="74">
        <v>3</v>
      </c>
      <c r="E6" s="74">
        <v>3</v>
      </c>
      <c r="F6" s="74">
        <v>3</v>
      </c>
      <c r="G6" s="74">
        <v>3</v>
      </c>
      <c r="H6" s="74">
        <v>3</v>
      </c>
      <c r="I6" s="74">
        <v>3</v>
      </c>
      <c r="J6" s="74">
        <v>3</v>
      </c>
    </row>
    <row r="7" spans="2:11" ht="15" customHeight="1" x14ac:dyDescent="0.3">
      <c r="B7" s="31" t="s">
        <v>473</v>
      </c>
      <c r="C7" s="11"/>
      <c r="D7" s="11"/>
      <c r="E7" s="11"/>
      <c r="F7" s="11"/>
      <c r="G7" s="11"/>
      <c r="H7" s="11"/>
      <c r="I7" s="11"/>
      <c r="J7" s="11"/>
      <c r="K7" s="11"/>
    </row>
    <row r="8" spans="2:11" ht="15" customHeight="1" x14ac:dyDescent="0.3">
      <c r="B8" s="29" t="s">
        <v>474</v>
      </c>
      <c r="C8" s="101">
        <f>Assumptions!$C$9*C6*(1+Assumptions!$C$10)^(C5-1)</f>
        <v>1729870</v>
      </c>
      <c r="D8" s="101">
        <f>Assumptions!$C$9*D6*(1+Assumptions!$C$10)^(D5-1)</f>
        <v>2594805</v>
      </c>
      <c r="E8" s="101">
        <f>Assumptions!$C$9*E6*(1+Assumptions!$C$10)^(E5-1)</f>
        <v>2594805</v>
      </c>
      <c r="F8" s="101">
        <f>Assumptions!$C$9*F6*(1+Assumptions!$C$10)^(F5-1)</f>
        <v>2594805</v>
      </c>
      <c r="G8" s="101">
        <f>Assumptions!$C$9*G6*(1+Assumptions!$C$10)^(G5-1)</f>
        <v>2594805</v>
      </c>
      <c r="H8" s="101">
        <f>Assumptions!$C$9*H6*(1+Assumptions!$C$10)^(H5-1)</f>
        <v>2594805</v>
      </c>
      <c r="I8" s="101">
        <f>Assumptions!$C$9*I6*(1+Assumptions!$C$10)^(I5-1)</f>
        <v>2594805</v>
      </c>
      <c r="J8" s="101">
        <f>Assumptions!$C$9*J6*(1+Assumptions!$C$10)^(J5-1)</f>
        <v>2594805</v>
      </c>
      <c r="K8" s="185">
        <f t="shared" ref="K8:K14" si="0">SUM(C8:J8)</f>
        <v>19893505</v>
      </c>
    </row>
    <row r="9" spans="2:11" ht="15" customHeight="1" x14ac:dyDescent="0.3">
      <c r="B9" s="29" t="s">
        <v>475</v>
      </c>
      <c r="C9" s="101">
        <f>-Assumptions!C$50*C8</f>
        <v>-451496.07</v>
      </c>
      <c r="D9" s="101">
        <f>-Assumptions!D$50*D8</f>
        <v>-604589.56500000006</v>
      </c>
      <c r="E9" s="101">
        <f>-Assumptions!E$50*E8</f>
        <v>-384031.13999999996</v>
      </c>
      <c r="F9" s="101">
        <f>-Assumptions!F$50*F8</f>
        <v>-337324.65</v>
      </c>
      <c r="G9" s="101">
        <f>-Assumptions!G$50*G8</f>
        <v>-337324.65</v>
      </c>
      <c r="H9" s="101">
        <f>-Assumptions!H$50*H8</f>
        <v>-337324.65</v>
      </c>
      <c r="I9" s="101">
        <f>-Assumptions!I$50*I8</f>
        <v>-337324.65</v>
      </c>
      <c r="J9" s="101">
        <f>-Assumptions!J$50*J8</f>
        <v>-337324.65</v>
      </c>
      <c r="K9" s="185">
        <f t="shared" si="0"/>
        <v>-3126740.0249999994</v>
      </c>
    </row>
    <row r="10" spans="2:11" ht="15" customHeight="1" x14ac:dyDescent="0.3">
      <c r="B10" s="29" t="s">
        <v>476</v>
      </c>
      <c r="C10" s="101">
        <f>-Assumptions!$C$12*C6</f>
        <v>-76000</v>
      </c>
      <c r="D10" s="101">
        <f>-Assumptions!$C$12*D6</f>
        <v>-114000</v>
      </c>
      <c r="E10" s="101">
        <f>-Assumptions!$C$12*E6</f>
        <v>-114000</v>
      </c>
      <c r="F10" s="101">
        <f>-Assumptions!$C$12*F6</f>
        <v>-114000</v>
      </c>
      <c r="G10" s="101">
        <f>-Assumptions!$C$12*G6</f>
        <v>-114000</v>
      </c>
      <c r="H10" s="101">
        <f>-Assumptions!$C$12*H6</f>
        <v>-114000</v>
      </c>
      <c r="I10" s="101">
        <f>-Assumptions!$C$12*I6</f>
        <v>-114000</v>
      </c>
      <c r="J10" s="101">
        <f>-Assumptions!$C$12*J6</f>
        <v>-114000</v>
      </c>
      <c r="K10" s="185">
        <f t="shared" si="0"/>
        <v>-874000</v>
      </c>
    </row>
    <row r="11" spans="2:11" ht="15" customHeight="1" x14ac:dyDescent="0.3">
      <c r="B11" s="29" t="s">
        <v>477</v>
      </c>
      <c r="C11" s="101">
        <f>-Assumptions!$C$13*C6</f>
        <v>-210000</v>
      </c>
      <c r="D11" s="101">
        <f>-Assumptions!$C$13*D6</f>
        <v>-315000</v>
      </c>
      <c r="E11" s="101">
        <f>-Assumptions!$C$13*E6</f>
        <v>-315000</v>
      </c>
      <c r="F11" s="101">
        <f>-Assumptions!$C$13*F6</f>
        <v>-315000</v>
      </c>
      <c r="G11" s="101">
        <f>-Assumptions!$C$13*G6</f>
        <v>-315000</v>
      </c>
      <c r="H11" s="101">
        <f>-Assumptions!$C$13*H6</f>
        <v>-315000</v>
      </c>
      <c r="I11" s="101">
        <f>-Assumptions!$C$13*I6</f>
        <v>-315000</v>
      </c>
      <c r="J11" s="101">
        <f>-Assumptions!$C$13*J6</f>
        <v>-315000</v>
      </c>
      <c r="K11" s="185">
        <f t="shared" si="0"/>
        <v>-2415000</v>
      </c>
    </row>
    <row r="12" spans="2:11" ht="15" customHeight="1" x14ac:dyDescent="0.3">
      <c r="B12" s="84" t="s">
        <v>478</v>
      </c>
      <c r="C12" s="185">
        <f t="shared" ref="C12:J12" si="1">SUM(C8:C11)</f>
        <v>992373.92999999993</v>
      </c>
      <c r="D12" s="185">
        <f t="shared" si="1"/>
        <v>1561215.4350000001</v>
      </c>
      <c r="E12" s="185">
        <f t="shared" si="1"/>
        <v>1781773.8599999999</v>
      </c>
      <c r="F12" s="185">
        <f t="shared" si="1"/>
        <v>1828480.35</v>
      </c>
      <c r="G12" s="185">
        <f t="shared" si="1"/>
        <v>1828480.35</v>
      </c>
      <c r="H12" s="185">
        <f t="shared" si="1"/>
        <v>1828480.35</v>
      </c>
      <c r="I12" s="185">
        <f t="shared" si="1"/>
        <v>1828480.35</v>
      </c>
      <c r="J12" s="185">
        <f t="shared" si="1"/>
        <v>1828480.35</v>
      </c>
      <c r="K12" s="185">
        <f t="shared" si="0"/>
        <v>13477764.974999998</v>
      </c>
    </row>
    <row r="13" spans="2:11" ht="15" customHeight="1" x14ac:dyDescent="0.3">
      <c r="B13" s="29" t="s">
        <v>479</v>
      </c>
      <c r="C13" s="101">
        <f>Assumptions!$C$14*C6</f>
        <v>290000</v>
      </c>
      <c r="D13" s="101">
        <f>Assumptions!$C$14*D6</f>
        <v>435000</v>
      </c>
      <c r="E13" s="101">
        <f>Assumptions!$C$14*E6</f>
        <v>435000</v>
      </c>
      <c r="F13" s="101">
        <f>Assumptions!$C$14*F6</f>
        <v>435000</v>
      </c>
      <c r="G13" s="101">
        <f>Assumptions!$C$14*G6</f>
        <v>435000</v>
      </c>
      <c r="H13" s="101">
        <f>Assumptions!$C$14*H6</f>
        <v>435000</v>
      </c>
      <c r="I13" s="101">
        <f>Assumptions!$C$14*I6</f>
        <v>435000</v>
      </c>
      <c r="J13" s="101">
        <f>Assumptions!$C$14*J6</f>
        <v>435000</v>
      </c>
      <c r="K13" s="185">
        <f t="shared" si="0"/>
        <v>3335000</v>
      </c>
    </row>
    <row r="14" spans="2:11" ht="15" customHeight="1" x14ac:dyDescent="0.3">
      <c r="B14" s="84" t="s">
        <v>480</v>
      </c>
      <c r="C14" s="185">
        <f t="shared" ref="C14:J14" si="2">C12+C13</f>
        <v>1282373.93</v>
      </c>
      <c r="D14" s="185">
        <f t="shared" si="2"/>
        <v>1996215.4350000001</v>
      </c>
      <c r="E14" s="185">
        <f t="shared" si="2"/>
        <v>2216773.86</v>
      </c>
      <c r="F14" s="185">
        <f t="shared" si="2"/>
        <v>2263480.35</v>
      </c>
      <c r="G14" s="185">
        <f t="shared" si="2"/>
        <v>2263480.35</v>
      </c>
      <c r="H14" s="185">
        <f t="shared" si="2"/>
        <v>2263480.35</v>
      </c>
      <c r="I14" s="185">
        <f t="shared" si="2"/>
        <v>2263480.35</v>
      </c>
      <c r="J14" s="185">
        <f t="shared" si="2"/>
        <v>2263480.35</v>
      </c>
      <c r="K14" s="185">
        <f t="shared" si="0"/>
        <v>16812764.974999998</v>
      </c>
    </row>
    <row r="16" spans="2:11" ht="15" customHeight="1" x14ac:dyDescent="0.3">
      <c r="B16" s="31" t="s">
        <v>481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2:11" ht="15" customHeight="1" x14ac:dyDescent="0.3">
      <c r="B17" s="29" t="s">
        <v>482</v>
      </c>
      <c r="C17" s="101">
        <f>-Assumptions!$C$17*C6*(1+Assumptions!$C$25)^(C5-1)</f>
        <v>-250776</v>
      </c>
      <c r="D17" s="101">
        <f>-Assumptions!$C$17*D6*(1+Assumptions!$C$25)^(D5-1)</f>
        <v>-378985.23000000004</v>
      </c>
      <c r="E17" s="101">
        <f>-Assumptions!$C$17*E6*(1+Assumptions!$C$25)^(E5-1)</f>
        <v>-381827.61922500009</v>
      </c>
      <c r="F17" s="101">
        <f>-Assumptions!$C$17*F6*(1+Assumptions!$C$25)^(F5-1)</f>
        <v>-384691.32636918762</v>
      </c>
      <c r="G17" s="101">
        <f>-Assumptions!$C$17*G6*(1+Assumptions!$C$25)^(G5-1)</f>
        <v>-387576.51131695654</v>
      </c>
      <c r="H17" s="101">
        <f>-Assumptions!$C$17*H6*(1+Assumptions!$C$25)^(H5-1)</f>
        <v>-390483.33515183371</v>
      </c>
      <c r="I17" s="101">
        <f>-Assumptions!$C$17*I6*(1+Assumptions!$C$25)^(I5-1)</f>
        <v>-393411.96016547258</v>
      </c>
      <c r="J17" s="101">
        <f>-Assumptions!$C$17*J6*(1+Assumptions!$C$25)^(J5-1)</f>
        <v>-396362.54986671364</v>
      </c>
      <c r="K17" s="185">
        <f t="shared" ref="K17:K26" si="3">SUM(C17:J17)</f>
        <v>-2964114.5320951641</v>
      </c>
    </row>
    <row r="18" spans="2:11" ht="15" customHeight="1" x14ac:dyDescent="0.3">
      <c r="B18" s="29" t="s">
        <v>483</v>
      </c>
      <c r="C18" s="101">
        <f>-Assumptions!$C$18*C6*(1+Assumptions!$C$25)^(C5-1)</f>
        <v>-31772</v>
      </c>
      <c r="D18" s="101">
        <f>-Assumptions!$C$18*D6*(1+Assumptions!$C$25)^(D5-1)</f>
        <v>-48015.435000000005</v>
      </c>
      <c r="E18" s="101">
        <f>-Assumptions!$C$18*E6*(1+Assumptions!$C$25)^(E5-1)</f>
        <v>-48375.55076250001</v>
      </c>
      <c r="F18" s="101">
        <f>-Assumptions!$C$18*F6*(1+Assumptions!$C$25)^(F5-1)</f>
        <v>-48738.367393218767</v>
      </c>
      <c r="G18" s="101">
        <f>-Assumptions!$C$18*G6*(1+Assumptions!$C$25)^(G5-1)</f>
        <v>-49103.905148667909</v>
      </c>
      <c r="H18" s="101">
        <f>-Assumptions!$C$18*H6*(1+Assumptions!$C$25)^(H5-1)</f>
        <v>-49472.184437282915</v>
      </c>
      <c r="I18" s="101">
        <f>-Assumptions!$C$18*I6*(1+Assumptions!$C$25)^(I5-1)</f>
        <v>-49843.225820562548</v>
      </c>
      <c r="J18" s="101">
        <f>-Assumptions!$C$18*J6*(1+Assumptions!$C$25)^(J5-1)</f>
        <v>-50217.050014216773</v>
      </c>
      <c r="K18" s="185">
        <f t="shared" si="3"/>
        <v>-375537.71857644897</v>
      </c>
    </row>
    <row r="19" spans="2:11" ht="15" customHeight="1" x14ac:dyDescent="0.3">
      <c r="B19" s="29" t="s">
        <v>484</v>
      </c>
      <c r="C19" s="101">
        <f>-Assumptions!$C$19*C6*(1+Assumptions!$C$25)^(C5-1)</f>
        <v>-104926</v>
      </c>
      <c r="D19" s="101">
        <f>-Assumptions!$C$19*D6*(1+Assumptions!$C$25)^(D5-1)</f>
        <v>-158569.41750000001</v>
      </c>
      <c r="E19" s="101">
        <f>-Assumptions!$C$19*E6*(1+Assumptions!$C$25)^(E5-1)</f>
        <v>-159758.68813125003</v>
      </c>
      <c r="F19" s="101">
        <f>-Assumptions!$C$19*F6*(1+Assumptions!$C$25)^(F5-1)</f>
        <v>-160956.87829223441</v>
      </c>
      <c r="G19" s="101">
        <f>-Assumptions!$C$19*G6*(1+Assumptions!$C$25)^(G5-1)</f>
        <v>-162164.0548794262</v>
      </c>
      <c r="H19" s="101">
        <f>-Assumptions!$C$19*H6*(1+Assumptions!$C$25)^(H5-1)</f>
        <v>-163380.28529102189</v>
      </c>
      <c r="I19" s="101">
        <f>-Assumptions!$C$19*I6*(1+Assumptions!$C$25)^(I5-1)</f>
        <v>-164605.63743070458</v>
      </c>
      <c r="J19" s="101">
        <f>-Assumptions!$C$19*J6*(1+Assumptions!$C$25)^(J5-1)</f>
        <v>-165840.1797114349</v>
      </c>
      <c r="K19" s="185">
        <f t="shared" si="3"/>
        <v>-1240201.1412360722</v>
      </c>
    </row>
    <row r="20" spans="2:11" ht="15" customHeight="1" x14ac:dyDescent="0.3">
      <c r="B20" s="29" t="s">
        <v>485</v>
      </c>
      <c r="C20" s="101">
        <f>-Assumptions!$C$20*C6*(1+Assumptions!$C$25)^(C5-1)</f>
        <v>-144512</v>
      </c>
      <c r="D20" s="101">
        <f>-Assumptions!$C$20*D6*(1+Assumptions!$C$25)^(D5-1)</f>
        <v>-218393.76</v>
      </c>
      <c r="E20" s="101">
        <f>-Assumptions!$C$20*E6*(1+Assumptions!$C$25)^(E5-1)</f>
        <v>-220031.71320000006</v>
      </c>
      <c r="F20" s="101">
        <f>-Assumptions!$C$20*F6*(1+Assumptions!$C$25)^(F5-1)</f>
        <v>-221681.95104900005</v>
      </c>
      <c r="G20" s="101">
        <f>-Assumptions!$C$20*G6*(1+Assumptions!$C$25)^(G5-1)</f>
        <v>-223344.56568186759</v>
      </c>
      <c r="H20" s="101">
        <f>-Assumptions!$C$20*H6*(1+Assumptions!$C$25)^(H5-1)</f>
        <v>-225019.64992448158</v>
      </c>
      <c r="I20" s="101">
        <f>-Assumptions!$C$20*I6*(1+Assumptions!$C$25)^(I5-1)</f>
        <v>-226707.29729891525</v>
      </c>
      <c r="J20" s="101">
        <f>-Assumptions!$C$20*J6*(1+Assumptions!$C$25)^(J5-1)</f>
        <v>-228407.60202865713</v>
      </c>
      <c r="K20" s="185">
        <f t="shared" si="3"/>
        <v>-1708098.5391829216</v>
      </c>
    </row>
    <row r="21" spans="2:11" ht="15" customHeight="1" x14ac:dyDescent="0.3">
      <c r="B21" s="29" t="s">
        <v>486</v>
      </c>
      <c r="C21" s="101">
        <f>-Assumptions!$C$21*C6*(1+Assumptions!$C$25)^(C5-1)</f>
        <v>-253370</v>
      </c>
      <c r="D21" s="101">
        <f>-Assumptions!$C$21*D6*(1+Assumptions!$C$25)^(D5-1)</f>
        <v>-382905.41250000003</v>
      </c>
      <c r="E21" s="101">
        <f>-Assumptions!$C$21*E6*(1+Assumptions!$C$25)^(E5-1)</f>
        <v>-385777.20309375005</v>
      </c>
      <c r="F21" s="101">
        <f>-Assumptions!$C$21*F6*(1+Assumptions!$C$25)^(F5-1)</f>
        <v>-388670.53211695323</v>
      </c>
      <c r="G21" s="101">
        <f>-Assumptions!$C$21*G6*(1+Assumptions!$C$25)^(G5-1)</f>
        <v>-391585.56110783044</v>
      </c>
      <c r="H21" s="101">
        <f>-Assumptions!$C$21*H6*(1+Assumptions!$C$25)^(H5-1)</f>
        <v>-394522.45281613915</v>
      </c>
      <c r="I21" s="101">
        <f>-Assumptions!$C$21*I6*(1+Assumptions!$C$25)^(I5-1)</f>
        <v>-397481.37121226027</v>
      </c>
      <c r="J21" s="101">
        <f>-Assumptions!$C$21*J6*(1+Assumptions!$C$25)^(J5-1)</f>
        <v>-400462.48149635229</v>
      </c>
      <c r="K21" s="185">
        <f t="shared" si="3"/>
        <v>-2994775.0143432855</v>
      </c>
    </row>
    <row r="22" spans="2:11" ht="15" customHeight="1" x14ac:dyDescent="0.3">
      <c r="B22" s="29" t="s">
        <v>487</v>
      </c>
      <c r="C22" s="101">
        <f>-Assumptions!$C$22*C6*(1+Assumptions!$C$25)^(C5-1)</f>
        <v>0</v>
      </c>
      <c r="D22" s="101">
        <f>-Assumptions!$C$22*D6*(1+Assumptions!$C$25)^(D5-1)</f>
        <v>0</v>
      </c>
      <c r="E22" s="101">
        <f>-Assumptions!$C$22*E6*(1+Assumptions!$C$25)^(E5-1)</f>
        <v>0</v>
      </c>
      <c r="F22" s="101">
        <f>-Assumptions!$C$22*F6*(1+Assumptions!$C$25)^(F5-1)</f>
        <v>0</v>
      </c>
      <c r="G22" s="101">
        <f>-Assumptions!$C$22*G6*(1+Assumptions!$C$25)^(G5-1)</f>
        <v>0</v>
      </c>
      <c r="H22" s="101">
        <f>-Assumptions!$C$22*H6*(1+Assumptions!$C$25)^(H5-1)</f>
        <v>0</v>
      </c>
      <c r="I22" s="101">
        <f>-Assumptions!$C$22*I6*(1+Assumptions!$C$25)^(I5-1)</f>
        <v>0</v>
      </c>
      <c r="J22" s="101">
        <f>-Assumptions!$C$22*J6*(1+Assumptions!$C$25)^(J5-1)</f>
        <v>0</v>
      </c>
      <c r="K22" s="185">
        <f t="shared" si="3"/>
        <v>0</v>
      </c>
    </row>
    <row r="23" spans="2:11" ht="15" customHeight="1" x14ac:dyDescent="0.3">
      <c r="B23" s="29" t="s">
        <v>488</v>
      </c>
      <c r="C23" s="101">
        <f>-Assumptions!$C$23*C6*(1+Assumptions!$C$25)^(C5-1)</f>
        <v>0</v>
      </c>
      <c r="D23" s="101">
        <f>-Assumptions!$C$23*D6*(1+Assumptions!$C$25)^(D5-1)</f>
        <v>0</v>
      </c>
      <c r="E23" s="101">
        <f>-Assumptions!$C$23*E6*(1+Assumptions!$C$25)^(E5-1)</f>
        <v>0</v>
      </c>
      <c r="F23" s="101">
        <f>-Assumptions!$C$23*F6*(1+Assumptions!$C$25)^(F5-1)</f>
        <v>0</v>
      </c>
      <c r="G23" s="101">
        <f>-Assumptions!$C$23*G6*(1+Assumptions!$C$25)^(G5-1)</f>
        <v>0</v>
      </c>
      <c r="H23" s="101">
        <f>-Assumptions!$C$23*H6*(1+Assumptions!$C$25)^(H5-1)</f>
        <v>0</v>
      </c>
      <c r="I23" s="101">
        <f>-Assumptions!$C$23*I6*(1+Assumptions!$C$25)^(I5-1)</f>
        <v>0</v>
      </c>
      <c r="J23" s="101">
        <f>-Assumptions!$C$23*J6*(1+Assumptions!$C$25)^(J5-1)</f>
        <v>0</v>
      </c>
      <c r="K23" s="185">
        <f t="shared" si="3"/>
        <v>0</v>
      </c>
    </row>
    <row r="24" spans="2:11" ht="15" customHeight="1" x14ac:dyDescent="0.3">
      <c r="B24" s="29" t="s">
        <v>489</v>
      </c>
      <c r="C24" s="101">
        <f>-Assumptions!$C$24*C14</f>
        <v>-64118.696499999998</v>
      </c>
      <c r="D24" s="101">
        <f>-Assumptions!$C$24*D14</f>
        <v>-99810.771750000014</v>
      </c>
      <c r="E24" s="101">
        <f>-Assumptions!$C$24*E14</f>
        <v>-110838.693</v>
      </c>
      <c r="F24" s="101">
        <f>-Assumptions!$C$24*F14</f>
        <v>-113174.01750000002</v>
      </c>
      <c r="G24" s="101">
        <f>-Assumptions!$C$24*G14</f>
        <v>-113174.01750000002</v>
      </c>
      <c r="H24" s="101">
        <f>-Assumptions!$C$24*H14</f>
        <v>-113174.01750000002</v>
      </c>
      <c r="I24" s="101">
        <f>-Assumptions!$C$24*I14</f>
        <v>-113174.01750000002</v>
      </c>
      <c r="J24" s="101">
        <f>-Assumptions!$C$24*J14</f>
        <v>-113174.01750000002</v>
      </c>
      <c r="K24" s="185">
        <f t="shared" si="3"/>
        <v>-840638.24875000026</v>
      </c>
    </row>
    <row r="25" spans="2:11" ht="15" customHeight="1" x14ac:dyDescent="0.3">
      <c r="B25" s="84" t="s">
        <v>490</v>
      </c>
      <c r="C25" s="185">
        <f t="shared" ref="C25:J25" si="4">SUM(C17:C24)</f>
        <v>-849474.69649999996</v>
      </c>
      <c r="D25" s="185">
        <f t="shared" si="4"/>
        <v>-1286680.0267500002</v>
      </c>
      <c r="E25" s="185">
        <f t="shared" si="4"/>
        <v>-1306609.4674125002</v>
      </c>
      <c r="F25" s="185">
        <f t="shared" si="4"/>
        <v>-1317913.072720594</v>
      </c>
      <c r="G25" s="185">
        <f t="shared" si="4"/>
        <v>-1326948.6156347487</v>
      </c>
      <c r="H25" s="185">
        <f t="shared" si="4"/>
        <v>-1336051.9251207593</v>
      </c>
      <c r="I25" s="185">
        <f t="shared" si="4"/>
        <v>-1345223.5094279153</v>
      </c>
      <c r="J25" s="185">
        <f t="shared" si="4"/>
        <v>-1354463.8806173748</v>
      </c>
      <c r="K25" s="185">
        <f t="shared" si="3"/>
        <v>-10123365.194183892</v>
      </c>
    </row>
    <row r="26" spans="2:11" ht="15" customHeight="1" x14ac:dyDescent="0.3">
      <c r="B26" s="84" t="s">
        <v>491</v>
      </c>
      <c r="C26" s="185">
        <f t="shared" ref="C26:J26" si="5">C14+C25</f>
        <v>432899.23349999997</v>
      </c>
      <c r="D26" s="185">
        <f t="shared" si="5"/>
        <v>709535.40824999986</v>
      </c>
      <c r="E26" s="185">
        <f t="shared" si="5"/>
        <v>910164.39258749969</v>
      </c>
      <c r="F26" s="185">
        <f t="shared" si="5"/>
        <v>945567.27727940609</v>
      </c>
      <c r="G26" s="185">
        <f t="shared" si="5"/>
        <v>936531.73436525138</v>
      </c>
      <c r="H26" s="185">
        <f t="shared" si="5"/>
        <v>927428.4248792408</v>
      </c>
      <c r="I26" s="185">
        <f t="shared" si="5"/>
        <v>918256.84057208477</v>
      </c>
      <c r="J26" s="185">
        <f t="shared" si="5"/>
        <v>909016.46938262531</v>
      </c>
      <c r="K26" s="185">
        <f t="shared" si="3"/>
        <v>6689399.780816108</v>
      </c>
    </row>
    <row r="28" spans="2:11" ht="15" customHeight="1" x14ac:dyDescent="0.3">
      <c r="B28" s="31" t="s">
        <v>492</v>
      </c>
      <c r="C28" s="11"/>
      <c r="D28" s="11"/>
      <c r="E28" s="11"/>
      <c r="F28" s="11"/>
      <c r="G28" s="11"/>
      <c r="H28" s="11"/>
      <c r="I28" s="11"/>
      <c r="J28" s="11"/>
      <c r="K28" s="11"/>
    </row>
    <row r="29" spans="2:11" ht="15" customHeight="1" x14ac:dyDescent="0.3">
      <c r="B29" s="29" t="s">
        <v>493</v>
      </c>
      <c r="C29" s="101">
        <f>Assumptions!$C$28</f>
        <v>65012051.829999998</v>
      </c>
      <c r="D29" s="101">
        <f>Assumptions!$C$28</f>
        <v>65012051.829999998</v>
      </c>
      <c r="E29" s="101">
        <f>Assumptions!$C$28</f>
        <v>65012051.829999998</v>
      </c>
      <c r="F29" s="101">
        <f>Assumptions!$C$28</f>
        <v>65012051.829999998</v>
      </c>
      <c r="G29" s="101">
        <f>Assumptions!$C$28</f>
        <v>65012051.829999998</v>
      </c>
      <c r="H29" s="101">
        <f>Assumptions!$C$28</f>
        <v>65012051.829999998</v>
      </c>
      <c r="I29" s="101">
        <f>Assumptions!$C$28</f>
        <v>65012051.829999998</v>
      </c>
      <c r="J29" s="101">
        <f>Assumptions!$C$28</f>
        <v>65012051.829999998</v>
      </c>
      <c r="K29" s="185">
        <f>J29</f>
        <v>65012051.829999998</v>
      </c>
    </row>
    <row r="30" spans="2:11" ht="15" customHeight="1" x14ac:dyDescent="0.3">
      <c r="B30" s="29" t="s">
        <v>494</v>
      </c>
      <c r="C30" s="186">
        <f>Assumptions!$C$29</f>
        <v>7.0999999999999994E-2</v>
      </c>
      <c r="D30" s="186">
        <f>Assumptions!$C$29</f>
        <v>7.0999999999999994E-2</v>
      </c>
      <c r="E30" s="186">
        <f>Assumptions!$C$29</f>
        <v>7.0999999999999994E-2</v>
      </c>
      <c r="F30" s="186">
        <f>Assumptions!$C$29</f>
        <v>7.0999999999999994E-2</v>
      </c>
      <c r="G30" s="186">
        <f>Assumptions!$C$29</f>
        <v>7.0999999999999994E-2</v>
      </c>
      <c r="H30" s="186">
        <f>Assumptions!$C$29</f>
        <v>7.0999999999999994E-2</v>
      </c>
      <c r="I30" s="186">
        <f>Assumptions!$C$29</f>
        <v>7.0999999999999994E-2</v>
      </c>
      <c r="J30" s="186">
        <f>Assumptions!$C$29</f>
        <v>7.0999999999999994E-2</v>
      </c>
      <c r="K30" s="187">
        <f>AVERAGE(C30:J30)</f>
        <v>7.0999999999999994E-2</v>
      </c>
    </row>
    <row r="31" spans="2:11" ht="15" customHeight="1" x14ac:dyDescent="0.3">
      <c r="B31" s="29" t="s">
        <v>495</v>
      </c>
      <c r="C31" s="101">
        <f>-((Assumptions!$C$28*Assumptions!$C$29/12)+Assumptions!$C$30+Assumptions!$C$31-Assumptions!$C$32)*C6</f>
        <v>-1362409.2799883331</v>
      </c>
      <c r="D31" s="101">
        <f>-((Assumptions!$C$28*Assumptions!$C$29/12)+Assumptions!$C$30+Assumptions!$C$31-Assumptions!$C$32)*D6</f>
        <v>-2043613.9199824997</v>
      </c>
      <c r="E31" s="101">
        <f>-((Assumptions!$C$28*Assumptions!$C$29/12)+Assumptions!$C$30+Assumptions!$C$31-Assumptions!$C$32)*E6</f>
        <v>-2043613.9199824997</v>
      </c>
      <c r="F31" s="101">
        <f>-((Assumptions!$C$28*Assumptions!$C$29/12)+Assumptions!$C$30+Assumptions!$C$31-Assumptions!$C$32)*F6</f>
        <v>-2043613.9199824997</v>
      </c>
      <c r="G31" s="101">
        <f>-((Assumptions!$C$28*Assumptions!$C$29/12)+Assumptions!$C$30+Assumptions!$C$31-Assumptions!$C$32)*G6</f>
        <v>-2043613.9199824997</v>
      </c>
      <c r="H31" s="101">
        <f>-((Assumptions!$C$28*Assumptions!$C$29/12)+Assumptions!$C$30+Assumptions!$C$31-Assumptions!$C$32)*H6</f>
        <v>-2043613.9199824997</v>
      </c>
      <c r="I31" s="101">
        <f>-((Assumptions!$C$28*Assumptions!$C$29/12)+Assumptions!$C$30+Assumptions!$C$31-Assumptions!$C$32)*I6</f>
        <v>-2043613.9199824997</v>
      </c>
      <c r="J31" s="101">
        <f>-((Assumptions!$C$28*Assumptions!$C$29/12)+Assumptions!$C$30+Assumptions!$C$31-Assumptions!$C$32)*J6</f>
        <v>-2043613.9199824997</v>
      </c>
      <c r="K31" s="185">
        <f>SUM(C31:J31)</f>
        <v>-15667706.719865832</v>
      </c>
    </row>
    <row r="32" spans="2:11" ht="15" customHeight="1" x14ac:dyDescent="0.3">
      <c r="B32" s="84" t="s">
        <v>496</v>
      </c>
      <c r="C32" s="185">
        <f t="shared" ref="C32:J32" si="6">C26+C31</f>
        <v>-929510.04648833314</v>
      </c>
      <c r="D32" s="185">
        <f t="shared" si="6"/>
        <v>-1334078.5117324998</v>
      </c>
      <c r="E32" s="185">
        <f t="shared" si="6"/>
        <v>-1133449.527395</v>
      </c>
      <c r="F32" s="185">
        <f t="shared" si="6"/>
        <v>-1098046.6427030936</v>
      </c>
      <c r="G32" s="185">
        <f t="shared" si="6"/>
        <v>-1107082.1856172483</v>
      </c>
      <c r="H32" s="185">
        <f t="shared" si="6"/>
        <v>-1116185.4951032589</v>
      </c>
      <c r="I32" s="185">
        <f t="shared" si="6"/>
        <v>-1125357.0794104149</v>
      </c>
      <c r="J32" s="185">
        <f t="shared" si="6"/>
        <v>-1134597.4505998744</v>
      </c>
      <c r="K32" s="185">
        <f>SUM(C32:J32)</f>
        <v>-8978306.9390497245</v>
      </c>
    </row>
    <row r="33" spans="2:20" ht="15" customHeight="1" x14ac:dyDescent="0.3">
      <c r="B33" s="29" t="s">
        <v>497</v>
      </c>
      <c r="C33" s="46">
        <f>-((Assumptions!$C$28*Assumptions!$C$29/12)+Assumptions!$C$30+Assumptions!$C$31)*C6</f>
        <v>-1483873.2799883331</v>
      </c>
      <c r="D33" s="46">
        <f>-((Assumptions!$C$28*Assumptions!$C$29/12)+Assumptions!$C$30+Assumptions!$C$31)*D6</f>
        <v>-2225809.9199824994</v>
      </c>
      <c r="E33" s="46">
        <f>-((Assumptions!$C$28*Assumptions!$C$29/12)+Assumptions!$C$30+Assumptions!$C$31)*E6</f>
        <v>-2225809.9199824994</v>
      </c>
      <c r="F33" s="46">
        <f>-((Assumptions!$C$28*Assumptions!$C$29/12)+Assumptions!$C$30+Assumptions!$C$31)*F6</f>
        <v>-2225809.9199824994</v>
      </c>
      <c r="G33" s="46">
        <f>-((Assumptions!$C$28*Assumptions!$C$29/12)+Assumptions!$C$30+Assumptions!$C$31)*G6</f>
        <v>-2225809.9199824994</v>
      </c>
      <c r="H33" s="46">
        <f>-((Assumptions!$C$28*Assumptions!$C$29/12)+Assumptions!$C$30+Assumptions!$C$31)*H6</f>
        <v>-2225809.9199824994</v>
      </c>
      <c r="I33" s="46">
        <f>-((Assumptions!$C$28*Assumptions!$C$29/12)+Assumptions!$C$30+Assumptions!$C$31)*I6</f>
        <v>-2225809.9199824994</v>
      </c>
      <c r="J33" s="46">
        <f>-((Assumptions!$C$28*Assumptions!$C$29/12)+Assumptions!$C$30+Assumptions!$C$31)*J6</f>
        <v>-2225809.9199824994</v>
      </c>
    </row>
    <row r="34" spans="2:20" ht="15" customHeight="1" x14ac:dyDescent="0.3">
      <c r="B34" s="31" t="s">
        <v>498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2:20" ht="15" customHeight="1" x14ac:dyDescent="0.3">
      <c r="B35" s="29" t="s">
        <v>499</v>
      </c>
      <c r="C35" s="46">
        <f>-Assumptions!C45</f>
        <v>-116766</v>
      </c>
      <c r="D35" s="46">
        <f>-Assumptions!D45</f>
        <v>-175149</v>
      </c>
      <c r="E35" s="46">
        <f>-Assumptions!E45</f>
        <v>-175149</v>
      </c>
      <c r="F35" s="46">
        <f>-Assumptions!F45</f>
        <v>-175149</v>
      </c>
      <c r="G35" s="46">
        <f>-Assumptions!G45</f>
        <v>0</v>
      </c>
      <c r="H35" s="46">
        <f>-Assumptions!H45</f>
        <v>0</v>
      </c>
      <c r="I35" s="46">
        <f>-Assumptions!I45</f>
        <v>0</v>
      </c>
      <c r="J35" s="46">
        <f>-Assumptions!J45</f>
        <v>0</v>
      </c>
      <c r="K35" s="30">
        <f>SUM(C35:J35)</f>
        <v>-642213</v>
      </c>
    </row>
    <row r="36" spans="2:20" ht="15" customHeight="1" x14ac:dyDescent="0.3">
      <c r="B36" s="29" t="s">
        <v>500</v>
      </c>
      <c r="C36" s="46">
        <f>IF(C5=1,-Assumptions!$C$38,0)</f>
        <v>-126608.63</v>
      </c>
      <c r="D36" s="46">
        <f>IF(D5=1,-Assumptions!$C$38,0)</f>
        <v>0</v>
      </c>
      <c r="E36" s="46">
        <f>IF(E5=1,-Assumptions!$C$38,0)</f>
        <v>0</v>
      </c>
      <c r="F36" s="46">
        <f>IF(F5=1,-Assumptions!$C$38,0)</f>
        <v>0</v>
      </c>
      <c r="G36" s="46">
        <f>IF(G5=1,-Assumptions!$C$38,0)</f>
        <v>0</v>
      </c>
      <c r="H36" s="46">
        <f>IF(H5=1,-Assumptions!$C$38,0)</f>
        <v>0</v>
      </c>
      <c r="I36" s="46">
        <f>IF(I5=1,-Assumptions!$C$38,0)</f>
        <v>0</v>
      </c>
      <c r="J36" s="46">
        <f>IF(J5=1,-Assumptions!$C$38,0)</f>
        <v>0</v>
      </c>
      <c r="K36" s="30">
        <f>SUM(C36:J36)</f>
        <v>-126608.63</v>
      </c>
    </row>
    <row r="37" spans="2:20" ht="15" customHeight="1" x14ac:dyDescent="0.3">
      <c r="B37" s="29" t="s">
        <v>501</v>
      </c>
      <c r="C37" s="46">
        <f>IF(C5=1,-Assumptions!$C$39,0)</f>
        <v>0</v>
      </c>
      <c r="D37" s="46">
        <f>IF(D5=1,-Assumptions!$C$39,0)</f>
        <v>0</v>
      </c>
      <c r="E37" s="46">
        <f>IF(E5=1,-Assumptions!$C$39,0)</f>
        <v>0</v>
      </c>
      <c r="F37" s="46">
        <f>IF(F5=1,-Assumptions!$C$39,0)</f>
        <v>0</v>
      </c>
      <c r="G37" s="46">
        <f>IF(G5=1,-Assumptions!$C$39,0)</f>
        <v>0</v>
      </c>
      <c r="H37" s="46">
        <f>IF(H5=1,-Assumptions!$C$39,0)</f>
        <v>0</v>
      </c>
      <c r="I37" s="46">
        <f>IF(I5=1,-Assumptions!$C$39,0)</f>
        <v>0</v>
      </c>
      <c r="J37" s="46">
        <f>IF(J5=1,-Assumptions!$C$39,0)</f>
        <v>0</v>
      </c>
      <c r="K37" s="30">
        <f>SUM(C37:J37)</f>
        <v>0</v>
      </c>
    </row>
    <row r="38" spans="2:20" ht="15" customHeight="1" x14ac:dyDescent="0.3">
      <c r="B38" s="84" t="s">
        <v>502</v>
      </c>
      <c r="C38" s="30">
        <f t="shared" ref="C38:J38" si="7">C32+C35+C36+C37</f>
        <v>-1172884.6764883331</v>
      </c>
      <c r="D38" s="30">
        <f t="shared" si="7"/>
        <v>-1509227.5117324998</v>
      </c>
      <c r="E38" s="30">
        <f t="shared" si="7"/>
        <v>-1308598.527395</v>
      </c>
      <c r="F38" s="30">
        <f t="shared" si="7"/>
        <v>-1273195.6427030936</v>
      </c>
      <c r="G38" s="30">
        <f t="shared" si="7"/>
        <v>-1107082.1856172483</v>
      </c>
      <c r="H38" s="30">
        <f t="shared" si="7"/>
        <v>-1116185.4951032589</v>
      </c>
      <c r="I38" s="30">
        <f t="shared" si="7"/>
        <v>-1125357.0794104149</v>
      </c>
      <c r="J38" s="30">
        <f t="shared" si="7"/>
        <v>-1134597.4505998744</v>
      </c>
      <c r="K38" s="30">
        <f>SUM(C38:J38)</f>
        <v>-9747128.5690497234</v>
      </c>
    </row>
    <row r="40" spans="2:20" ht="15" customHeight="1" x14ac:dyDescent="0.3">
      <c r="B40" s="31" t="s">
        <v>503</v>
      </c>
      <c r="C40" s="11"/>
      <c r="D40" s="11"/>
      <c r="E40" s="11"/>
      <c r="F40" s="11"/>
      <c r="G40" s="11"/>
      <c r="H40" s="11"/>
      <c r="I40" s="11"/>
      <c r="J40" s="11"/>
      <c r="K40" s="11"/>
    </row>
    <row r="41" spans="2:20" ht="15" customHeight="1" x14ac:dyDescent="0.3">
      <c r="B41" s="29" t="s">
        <v>504</v>
      </c>
      <c r="C41" s="46">
        <v>0</v>
      </c>
      <c r="D41" s="46">
        <f t="shared" ref="D41:J41" si="8">C43</f>
        <v>4772226.3218247602</v>
      </c>
      <c r="E41" s="46">
        <f t="shared" si="8"/>
        <v>3262998.8100922601</v>
      </c>
      <c r="F41" s="46">
        <f t="shared" si="8"/>
        <v>1954400.2826972601</v>
      </c>
      <c r="G41" s="46">
        <f t="shared" si="8"/>
        <v>681204.63999416656</v>
      </c>
      <c r="H41" s="46">
        <f t="shared" si="8"/>
        <v>-425877.54562308174</v>
      </c>
      <c r="I41" s="46">
        <f t="shared" si="8"/>
        <v>-1542063.0407263406</v>
      </c>
      <c r="J41" s="46">
        <f t="shared" si="8"/>
        <v>-2667420.1201367555</v>
      </c>
    </row>
    <row r="42" spans="2:20" ht="15" customHeight="1" x14ac:dyDescent="0.3">
      <c r="B42" s="84" t="s">
        <v>505</v>
      </c>
      <c r="C42" s="30">
        <f>$T$50</f>
        <v>5945110.9983130936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</row>
    <row r="43" spans="2:20" ht="15" customHeight="1" x14ac:dyDescent="0.3">
      <c r="B43" s="84" t="s">
        <v>506</v>
      </c>
      <c r="C43" s="30">
        <f t="shared" ref="C43:J43" si="9">C41+C42+C38</f>
        <v>4772226.3218247602</v>
      </c>
      <c r="D43" s="30">
        <f t="shared" si="9"/>
        <v>3262998.8100922601</v>
      </c>
      <c r="E43" s="30">
        <f t="shared" si="9"/>
        <v>1954400.2826972601</v>
      </c>
      <c r="F43" s="30">
        <f t="shared" si="9"/>
        <v>681204.63999416656</v>
      </c>
      <c r="G43" s="30">
        <f t="shared" si="9"/>
        <v>-425877.54562308174</v>
      </c>
      <c r="H43" s="30">
        <f t="shared" si="9"/>
        <v>-1542063.0407263406</v>
      </c>
      <c r="I43" s="30">
        <f t="shared" si="9"/>
        <v>-2667420.1201367555</v>
      </c>
      <c r="J43" s="30">
        <f t="shared" si="9"/>
        <v>-3802017.5707366299</v>
      </c>
      <c r="K43" s="30">
        <f>J43</f>
        <v>-3802017.5707366299</v>
      </c>
    </row>
    <row r="45" spans="2:20" ht="15" customHeight="1" x14ac:dyDescent="0.3">
      <c r="B45" s="31" t="s">
        <v>507</v>
      </c>
      <c r="C45" s="11"/>
      <c r="D45" s="11"/>
      <c r="E45" s="11"/>
      <c r="F45" s="11"/>
      <c r="G45" s="11"/>
      <c r="H45" s="11"/>
      <c r="I45" s="11"/>
      <c r="J45" s="11"/>
      <c r="K45" s="11"/>
      <c r="S45" s="188" t="s">
        <v>508</v>
      </c>
      <c r="T45" s="189"/>
    </row>
    <row r="46" spans="2:20" ht="15" customHeight="1" x14ac:dyDescent="0.3">
      <c r="B46" s="29" t="s">
        <v>509</v>
      </c>
      <c r="C46" s="30">
        <f>SUM(C26:F26)</f>
        <v>2998166.311616906</v>
      </c>
      <c r="S46" s="29" t="s">
        <v>510</v>
      </c>
      <c r="T46" s="46">
        <f>'Capex Run Rate'!$C$3</f>
        <v>642213</v>
      </c>
    </row>
    <row r="47" spans="2:20" ht="15" customHeight="1" x14ac:dyDescent="0.3">
      <c r="B47" s="29" t="s">
        <v>511</v>
      </c>
      <c r="C47" s="30">
        <f>-SUM(C31:F31)</f>
        <v>7493251.0399358319</v>
      </c>
      <c r="S47" s="29" t="s">
        <v>512</v>
      </c>
      <c r="T47" s="46">
        <f>Assumptions!$C$38</f>
        <v>126608.63</v>
      </c>
    </row>
    <row r="48" spans="2:20" ht="15" customHeight="1" x14ac:dyDescent="0.3">
      <c r="B48" s="29" t="s">
        <v>513</v>
      </c>
      <c r="C48" s="190">
        <f>SUM(C26:F26)/-SUM(C31:F31)</f>
        <v>0.40011555673738386</v>
      </c>
      <c r="S48" s="29" t="s">
        <v>33</v>
      </c>
      <c r="T48" s="46">
        <f>Assumptions!$C$39</f>
        <v>0</v>
      </c>
    </row>
    <row r="49" spans="2:20" ht="15" customHeight="1" x14ac:dyDescent="0.3">
      <c r="B49" s="29" t="s">
        <v>514</v>
      </c>
      <c r="C49" s="191">
        <f>SUM(C26:F26)/Assumptions!$C$28</f>
        <v>4.6117084866922987E-2</v>
      </c>
      <c r="S49" s="29" t="s">
        <v>515</v>
      </c>
      <c r="T49" s="46">
        <f>MAX(0,-SUMIF(C5:J5,"&lt;="&amp;Assumptions!$C$43,C32:J32))+Assumptions!$C$40</f>
        <v>5176289.3683130937</v>
      </c>
    </row>
    <row r="50" spans="2:20" ht="15" customHeight="1" x14ac:dyDescent="0.3">
      <c r="B50" s="29" t="s">
        <v>516</v>
      </c>
      <c r="C50" s="30">
        <f>T50</f>
        <v>5945110.9983130936</v>
      </c>
      <c r="S50" s="84" t="s">
        <v>517</v>
      </c>
      <c r="T50" s="30">
        <f>T46+T47+T48+T49</f>
        <v>5945110.9983130936</v>
      </c>
    </row>
    <row r="51" spans="2:20" ht="15" customHeight="1" x14ac:dyDescent="0.3">
      <c r="B51" s="29" t="s">
        <v>518</v>
      </c>
      <c r="C51" s="30">
        <f ca="1">MIN(OFFSET(C43,0,0,1,Assumptions!$C$43))</f>
        <v>681204.63999416656</v>
      </c>
      <c r="S51" s="29" t="s">
        <v>519</v>
      </c>
      <c r="T51" s="46">
        <f>Assumptions!$C$41</f>
        <v>1300987.24</v>
      </c>
    </row>
    <row r="52" spans="2:20" ht="15" customHeight="1" x14ac:dyDescent="0.3">
      <c r="B52" s="29" t="s">
        <v>520</v>
      </c>
      <c r="C52" s="30">
        <f>SUMIF(C5:J5,"&lt;="&amp;Assumptions!$C$43,C32:J32)</f>
        <v>-4495084.7283189269</v>
      </c>
      <c r="S52" s="192" t="s">
        <v>521</v>
      </c>
      <c r="T52" s="140">
        <f>T50-T51</f>
        <v>4644123.7583130933</v>
      </c>
    </row>
    <row r="53" spans="2:20" ht="15" customHeight="1" x14ac:dyDescent="0.3">
      <c r="B53" s="29" t="s">
        <v>522</v>
      </c>
      <c r="C53" s="30">
        <f>SUM(C32:F32)/12</f>
        <v>-374590.39402657724</v>
      </c>
      <c r="S53" s="29"/>
      <c r="T53" s="46"/>
    </row>
    <row r="54" spans="2:20" ht="15" customHeight="1" x14ac:dyDescent="0.3">
      <c r="B54" s="29" t="s">
        <v>523</v>
      </c>
      <c r="C54" s="30">
        <f>Assumptions!$C$60</f>
        <v>5300000</v>
      </c>
      <c r="S54" s="29"/>
      <c r="T54" s="46"/>
    </row>
    <row r="55" spans="2:20" ht="15" customHeight="1" x14ac:dyDescent="0.3">
      <c r="S55" s="29"/>
      <c r="T55" s="46"/>
    </row>
    <row r="56" spans="2:20" ht="15" customHeight="1" x14ac:dyDescent="0.3">
      <c r="B56" s="120" t="s">
        <v>524</v>
      </c>
      <c r="C56" s="11"/>
      <c r="D56" s="11"/>
      <c r="E56" s="11"/>
      <c r="F56" s="11"/>
      <c r="G56" s="11"/>
      <c r="H56" s="11"/>
      <c r="I56" s="11"/>
      <c r="J56" s="11"/>
      <c r="K56" s="11"/>
      <c r="S56" s="38"/>
      <c r="T56" s="193"/>
    </row>
    <row r="57" spans="2:20" ht="15" customHeight="1" x14ac:dyDescent="0.3">
      <c r="B57" s="29" t="s">
        <v>525</v>
      </c>
      <c r="C57" s="46">
        <f t="shared" ref="C57:J57" si="10">C38</f>
        <v>-1172884.6764883331</v>
      </c>
      <c r="D57" s="46">
        <f t="shared" si="10"/>
        <v>-1509227.5117324998</v>
      </c>
      <c r="E57" s="46">
        <f t="shared" si="10"/>
        <v>-1308598.527395</v>
      </c>
      <c r="F57" s="46">
        <f t="shared" si="10"/>
        <v>-1273195.6427030936</v>
      </c>
      <c r="G57" s="46">
        <f t="shared" si="10"/>
        <v>-1107082.1856172483</v>
      </c>
      <c r="H57" s="46">
        <f t="shared" si="10"/>
        <v>-1116185.4951032589</v>
      </c>
      <c r="I57" s="46">
        <f t="shared" si="10"/>
        <v>-1125357.0794104149</v>
      </c>
      <c r="J57" s="46">
        <f t="shared" si="10"/>
        <v>-1134597.4505998744</v>
      </c>
      <c r="S57" s="29"/>
      <c r="T57" s="46"/>
    </row>
    <row r="58" spans="2:20" ht="15" customHeight="1" x14ac:dyDescent="0.3">
      <c r="B58" s="29" t="s">
        <v>526</v>
      </c>
      <c r="C58" s="46">
        <f>Assumptions!$C$41</f>
        <v>1300987.24</v>
      </c>
      <c r="D58" s="46">
        <f t="shared" ref="D58:J58" si="11">C60</f>
        <v>681204.63999416656</v>
      </c>
      <c r="E58" s="46">
        <f t="shared" si="11"/>
        <v>681204.63999416656</v>
      </c>
      <c r="F58" s="46">
        <f t="shared" si="11"/>
        <v>681204.63999416656</v>
      </c>
      <c r="G58" s="46">
        <f t="shared" si="11"/>
        <v>681204.63999416656</v>
      </c>
      <c r="H58" s="46">
        <f t="shared" si="11"/>
        <v>-425877.54562308174</v>
      </c>
      <c r="I58" s="46">
        <f t="shared" si="11"/>
        <v>-1542063.0407263406</v>
      </c>
      <c r="J58" s="46">
        <f t="shared" si="11"/>
        <v>-2667420.1201367555</v>
      </c>
      <c r="S58" s="38"/>
      <c r="T58" s="193"/>
    </row>
    <row r="59" spans="2:20" ht="15" customHeight="1" x14ac:dyDescent="0.3">
      <c r="B59" s="149" t="s">
        <v>527</v>
      </c>
      <c r="C59" s="140">
        <f>IF(C5&lt;=Assumptions!$C$43,MAX(0,Assumptions!$C$40-(C58+C57)),0)</f>
        <v>553102.07648249972</v>
      </c>
      <c r="D59" s="140">
        <f>IF(D5&lt;=Assumptions!$C$43,MAX(0,Assumptions!$C$40-(D58+D57)),0)</f>
        <v>1509227.5117324998</v>
      </c>
      <c r="E59" s="140">
        <f>IF(E5&lt;=Assumptions!$C$43,MAX(0,Assumptions!$C$40-(E58+E57)),0)</f>
        <v>1308598.527395</v>
      </c>
      <c r="F59" s="140">
        <f>IF(F5&lt;=Assumptions!$C$43,MAX(0,Assumptions!$C$40-(F58+F57)),0)</f>
        <v>1273195.6427030936</v>
      </c>
      <c r="G59" s="140">
        <f>IF(G5&lt;=Assumptions!$C$43,MAX(0,Assumptions!$C$40-(G58+G57)),0)</f>
        <v>0</v>
      </c>
      <c r="H59" s="140">
        <f>IF(H5&lt;=Assumptions!$C$43,MAX(0,Assumptions!$C$40-(H58+H57)),0)</f>
        <v>0</v>
      </c>
      <c r="I59" s="140">
        <f>IF(I5&lt;=Assumptions!$C$43,MAX(0,Assumptions!$C$40-(I58+I57)),0)</f>
        <v>0</v>
      </c>
      <c r="J59" s="140">
        <f>IF(J5&lt;=Assumptions!$C$43,MAX(0,Assumptions!$C$40-(J58+J57)),0)</f>
        <v>0</v>
      </c>
      <c r="K59" s="140">
        <f>SUM(C59:J59)</f>
        <v>4644123.7583130933</v>
      </c>
      <c r="S59" s="38"/>
      <c r="T59" s="193"/>
    </row>
    <row r="60" spans="2:20" ht="15" customHeight="1" x14ac:dyDescent="0.3">
      <c r="B60" s="29" t="s">
        <v>528</v>
      </c>
      <c r="C60" s="46">
        <f t="shared" ref="C60:J60" si="12">C58+C57+C59</f>
        <v>681204.63999416656</v>
      </c>
      <c r="D60" s="46">
        <f t="shared" si="12"/>
        <v>681204.63999416656</v>
      </c>
      <c r="E60" s="46">
        <f t="shared" si="12"/>
        <v>681204.63999416656</v>
      </c>
      <c r="F60" s="46">
        <f t="shared" si="12"/>
        <v>681204.63999416656</v>
      </c>
      <c r="G60" s="46">
        <f t="shared" si="12"/>
        <v>-425877.54562308174</v>
      </c>
      <c r="H60" s="46">
        <f t="shared" si="12"/>
        <v>-1542063.0407263406</v>
      </c>
      <c r="I60" s="46">
        <f t="shared" si="12"/>
        <v>-2667420.1201367555</v>
      </c>
      <c r="J60" s="46">
        <f t="shared" si="12"/>
        <v>-3802017.5707366299</v>
      </c>
    </row>
    <row r="61" spans="2:20" ht="15" customHeight="1" x14ac:dyDescent="0.3">
      <c r="B61" s="38" t="s">
        <v>529</v>
      </c>
      <c r="C61" s="193">
        <f>Assumptions!$C$60</f>
        <v>5300000</v>
      </c>
      <c r="D61" s="193">
        <v>0</v>
      </c>
      <c r="E61" s="193">
        <v>0</v>
      </c>
      <c r="F61" s="193">
        <v>0</v>
      </c>
      <c r="G61" s="193">
        <v>0</v>
      </c>
      <c r="H61" s="193">
        <v>0</v>
      </c>
      <c r="I61" s="193">
        <v>0</v>
      </c>
      <c r="J61" s="193">
        <v>0</v>
      </c>
    </row>
    <row r="62" spans="2:20" ht="15" customHeight="1" x14ac:dyDescent="0.3">
      <c r="B62" s="120" t="s">
        <v>530</v>
      </c>
      <c r="C62" s="11"/>
      <c r="D62" s="11"/>
      <c r="E62" s="11"/>
      <c r="F62" s="11"/>
      <c r="G62" s="11"/>
    </row>
    <row r="63" spans="2:20" ht="15" customHeight="1" x14ac:dyDescent="0.3">
      <c r="B63" s="29" t="s">
        <v>531</v>
      </c>
      <c r="C63" s="46">
        <f>C59</f>
        <v>553102.07648249972</v>
      </c>
      <c r="D63" s="46">
        <f>D59</f>
        <v>1509227.5117324998</v>
      </c>
      <c r="E63" s="46">
        <f>E59</f>
        <v>1308598.527395</v>
      </c>
      <c r="F63" s="46">
        <f>F59</f>
        <v>1273195.6427030936</v>
      </c>
    </row>
    <row r="64" spans="2:20" ht="15" customHeight="1" x14ac:dyDescent="0.3">
      <c r="B64" s="38"/>
      <c r="C64" s="193">
        <v>0</v>
      </c>
      <c r="D64" s="193">
        <v>0</v>
      </c>
      <c r="E64" s="193">
        <v>0</v>
      </c>
      <c r="F64" s="193">
        <v>0</v>
      </c>
    </row>
    <row r="65" spans="2:7" ht="15" customHeight="1" x14ac:dyDescent="0.3">
      <c r="B65" s="38"/>
      <c r="C65" s="193">
        <v>0</v>
      </c>
      <c r="D65" s="193">
        <v>0</v>
      </c>
      <c r="E65" s="193">
        <v>0</v>
      </c>
      <c r="F65" s="193">
        <v>0</v>
      </c>
    </row>
    <row r="66" spans="2:7" ht="15" customHeight="1" x14ac:dyDescent="0.3">
      <c r="B66" s="149" t="s">
        <v>532</v>
      </c>
      <c r="C66" s="140">
        <f>C63+C64+C65</f>
        <v>553102.07648249972</v>
      </c>
      <c r="D66" s="140">
        <f>D63+D64+D65</f>
        <v>1509227.5117324998</v>
      </c>
      <c r="E66" s="140">
        <f>E63+E64+E65</f>
        <v>1308598.527395</v>
      </c>
      <c r="F66" s="140">
        <f>F63+F64+F65</f>
        <v>1273195.6427030936</v>
      </c>
      <c r="G66" s="140">
        <f>SUM(C66:F66)</f>
        <v>4644123.7583130933</v>
      </c>
    </row>
    <row r="67" spans="2:7" ht="15" customHeight="1" x14ac:dyDescent="0.3">
      <c r="B67" s="38" t="s">
        <v>533</v>
      </c>
      <c r="C67" s="56" t="s">
        <v>55</v>
      </c>
      <c r="D67" s="56" t="s">
        <v>56</v>
      </c>
      <c r="E67" s="56" t="s">
        <v>57</v>
      </c>
      <c r="F67" s="56" t="s">
        <v>58</v>
      </c>
    </row>
  </sheetData>
  <mergeCells count="2">
    <mergeCell ref="B1:K1"/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6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1" sqref="D11"/>
    </sheetView>
  </sheetViews>
  <sheetFormatPr defaultColWidth="8.6640625" defaultRowHeight="14.4" x14ac:dyDescent="0.3"/>
  <cols>
    <col min="1" max="1" width="2" customWidth="1"/>
    <col min="2" max="2" width="36" customWidth="1"/>
    <col min="3" max="10" width="13" customWidth="1"/>
    <col min="11" max="11" width="15" customWidth="1"/>
    <col min="13" max="18" width="0" hidden="1" customWidth="1"/>
    <col min="19" max="19" width="34" customWidth="1"/>
    <col min="20" max="20" width="15" customWidth="1"/>
  </cols>
  <sheetData>
    <row r="1" spans="2:11" ht="17.25" customHeight="1" x14ac:dyDescent="0.3">
      <c r="B1" s="207" t="s">
        <v>534</v>
      </c>
      <c r="C1" s="207"/>
      <c r="D1" s="207"/>
      <c r="E1" s="207"/>
      <c r="F1" s="207"/>
      <c r="G1" s="207"/>
      <c r="H1" s="207"/>
      <c r="I1" s="207"/>
      <c r="J1" s="207"/>
      <c r="K1" s="207"/>
    </row>
    <row r="2" spans="2:11" ht="15" customHeight="1" x14ac:dyDescent="0.3">
      <c r="B2" s="205" t="s">
        <v>465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2:11" ht="15" customHeight="1" x14ac:dyDescent="0.3">
      <c r="B3" s="55" t="str">
        <f>"Funded horizon: through "&amp;INDEX(C4:J4,Assumptions!$C$43)&amp;"  (4/1/27 loan maturity).  Later quarters illustrative."</f>
        <v>Funded horizon: through Q2 2027  (4/1/27 loan maturity).  Later quarters illustrative.</v>
      </c>
    </row>
    <row r="4" spans="2:11" ht="15" customHeight="1" x14ac:dyDescent="0.3">
      <c r="B4" s="84" t="s">
        <v>164</v>
      </c>
      <c r="C4" s="64" t="s">
        <v>49</v>
      </c>
      <c r="D4" s="64" t="s">
        <v>50</v>
      </c>
      <c r="E4" s="64" t="s">
        <v>51</v>
      </c>
      <c r="F4" s="64" t="s">
        <v>52</v>
      </c>
      <c r="G4" s="64" t="s">
        <v>466</v>
      </c>
      <c r="H4" s="64" t="s">
        <v>467</v>
      </c>
      <c r="I4" s="64" t="s">
        <v>468</v>
      </c>
      <c r="J4" s="64" t="s">
        <v>469</v>
      </c>
      <c r="K4" s="183" t="s">
        <v>470</v>
      </c>
    </row>
    <row r="5" spans="2:11" ht="15" hidden="1" customHeight="1" x14ac:dyDescent="0.3">
      <c r="B5" s="29" t="s">
        <v>471</v>
      </c>
      <c r="C5" s="184">
        <v>1</v>
      </c>
      <c r="D5" s="184">
        <v>2</v>
      </c>
      <c r="E5" s="184">
        <v>3</v>
      </c>
      <c r="F5" s="184">
        <v>4</v>
      </c>
      <c r="G5" s="184">
        <v>5</v>
      </c>
      <c r="H5" s="184">
        <v>6</v>
      </c>
      <c r="I5" s="184">
        <v>7</v>
      </c>
      <c r="J5" s="184">
        <v>8</v>
      </c>
    </row>
    <row r="6" spans="2:11" ht="15" hidden="1" customHeight="1" x14ac:dyDescent="0.3">
      <c r="B6" s="74" t="s">
        <v>472</v>
      </c>
      <c r="C6" s="74">
        <v>2</v>
      </c>
      <c r="D6" s="74">
        <v>3</v>
      </c>
      <c r="E6" s="74">
        <v>3</v>
      </c>
      <c r="F6" s="74">
        <v>3</v>
      </c>
      <c r="G6" s="74">
        <v>3</v>
      </c>
      <c r="H6" s="74">
        <v>3</v>
      </c>
      <c r="I6" s="74">
        <v>3</v>
      </c>
      <c r="J6" s="74">
        <v>3</v>
      </c>
    </row>
    <row r="7" spans="2:11" ht="15" customHeight="1" x14ac:dyDescent="0.3">
      <c r="B7" s="31" t="s">
        <v>473</v>
      </c>
      <c r="C7" s="11"/>
      <c r="D7" s="11"/>
      <c r="E7" s="11"/>
      <c r="F7" s="11"/>
      <c r="G7" s="11"/>
      <c r="H7" s="11"/>
      <c r="I7" s="11"/>
      <c r="J7" s="11"/>
      <c r="K7" s="11"/>
    </row>
    <row r="8" spans="2:11" ht="15" customHeight="1" x14ac:dyDescent="0.3">
      <c r="B8" s="29" t="s">
        <v>474</v>
      </c>
      <c r="C8" s="46">
        <f>Assumptions!$D$9*C6*(1+Assumptions!$D$10)^(C5-1)</f>
        <v>1729870</v>
      </c>
      <c r="D8" s="46">
        <f>Assumptions!$D$9*D6*(1+Assumptions!$D$10)^(D5-1)</f>
        <v>2601292.0124999997</v>
      </c>
      <c r="E8" s="46">
        <f>Assumptions!$D$9*E6*(1+Assumptions!$D$10)^(E5-1)</f>
        <v>2607795.2425312498</v>
      </c>
      <c r="F8" s="46">
        <f>Assumptions!$D$9*F6*(1+Assumptions!$D$10)^(F5-1)</f>
        <v>2614314.7306375774</v>
      </c>
      <c r="G8" s="46">
        <f>Assumptions!$D$9*G6*(1+Assumptions!$D$10)^(G5-1)</f>
        <v>2620850.5174641716</v>
      </c>
      <c r="H8" s="46">
        <f>Assumptions!$D$9*H6*(1+Assumptions!$D$10)^(H5-1)</f>
        <v>2627402.6437578322</v>
      </c>
      <c r="I8" s="46">
        <f>Assumptions!$D$9*I6*(1+Assumptions!$D$10)^(I5-1)</f>
        <v>2633971.150367226</v>
      </c>
      <c r="J8" s="46">
        <f>Assumptions!$D$9*J6*(1+Assumptions!$D$10)^(J5-1)</f>
        <v>2640556.0782431439</v>
      </c>
      <c r="K8" s="30">
        <f t="shared" ref="K8:K14" si="0">SUM(C8:J8)</f>
        <v>20076052.375501201</v>
      </c>
    </row>
    <row r="9" spans="2:11" ht="15" customHeight="1" x14ac:dyDescent="0.3">
      <c r="B9" s="29" t="s">
        <v>475</v>
      </c>
      <c r="C9" s="46">
        <f>-Assumptions!C$51*C8</f>
        <v>-403059.71</v>
      </c>
      <c r="D9" s="46">
        <f>-Assumptions!D$51*D8</f>
        <v>-426611.89004999999</v>
      </c>
      <c r="E9" s="46">
        <f>-Assumptions!E$51*E8</f>
        <v>-265995.11473818746</v>
      </c>
      <c r="F9" s="46">
        <f>-Assumptions!F$51*F8</f>
        <v>-235288.32575738194</v>
      </c>
      <c r="G9" s="46">
        <f>-Assumptions!G$51*G8</f>
        <v>-235876.54657177543</v>
      </c>
      <c r="H9" s="46">
        <f>-Assumptions!H$51*H8</f>
        <v>-236466.2379382049</v>
      </c>
      <c r="I9" s="46">
        <f>-Assumptions!I$51*I8</f>
        <v>-237057.40353305032</v>
      </c>
      <c r="J9" s="46">
        <f>-Assumptions!J$51*J8</f>
        <v>-237650.04704188294</v>
      </c>
      <c r="K9" s="30">
        <f t="shared" si="0"/>
        <v>-2278005.2756304829</v>
      </c>
    </row>
    <row r="10" spans="2:11" ht="15" customHeight="1" x14ac:dyDescent="0.3">
      <c r="B10" s="29" t="s">
        <v>476</v>
      </c>
      <c r="C10" s="46">
        <f>-Assumptions!$D$12*C6</f>
        <v>-64196</v>
      </c>
      <c r="D10" s="46">
        <f>-Assumptions!$D$12*D6</f>
        <v>-96294</v>
      </c>
      <c r="E10" s="46">
        <f>-Assumptions!$D$12*E6</f>
        <v>-96294</v>
      </c>
      <c r="F10" s="46">
        <f>-Assumptions!$D$12*F6</f>
        <v>-96294</v>
      </c>
      <c r="G10" s="46">
        <f>-Assumptions!$D$12*G6</f>
        <v>-96294</v>
      </c>
      <c r="H10" s="46">
        <f>-Assumptions!$D$12*H6</f>
        <v>-96294</v>
      </c>
      <c r="I10" s="46">
        <f>-Assumptions!$D$12*I6</f>
        <v>-96294</v>
      </c>
      <c r="J10" s="46">
        <f>-Assumptions!$D$12*J6</f>
        <v>-96294</v>
      </c>
      <c r="K10" s="30">
        <f t="shared" si="0"/>
        <v>-738254</v>
      </c>
    </row>
    <row r="11" spans="2:11" ht="15" customHeight="1" x14ac:dyDescent="0.3">
      <c r="B11" s="29" t="s">
        <v>477</v>
      </c>
      <c r="C11" s="46">
        <f>-Assumptions!$D$13*C6</f>
        <v>-136000</v>
      </c>
      <c r="D11" s="46">
        <f>-Assumptions!$D$13*D6</f>
        <v>-204000</v>
      </c>
      <c r="E11" s="46">
        <f>-Assumptions!$D$13*E6</f>
        <v>-204000</v>
      </c>
      <c r="F11" s="46">
        <f>-Assumptions!$D$13*F6</f>
        <v>-204000</v>
      </c>
      <c r="G11" s="46">
        <f>-Assumptions!$D$13*G6</f>
        <v>-204000</v>
      </c>
      <c r="H11" s="46">
        <f>-Assumptions!$D$13*H6</f>
        <v>-204000</v>
      </c>
      <c r="I11" s="46">
        <f>-Assumptions!$D$13*I6</f>
        <v>-204000</v>
      </c>
      <c r="J11" s="46">
        <f>-Assumptions!$D$13*J6</f>
        <v>-204000</v>
      </c>
      <c r="K11" s="30">
        <f t="shared" si="0"/>
        <v>-1564000</v>
      </c>
    </row>
    <row r="12" spans="2:11" ht="15" customHeight="1" x14ac:dyDescent="0.3">
      <c r="B12" s="84" t="s">
        <v>478</v>
      </c>
      <c r="C12" s="30">
        <f t="shared" ref="C12:J12" si="1">SUM(C8:C11)</f>
        <v>1126614.29</v>
      </c>
      <c r="D12" s="30">
        <f t="shared" si="1"/>
        <v>1874386.1224499997</v>
      </c>
      <c r="E12" s="30">
        <f t="shared" si="1"/>
        <v>2041506.1277930625</v>
      </c>
      <c r="F12" s="30">
        <f t="shared" si="1"/>
        <v>2078732.4048801954</v>
      </c>
      <c r="G12" s="30">
        <f t="shared" si="1"/>
        <v>2084679.9708923963</v>
      </c>
      <c r="H12" s="30">
        <f t="shared" si="1"/>
        <v>2090642.4058196275</v>
      </c>
      <c r="I12" s="30">
        <f t="shared" si="1"/>
        <v>2096619.7468341757</v>
      </c>
      <c r="J12" s="30">
        <f t="shared" si="1"/>
        <v>2102612.0312012611</v>
      </c>
      <c r="K12" s="30">
        <f t="shared" si="0"/>
        <v>15495793.099870715</v>
      </c>
    </row>
    <row r="13" spans="2:11" ht="15" customHeight="1" x14ac:dyDescent="0.3">
      <c r="B13" s="29" t="s">
        <v>479</v>
      </c>
      <c r="C13" s="46">
        <f>Assumptions!$D$14*C6</f>
        <v>306118</v>
      </c>
      <c r="D13" s="46">
        <f>Assumptions!$D$14*D6</f>
        <v>459177</v>
      </c>
      <c r="E13" s="46">
        <f>Assumptions!$D$14*E6</f>
        <v>459177</v>
      </c>
      <c r="F13" s="46">
        <f>Assumptions!$D$14*F6</f>
        <v>459177</v>
      </c>
      <c r="G13" s="46">
        <f>Assumptions!$D$14*G6</f>
        <v>459177</v>
      </c>
      <c r="H13" s="46">
        <f>Assumptions!$D$14*H6</f>
        <v>459177</v>
      </c>
      <c r="I13" s="46">
        <f>Assumptions!$D$14*I6</f>
        <v>459177</v>
      </c>
      <c r="J13" s="46">
        <f>Assumptions!$D$14*J6</f>
        <v>459177</v>
      </c>
      <c r="K13" s="30">
        <f t="shared" si="0"/>
        <v>3520357</v>
      </c>
    </row>
    <row r="14" spans="2:11" ht="15" customHeight="1" x14ac:dyDescent="0.3">
      <c r="B14" s="84" t="s">
        <v>480</v>
      </c>
      <c r="C14" s="30">
        <f t="shared" ref="C14:J14" si="2">C12+C13</f>
        <v>1432732.29</v>
      </c>
      <c r="D14" s="30">
        <f t="shared" si="2"/>
        <v>2333563.1224499997</v>
      </c>
      <c r="E14" s="30">
        <f t="shared" si="2"/>
        <v>2500683.1277930625</v>
      </c>
      <c r="F14" s="30">
        <f t="shared" si="2"/>
        <v>2537909.4048801954</v>
      </c>
      <c r="G14" s="30">
        <f t="shared" si="2"/>
        <v>2543856.9708923963</v>
      </c>
      <c r="H14" s="30">
        <f t="shared" si="2"/>
        <v>2549819.4058196275</v>
      </c>
      <c r="I14" s="30">
        <f t="shared" si="2"/>
        <v>2555796.7468341757</v>
      </c>
      <c r="J14" s="30">
        <f t="shared" si="2"/>
        <v>2561789.0312012611</v>
      </c>
      <c r="K14" s="30">
        <f t="shared" si="0"/>
        <v>19016150.099870715</v>
      </c>
    </row>
    <row r="16" spans="2:11" ht="15" customHeight="1" x14ac:dyDescent="0.3">
      <c r="B16" s="31" t="s">
        <v>481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2:11" ht="15" customHeight="1" x14ac:dyDescent="0.3">
      <c r="B17" s="29" t="s">
        <v>482</v>
      </c>
      <c r="C17" s="46">
        <f>-Assumptions!$D$17*C6*(1+Assumptions!$D$25)^(C5-1)</f>
        <v>-250776</v>
      </c>
      <c r="D17" s="46">
        <f>-Assumptions!$D$17*D6*(1+Assumptions!$D$25)^(D5-1)</f>
        <v>-378044.81999999995</v>
      </c>
      <c r="E17" s="46">
        <f>-Assumptions!$D$17*E6*(1+Assumptions!$D$25)^(E5-1)</f>
        <v>-379935.04409999988</v>
      </c>
      <c r="F17" s="46">
        <f>-Assumptions!$D$17*F6*(1+Assumptions!$D$25)^(F5-1)</f>
        <v>-381834.71932049986</v>
      </c>
      <c r="G17" s="46">
        <f>-Assumptions!$D$17*G6*(1+Assumptions!$D$25)^(G5-1)</f>
        <v>-383743.89291710226</v>
      </c>
      <c r="H17" s="46">
        <f>-Assumptions!$D$17*H6*(1+Assumptions!$D$25)^(H5-1)</f>
        <v>-385662.61238168768</v>
      </c>
      <c r="I17" s="46">
        <f>-Assumptions!$D$17*I6*(1+Assumptions!$D$25)^(I5-1)</f>
        <v>-387590.92544359609</v>
      </c>
      <c r="J17" s="46">
        <f>-Assumptions!$D$17*J6*(1+Assumptions!$D$25)^(J5-1)</f>
        <v>-389528.88007081399</v>
      </c>
      <c r="K17" s="30">
        <f t="shared" ref="K17:K26" si="3">SUM(C17:J17)</f>
        <v>-2937116.8942336999</v>
      </c>
    </row>
    <row r="18" spans="2:11" ht="15" customHeight="1" x14ac:dyDescent="0.3">
      <c r="B18" s="29" t="s">
        <v>483</v>
      </c>
      <c r="C18" s="46">
        <f>-Assumptions!$D$18*C6*(1+Assumptions!$D$25)^(C5-1)</f>
        <v>-31772</v>
      </c>
      <c r="D18" s="46">
        <f>-Assumptions!$D$18*D6*(1+Assumptions!$D$25)^(D5-1)</f>
        <v>-47896.289999999994</v>
      </c>
      <c r="E18" s="46">
        <f>-Assumptions!$D$18*E6*(1+Assumptions!$D$25)^(E5-1)</f>
        <v>-48135.771449999986</v>
      </c>
      <c r="F18" s="46">
        <f>-Assumptions!$D$18*F6*(1+Assumptions!$D$25)^(F5-1)</f>
        <v>-48376.450307249979</v>
      </c>
      <c r="G18" s="46">
        <f>-Assumptions!$D$18*G6*(1+Assumptions!$D$25)^(G5-1)</f>
        <v>-48618.33255878622</v>
      </c>
      <c r="H18" s="46">
        <f>-Assumptions!$D$18*H6*(1+Assumptions!$D$25)^(H5-1)</f>
        <v>-48861.424221580142</v>
      </c>
      <c r="I18" s="46">
        <f>-Assumptions!$D$18*I6*(1+Assumptions!$D$25)^(I5-1)</f>
        <v>-49105.731342688036</v>
      </c>
      <c r="J18" s="46">
        <f>-Assumptions!$D$18*J6*(1+Assumptions!$D$25)^(J5-1)</f>
        <v>-49351.259999401467</v>
      </c>
      <c r="K18" s="30">
        <f t="shared" si="3"/>
        <v>-372117.25987970579</v>
      </c>
    </row>
    <row r="19" spans="2:11" ht="15" customHeight="1" x14ac:dyDescent="0.3">
      <c r="B19" s="29" t="s">
        <v>484</v>
      </c>
      <c r="C19" s="46">
        <f>-Assumptions!$D$19*C6*(1+Assumptions!$D$25)^(C5-1)</f>
        <v>-104926</v>
      </c>
      <c r="D19" s="46">
        <f>-Assumptions!$D$19*D6*(1+Assumptions!$D$25)^(D5-1)</f>
        <v>-158175.94499999998</v>
      </c>
      <c r="E19" s="46">
        <f>-Assumptions!$D$19*E6*(1+Assumptions!$D$25)^(E5-1)</f>
        <v>-158966.82472499995</v>
      </c>
      <c r="F19" s="46">
        <f>-Assumptions!$D$19*F6*(1+Assumptions!$D$25)^(F5-1)</f>
        <v>-159761.65884862494</v>
      </c>
      <c r="G19" s="46">
        <f>-Assumptions!$D$19*G6*(1+Assumptions!$D$25)^(G5-1)</f>
        <v>-160560.46714286803</v>
      </c>
      <c r="H19" s="46">
        <f>-Assumptions!$D$19*H6*(1+Assumptions!$D$25)^(H5-1)</f>
        <v>-161363.26947858234</v>
      </c>
      <c r="I19" s="46">
        <f>-Assumptions!$D$19*I6*(1+Assumptions!$D$25)^(I5-1)</f>
        <v>-162170.08582597523</v>
      </c>
      <c r="J19" s="46">
        <f>-Assumptions!$D$19*J6*(1+Assumptions!$D$25)^(J5-1)</f>
        <v>-162980.93625510507</v>
      </c>
      <c r="K19" s="30">
        <f t="shared" si="3"/>
        <v>-1228905.1872761555</v>
      </c>
    </row>
    <row r="20" spans="2:11" ht="15" customHeight="1" x14ac:dyDescent="0.3">
      <c r="B20" s="29" t="s">
        <v>485</v>
      </c>
      <c r="C20" s="46">
        <f>-Assumptions!$D$20*C6*(1+Assumptions!$D$25)^(C5-1)</f>
        <v>-144512</v>
      </c>
      <c r="D20" s="46">
        <f>-Assumptions!$D$20*D6*(1+Assumptions!$D$25)^(D5-1)</f>
        <v>-217851.83999999997</v>
      </c>
      <c r="E20" s="46">
        <f>-Assumptions!$D$20*E6*(1+Assumptions!$D$25)^(E5-1)</f>
        <v>-218941.09919999994</v>
      </c>
      <c r="F20" s="46">
        <f>-Assumptions!$D$20*F6*(1+Assumptions!$D$25)^(F5-1)</f>
        <v>-220035.80469599992</v>
      </c>
      <c r="G20" s="46">
        <f>-Assumptions!$D$20*G6*(1+Assumptions!$D$25)^(G5-1)</f>
        <v>-221135.98371947985</v>
      </c>
      <c r="H20" s="46">
        <f>-Assumptions!$D$20*H6*(1+Assumptions!$D$25)^(H5-1)</f>
        <v>-222241.66363807721</v>
      </c>
      <c r="I20" s="46">
        <f>-Assumptions!$D$20*I6*(1+Assumptions!$D$25)^(I5-1)</f>
        <v>-223352.87195626757</v>
      </c>
      <c r="J20" s="46">
        <f>-Assumptions!$D$20*J6*(1+Assumptions!$D$25)^(J5-1)</f>
        <v>-224469.63631604888</v>
      </c>
      <c r="K20" s="30">
        <f t="shared" si="3"/>
        <v>-1692540.8995258736</v>
      </c>
    </row>
    <row r="21" spans="2:11" ht="15" customHeight="1" x14ac:dyDescent="0.3">
      <c r="B21" s="29" t="s">
        <v>486</v>
      </c>
      <c r="C21" s="46">
        <f>-Assumptions!$D$21*C6*(1+Assumptions!$D$25)^(C5-1)</f>
        <v>-253370</v>
      </c>
      <c r="D21" s="46">
        <f>-Assumptions!$D$21*D6*(1+Assumptions!$D$25)^(D5-1)</f>
        <v>-381955.27499999997</v>
      </c>
      <c r="E21" s="46">
        <f>-Assumptions!$D$21*E6*(1+Assumptions!$D$25)^(E5-1)</f>
        <v>-383865.05137499992</v>
      </c>
      <c r="F21" s="46">
        <f>-Assumptions!$D$21*F6*(1+Assumptions!$D$25)^(F5-1)</f>
        <v>-385784.37663187488</v>
      </c>
      <c r="G21" s="46">
        <f>-Assumptions!$D$21*G6*(1+Assumptions!$D$25)^(G5-1)</f>
        <v>-387713.29851503414</v>
      </c>
      <c r="H21" s="46">
        <f>-Assumptions!$D$21*H6*(1+Assumptions!$D$25)^(H5-1)</f>
        <v>-389651.86500760925</v>
      </c>
      <c r="I21" s="46">
        <f>-Assumptions!$D$21*I6*(1+Assumptions!$D$25)^(I5-1)</f>
        <v>-391600.12433264719</v>
      </c>
      <c r="J21" s="46">
        <f>-Assumptions!$D$21*J6*(1+Assumptions!$D$25)^(J5-1)</f>
        <v>-393558.12495431042</v>
      </c>
      <c r="K21" s="30">
        <f t="shared" si="3"/>
        <v>-2967498.1158164758</v>
      </c>
    </row>
    <row r="22" spans="2:11" ht="15" customHeight="1" x14ac:dyDescent="0.3">
      <c r="B22" s="29" t="s">
        <v>487</v>
      </c>
      <c r="C22" s="46">
        <f>-Assumptions!$D$22*C6*(1+Assumptions!$D$25)^(C5-1)</f>
        <v>0</v>
      </c>
      <c r="D22" s="46">
        <f>-Assumptions!$D$22*D6*(1+Assumptions!$D$25)^(D5-1)</f>
        <v>0</v>
      </c>
      <c r="E22" s="46">
        <f>-Assumptions!$D$22*E6*(1+Assumptions!$D$25)^(E5-1)</f>
        <v>0</v>
      </c>
      <c r="F22" s="46">
        <f>-Assumptions!$D$22*F6*(1+Assumptions!$D$25)^(F5-1)</f>
        <v>0</v>
      </c>
      <c r="G22" s="46">
        <f>-Assumptions!$D$22*G6*(1+Assumptions!$D$25)^(G5-1)</f>
        <v>0</v>
      </c>
      <c r="H22" s="46">
        <f>-Assumptions!$D$22*H6*(1+Assumptions!$D$25)^(H5-1)</f>
        <v>0</v>
      </c>
      <c r="I22" s="46">
        <f>-Assumptions!$D$22*I6*(1+Assumptions!$D$25)^(I5-1)</f>
        <v>0</v>
      </c>
      <c r="J22" s="46">
        <f>-Assumptions!$D$22*J6*(1+Assumptions!$D$25)^(J5-1)</f>
        <v>0</v>
      </c>
      <c r="K22" s="30">
        <f t="shared" si="3"/>
        <v>0</v>
      </c>
    </row>
    <row r="23" spans="2:11" ht="15" customHeight="1" x14ac:dyDescent="0.3">
      <c r="B23" s="29" t="s">
        <v>488</v>
      </c>
      <c r="C23" s="46">
        <f>-Assumptions!$D$23*C6*(1+Assumptions!$D$25)^(C5-1)</f>
        <v>0</v>
      </c>
      <c r="D23" s="46">
        <f>-Assumptions!$D$23*D6*(1+Assumptions!$D$25)^(D5-1)</f>
        <v>0</v>
      </c>
      <c r="E23" s="46">
        <f>-Assumptions!$D$23*E6*(1+Assumptions!$D$25)^(E5-1)</f>
        <v>0</v>
      </c>
      <c r="F23" s="46">
        <f>-Assumptions!$D$23*F6*(1+Assumptions!$D$25)^(F5-1)</f>
        <v>0</v>
      </c>
      <c r="G23" s="46">
        <f>-Assumptions!$D$23*G6*(1+Assumptions!$D$25)^(G5-1)</f>
        <v>0</v>
      </c>
      <c r="H23" s="46">
        <f>-Assumptions!$D$23*H6*(1+Assumptions!$D$25)^(H5-1)</f>
        <v>0</v>
      </c>
      <c r="I23" s="46">
        <f>-Assumptions!$D$23*I6*(1+Assumptions!$D$25)^(I5-1)</f>
        <v>0</v>
      </c>
      <c r="J23" s="46">
        <f>-Assumptions!$D$23*J6*(1+Assumptions!$D$25)^(J5-1)</f>
        <v>0</v>
      </c>
      <c r="K23" s="30">
        <f t="shared" si="3"/>
        <v>0</v>
      </c>
    </row>
    <row r="24" spans="2:11" ht="15" customHeight="1" x14ac:dyDescent="0.3">
      <c r="B24" s="29" t="s">
        <v>489</v>
      </c>
      <c r="C24" s="46">
        <f>-Assumptions!$D$24*C14</f>
        <v>-71636.614500000011</v>
      </c>
      <c r="D24" s="46">
        <f>-Assumptions!$D$24*D14</f>
        <v>-116678.15612249999</v>
      </c>
      <c r="E24" s="46">
        <f>-Assumptions!$D$24*E14</f>
        <v>-125034.15638965313</v>
      </c>
      <c r="F24" s="46">
        <f>-Assumptions!$D$24*F14</f>
        <v>-126895.47024400978</v>
      </c>
      <c r="G24" s="46">
        <f>-Assumptions!$D$24*G14</f>
        <v>-127192.84854461982</v>
      </c>
      <c r="H24" s="46">
        <f>-Assumptions!$D$24*H14</f>
        <v>-127490.97029098138</v>
      </c>
      <c r="I24" s="46">
        <f>-Assumptions!$D$24*I14</f>
        <v>-127789.83734170879</v>
      </c>
      <c r="J24" s="46">
        <f>-Assumptions!$D$24*J14</f>
        <v>-128089.45156006305</v>
      </c>
      <c r="K24" s="30">
        <f t="shared" si="3"/>
        <v>-950807.50499353593</v>
      </c>
    </row>
    <row r="25" spans="2:11" ht="15" customHeight="1" x14ac:dyDescent="0.3">
      <c r="B25" s="84" t="s">
        <v>490</v>
      </c>
      <c r="C25" s="30">
        <f t="shared" ref="C25:J25" si="4">SUM(C17:C24)</f>
        <v>-856992.61450000003</v>
      </c>
      <c r="D25" s="30">
        <f t="shared" si="4"/>
        <v>-1300602.3261225</v>
      </c>
      <c r="E25" s="30">
        <f t="shared" si="4"/>
        <v>-1314877.947239653</v>
      </c>
      <c r="F25" s="30">
        <f t="shared" si="4"/>
        <v>-1322688.4800482593</v>
      </c>
      <c r="G25" s="30">
        <f t="shared" si="4"/>
        <v>-1328964.8233978904</v>
      </c>
      <c r="H25" s="30">
        <f t="shared" si="4"/>
        <v>-1335271.8050185181</v>
      </c>
      <c r="I25" s="30">
        <f t="shared" si="4"/>
        <v>-1341609.576242883</v>
      </c>
      <c r="J25" s="30">
        <f t="shared" si="4"/>
        <v>-1347978.2891557429</v>
      </c>
      <c r="K25" s="30">
        <f t="shared" si="3"/>
        <v>-10148985.861725448</v>
      </c>
    </row>
    <row r="26" spans="2:11" ht="15" customHeight="1" x14ac:dyDescent="0.3">
      <c r="B26" s="84" t="s">
        <v>491</v>
      </c>
      <c r="C26" s="30">
        <f t="shared" ref="C26:J26" si="5">C14+C25</f>
        <v>575739.67550000001</v>
      </c>
      <c r="D26" s="30">
        <f t="shared" si="5"/>
        <v>1032960.7963274997</v>
      </c>
      <c r="E26" s="30">
        <f t="shared" si="5"/>
        <v>1185805.1805534095</v>
      </c>
      <c r="F26" s="30">
        <f t="shared" si="5"/>
        <v>1215220.9248319361</v>
      </c>
      <c r="G26" s="30">
        <f t="shared" si="5"/>
        <v>1214892.1474945059</v>
      </c>
      <c r="H26" s="30">
        <f t="shared" si="5"/>
        <v>1214547.6008011093</v>
      </c>
      <c r="I26" s="30">
        <f t="shared" si="5"/>
        <v>1214187.1705912927</v>
      </c>
      <c r="J26" s="30">
        <f t="shared" si="5"/>
        <v>1213810.7420455182</v>
      </c>
      <c r="K26" s="30">
        <f t="shared" si="3"/>
        <v>8867164.2381452713</v>
      </c>
    </row>
    <row r="28" spans="2:11" ht="15" customHeight="1" x14ac:dyDescent="0.3">
      <c r="B28" s="31" t="s">
        <v>492</v>
      </c>
      <c r="C28" s="11"/>
      <c r="D28" s="11"/>
      <c r="E28" s="11"/>
      <c r="F28" s="11"/>
      <c r="G28" s="11"/>
      <c r="H28" s="11"/>
      <c r="I28" s="11"/>
      <c r="J28" s="11"/>
      <c r="K28" s="11"/>
    </row>
    <row r="29" spans="2:11" ht="15" customHeight="1" x14ac:dyDescent="0.3">
      <c r="B29" s="29" t="s">
        <v>493</v>
      </c>
      <c r="C29" s="46">
        <f>Assumptions!$C$28</f>
        <v>65012051.829999998</v>
      </c>
      <c r="D29" s="46">
        <f>Assumptions!$C$28</f>
        <v>65012051.829999998</v>
      </c>
      <c r="E29" s="46">
        <f>Assumptions!$C$28</f>
        <v>65012051.829999998</v>
      </c>
      <c r="F29" s="46">
        <f>Assumptions!$C$28</f>
        <v>65012051.829999998</v>
      </c>
      <c r="G29" s="46">
        <f>Assumptions!$C$28</f>
        <v>65012051.829999998</v>
      </c>
      <c r="H29" s="46">
        <f>Assumptions!$C$28</f>
        <v>65012051.829999998</v>
      </c>
      <c r="I29" s="46">
        <f>Assumptions!$C$28</f>
        <v>65012051.829999998</v>
      </c>
      <c r="J29" s="46">
        <f>Assumptions!$C$28</f>
        <v>65012051.829999998</v>
      </c>
      <c r="K29" s="30">
        <f>J29</f>
        <v>65012051.829999998</v>
      </c>
    </row>
    <row r="30" spans="2:11" ht="15" customHeight="1" x14ac:dyDescent="0.3">
      <c r="B30" s="29" t="s">
        <v>494</v>
      </c>
      <c r="C30" s="50">
        <f>Assumptions!$C$29</f>
        <v>7.0999999999999994E-2</v>
      </c>
      <c r="D30" s="50">
        <f>Assumptions!$C$29</f>
        <v>7.0999999999999994E-2</v>
      </c>
      <c r="E30" s="50">
        <f>Assumptions!$C$29</f>
        <v>7.0999999999999994E-2</v>
      </c>
      <c r="F30" s="50">
        <f>Assumptions!$C$29</f>
        <v>7.0999999999999994E-2</v>
      </c>
      <c r="G30" s="50">
        <f>Assumptions!$C$29</f>
        <v>7.0999999999999994E-2</v>
      </c>
      <c r="H30" s="50">
        <f>Assumptions!$C$29</f>
        <v>7.0999999999999994E-2</v>
      </c>
      <c r="I30" s="50">
        <f>Assumptions!$C$29</f>
        <v>7.0999999999999994E-2</v>
      </c>
      <c r="J30" s="50">
        <f>Assumptions!$C$29</f>
        <v>7.0999999999999994E-2</v>
      </c>
      <c r="K30" s="191">
        <f>AVERAGE(C30:J30)</f>
        <v>7.0999999999999994E-2</v>
      </c>
    </row>
    <row r="31" spans="2:11" ht="15" customHeight="1" x14ac:dyDescent="0.3">
      <c r="B31" s="29" t="s">
        <v>495</v>
      </c>
      <c r="C31" s="46">
        <f>-((Assumptions!$C$28*Assumptions!$C$29/12)+Assumptions!$C$30+Assumptions!$C$31-Assumptions!$C$32)*C6</f>
        <v>-1362409.2799883331</v>
      </c>
      <c r="D31" s="46">
        <f>-((Assumptions!$C$28*Assumptions!$C$29/12)+Assumptions!$C$30+Assumptions!$C$31-Assumptions!$C$32)*D6</f>
        <v>-2043613.9199824997</v>
      </c>
      <c r="E31" s="46">
        <f>-((Assumptions!$C$28*Assumptions!$C$29/12)+Assumptions!$C$30+Assumptions!$C$31-Assumptions!$C$32)*E6</f>
        <v>-2043613.9199824997</v>
      </c>
      <c r="F31" s="46">
        <f>-((Assumptions!$C$28*Assumptions!$C$29/12)+Assumptions!$C$30+Assumptions!$C$31-Assumptions!$C$32)*F6</f>
        <v>-2043613.9199824997</v>
      </c>
      <c r="G31" s="46">
        <f>-((Assumptions!$C$28*Assumptions!$C$29/12)+Assumptions!$C$30+Assumptions!$C$31-Assumptions!$C$32)*G6</f>
        <v>-2043613.9199824997</v>
      </c>
      <c r="H31" s="46">
        <f>-((Assumptions!$C$28*Assumptions!$C$29/12)+Assumptions!$C$30+Assumptions!$C$31-Assumptions!$C$32)*H6</f>
        <v>-2043613.9199824997</v>
      </c>
      <c r="I31" s="46">
        <f>-((Assumptions!$C$28*Assumptions!$C$29/12)+Assumptions!$C$30+Assumptions!$C$31-Assumptions!$C$32)*I6</f>
        <v>-2043613.9199824997</v>
      </c>
      <c r="J31" s="46">
        <f>-((Assumptions!$C$28*Assumptions!$C$29/12)+Assumptions!$C$30+Assumptions!$C$31-Assumptions!$C$32)*J6</f>
        <v>-2043613.9199824997</v>
      </c>
      <c r="K31" s="30">
        <f>SUM(C31:J31)</f>
        <v>-15667706.719865832</v>
      </c>
    </row>
    <row r="32" spans="2:11" ht="15" customHeight="1" x14ac:dyDescent="0.3">
      <c r="B32" s="84" t="s">
        <v>496</v>
      </c>
      <c r="C32" s="30">
        <f t="shared" ref="C32:J32" si="6">C26+C31</f>
        <v>-786669.60448833311</v>
      </c>
      <c r="D32" s="30">
        <f t="shared" si="6"/>
        <v>-1010653.123655</v>
      </c>
      <c r="E32" s="30">
        <f t="shared" si="6"/>
        <v>-857808.73942909017</v>
      </c>
      <c r="F32" s="30">
        <f t="shared" si="6"/>
        <v>-828392.99515056354</v>
      </c>
      <c r="G32" s="30">
        <f t="shared" si="6"/>
        <v>-828721.77248799382</v>
      </c>
      <c r="H32" s="30">
        <f t="shared" si="6"/>
        <v>-829066.31918139034</v>
      </c>
      <c r="I32" s="30">
        <f t="shared" si="6"/>
        <v>-829426.74939120701</v>
      </c>
      <c r="J32" s="30">
        <f t="shared" si="6"/>
        <v>-829803.17793698143</v>
      </c>
      <c r="K32" s="30">
        <f>SUM(C32:J32)</f>
        <v>-6800542.4817205602</v>
      </c>
    </row>
    <row r="33" spans="2:20" ht="15" customHeight="1" x14ac:dyDescent="0.3">
      <c r="B33" s="29" t="s">
        <v>497</v>
      </c>
      <c r="C33" s="46">
        <f>-((Assumptions!$C$28*Assumptions!$C$29/12)+Assumptions!$C$30+Assumptions!$C$31)*C6</f>
        <v>-1483873.2799883331</v>
      </c>
      <c r="D33" s="46">
        <f>-((Assumptions!$C$28*Assumptions!$C$29/12)+Assumptions!$C$30+Assumptions!$C$31)*D6</f>
        <v>-2225809.9199824994</v>
      </c>
      <c r="E33" s="46">
        <f>-((Assumptions!$C$28*Assumptions!$C$29/12)+Assumptions!$C$30+Assumptions!$C$31)*E6</f>
        <v>-2225809.9199824994</v>
      </c>
      <c r="F33" s="46">
        <f>-((Assumptions!$C$28*Assumptions!$C$29/12)+Assumptions!$C$30+Assumptions!$C$31)*F6</f>
        <v>-2225809.9199824994</v>
      </c>
      <c r="G33" s="46">
        <f>-((Assumptions!$C$28*Assumptions!$C$29/12)+Assumptions!$C$30+Assumptions!$C$31)*G6</f>
        <v>-2225809.9199824994</v>
      </c>
      <c r="H33" s="46">
        <f>-((Assumptions!$C$28*Assumptions!$C$29/12)+Assumptions!$C$30+Assumptions!$C$31)*H6</f>
        <v>-2225809.9199824994</v>
      </c>
      <c r="I33" s="46">
        <f>-((Assumptions!$C$28*Assumptions!$C$29/12)+Assumptions!$C$30+Assumptions!$C$31)*I6</f>
        <v>-2225809.9199824994</v>
      </c>
      <c r="J33" s="46">
        <f>-((Assumptions!$C$28*Assumptions!$C$29/12)+Assumptions!$C$30+Assumptions!$C$31)*J6</f>
        <v>-2225809.9199824994</v>
      </c>
    </row>
    <row r="34" spans="2:20" ht="15" customHeight="1" x14ac:dyDescent="0.3">
      <c r="B34" s="31" t="s">
        <v>498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2:20" ht="15" customHeight="1" x14ac:dyDescent="0.3">
      <c r="B35" s="29" t="s">
        <v>499</v>
      </c>
      <c r="C35" s="46">
        <f>-Assumptions!C45</f>
        <v>-116766</v>
      </c>
      <c r="D35" s="46">
        <f>-Assumptions!D45</f>
        <v>-175149</v>
      </c>
      <c r="E35" s="46">
        <f>-Assumptions!E45</f>
        <v>-175149</v>
      </c>
      <c r="F35" s="46">
        <f>-Assumptions!F45</f>
        <v>-175149</v>
      </c>
      <c r="G35" s="46">
        <f>-Assumptions!G45</f>
        <v>0</v>
      </c>
      <c r="H35" s="46">
        <f>-Assumptions!H45</f>
        <v>0</v>
      </c>
      <c r="I35" s="46">
        <f>-Assumptions!I45</f>
        <v>0</v>
      </c>
      <c r="J35" s="46">
        <f>-Assumptions!J45</f>
        <v>0</v>
      </c>
      <c r="K35" s="30">
        <f>SUM(C35:J35)</f>
        <v>-642213</v>
      </c>
    </row>
    <row r="36" spans="2:20" ht="15" customHeight="1" x14ac:dyDescent="0.3">
      <c r="B36" s="29" t="s">
        <v>500</v>
      </c>
      <c r="C36" s="46">
        <f>IF(C5=1,-Assumptions!$C$38,0)</f>
        <v>-126608.63</v>
      </c>
      <c r="D36" s="46">
        <f>IF(D5=1,-Assumptions!$C$38,0)</f>
        <v>0</v>
      </c>
      <c r="E36" s="46">
        <f>IF(E5=1,-Assumptions!$C$38,0)</f>
        <v>0</v>
      </c>
      <c r="F36" s="46">
        <f>IF(F5=1,-Assumptions!$C$38,0)</f>
        <v>0</v>
      </c>
      <c r="G36" s="46">
        <f>IF(G5=1,-Assumptions!$C$38,0)</f>
        <v>0</v>
      </c>
      <c r="H36" s="46">
        <f>IF(H5=1,-Assumptions!$C$38,0)</f>
        <v>0</v>
      </c>
      <c r="I36" s="46">
        <f>IF(I5=1,-Assumptions!$C$38,0)</f>
        <v>0</v>
      </c>
      <c r="J36" s="46">
        <f>IF(J5=1,-Assumptions!$C$38,0)</f>
        <v>0</v>
      </c>
      <c r="K36" s="30">
        <f>SUM(C36:J36)</f>
        <v>-126608.63</v>
      </c>
    </row>
    <row r="37" spans="2:20" ht="15" customHeight="1" x14ac:dyDescent="0.3">
      <c r="B37" s="29" t="s">
        <v>501</v>
      </c>
      <c r="C37" s="46">
        <f>IF(C5=1,-Assumptions!$C$39,0)</f>
        <v>0</v>
      </c>
      <c r="D37" s="46">
        <f>IF(D5=1,-Assumptions!$C$39,0)</f>
        <v>0</v>
      </c>
      <c r="E37" s="46">
        <f>IF(E5=1,-Assumptions!$C$39,0)</f>
        <v>0</v>
      </c>
      <c r="F37" s="46">
        <f>IF(F5=1,-Assumptions!$C$39,0)</f>
        <v>0</v>
      </c>
      <c r="G37" s="46">
        <f>IF(G5=1,-Assumptions!$C$39,0)</f>
        <v>0</v>
      </c>
      <c r="H37" s="46">
        <f>IF(H5=1,-Assumptions!$C$39,0)</f>
        <v>0</v>
      </c>
      <c r="I37" s="46">
        <f>IF(I5=1,-Assumptions!$C$39,0)</f>
        <v>0</v>
      </c>
      <c r="J37" s="46">
        <f>IF(J5=1,-Assumptions!$C$39,0)</f>
        <v>0</v>
      </c>
      <c r="K37" s="30">
        <f>SUM(C37:J37)</f>
        <v>0</v>
      </c>
    </row>
    <row r="38" spans="2:20" ht="15" customHeight="1" x14ac:dyDescent="0.3">
      <c r="B38" s="84" t="s">
        <v>502</v>
      </c>
      <c r="C38" s="30">
        <f t="shared" ref="C38:J38" si="7">C32+C35+C36+C37</f>
        <v>-1030044.2344883331</v>
      </c>
      <c r="D38" s="30">
        <f t="shared" si="7"/>
        <v>-1185802.123655</v>
      </c>
      <c r="E38" s="30">
        <f t="shared" si="7"/>
        <v>-1032957.7394290902</v>
      </c>
      <c r="F38" s="30">
        <f t="shared" si="7"/>
        <v>-1003541.9951505635</v>
      </c>
      <c r="G38" s="30">
        <f t="shared" si="7"/>
        <v>-828721.77248799382</v>
      </c>
      <c r="H38" s="30">
        <f t="shared" si="7"/>
        <v>-829066.31918139034</v>
      </c>
      <c r="I38" s="30">
        <f t="shared" si="7"/>
        <v>-829426.74939120701</v>
      </c>
      <c r="J38" s="30">
        <f t="shared" si="7"/>
        <v>-829803.17793698143</v>
      </c>
      <c r="K38" s="30">
        <f>SUM(C38:J38)</f>
        <v>-7569364.1117205592</v>
      </c>
    </row>
    <row r="40" spans="2:20" ht="15" customHeight="1" x14ac:dyDescent="0.3">
      <c r="B40" s="31" t="s">
        <v>503</v>
      </c>
      <c r="C40" s="11"/>
      <c r="D40" s="11"/>
      <c r="E40" s="11"/>
      <c r="F40" s="11"/>
      <c r="G40" s="11"/>
      <c r="H40" s="11"/>
      <c r="I40" s="11"/>
      <c r="J40" s="11"/>
      <c r="K40" s="11"/>
    </row>
    <row r="41" spans="2:20" ht="15" customHeight="1" x14ac:dyDescent="0.3">
      <c r="B41" s="29" t="s">
        <v>504</v>
      </c>
      <c r="C41" s="46">
        <v>0</v>
      </c>
      <c r="D41" s="46">
        <f t="shared" ref="D41:J41" si="8">C43</f>
        <v>3903506.4982288205</v>
      </c>
      <c r="E41" s="46">
        <f t="shared" si="8"/>
        <v>2717704.3745738203</v>
      </c>
      <c r="F41" s="46">
        <f t="shared" si="8"/>
        <v>1684746.6351447301</v>
      </c>
      <c r="G41" s="46">
        <f t="shared" si="8"/>
        <v>681204.63999416656</v>
      </c>
      <c r="H41" s="46">
        <f t="shared" si="8"/>
        <v>-147517.13249382726</v>
      </c>
      <c r="I41" s="46">
        <f t="shared" si="8"/>
        <v>-976583.4516752176</v>
      </c>
      <c r="J41" s="46">
        <f t="shared" si="8"/>
        <v>-1806010.2010664246</v>
      </c>
    </row>
    <row r="42" spans="2:20" ht="15" customHeight="1" x14ac:dyDescent="0.3">
      <c r="B42" s="84" t="s">
        <v>505</v>
      </c>
      <c r="C42" s="30">
        <f>$T$50</f>
        <v>4933550.7327171536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</row>
    <row r="43" spans="2:20" ht="15" customHeight="1" x14ac:dyDescent="0.3">
      <c r="B43" s="84" t="s">
        <v>506</v>
      </c>
      <c r="C43" s="30">
        <f t="shared" ref="C43:J43" si="9">C41+C42+C38</f>
        <v>3903506.4982288205</v>
      </c>
      <c r="D43" s="30">
        <f t="shared" si="9"/>
        <v>2717704.3745738203</v>
      </c>
      <c r="E43" s="30">
        <f t="shared" si="9"/>
        <v>1684746.6351447301</v>
      </c>
      <c r="F43" s="30">
        <f t="shared" si="9"/>
        <v>681204.63999416656</v>
      </c>
      <c r="G43" s="30">
        <f t="shared" si="9"/>
        <v>-147517.13249382726</v>
      </c>
      <c r="H43" s="30">
        <f t="shared" si="9"/>
        <v>-976583.4516752176</v>
      </c>
      <c r="I43" s="30">
        <f t="shared" si="9"/>
        <v>-1806010.2010664246</v>
      </c>
      <c r="J43" s="30">
        <f t="shared" si="9"/>
        <v>-2635813.379003406</v>
      </c>
      <c r="K43" s="30">
        <f>J43</f>
        <v>-2635813.379003406</v>
      </c>
    </row>
    <row r="45" spans="2:20" ht="15" customHeight="1" x14ac:dyDescent="0.3">
      <c r="B45" s="31" t="s">
        <v>507</v>
      </c>
      <c r="C45" s="11"/>
      <c r="D45" s="11"/>
      <c r="E45" s="11"/>
      <c r="F45" s="11"/>
      <c r="G45" s="11"/>
      <c r="H45" s="11"/>
      <c r="I45" s="11"/>
      <c r="J45" s="11"/>
      <c r="K45" s="11"/>
      <c r="S45" s="188" t="s">
        <v>508</v>
      </c>
      <c r="T45" s="189"/>
    </row>
    <row r="46" spans="2:20" ht="15" customHeight="1" x14ac:dyDescent="0.3">
      <c r="B46" s="29" t="s">
        <v>509</v>
      </c>
      <c r="C46" s="30">
        <f>SUM(C26:F26)</f>
        <v>4009726.577212845</v>
      </c>
      <c r="S46" s="29" t="s">
        <v>510</v>
      </c>
      <c r="T46" s="46">
        <f>'Capex Run Rate'!$C$3</f>
        <v>642213</v>
      </c>
    </row>
    <row r="47" spans="2:20" ht="15" customHeight="1" x14ac:dyDescent="0.3">
      <c r="B47" s="29" t="s">
        <v>511</v>
      </c>
      <c r="C47" s="30">
        <f>-SUM(C31:F31)</f>
        <v>7493251.0399358319</v>
      </c>
      <c r="S47" s="29" t="s">
        <v>512</v>
      </c>
      <c r="T47" s="46">
        <f>Assumptions!$C$38</f>
        <v>126608.63</v>
      </c>
    </row>
    <row r="48" spans="2:20" ht="15" customHeight="1" x14ac:dyDescent="0.3">
      <c r="B48" s="29" t="s">
        <v>513</v>
      </c>
      <c r="C48" s="190">
        <f>SUM(C26:F26)/-SUM(C31:F31)</f>
        <v>0.53511173666045786</v>
      </c>
      <c r="S48" s="29" t="s">
        <v>33</v>
      </c>
      <c r="T48" s="46">
        <f>Assumptions!$C$39</f>
        <v>0</v>
      </c>
    </row>
    <row r="49" spans="2:20" ht="15" customHeight="1" x14ac:dyDescent="0.3">
      <c r="B49" s="29" t="s">
        <v>514</v>
      </c>
      <c r="C49" s="191">
        <f>SUM(C26:F26)/Assumptions!$C$28</f>
        <v>6.1676665546534025E-2</v>
      </c>
      <c r="S49" s="29" t="s">
        <v>515</v>
      </c>
      <c r="T49" s="46">
        <f>MAX(0,-SUMIF(C5:J5,"&lt;="&amp;Assumptions!$C$43,C32:J32))+Assumptions!$C$40</f>
        <v>4164729.1027171537</v>
      </c>
    </row>
    <row r="50" spans="2:20" ht="15" customHeight="1" x14ac:dyDescent="0.3">
      <c r="B50" s="29" t="s">
        <v>516</v>
      </c>
      <c r="C50" s="30">
        <f>T50</f>
        <v>4933550.7327171536</v>
      </c>
      <c r="S50" s="84" t="s">
        <v>517</v>
      </c>
      <c r="T50" s="30">
        <f>T46+T47+T48+T49</f>
        <v>4933550.7327171536</v>
      </c>
    </row>
    <row r="51" spans="2:20" ht="15" customHeight="1" x14ac:dyDescent="0.3">
      <c r="B51" s="29" t="s">
        <v>518</v>
      </c>
      <c r="C51" s="30">
        <f ca="1">MIN(OFFSET(C43,0,0,1,Assumptions!$C$43))</f>
        <v>681204.63999416656</v>
      </c>
      <c r="S51" s="29" t="s">
        <v>519</v>
      </c>
      <c r="T51" s="46">
        <f>Assumptions!$C$41</f>
        <v>1300987.24</v>
      </c>
    </row>
    <row r="52" spans="2:20" ht="15" customHeight="1" x14ac:dyDescent="0.3">
      <c r="B52" s="29" t="s">
        <v>520</v>
      </c>
      <c r="C52" s="30">
        <f>SUMIF(C5:J5,"&lt;="&amp;Assumptions!$C$43,C32:J32)</f>
        <v>-3483524.4627229869</v>
      </c>
      <c r="S52" s="192" t="s">
        <v>521</v>
      </c>
      <c r="T52" s="140">
        <f>T50-T51</f>
        <v>3632563.4927171534</v>
      </c>
    </row>
    <row r="53" spans="2:20" ht="15" customHeight="1" x14ac:dyDescent="0.3">
      <c r="B53" s="29" t="s">
        <v>522</v>
      </c>
      <c r="C53" s="30">
        <f>SUM(C32:F32)/12</f>
        <v>-290293.7052269156</v>
      </c>
      <c r="S53" s="29"/>
      <c r="T53" s="46"/>
    </row>
    <row r="54" spans="2:20" ht="15" customHeight="1" x14ac:dyDescent="0.3">
      <c r="B54" s="29" t="s">
        <v>523</v>
      </c>
      <c r="C54" s="30">
        <f>Assumptions!$C$60</f>
        <v>5300000</v>
      </c>
      <c r="S54" s="29"/>
      <c r="T54" s="46"/>
    </row>
    <row r="55" spans="2:20" ht="15" customHeight="1" x14ac:dyDescent="0.3">
      <c r="S55" s="29"/>
      <c r="T55" s="46"/>
    </row>
    <row r="56" spans="2:20" ht="15" customHeight="1" x14ac:dyDescent="0.3">
      <c r="B56" s="120" t="s">
        <v>524</v>
      </c>
      <c r="C56" s="11"/>
      <c r="D56" s="11"/>
      <c r="E56" s="11"/>
      <c r="F56" s="11"/>
      <c r="G56" s="11"/>
      <c r="H56" s="11"/>
      <c r="I56" s="11"/>
      <c r="J56" s="11"/>
      <c r="K56" s="11"/>
      <c r="S56" s="38"/>
      <c r="T56" s="193"/>
    </row>
    <row r="57" spans="2:20" ht="15" customHeight="1" x14ac:dyDescent="0.3">
      <c r="B57" s="29" t="s">
        <v>525</v>
      </c>
      <c r="C57" s="46">
        <f t="shared" ref="C57:J57" si="10">C38</f>
        <v>-1030044.2344883331</v>
      </c>
      <c r="D57" s="46">
        <f t="shared" si="10"/>
        <v>-1185802.123655</v>
      </c>
      <c r="E57" s="46">
        <f t="shared" si="10"/>
        <v>-1032957.7394290902</v>
      </c>
      <c r="F57" s="46">
        <f t="shared" si="10"/>
        <v>-1003541.9951505635</v>
      </c>
      <c r="G57" s="46">
        <f t="shared" si="10"/>
        <v>-828721.77248799382</v>
      </c>
      <c r="H57" s="46">
        <f t="shared" si="10"/>
        <v>-829066.31918139034</v>
      </c>
      <c r="I57" s="46">
        <f t="shared" si="10"/>
        <v>-829426.74939120701</v>
      </c>
      <c r="J57" s="46">
        <f t="shared" si="10"/>
        <v>-829803.17793698143</v>
      </c>
      <c r="S57" s="29"/>
      <c r="T57" s="46"/>
    </row>
    <row r="58" spans="2:20" ht="15" customHeight="1" x14ac:dyDescent="0.3">
      <c r="B58" s="29" t="s">
        <v>526</v>
      </c>
      <c r="C58" s="46">
        <f>Assumptions!$C$41</f>
        <v>1300987.24</v>
      </c>
      <c r="D58" s="46">
        <f t="shared" ref="D58:J58" si="11">C60</f>
        <v>681204.63999416656</v>
      </c>
      <c r="E58" s="46">
        <f t="shared" si="11"/>
        <v>681204.63999416656</v>
      </c>
      <c r="F58" s="46">
        <f t="shared" si="11"/>
        <v>681204.63999416656</v>
      </c>
      <c r="G58" s="46">
        <f t="shared" si="11"/>
        <v>681204.63999416656</v>
      </c>
      <c r="H58" s="46">
        <f t="shared" si="11"/>
        <v>-147517.13249382726</v>
      </c>
      <c r="I58" s="46">
        <f t="shared" si="11"/>
        <v>-976583.4516752176</v>
      </c>
      <c r="J58" s="46">
        <f t="shared" si="11"/>
        <v>-1806010.2010664246</v>
      </c>
      <c r="S58" s="38"/>
      <c r="T58" s="193"/>
    </row>
    <row r="59" spans="2:20" ht="15" customHeight="1" x14ac:dyDescent="0.3">
      <c r="B59" s="149" t="s">
        <v>527</v>
      </c>
      <c r="C59" s="140">
        <f>IF(C5&lt;=Assumptions!$C$43,MAX(0,Assumptions!$C$40-(C58+C57)),0)</f>
        <v>410261.63448249968</v>
      </c>
      <c r="D59" s="140">
        <f>IF(D5&lt;=Assumptions!$C$43,MAX(0,Assumptions!$C$40-(D58+D57)),0)</f>
        <v>1185802.123655</v>
      </c>
      <c r="E59" s="140">
        <f>IF(E5&lt;=Assumptions!$C$43,MAX(0,Assumptions!$C$40-(E58+E57)),0)</f>
        <v>1032957.7394290902</v>
      </c>
      <c r="F59" s="140">
        <f>IF(F5&lt;=Assumptions!$C$43,MAX(0,Assumptions!$C$40-(F58+F57)),0)</f>
        <v>1003541.9951505635</v>
      </c>
      <c r="G59" s="140">
        <f>IF(G5&lt;=Assumptions!$C$43,MAX(0,Assumptions!$C$40-(G58+G57)),0)</f>
        <v>0</v>
      </c>
      <c r="H59" s="140">
        <f>IF(H5&lt;=Assumptions!$C$43,MAX(0,Assumptions!$C$40-(H58+H57)),0)</f>
        <v>0</v>
      </c>
      <c r="I59" s="140">
        <f>IF(I5&lt;=Assumptions!$C$43,MAX(0,Assumptions!$C$40-(I58+I57)),0)</f>
        <v>0</v>
      </c>
      <c r="J59" s="140">
        <f>IF(J5&lt;=Assumptions!$C$43,MAX(0,Assumptions!$C$40-(J58+J57)),0)</f>
        <v>0</v>
      </c>
      <c r="K59" s="140">
        <f>SUM(C59:J59)</f>
        <v>3632563.4927171534</v>
      </c>
      <c r="S59" s="38"/>
      <c r="T59" s="193"/>
    </row>
    <row r="60" spans="2:20" ht="15" customHeight="1" x14ac:dyDescent="0.3">
      <c r="B60" s="29" t="s">
        <v>528</v>
      </c>
      <c r="C60" s="46">
        <f t="shared" ref="C60:J60" si="12">C58+C57+C59</f>
        <v>681204.63999416656</v>
      </c>
      <c r="D60" s="46">
        <f t="shared" si="12"/>
        <v>681204.63999416656</v>
      </c>
      <c r="E60" s="46">
        <f t="shared" si="12"/>
        <v>681204.63999416656</v>
      </c>
      <c r="F60" s="46">
        <f t="shared" si="12"/>
        <v>681204.63999416656</v>
      </c>
      <c r="G60" s="46">
        <f t="shared" si="12"/>
        <v>-147517.13249382726</v>
      </c>
      <c r="H60" s="46">
        <f t="shared" si="12"/>
        <v>-976583.4516752176</v>
      </c>
      <c r="I60" s="46">
        <f t="shared" si="12"/>
        <v>-1806010.2010664246</v>
      </c>
      <c r="J60" s="46">
        <f t="shared" si="12"/>
        <v>-2635813.379003406</v>
      </c>
    </row>
    <row r="61" spans="2:20" ht="15" customHeight="1" x14ac:dyDescent="0.3">
      <c r="B61" s="38" t="s">
        <v>529</v>
      </c>
      <c r="C61" s="193">
        <f>Assumptions!$C$60</f>
        <v>5300000</v>
      </c>
      <c r="D61" s="193">
        <v>0</v>
      </c>
      <c r="E61" s="193">
        <v>0</v>
      </c>
      <c r="F61" s="193">
        <v>0</v>
      </c>
      <c r="G61" s="193">
        <v>0</v>
      </c>
      <c r="H61" s="193">
        <v>0</v>
      </c>
      <c r="I61" s="193">
        <v>0</v>
      </c>
      <c r="J61" s="193">
        <v>0</v>
      </c>
    </row>
    <row r="62" spans="2:20" ht="15" customHeight="1" x14ac:dyDescent="0.3">
      <c r="B62" s="120" t="s">
        <v>530</v>
      </c>
      <c r="C62" s="11"/>
      <c r="D62" s="11"/>
      <c r="E62" s="11"/>
      <c r="F62" s="11"/>
      <c r="G62" s="11"/>
    </row>
    <row r="63" spans="2:20" ht="15" customHeight="1" x14ac:dyDescent="0.3">
      <c r="B63" s="29" t="s">
        <v>531</v>
      </c>
      <c r="C63" s="46">
        <f>C59</f>
        <v>410261.63448249968</v>
      </c>
      <c r="D63" s="46">
        <f>D59</f>
        <v>1185802.123655</v>
      </c>
      <c r="E63" s="46">
        <f>E59</f>
        <v>1032957.7394290902</v>
      </c>
      <c r="F63" s="46">
        <f>F59</f>
        <v>1003541.9951505635</v>
      </c>
    </row>
    <row r="64" spans="2:20" ht="15" customHeight="1" x14ac:dyDescent="0.3">
      <c r="B64" s="38"/>
      <c r="C64" s="193">
        <v>0</v>
      </c>
      <c r="D64" s="193">
        <v>0</v>
      </c>
      <c r="E64" s="193">
        <v>0</v>
      </c>
      <c r="F64" s="193">
        <v>0</v>
      </c>
    </row>
    <row r="65" spans="2:7" ht="15" customHeight="1" x14ac:dyDescent="0.3">
      <c r="B65" s="38"/>
      <c r="C65" s="193">
        <v>0</v>
      </c>
      <c r="D65" s="193">
        <v>0</v>
      </c>
      <c r="E65" s="193">
        <v>0</v>
      </c>
      <c r="F65" s="193">
        <v>0</v>
      </c>
    </row>
    <row r="66" spans="2:7" ht="15" customHeight="1" x14ac:dyDescent="0.3">
      <c r="B66" s="149" t="s">
        <v>532</v>
      </c>
      <c r="C66" s="140">
        <f>C63+C64+C65</f>
        <v>410261.63448249968</v>
      </c>
      <c r="D66" s="140">
        <f>D63+D64+D65</f>
        <v>1185802.123655</v>
      </c>
      <c r="E66" s="140">
        <f>E63+E64+E65</f>
        <v>1032957.7394290902</v>
      </c>
      <c r="F66" s="140">
        <f>F63+F64+F65</f>
        <v>1003541.9951505635</v>
      </c>
      <c r="G66" s="140">
        <f>SUM(C66:F66)</f>
        <v>3632563.4927171534</v>
      </c>
    </row>
    <row r="67" spans="2:7" ht="15" customHeight="1" x14ac:dyDescent="0.3">
      <c r="B67" s="38" t="s">
        <v>533</v>
      </c>
      <c r="C67" s="56" t="s">
        <v>55</v>
      </c>
      <c r="D67" s="56" t="s">
        <v>56</v>
      </c>
      <c r="E67" s="56" t="s">
        <v>57</v>
      </c>
      <c r="F67" s="56" t="s">
        <v>58</v>
      </c>
    </row>
  </sheetData>
  <mergeCells count="2">
    <mergeCell ref="B1:K1"/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67"/>
  <sheetViews>
    <sheetView showGridLines="0" zoomScaleNormal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S56" sqref="S56"/>
    </sheetView>
  </sheetViews>
  <sheetFormatPr defaultColWidth="8.6640625" defaultRowHeight="14.4" x14ac:dyDescent="0.3"/>
  <cols>
    <col min="1" max="1" width="2" customWidth="1"/>
    <col min="2" max="2" width="36" customWidth="1"/>
    <col min="3" max="10" width="13" customWidth="1"/>
    <col min="11" max="11" width="15" customWidth="1"/>
    <col min="13" max="18" width="0" hidden="1" customWidth="1"/>
    <col min="19" max="19" width="34" customWidth="1"/>
    <col min="20" max="20" width="15" customWidth="1"/>
  </cols>
  <sheetData>
    <row r="1" spans="2:11" ht="17.25" customHeight="1" x14ac:dyDescent="0.3">
      <c r="B1" s="207" t="s">
        <v>535</v>
      </c>
      <c r="C1" s="207"/>
      <c r="D1" s="207"/>
      <c r="E1" s="207"/>
      <c r="F1" s="207"/>
      <c r="G1" s="207"/>
      <c r="H1" s="207"/>
      <c r="I1" s="207"/>
      <c r="J1" s="207"/>
      <c r="K1" s="207"/>
    </row>
    <row r="2" spans="2:11" ht="15" customHeight="1" x14ac:dyDescent="0.3">
      <c r="B2" s="205" t="s">
        <v>465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2:11" ht="15" customHeight="1" x14ac:dyDescent="0.3">
      <c r="B3" s="55" t="str">
        <f>"Funded horizon: through "&amp;INDEX(C4:J4,Assumptions!$C$43)&amp;"  (4/1/27 loan maturity).  Later quarters illustrative."</f>
        <v>Funded horizon: through Q2 2027  (4/1/27 loan maturity).  Later quarters illustrative.</v>
      </c>
    </row>
    <row r="4" spans="2:11" ht="15" customHeight="1" x14ac:dyDescent="0.3">
      <c r="B4" s="84" t="s">
        <v>164</v>
      </c>
      <c r="C4" s="64" t="s">
        <v>49</v>
      </c>
      <c r="D4" s="64" t="s">
        <v>50</v>
      </c>
      <c r="E4" s="64" t="s">
        <v>51</v>
      </c>
      <c r="F4" s="64" t="s">
        <v>52</v>
      </c>
      <c r="G4" s="64" t="s">
        <v>466</v>
      </c>
      <c r="H4" s="64" t="s">
        <v>467</v>
      </c>
      <c r="I4" s="64" t="s">
        <v>468</v>
      </c>
      <c r="J4" s="64" t="s">
        <v>469</v>
      </c>
      <c r="K4" s="183" t="s">
        <v>470</v>
      </c>
    </row>
    <row r="5" spans="2:11" ht="15" hidden="1" customHeight="1" x14ac:dyDescent="0.3">
      <c r="B5" s="29" t="s">
        <v>471</v>
      </c>
      <c r="C5" s="184">
        <v>1</v>
      </c>
      <c r="D5" s="184">
        <v>2</v>
      </c>
      <c r="E5" s="184">
        <v>3</v>
      </c>
      <c r="F5" s="184">
        <v>4</v>
      </c>
      <c r="G5" s="184">
        <v>5</v>
      </c>
      <c r="H5" s="184">
        <v>6</v>
      </c>
      <c r="I5" s="184">
        <v>7</v>
      </c>
      <c r="J5" s="184">
        <v>8</v>
      </c>
    </row>
    <row r="6" spans="2:11" ht="15" hidden="1" customHeight="1" x14ac:dyDescent="0.3">
      <c r="B6" s="74" t="s">
        <v>472</v>
      </c>
      <c r="C6" s="74">
        <v>2</v>
      </c>
      <c r="D6" s="74">
        <v>3</v>
      </c>
      <c r="E6" s="74">
        <v>3</v>
      </c>
      <c r="F6" s="74">
        <v>3</v>
      </c>
      <c r="G6" s="74">
        <v>3</v>
      </c>
      <c r="H6" s="74">
        <v>3</v>
      </c>
      <c r="I6" s="74">
        <v>3</v>
      </c>
      <c r="J6" s="74">
        <v>3</v>
      </c>
    </row>
    <row r="7" spans="2:11" ht="15" customHeight="1" x14ac:dyDescent="0.3">
      <c r="B7" s="31" t="s">
        <v>473</v>
      </c>
      <c r="C7" s="11"/>
      <c r="D7" s="11"/>
      <c r="E7" s="11"/>
      <c r="F7" s="11"/>
      <c r="G7" s="11"/>
      <c r="H7" s="11"/>
      <c r="I7" s="11"/>
      <c r="J7" s="11"/>
      <c r="K7" s="11"/>
    </row>
    <row r="8" spans="2:11" ht="15" customHeight="1" x14ac:dyDescent="0.3">
      <c r="B8" s="29" t="s">
        <v>474</v>
      </c>
      <c r="C8" s="46">
        <f>Assumptions!$E$9*C6*(1+Assumptions!$E$10)^(C5-1)</f>
        <v>1729870</v>
      </c>
      <c r="D8" s="46">
        <f>Assumptions!$E$9*D6*(1+Assumptions!$E$10)^(D5-1)</f>
        <v>2607779.0249999999</v>
      </c>
      <c r="E8" s="46">
        <f>Assumptions!$E$9*E6*(1+Assumptions!$E$10)^(E5-1)</f>
        <v>2620817.9201249992</v>
      </c>
      <c r="F8" s="46">
        <f>Assumptions!$E$9*F6*(1+Assumptions!$E$10)^(F5-1)</f>
        <v>2633922.0097256242</v>
      </c>
      <c r="G8" s="46">
        <f>Assumptions!$E$9*G6*(1+Assumptions!$E$10)^(G5-1)</f>
        <v>2647091.6197742512</v>
      </c>
      <c r="H8" s="46">
        <f>Assumptions!$E$9*H6*(1+Assumptions!$E$10)^(H5-1)</f>
        <v>2660327.0778731224</v>
      </c>
      <c r="I8" s="46">
        <f>Assumptions!$E$9*I6*(1+Assumptions!$E$10)^(I5-1)</f>
        <v>2673628.7132624872</v>
      </c>
      <c r="J8" s="46">
        <f>Assumptions!$E$9*J6*(1+Assumptions!$E$10)^(J5-1)</f>
        <v>2686996.8568287995</v>
      </c>
      <c r="K8" s="30">
        <f t="shared" ref="K8:K14" si="0">SUM(C8:J8)</f>
        <v>20260433.222589284</v>
      </c>
    </row>
    <row r="9" spans="2:11" ht="15" customHeight="1" x14ac:dyDescent="0.3">
      <c r="B9" s="29" t="s">
        <v>475</v>
      </c>
      <c r="C9" s="46">
        <f>-Assumptions!C$52*C8</f>
        <v>-380571.4</v>
      </c>
      <c r="D9" s="46">
        <f>-Assumptions!D$52*D8</f>
        <v>-383343.51667499996</v>
      </c>
      <c r="E9" s="46">
        <f>-Assumptions!E$52*E8</f>
        <v>-222769.52321062496</v>
      </c>
      <c r="F9" s="46">
        <f>-Assumptions!F$52*F8</f>
        <v>-197544.15072942182</v>
      </c>
      <c r="G9" s="46">
        <f>-Assumptions!G$52*G8</f>
        <v>-198531.87148306883</v>
      </c>
      <c r="H9" s="46">
        <f>-Assumptions!H$52*H8</f>
        <v>-199524.53084048416</v>
      </c>
      <c r="I9" s="46">
        <f>-Assumptions!I$52*I8</f>
        <v>-200522.15349468653</v>
      </c>
      <c r="J9" s="46">
        <f>-Assumptions!J$52*J8</f>
        <v>-201524.76426215997</v>
      </c>
      <c r="K9" s="30">
        <f t="shared" si="0"/>
        <v>-1984331.9106954464</v>
      </c>
    </row>
    <row r="10" spans="2:11" ht="15" customHeight="1" x14ac:dyDescent="0.3">
      <c r="B10" s="29" t="s">
        <v>476</v>
      </c>
      <c r="C10" s="46">
        <f>-Assumptions!$E$12*C6</f>
        <v>-52000</v>
      </c>
      <c r="D10" s="46">
        <f>-Assumptions!$E$12*D6</f>
        <v>-78000</v>
      </c>
      <c r="E10" s="46">
        <f>-Assumptions!$E$12*E6</f>
        <v>-78000</v>
      </c>
      <c r="F10" s="46">
        <f>-Assumptions!$E$12*F6</f>
        <v>-78000</v>
      </c>
      <c r="G10" s="46">
        <f>-Assumptions!$E$12*G6</f>
        <v>-78000</v>
      </c>
      <c r="H10" s="46">
        <f>-Assumptions!$E$12*H6</f>
        <v>-78000</v>
      </c>
      <c r="I10" s="46">
        <f>-Assumptions!$E$12*I6</f>
        <v>-78000</v>
      </c>
      <c r="J10" s="46">
        <f>-Assumptions!$E$12*J6</f>
        <v>-78000</v>
      </c>
      <c r="K10" s="30">
        <f t="shared" si="0"/>
        <v>-598000</v>
      </c>
    </row>
    <row r="11" spans="2:11" ht="15" customHeight="1" x14ac:dyDescent="0.3">
      <c r="B11" s="29" t="s">
        <v>477</v>
      </c>
      <c r="C11" s="46">
        <f>-Assumptions!$E$13*C6</f>
        <v>-124000</v>
      </c>
      <c r="D11" s="46">
        <f>-Assumptions!$E$13*D6</f>
        <v>-186000</v>
      </c>
      <c r="E11" s="46">
        <f>-Assumptions!$E$13*E6</f>
        <v>-186000</v>
      </c>
      <c r="F11" s="46">
        <f>-Assumptions!$E$13*F6</f>
        <v>-186000</v>
      </c>
      <c r="G11" s="46">
        <f>-Assumptions!$E$13*G6</f>
        <v>-186000</v>
      </c>
      <c r="H11" s="46">
        <f>-Assumptions!$E$13*H6</f>
        <v>-186000</v>
      </c>
      <c r="I11" s="46">
        <f>-Assumptions!$E$13*I6</f>
        <v>-186000</v>
      </c>
      <c r="J11" s="46">
        <f>-Assumptions!$E$13*J6</f>
        <v>-186000</v>
      </c>
      <c r="K11" s="30">
        <f t="shared" si="0"/>
        <v>-1426000</v>
      </c>
    </row>
    <row r="12" spans="2:11" ht="15" customHeight="1" x14ac:dyDescent="0.3">
      <c r="B12" s="84" t="s">
        <v>478</v>
      </c>
      <c r="C12" s="30">
        <f t="shared" ref="C12:J12" si="1">SUM(C8:C11)</f>
        <v>1173298.6000000001</v>
      </c>
      <c r="D12" s="30">
        <f t="shared" si="1"/>
        <v>1960435.5083249998</v>
      </c>
      <c r="E12" s="30">
        <f t="shared" si="1"/>
        <v>2134048.3969143741</v>
      </c>
      <c r="F12" s="30">
        <f t="shared" si="1"/>
        <v>2172377.8589962022</v>
      </c>
      <c r="G12" s="30">
        <f t="shared" si="1"/>
        <v>2184559.7482911823</v>
      </c>
      <c r="H12" s="30">
        <f t="shared" si="1"/>
        <v>2196802.5470326385</v>
      </c>
      <c r="I12" s="30">
        <f t="shared" si="1"/>
        <v>2209106.5597678008</v>
      </c>
      <c r="J12" s="30">
        <f t="shared" si="1"/>
        <v>2221472.0925666397</v>
      </c>
      <c r="K12" s="30">
        <f t="shared" si="0"/>
        <v>16252101.311893839</v>
      </c>
    </row>
    <row r="13" spans="2:11" ht="15" customHeight="1" x14ac:dyDescent="0.3">
      <c r="B13" s="29" t="s">
        <v>479</v>
      </c>
      <c r="C13" s="46">
        <f>Assumptions!$E$14*C6</f>
        <v>320000</v>
      </c>
      <c r="D13" s="46">
        <f>Assumptions!$E$14*D6</f>
        <v>480000</v>
      </c>
      <c r="E13" s="46">
        <f>Assumptions!$E$14*E6</f>
        <v>480000</v>
      </c>
      <c r="F13" s="46">
        <f>Assumptions!$E$14*F6</f>
        <v>480000</v>
      </c>
      <c r="G13" s="46">
        <f>Assumptions!$E$14*G6</f>
        <v>480000</v>
      </c>
      <c r="H13" s="46">
        <f>Assumptions!$E$14*H6</f>
        <v>480000</v>
      </c>
      <c r="I13" s="46">
        <f>Assumptions!$E$14*I6</f>
        <v>480000</v>
      </c>
      <c r="J13" s="46">
        <f>Assumptions!$E$14*J6</f>
        <v>480000</v>
      </c>
      <c r="K13" s="30">
        <f t="shared" si="0"/>
        <v>3680000</v>
      </c>
    </row>
    <row r="14" spans="2:11" ht="15" customHeight="1" x14ac:dyDescent="0.3">
      <c r="B14" s="84" t="s">
        <v>480</v>
      </c>
      <c r="C14" s="30">
        <f t="shared" ref="C14:J14" si="2">C12+C13</f>
        <v>1493298.6</v>
      </c>
      <c r="D14" s="30">
        <f t="shared" si="2"/>
        <v>2440435.5083249998</v>
      </c>
      <c r="E14" s="30">
        <f t="shared" si="2"/>
        <v>2614048.3969143741</v>
      </c>
      <c r="F14" s="30">
        <f t="shared" si="2"/>
        <v>2652377.8589962022</v>
      </c>
      <c r="G14" s="30">
        <f t="shared" si="2"/>
        <v>2664559.7482911823</v>
      </c>
      <c r="H14" s="30">
        <f t="shared" si="2"/>
        <v>2676802.5470326385</v>
      </c>
      <c r="I14" s="30">
        <f t="shared" si="2"/>
        <v>2689106.5597678008</v>
      </c>
      <c r="J14" s="30">
        <f t="shared" si="2"/>
        <v>2701472.0925666397</v>
      </c>
      <c r="K14" s="30">
        <f t="shared" si="0"/>
        <v>19932101.311893839</v>
      </c>
    </row>
    <row r="16" spans="2:11" ht="15" customHeight="1" x14ac:dyDescent="0.3">
      <c r="B16" s="31" t="s">
        <v>481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2:11" ht="15" customHeight="1" x14ac:dyDescent="0.3">
      <c r="B17" s="29" t="s">
        <v>482</v>
      </c>
      <c r="C17" s="46">
        <f>-Assumptions!$E$17*C6*(1+Assumptions!$E$25)^(C5-1)</f>
        <v>-250776</v>
      </c>
      <c r="D17" s="46">
        <f>-Assumptions!$E$17*D6*(1+Assumptions!$E$25)^(D5-1)</f>
        <v>-377668.65600000002</v>
      </c>
      <c r="E17" s="46">
        <f>-Assumptions!$E$17*E6*(1+Assumptions!$E$25)^(E5-1)</f>
        <v>-379179.33062399999</v>
      </c>
      <c r="F17" s="46">
        <f>-Assumptions!$E$17*F6*(1+Assumptions!$E$25)^(F5-1)</f>
        <v>-380696.04794649599</v>
      </c>
      <c r="G17" s="46">
        <f>-Assumptions!$E$17*G6*(1+Assumptions!$E$25)^(G5-1)</f>
        <v>-382218.83213828201</v>
      </c>
      <c r="H17" s="46">
        <f>-Assumptions!$E$17*H6*(1+Assumptions!$E$25)^(H5-1)</f>
        <v>-383747.7074668351</v>
      </c>
      <c r="I17" s="46">
        <f>-Assumptions!$E$17*I6*(1+Assumptions!$E$25)^(I5-1)</f>
        <v>-385282.69829670247</v>
      </c>
      <c r="J17" s="46">
        <f>-Assumptions!$E$17*J6*(1+Assumptions!$E$25)^(J5-1)</f>
        <v>-386823.82908988924</v>
      </c>
      <c r="K17" s="30">
        <f t="shared" ref="K17:K26" si="3">SUM(C17:J17)</f>
        <v>-2926393.1015622048</v>
      </c>
    </row>
    <row r="18" spans="2:11" ht="15" customHeight="1" x14ac:dyDescent="0.3">
      <c r="B18" s="29" t="s">
        <v>483</v>
      </c>
      <c r="C18" s="46">
        <f>-Assumptions!$E$18*C6*(1+Assumptions!$E$25)^(C5-1)</f>
        <v>-31772</v>
      </c>
      <c r="D18" s="46">
        <f>-Assumptions!$E$18*D6*(1+Assumptions!$E$25)^(D5-1)</f>
        <v>-47848.631999999998</v>
      </c>
      <c r="E18" s="46">
        <f>-Assumptions!$E$18*E6*(1+Assumptions!$E$25)^(E5-1)</f>
        <v>-48040.026528000002</v>
      </c>
      <c r="F18" s="46">
        <f>-Assumptions!$E$18*F6*(1+Assumptions!$E$25)^(F5-1)</f>
        <v>-48232.186634112004</v>
      </c>
      <c r="G18" s="46">
        <f>-Assumptions!$E$18*G6*(1+Assumptions!$E$25)^(G5-1)</f>
        <v>-48425.115380648451</v>
      </c>
      <c r="H18" s="46">
        <f>-Assumptions!$E$18*H6*(1+Assumptions!$E$25)^(H5-1)</f>
        <v>-48618.81584217104</v>
      </c>
      <c r="I18" s="46">
        <f>-Assumptions!$E$18*I6*(1+Assumptions!$E$25)^(I5-1)</f>
        <v>-48813.291105539727</v>
      </c>
      <c r="J18" s="46">
        <f>-Assumptions!$E$18*J6*(1+Assumptions!$E$25)^(J5-1)</f>
        <v>-49008.544269961887</v>
      </c>
      <c r="K18" s="30">
        <f t="shared" si="3"/>
        <v>-370758.61176043306</v>
      </c>
    </row>
    <row r="19" spans="2:11" ht="15" customHeight="1" x14ac:dyDescent="0.3">
      <c r="B19" s="29" t="s">
        <v>484</v>
      </c>
      <c r="C19" s="46">
        <f>-Assumptions!$E$19*C6*(1+Assumptions!$E$25)^(C5-1)</f>
        <v>-104926</v>
      </c>
      <c r="D19" s="46">
        <f>-Assumptions!$E$19*D6*(1+Assumptions!$E$25)^(D5-1)</f>
        <v>-158018.55600000001</v>
      </c>
      <c r="E19" s="46">
        <f>-Assumptions!$E$19*E6*(1+Assumptions!$E$25)^(E5-1)</f>
        <v>-158650.63022399999</v>
      </c>
      <c r="F19" s="46">
        <f>-Assumptions!$E$19*F6*(1+Assumptions!$E$25)^(F5-1)</f>
        <v>-159285.232744896</v>
      </c>
      <c r="G19" s="46">
        <f>-Assumptions!$E$19*G6*(1+Assumptions!$E$25)^(G5-1)</f>
        <v>-159922.3736758756</v>
      </c>
      <c r="H19" s="46">
        <f>-Assumptions!$E$19*H6*(1+Assumptions!$E$25)^(H5-1)</f>
        <v>-160562.06317057909</v>
      </c>
      <c r="I19" s="46">
        <f>-Assumptions!$E$19*I6*(1+Assumptions!$E$25)^(I5-1)</f>
        <v>-161204.31142326142</v>
      </c>
      <c r="J19" s="46">
        <f>-Assumptions!$E$19*J6*(1+Assumptions!$E$25)^(J5-1)</f>
        <v>-161849.12866895445</v>
      </c>
      <c r="K19" s="30">
        <f t="shared" si="3"/>
        <v>-1224418.2959075663</v>
      </c>
    </row>
    <row r="20" spans="2:11" ht="15" customHeight="1" x14ac:dyDescent="0.3">
      <c r="B20" s="29" t="s">
        <v>485</v>
      </c>
      <c r="C20" s="46">
        <f>-Assumptions!$E$20*C6*(1+Assumptions!$E$25)^(C5-1)</f>
        <v>-144512</v>
      </c>
      <c r="D20" s="46">
        <f>-Assumptions!$E$20*D6*(1+Assumptions!$E$25)^(D5-1)</f>
        <v>-217635.07200000001</v>
      </c>
      <c r="E20" s="46">
        <f>-Assumptions!$E$20*E6*(1+Assumptions!$E$25)^(E5-1)</f>
        <v>-218505.612288</v>
      </c>
      <c r="F20" s="46">
        <f>-Assumptions!$E$20*F6*(1+Assumptions!$E$25)^(F5-1)</f>
        <v>-219379.634737152</v>
      </c>
      <c r="G20" s="46">
        <f>-Assumptions!$E$20*G6*(1+Assumptions!$E$25)^(G5-1)</f>
        <v>-220257.15327610064</v>
      </c>
      <c r="H20" s="46">
        <f>-Assumptions!$E$20*H6*(1+Assumptions!$E$25)^(H5-1)</f>
        <v>-221138.18188920501</v>
      </c>
      <c r="I20" s="46">
        <f>-Assumptions!$E$20*I6*(1+Assumptions!$E$25)^(I5-1)</f>
        <v>-222022.73461676182</v>
      </c>
      <c r="J20" s="46">
        <f>-Assumptions!$E$20*J6*(1+Assumptions!$E$25)^(J5-1)</f>
        <v>-222910.82555522889</v>
      </c>
      <c r="K20" s="30">
        <f t="shared" si="3"/>
        <v>-1686361.2143624483</v>
      </c>
    </row>
    <row r="21" spans="2:11" ht="15" customHeight="1" x14ac:dyDescent="0.3">
      <c r="B21" s="29" t="s">
        <v>486</v>
      </c>
      <c r="C21" s="46">
        <f>-Assumptions!$E$21*C6*(1+Assumptions!$E$25)^(C5-1)</f>
        <v>-253370</v>
      </c>
      <c r="D21" s="46">
        <f>-Assumptions!$E$21*D6*(1+Assumptions!$E$25)^(D5-1)</f>
        <v>-381575.22000000003</v>
      </c>
      <c r="E21" s="46">
        <f>-Assumptions!$E$21*E6*(1+Assumptions!$E$25)^(E5-1)</f>
        <v>-383101.52088000003</v>
      </c>
      <c r="F21" s="46">
        <f>-Assumptions!$E$21*F6*(1+Assumptions!$E$25)^(F5-1)</f>
        <v>-384633.92696352</v>
      </c>
      <c r="G21" s="46">
        <f>-Assumptions!$E$21*G6*(1+Assumptions!$E$25)^(G5-1)</f>
        <v>-386172.46267137409</v>
      </c>
      <c r="H21" s="46">
        <f>-Assumptions!$E$21*H6*(1+Assumptions!$E$25)^(H5-1)</f>
        <v>-387717.15252205956</v>
      </c>
      <c r="I21" s="46">
        <f>-Assumptions!$E$21*I6*(1+Assumptions!$E$25)^(I5-1)</f>
        <v>-389268.02113214781</v>
      </c>
      <c r="J21" s="46">
        <f>-Assumptions!$E$21*J6*(1+Assumptions!$E$25)^(J5-1)</f>
        <v>-390825.09321667638</v>
      </c>
      <c r="K21" s="30">
        <f t="shared" si="3"/>
        <v>-2956663.3973857779</v>
      </c>
    </row>
    <row r="22" spans="2:11" ht="15" customHeight="1" x14ac:dyDescent="0.3">
      <c r="B22" s="29" t="s">
        <v>487</v>
      </c>
      <c r="C22" s="46">
        <f>-Assumptions!$E$22*C6*(1+Assumptions!$E$25)^(C5-1)</f>
        <v>0</v>
      </c>
      <c r="D22" s="46">
        <f>-Assumptions!$E$22*D6*(1+Assumptions!$E$25)^(D5-1)</f>
        <v>0</v>
      </c>
      <c r="E22" s="46">
        <f>-Assumptions!$E$22*E6*(1+Assumptions!$E$25)^(E5-1)</f>
        <v>0</v>
      </c>
      <c r="F22" s="46">
        <f>-Assumptions!$E$22*F6*(1+Assumptions!$E$25)^(F5-1)</f>
        <v>0</v>
      </c>
      <c r="G22" s="46">
        <f>-Assumptions!$E$22*G6*(1+Assumptions!$E$25)^(G5-1)</f>
        <v>0</v>
      </c>
      <c r="H22" s="46">
        <f>-Assumptions!$E$22*H6*(1+Assumptions!$E$25)^(H5-1)</f>
        <v>0</v>
      </c>
      <c r="I22" s="46">
        <f>-Assumptions!$E$22*I6*(1+Assumptions!$E$25)^(I5-1)</f>
        <v>0</v>
      </c>
      <c r="J22" s="46">
        <f>-Assumptions!$E$22*J6*(1+Assumptions!$E$25)^(J5-1)</f>
        <v>0</v>
      </c>
      <c r="K22" s="30">
        <f t="shared" si="3"/>
        <v>0</v>
      </c>
    </row>
    <row r="23" spans="2:11" ht="15" customHeight="1" x14ac:dyDescent="0.3">
      <c r="B23" s="29" t="s">
        <v>488</v>
      </c>
      <c r="C23" s="46">
        <f>-Assumptions!$E$23*C6*(1+Assumptions!$E$25)^(C5-1)</f>
        <v>0</v>
      </c>
      <c r="D23" s="46">
        <f>-Assumptions!$E$23*D6*(1+Assumptions!$E$25)^(D5-1)</f>
        <v>0</v>
      </c>
      <c r="E23" s="46">
        <f>-Assumptions!$E$23*E6*(1+Assumptions!$E$25)^(E5-1)</f>
        <v>0</v>
      </c>
      <c r="F23" s="46">
        <f>-Assumptions!$E$23*F6*(1+Assumptions!$E$25)^(F5-1)</f>
        <v>0</v>
      </c>
      <c r="G23" s="46">
        <f>-Assumptions!$E$23*G6*(1+Assumptions!$E$25)^(G5-1)</f>
        <v>0</v>
      </c>
      <c r="H23" s="46">
        <f>-Assumptions!$E$23*H6*(1+Assumptions!$E$25)^(H5-1)</f>
        <v>0</v>
      </c>
      <c r="I23" s="46">
        <f>-Assumptions!$E$23*I6*(1+Assumptions!$E$25)^(I5-1)</f>
        <v>0</v>
      </c>
      <c r="J23" s="46">
        <f>-Assumptions!$E$23*J6*(1+Assumptions!$E$25)^(J5-1)</f>
        <v>0</v>
      </c>
      <c r="K23" s="30">
        <f t="shared" si="3"/>
        <v>0</v>
      </c>
    </row>
    <row r="24" spans="2:11" ht="15" customHeight="1" x14ac:dyDescent="0.3">
      <c r="B24" s="29" t="s">
        <v>489</v>
      </c>
      <c r="C24" s="46">
        <f>-Assumptions!$E$24*C14</f>
        <v>-74664.930000000008</v>
      </c>
      <c r="D24" s="46">
        <f>-Assumptions!$E$24*D14</f>
        <v>-122021.77541624999</v>
      </c>
      <c r="E24" s="46">
        <f>-Assumptions!$E$24*E14</f>
        <v>-130702.41984571872</v>
      </c>
      <c r="F24" s="46">
        <f>-Assumptions!$E$24*F14</f>
        <v>-132618.89294981011</v>
      </c>
      <c r="G24" s="46">
        <f>-Assumptions!$E$24*G14</f>
        <v>-133227.98741455912</v>
      </c>
      <c r="H24" s="46">
        <f>-Assumptions!$E$24*H14</f>
        <v>-133840.12735163193</v>
      </c>
      <c r="I24" s="46">
        <f>-Assumptions!$E$24*I14</f>
        <v>-134455.32798839005</v>
      </c>
      <c r="J24" s="46">
        <f>-Assumptions!$E$24*J14</f>
        <v>-135073.60462833199</v>
      </c>
      <c r="K24" s="30">
        <f t="shared" si="3"/>
        <v>-996605.06559469202</v>
      </c>
    </row>
    <row r="25" spans="2:11" ht="15" customHeight="1" x14ac:dyDescent="0.3">
      <c r="B25" s="84" t="s">
        <v>490</v>
      </c>
      <c r="C25" s="30">
        <f t="shared" ref="C25:J25" si="4">SUM(C17:C24)</f>
        <v>-860020.93</v>
      </c>
      <c r="D25" s="30">
        <f t="shared" si="4"/>
        <v>-1304767.9114162503</v>
      </c>
      <c r="E25" s="30">
        <f t="shared" si="4"/>
        <v>-1318179.5403897187</v>
      </c>
      <c r="F25" s="30">
        <f t="shared" si="4"/>
        <v>-1324845.9219759859</v>
      </c>
      <c r="G25" s="30">
        <f t="shared" si="4"/>
        <v>-1330223.92455684</v>
      </c>
      <c r="H25" s="30">
        <f t="shared" si="4"/>
        <v>-1335624.0482424817</v>
      </c>
      <c r="I25" s="30">
        <f t="shared" si="4"/>
        <v>-1341046.3845628034</v>
      </c>
      <c r="J25" s="30">
        <f t="shared" si="4"/>
        <v>-1346491.0254290428</v>
      </c>
      <c r="K25" s="30">
        <f t="shared" si="3"/>
        <v>-10161199.686573124</v>
      </c>
    </row>
    <row r="26" spans="2:11" ht="15" customHeight="1" x14ac:dyDescent="0.3">
      <c r="B26" s="84" t="s">
        <v>491</v>
      </c>
      <c r="C26" s="30">
        <f t="shared" ref="C26:J26" si="5">C14+C25</f>
        <v>633277.67000000004</v>
      </c>
      <c r="D26" s="30">
        <f t="shared" si="5"/>
        <v>1135667.5969087495</v>
      </c>
      <c r="E26" s="30">
        <f t="shared" si="5"/>
        <v>1295868.8565246554</v>
      </c>
      <c r="F26" s="30">
        <f t="shared" si="5"/>
        <v>1327531.9370202164</v>
      </c>
      <c r="G26" s="30">
        <f t="shared" si="5"/>
        <v>1334335.8237343424</v>
      </c>
      <c r="H26" s="30">
        <f t="shared" si="5"/>
        <v>1341178.4987901568</v>
      </c>
      <c r="I26" s="30">
        <f t="shared" si="5"/>
        <v>1348060.1752049974</v>
      </c>
      <c r="J26" s="30">
        <f t="shared" si="5"/>
        <v>1354981.0671375969</v>
      </c>
      <c r="K26" s="30">
        <f t="shared" si="3"/>
        <v>9770901.625320714</v>
      </c>
    </row>
    <row r="28" spans="2:11" ht="15" customHeight="1" x14ac:dyDescent="0.3">
      <c r="B28" s="31" t="s">
        <v>492</v>
      </c>
      <c r="C28" s="11"/>
      <c r="D28" s="11"/>
      <c r="E28" s="11"/>
      <c r="F28" s="11"/>
      <c r="G28" s="11"/>
      <c r="H28" s="11"/>
      <c r="I28" s="11"/>
      <c r="J28" s="11"/>
      <c r="K28" s="11"/>
    </row>
    <row r="29" spans="2:11" ht="15" customHeight="1" x14ac:dyDescent="0.3">
      <c r="B29" s="29" t="s">
        <v>493</v>
      </c>
      <c r="C29" s="46">
        <f>Assumptions!$C$28</f>
        <v>65012051.829999998</v>
      </c>
      <c r="D29" s="46">
        <f>Assumptions!$C$28</f>
        <v>65012051.829999998</v>
      </c>
      <c r="E29" s="46">
        <f>Assumptions!$C$28</f>
        <v>65012051.829999998</v>
      </c>
      <c r="F29" s="46">
        <f>Assumptions!$C$28</f>
        <v>65012051.829999998</v>
      </c>
      <c r="G29" s="46">
        <f>Assumptions!$C$28</f>
        <v>65012051.829999998</v>
      </c>
      <c r="H29" s="46">
        <f>Assumptions!$C$28</f>
        <v>65012051.829999998</v>
      </c>
      <c r="I29" s="46">
        <f>Assumptions!$C$28</f>
        <v>65012051.829999998</v>
      </c>
      <c r="J29" s="46">
        <f>Assumptions!$C$28</f>
        <v>65012051.829999998</v>
      </c>
      <c r="K29" s="30">
        <f>J29</f>
        <v>65012051.829999998</v>
      </c>
    </row>
    <row r="30" spans="2:11" ht="15" customHeight="1" x14ac:dyDescent="0.3">
      <c r="B30" s="29" t="s">
        <v>494</v>
      </c>
      <c r="C30" s="50">
        <f>Assumptions!$C$29</f>
        <v>7.0999999999999994E-2</v>
      </c>
      <c r="D30" s="50">
        <f>Assumptions!$C$29</f>
        <v>7.0999999999999994E-2</v>
      </c>
      <c r="E30" s="50">
        <f>Assumptions!$C$29</f>
        <v>7.0999999999999994E-2</v>
      </c>
      <c r="F30" s="50">
        <f>Assumptions!$C$29</f>
        <v>7.0999999999999994E-2</v>
      </c>
      <c r="G30" s="50">
        <f>Assumptions!$C$29</f>
        <v>7.0999999999999994E-2</v>
      </c>
      <c r="H30" s="50">
        <f>Assumptions!$C$29</f>
        <v>7.0999999999999994E-2</v>
      </c>
      <c r="I30" s="50">
        <f>Assumptions!$C$29</f>
        <v>7.0999999999999994E-2</v>
      </c>
      <c r="J30" s="50">
        <f>Assumptions!$C$29</f>
        <v>7.0999999999999994E-2</v>
      </c>
      <c r="K30" s="191">
        <f>AVERAGE(C30:J30)</f>
        <v>7.0999999999999994E-2</v>
      </c>
    </row>
    <row r="31" spans="2:11" ht="15" customHeight="1" x14ac:dyDescent="0.3">
      <c r="B31" s="29" t="s">
        <v>495</v>
      </c>
      <c r="C31" s="46">
        <f>-((Assumptions!$C$28*Assumptions!$C$29/12)+Assumptions!$C$30+Assumptions!$C$31-Assumptions!$C$32)*C6</f>
        <v>-1362409.2799883331</v>
      </c>
      <c r="D31" s="46">
        <f>-((Assumptions!$C$28*Assumptions!$C$29/12)+Assumptions!$C$30+Assumptions!$C$31-Assumptions!$C$32)*D6</f>
        <v>-2043613.9199824997</v>
      </c>
      <c r="E31" s="46">
        <f>-((Assumptions!$C$28*Assumptions!$C$29/12)+Assumptions!$C$30+Assumptions!$C$31-Assumptions!$C$32)*E6</f>
        <v>-2043613.9199824997</v>
      </c>
      <c r="F31" s="46">
        <f>-((Assumptions!$C$28*Assumptions!$C$29/12)+Assumptions!$C$30+Assumptions!$C$31-Assumptions!$C$32)*F6</f>
        <v>-2043613.9199824997</v>
      </c>
      <c r="G31" s="46">
        <f>-((Assumptions!$C$28*Assumptions!$C$29/12)+Assumptions!$C$30+Assumptions!$C$31-Assumptions!$C$32)*G6</f>
        <v>-2043613.9199824997</v>
      </c>
      <c r="H31" s="46">
        <f>-((Assumptions!$C$28*Assumptions!$C$29/12)+Assumptions!$C$30+Assumptions!$C$31-Assumptions!$C$32)*H6</f>
        <v>-2043613.9199824997</v>
      </c>
      <c r="I31" s="46">
        <f>-((Assumptions!$C$28*Assumptions!$C$29/12)+Assumptions!$C$30+Assumptions!$C$31-Assumptions!$C$32)*I6</f>
        <v>-2043613.9199824997</v>
      </c>
      <c r="J31" s="46">
        <f>-((Assumptions!$C$28*Assumptions!$C$29/12)+Assumptions!$C$30+Assumptions!$C$31-Assumptions!$C$32)*J6</f>
        <v>-2043613.9199824997</v>
      </c>
      <c r="K31" s="30">
        <f>SUM(C31:J31)</f>
        <v>-15667706.719865832</v>
      </c>
    </row>
    <row r="32" spans="2:11" ht="15" customHeight="1" x14ac:dyDescent="0.3">
      <c r="B32" s="84" t="s">
        <v>496</v>
      </c>
      <c r="C32" s="30">
        <f t="shared" ref="C32:J32" si="6">C26+C31</f>
        <v>-729131.60998833308</v>
      </c>
      <c r="D32" s="30">
        <f t="shared" si="6"/>
        <v>-907946.32307375013</v>
      </c>
      <c r="E32" s="30">
        <f t="shared" si="6"/>
        <v>-747745.06345784431</v>
      </c>
      <c r="F32" s="30">
        <f t="shared" si="6"/>
        <v>-716081.98296228331</v>
      </c>
      <c r="G32" s="30">
        <f t="shared" si="6"/>
        <v>-709278.09624815732</v>
      </c>
      <c r="H32" s="30">
        <f t="shared" si="6"/>
        <v>-702435.42119234288</v>
      </c>
      <c r="I32" s="30">
        <f t="shared" si="6"/>
        <v>-695553.74477750226</v>
      </c>
      <c r="J32" s="30">
        <f t="shared" si="6"/>
        <v>-688632.85284490278</v>
      </c>
      <c r="K32" s="30">
        <f>SUM(C32:J32)</f>
        <v>-5896805.0945451166</v>
      </c>
    </row>
    <row r="33" spans="2:20" ht="15" customHeight="1" x14ac:dyDescent="0.3">
      <c r="B33" s="29" t="s">
        <v>497</v>
      </c>
      <c r="C33" s="46">
        <f>-((Assumptions!$C$28*Assumptions!$C$29/12)+Assumptions!$C$30+Assumptions!$C$31)*C6</f>
        <v>-1483873.2799883331</v>
      </c>
      <c r="D33" s="46">
        <f>-((Assumptions!$C$28*Assumptions!$C$29/12)+Assumptions!$C$30+Assumptions!$C$31)*D6</f>
        <v>-2225809.9199824994</v>
      </c>
      <c r="E33" s="46">
        <f>-((Assumptions!$C$28*Assumptions!$C$29/12)+Assumptions!$C$30+Assumptions!$C$31)*E6</f>
        <v>-2225809.9199824994</v>
      </c>
      <c r="F33" s="46">
        <f>-((Assumptions!$C$28*Assumptions!$C$29/12)+Assumptions!$C$30+Assumptions!$C$31)*F6</f>
        <v>-2225809.9199824994</v>
      </c>
      <c r="G33" s="46">
        <f>-((Assumptions!$C$28*Assumptions!$C$29/12)+Assumptions!$C$30+Assumptions!$C$31)*G6</f>
        <v>-2225809.9199824994</v>
      </c>
      <c r="H33" s="46">
        <f>-((Assumptions!$C$28*Assumptions!$C$29/12)+Assumptions!$C$30+Assumptions!$C$31)*H6</f>
        <v>-2225809.9199824994</v>
      </c>
      <c r="I33" s="46">
        <f>-((Assumptions!$C$28*Assumptions!$C$29/12)+Assumptions!$C$30+Assumptions!$C$31)*I6</f>
        <v>-2225809.9199824994</v>
      </c>
      <c r="J33" s="46">
        <f>-((Assumptions!$C$28*Assumptions!$C$29/12)+Assumptions!$C$30+Assumptions!$C$31)*J6</f>
        <v>-2225809.9199824994</v>
      </c>
    </row>
    <row r="34" spans="2:20" ht="15" customHeight="1" x14ac:dyDescent="0.3">
      <c r="B34" s="31" t="s">
        <v>498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2:20" ht="15" customHeight="1" x14ac:dyDescent="0.3">
      <c r="B35" s="29" t="s">
        <v>499</v>
      </c>
      <c r="C35" s="46">
        <f>-Assumptions!C45</f>
        <v>-116766</v>
      </c>
      <c r="D35" s="46">
        <f>-Assumptions!D45</f>
        <v>-175149</v>
      </c>
      <c r="E35" s="46">
        <f>-Assumptions!E45</f>
        <v>-175149</v>
      </c>
      <c r="F35" s="46">
        <f>-Assumptions!F45</f>
        <v>-175149</v>
      </c>
      <c r="G35" s="46">
        <f>-Assumptions!G45</f>
        <v>0</v>
      </c>
      <c r="H35" s="46">
        <f>-Assumptions!H45</f>
        <v>0</v>
      </c>
      <c r="I35" s="46">
        <f>-Assumptions!I45</f>
        <v>0</v>
      </c>
      <c r="J35" s="46">
        <f>-Assumptions!J45</f>
        <v>0</v>
      </c>
      <c r="K35" s="30">
        <f>SUM(C35:J35)</f>
        <v>-642213</v>
      </c>
    </row>
    <row r="36" spans="2:20" ht="15" customHeight="1" x14ac:dyDescent="0.3">
      <c r="B36" s="29" t="s">
        <v>500</v>
      </c>
      <c r="C36" s="46">
        <f>IF(C5=1,-Assumptions!$C$38,0)</f>
        <v>-126608.63</v>
      </c>
      <c r="D36" s="46">
        <f>IF(D5=1,-Assumptions!$C$38,0)</f>
        <v>0</v>
      </c>
      <c r="E36" s="46">
        <f>IF(E5=1,-Assumptions!$C$38,0)</f>
        <v>0</v>
      </c>
      <c r="F36" s="46">
        <f>IF(F5=1,-Assumptions!$C$38,0)</f>
        <v>0</v>
      </c>
      <c r="G36" s="46">
        <f>IF(G5=1,-Assumptions!$C$38,0)</f>
        <v>0</v>
      </c>
      <c r="H36" s="46">
        <f>IF(H5=1,-Assumptions!$C$38,0)</f>
        <v>0</v>
      </c>
      <c r="I36" s="46">
        <f>IF(I5=1,-Assumptions!$C$38,0)</f>
        <v>0</v>
      </c>
      <c r="J36" s="46">
        <f>IF(J5=1,-Assumptions!$C$38,0)</f>
        <v>0</v>
      </c>
      <c r="K36" s="30">
        <f>SUM(C36:J36)</f>
        <v>-126608.63</v>
      </c>
    </row>
    <row r="37" spans="2:20" ht="15" customHeight="1" x14ac:dyDescent="0.3">
      <c r="B37" s="29" t="s">
        <v>501</v>
      </c>
      <c r="C37" s="46">
        <f>IF(C5=1,-Assumptions!$C$39,0)</f>
        <v>0</v>
      </c>
      <c r="D37" s="46">
        <f>IF(D5=1,-Assumptions!$C$39,0)</f>
        <v>0</v>
      </c>
      <c r="E37" s="46">
        <f>IF(E5=1,-Assumptions!$C$39,0)</f>
        <v>0</v>
      </c>
      <c r="F37" s="46">
        <f>IF(F5=1,-Assumptions!$C$39,0)</f>
        <v>0</v>
      </c>
      <c r="G37" s="46">
        <f>IF(G5=1,-Assumptions!$C$39,0)</f>
        <v>0</v>
      </c>
      <c r="H37" s="46">
        <f>IF(H5=1,-Assumptions!$C$39,0)</f>
        <v>0</v>
      </c>
      <c r="I37" s="46">
        <f>IF(I5=1,-Assumptions!$C$39,0)</f>
        <v>0</v>
      </c>
      <c r="J37" s="46">
        <f>IF(J5=1,-Assumptions!$C$39,0)</f>
        <v>0</v>
      </c>
      <c r="K37" s="30">
        <f>SUM(C37:J37)</f>
        <v>0</v>
      </c>
    </row>
    <row r="38" spans="2:20" ht="15" customHeight="1" x14ac:dyDescent="0.3">
      <c r="B38" s="84" t="s">
        <v>502</v>
      </c>
      <c r="C38" s="30">
        <f t="shared" ref="C38:J38" si="7">C32+C35+C36+C37</f>
        <v>-972506.23998833308</v>
      </c>
      <c r="D38" s="30">
        <f t="shared" si="7"/>
        <v>-1083095.3230737501</v>
      </c>
      <c r="E38" s="30">
        <f t="shared" si="7"/>
        <v>-922894.06345784431</v>
      </c>
      <c r="F38" s="30">
        <f t="shared" si="7"/>
        <v>-891230.98296228331</v>
      </c>
      <c r="G38" s="30">
        <f t="shared" si="7"/>
        <v>-709278.09624815732</v>
      </c>
      <c r="H38" s="30">
        <f t="shared" si="7"/>
        <v>-702435.42119234288</v>
      </c>
      <c r="I38" s="30">
        <f t="shared" si="7"/>
        <v>-695553.74477750226</v>
      </c>
      <c r="J38" s="30">
        <f t="shared" si="7"/>
        <v>-688632.85284490278</v>
      </c>
      <c r="K38" s="30">
        <f>SUM(C38:J38)</f>
        <v>-6665626.7245451175</v>
      </c>
    </row>
    <row r="40" spans="2:20" ht="15" customHeight="1" x14ac:dyDescent="0.3">
      <c r="B40" s="31" t="s">
        <v>503</v>
      </c>
      <c r="C40" s="11"/>
      <c r="D40" s="11"/>
      <c r="E40" s="11"/>
      <c r="F40" s="11"/>
      <c r="G40" s="11"/>
      <c r="H40" s="11"/>
      <c r="I40" s="11"/>
      <c r="J40" s="11"/>
      <c r="K40" s="11"/>
    </row>
    <row r="41" spans="2:20" ht="15" customHeight="1" x14ac:dyDescent="0.3">
      <c r="B41" s="29" t="s">
        <v>504</v>
      </c>
      <c r="C41" s="46">
        <v>0</v>
      </c>
      <c r="D41" s="46">
        <f t="shared" ref="D41:J41" si="8">C43</f>
        <v>3578425.0094880438</v>
      </c>
      <c r="E41" s="46">
        <f t="shared" si="8"/>
        <v>2495329.6864142939</v>
      </c>
      <c r="F41" s="46">
        <f t="shared" si="8"/>
        <v>1572435.6229564496</v>
      </c>
      <c r="G41" s="46">
        <f t="shared" si="8"/>
        <v>681204.63999416633</v>
      </c>
      <c r="H41" s="46">
        <f t="shared" si="8"/>
        <v>-28073.456253990997</v>
      </c>
      <c r="I41" s="46">
        <f t="shared" si="8"/>
        <v>-730508.87744633388</v>
      </c>
      <c r="J41" s="46">
        <f t="shared" si="8"/>
        <v>-1426062.6222238361</v>
      </c>
    </row>
    <row r="42" spans="2:20" ht="15" customHeight="1" x14ac:dyDescent="0.3">
      <c r="B42" s="84" t="s">
        <v>505</v>
      </c>
      <c r="C42" s="30">
        <f>$T$50</f>
        <v>4550931.2494763769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</row>
    <row r="43" spans="2:20" ht="15" customHeight="1" x14ac:dyDescent="0.3">
      <c r="B43" s="84" t="s">
        <v>506</v>
      </c>
      <c r="C43" s="30">
        <f t="shared" ref="C43:J43" si="9">C41+C42+C38</f>
        <v>3578425.0094880438</v>
      </c>
      <c r="D43" s="30">
        <f t="shared" si="9"/>
        <v>2495329.6864142939</v>
      </c>
      <c r="E43" s="30">
        <f t="shared" si="9"/>
        <v>1572435.6229564496</v>
      </c>
      <c r="F43" s="30">
        <f t="shared" si="9"/>
        <v>681204.63999416633</v>
      </c>
      <c r="G43" s="30">
        <f t="shared" si="9"/>
        <v>-28073.456253990997</v>
      </c>
      <c r="H43" s="30">
        <f t="shared" si="9"/>
        <v>-730508.87744633388</v>
      </c>
      <c r="I43" s="30">
        <f t="shared" si="9"/>
        <v>-1426062.6222238361</v>
      </c>
      <c r="J43" s="30">
        <f t="shared" si="9"/>
        <v>-2114695.4750687387</v>
      </c>
      <c r="K43" s="30">
        <f>J43</f>
        <v>-2114695.4750687387</v>
      </c>
    </row>
    <row r="45" spans="2:20" ht="15" customHeight="1" x14ac:dyDescent="0.3">
      <c r="B45" s="31" t="s">
        <v>507</v>
      </c>
      <c r="C45" s="11"/>
      <c r="D45" s="11"/>
      <c r="E45" s="11"/>
      <c r="F45" s="11"/>
      <c r="G45" s="11"/>
      <c r="H45" s="11"/>
      <c r="I45" s="11"/>
      <c r="J45" s="11"/>
      <c r="K45" s="11"/>
      <c r="S45" s="188" t="s">
        <v>508</v>
      </c>
      <c r="T45" s="189"/>
    </row>
    <row r="46" spans="2:20" ht="15" customHeight="1" x14ac:dyDescent="0.3">
      <c r="B46" s="29" t="s">
        <v>509</v>
      </c>
      <c r="C46" s="30">
        <f>SUM(C26:F26)</f>
        <v>4392346.0604536207</v>
      </c>
      <c r="S46" s="29" t="s">
        <v>510</v>
      </c>
      <c r="T46" s="46">
        <f>'Capex Run Rate'!$C$3</f>
        <v>642213</v>
      </c>
    </row>
    <row r="47" spans="2:20" ht="15" customHeight="1" x14ac:dyDescent="0.3">
      <c r="B47" s="29" t="s">
        <v>511</v>
      </c>
      <c r="C47" s="30">
        <f>-SUM(C31:F31)</f>
        <v>7493251.0399358319</v>
      </c>
      <c r="S47" s="29" t="s">
        <v>512</v>
      </c>
      <c r="T47" s="46">
        <f>Assumptions!$C$38</f>
        <v>126608.63</v>
      </c>
    </row>
    <row r="48" spans="2:20" ht="15" customHeight="1" x14ac:dyDescent="0.3">
      <c r="B48" s="29" t="s">
        <v>513</v>
      </c>
      <c r="C48" s="190">
        <f>SUM(C26:F26)/-SUM(C31:F31)</f>
        <v>0.58617361637082355</v>
      </c>
      <c r="S48" s="29" t="s">
        <v>33</v>
      </c>
      <c r="T48" s="46">
        <f>Assumptions!$C$39</f>
        <v>0</v>
      </c>
    </row>
    <row r="49" spans="2:20" ht="15" customHeight="1" x14ac:dyDescent="0.3">
      <c r="B49" s="29" t="s">
        <v>514</v>
      </c>
      <c r="C49" s="191">
        <f>SUM(C26:F26)/Assumptions!$C$28</f>
        <v>6.7562027913519257E-2</v>
      </c>
      <c r="S49" s="29" t="s">
        <v>515</v>
      </c>
      <c r="T49" s="46">
        <f>MAX(0,-SUMIF(C5:J5,"&lt;="&amp;Assumptions!$C$43,C32:J32))+Assumptions!$C$40</f>
        <v>3782109.619476377</v>
      </c>
    </row>
    <row r="50" spans="2:20" ht="15" customHeight="1" x14ac:dyDescent="0.3">
      <c r="B50" s="29" t="s">
        <v>516</v>
      </c>
      <c r="C50" s="30">
        <f>T50</f>
        <v>4550931.2494763769</v>
      </c>
      <c r="S50" s="84" t="s">
        <v>517</v>
      </c>
      <c r="T50" s="30">
        <f>T46+T47+T48+T49</f>
        <v>4550931.2494763769</v>
      </c>
    </row>
    <row r="51" spans="2:20" ht="15" customHeight="1" x14ac:dyDescent="0.3">
      <c r="B51" s="29" t="s">
        <v>518</v>
      </c>
      <c r="C51" s="30">
        <f ca="1">MIN(OFFSET(C43,0,0,1,Assumptions!$C$43))</f>
        <v>681204.63999416633</v>
      </c>
      <c r="S51" s="29" t="s">
        <v>519</v>
      </c>
      <c r="T51" s="46">
        <f>Assumptions!$C$41</f>
        <v>1300987.24</v>
      </c>
    </row>
    <row r="52" spans="2:20" ht="15" customHeight="1" x14ac:dyDescent="0.3">
      <c r="B52" s="29" t="s">
        <v>520</v>
      </c>
      <c r="C52" s="30">
        <f>SUMIF(C5:J5,"&lt;="&amp;Assumptions!$C$43,C32:J32)</f>
        <v>-3100904.9794822107</v>
      </c>
      <c r="S52" s="192" t="s">
        <v>521</v>
      </c>
      <c r="T52" s="140">
        <f>T50-T51</f>
        <v>3249944.0094763767</v>
      </c>
    </row>
    <row r="53" spans="2:20" ht="15" customHeight="1" x14ac:dyDescent="0.3">
      <c r="B53" s="29" t="s">
        <v>522</v>
      </c>
      <c r="C53" s="30">
        <f>SUM(C32:F32)/12</f>
        <v>-258408.74829018422</v>
      </c>
      <c r="S53" s="29"/>
      <c r="T53" s="46"/>
    </row>
    <row r="54" spans="2:20" ht="15" customHeight="1" x14ac:dyDescent="0.3">
      <c r="B54" s="29" t="s">
        <v>523</v>
      </c>
      <c r="C54" s="30">
        <f>Assumptions!$C$60</f>
        <v>5300000</v>
      </c>
      <c r="S54" s="29"/>
      <c r="T54" s="46"/>
    </row>
    <row r="55" spans="2:20" ht="15" customHeight="1" x14ac:dyDescent="0.3">
      <c r="S55" s="29"/>
      <c r="T55" s="46"/>
    </row>
    <row r="56" spans="2:20" ht="15" customHeight="1" x14ac:dyDescent="0.3">
      <c r="B56" s="120" t="s">
        <v>524</v>
      </c>
      <c r="C56" s="11"/>
      <c r="D56" s="11"/>
      <c r="E56" s="11"/>
      <c r="F56" s="11"/>
      <c r="G56" s="11"/>
      <c r="H56" s="11"/>
      <c r="I56" s="11"/>
      <c r="J56" s="11"/>
      <c r="K56" s="11"/>
      <c r="S56" s="38"/>
      <c r="T56" s="193"/>
    </row>
    <row r="57" spans="2:20" ht="15" customHeight="1" x14ac:dyDescent="0.3">
      <c r="B57" s="29" t="s">
        <v>525</v>
      </c>
      <c r="C57" s="46">
        <f t="shared" ref="C57:J57" si="10">C38</f>
        <v>-972506.23998833308</v>
      </c>
      <c r="D57" s="46">
        <f t="shared" si="10"/>
        <v>-1083095.3230737501</v>
      </c>
      <c r="E57" s="46">
        <f t="shared" si="10"/>
        <v>-922894.06345784431</v>
      </c>
      <c r="F57" s="46">
        <f t="shared" si="10"/>
        <v>-891230.98296228331</v>
      </c>
      <c r="G57" s="46">
        <f t="shared" si="10"/>
        <v>-709278.09624815732</v>
      </c>
      <c r="H57" s="46">
        <f t="shared" si="10"/>
        <v>-702435.42119234288</v>
      </c>
      <c r="I57" s="46">
        <f t="shared" si="10"/>
        <v>-695553.74477750226</v>
      </c>
      <c r="J57" s="46">
        <f t="shared" si="10"/>
        <v>-688632.85284490278</v>
      </c>
      <c r="S57" s="29"/>
      <c r="T57" s="46"/>
    </row>
    <row r="58" spans="2:20" ht="15" customHeight="1" x14ac:dyDescent="0.3">
      <c r="B58" s="29" t="s">
        <v>526</v>
      </c>
      <c r="C58" s="46">
        <f>Assumptions!$C$41</f>
        <v>1300987.24</v>
      </c>
      <c r="D58" s="46">
        <f t="shared" ref="D58:J58" si="11">C60</f>
        <v>681204.63999416656</v>
      </c>
      <c r="E58" s="46">
        <f t="shared" si="11"/>
        <v>681204.63999416656</v>
      </c>
      <c r="F58" s="46">
        <f t="shared" si="11"/>
        <v>681204.63999416656</v>
      </c>
      <c r="G58" s="46">
        <f t="shared" si="11"/>
        <v>681204.63999416656</v>
      </c>
      <c r="H58" s="46">
        <f t="shared" si="11"/>
        <v>-28073.456253990764</v>
      </c>
      <c r="I58" s="46">
        <f t="shared" si="11"/>
        <v>-730508.87744633364</v>
      </c>
      <c r="J58" s="46">
        <f t="shared" si="11"/>
        <v>-1426062.6222238359</v>
      </c>
      <c r="S58" s="38"/>
      <c r="T58" s="193"/>
    </row>
    <row r="59" spans="2:20" ht="15" customHeight="1" x14ac:dyDescent="0.3">
      <c r="B59" s="149" t="s">
        <v>527</v>
      </c>
      <c r="C59" s="140">
        <f>IF(C5&lt;=Assumptions!$C$43,MAX(0,Assumptions!$C$40-(C58+C57)),0)</f>
        <v>352723.63998249965</v>
      </c>
      <c r="D59" s="140">
        <f>IF(D5&lt;=Assumptions!$C$43,MAX(0,Assumptions!$C$40-(D58+D57)),0)</f>
        <v>1083095.3230737501</v>
      </c>
      <c r="E59" s="140">
        <f>IF(E5&lt;=Assumptions!$C$43,MAX(0,Assumptions!$C$40-(E58+E57)),0)</f>
        <v>922894.06345784431</v>
      </c>
      <c r="F59" s="140">
        <f>IF(F5&lt;=Assumptions!$C$43,MAX(0,Assumptions!$C$40-(F58+F57)),0)</f>
        <v>891230.98296228331</v>
      </c>
      <c r="G59" s="140">
        <f>IF(G5&lt;=Assumptions!$C$43,MAX(0,Assumptions!$C$40-(G58+G57)),0)</f>
        <v>0</v>
      </c>
      <c r="H59" s="140">
        <f>IF(H5&lt;=Assumptions!$C$43,MAX(0,Assumptions!$C$40-(H58+H57)),0)</f>
        <v>0</v>
      </c>
      <c r="I59" s="140">
        <f>IF(I5&lt;=Assumptions!$C$43,MAX(0,Assumptions!$C$40-(I58+I57)),0)</f>
        <v>0</v>
      </c>
      <c r="J59" s="140">
        <f>IF(J5&lt;=Assumptions!$C$43,MAX(0,Assumptions!$C$40-(J58+J57)),0)</f>
        <v>0</v>
      </c>
      <c r="K59" s="140">
        <f>SUM(C59:J59)</f>
        <v>3249944.0094763776</v>
      </c>
      <c r="S59" s="38"/>
      <c r="T59" s="193"/>
    </row>
    <row r="60" spans="2:20" ht="15" customHeight="1" x14ac:dyDescent="0.3">
      <c r="B60" s="29" t="s">
        <v>528</v>
      </c>
      <c r="C60" s="46">
        <f t="shared" ref="C60:J60" si="12">C58+C57+C59</f>
        <v>681204.63999416656</v>
      </c>
      <c r="D60" s="46">
        <f t="shared" si="12"/>
        <v>681204.63999416656</v>
      </c>
      <c r="E60" s="46">
        <f t="shared" si="12"/>
        <v>681204.63999416656</v>
      </c>
      <c r="F60" s="46">
        <f t="shared" si="12"/>
        <v>681204.63999416656</v>
      </c>
      <c r="G60" s="46">
        <f t="shared" si="12"/>
        <v>-28073.456253990764</v>
      </c>
      <c r="H60" s="46">
        <f t="shared" si="12"/>
        <v>-730508.87744633364</v>
      </c>
      <c r="I60" s="46">
        <f t="shared" si="12"/>
        <v>-1426062.6222238359</v>
      </c>
      <c r="J60" s="46">
        <f t="shared" si="12"/>
        <v>-2114695.4750687387</v>
      </c>
    </row>
    <row r="61" spans="2:20" ht="15" customHeight="1" x14ac:dyDescent="0.3">
      <c r="B61" s="38" t="s">
        <v>529</v>
      </c>
      <c r="C61" s="193">
        <f>Assumptions!$C$60</f>
        <v>5300000</v>
      </c>
      <c r="D61" s="193">
        <v>0</v>
      </c>
      <c r="E61" s="193">
        <v>0</v>
      </c>
      <c r="F61" s="193">
        <v>0</v>
      </c>
      <c r="G61" s="193">
        <v>0</v>
      </c>
      <c r="H61" s="193">
        <v>0</v>
      </c>
      <c r="I61" s="193">
        <v>0</v>
      </c>
      <c r="J61" s="193">
        <v>0</v>
      </c>
    </row>
    <row r="62" spans="2:20" ht="15" customHeight="1" x14ac:dyDescent="0.3">
      <c r="B62" s="120" t="s">
        <v>530</v>
      </c>
      <c r="C62" s="11"/>
      <c r="D62" s="11"/>
      <c r="E62" s="11"/>
      <c r="F62" s="11"/>
      <c r="G62" s="11"/>
    </row>
    <row r="63" spans="2:20" ht="15" customHeight="1" x14ac:dyDescent="0.3">
      <c r="B63" s="29" t="s">
        <v>531</v>
      </c>
      <c r="C63" s="46">
        <f>C59</f>
        <v>352723.63998249965</v>
      </c>
      <c r="D63" s="46">
        <f>D59</f>
        <v>1083095.3230737501</v>
      </c>
      <c r="E63" s="46">
        <f>E59</f>
        <v>922894.06345784431</v>
      </c>
      <c r="F63" s="46">
        <f>F59</f>
        <v>891230.98296228331</v>
      </c>
    </row>
    <row r="64" spans="2:20" ht="15" customHeight="1" x14ac:dyDescent="0.3">
      <c r="B64" s="38"/>
      <c r="C64" s="193">
        <v>0</v>
      </c>
      <c r="D64" s="193">
        <v>0</v>
      </c>
      <c r="E64" s="193">
        <v>0</v>
      </c>
      <c r="F64" s="193">
        <v>0</v>
      </c>
    </row>
    <row r="65" spans="2:7" ht="15" customHeight="1" x14ac:dyDescent="0.3">
      <c r="B65" s="38"/>
      <c r="C65" s="193">
        <v>0</v>
      </c>
      <c r="D65" s="193">
        <v>0</v>
      </c>
      <c r="E65" s="193">
        <v>0</v>
      </c>
      <c r="F65" s="193">
        <v>0</v>
      </c>
    </row>
    <row r="66" spans="2:7" ht="15" customHeight="1" x14ac:dyDescent="0.3">
      <c r="B66" s="149" t="s">
        <v>532</v>
      </c>
      <c r="C66" s="140">
        <f>C63+C64+C65</f>
        <v>352723.63998249965</v>
      </c>
      <c r="D66" s="140">
        <f>D63+D64+D65</f>
        <v>1083095.3230737501</v>
      </c>
      <c r="E66" s="140">
        <f>E63+E64+E65</f>
        <v>922894.06345784431</v>
      </c>
      <c r="F66" s="140">
        <f>F63+F64+F65</f>
        <v>891230.98296228331</v>
      </c>
      <c r="G66" s="140">
        <f>SUM(C66:F66)</f>
        <v>3249944.0094763776</v>
      </c>
    </row>
    <row r="67" spans="2:7" ht="15" customHeight="1" x14ac:dyDescent="0.3">
      <c r="B67" s="38" t="s">
        <v>533</v>
      </c>
      <c r="C67" s="56" t="s">
        <v>55</v>
      </c>
      <c r="D67" s="56" t="s">
        <v>56</v>
      </c>
      <c r="E67" s="56" t="s">
        <v>57</v>
      </c>
      <c r="F67" s="56" t="s">
        <v>58</v>
      </c>
    </row>
  </sheetData>
  <mergeCells count="2">
    <mergeCell ref="B1:K1"/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T6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1" sqref="M1:R1048576"/>
    </sheetView>
  </sheetViews>
  <sheetFormatPr defaultColWidth="8.6640625" defaultRowHeight="14.4" x14ac:dyDescent="0.3"/>
  <cols>
    <col min="1" max="1" width="2" customWidth="1"/>
    <col min="2" max="2" width="36" customWidth="1"/>
    <col min="3" max="10" width="13" customWidth="1"/>
    <col min="11" max="11" width="15" customWidth="1"/>
    <col min="13" max="18" width="0" hidden="1" customWidth="1"/>
    <col min="19" max="19" width="34" customWidth="1"/>
    <col min="20" max="20" width="15" customWidth="1"/>
  </cols>
  <sheetData>
    <row r="1" spans="2:11" ht="17.25" customHeight="1" x14ac:dyDescent="0.3">
      <c r="B1" s="207" t="s">
        <v>536</v>
      </c>
      <c r="C1" s="207"/>
      <c r="D1" s="207"/>
      <c r="E1" s="207"/>
      <c r="F1" s="207"/>
      <c r="G1" s="207"/>
      <c r="H1" s="207"/>
      <c r="I1" s="207"/>
      <c r="J1" s="207"/>
      <c r="K1" s="207"/>
    </row>
    <row r="2" spans="2:11" ht="15" customHeight="1" x14ac:dyDescent="0.3">
      <c r="B2" s="205" t="s">
        <v>465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2:11" ht="15" customHeight="1" x14ac:dyDescent="0.3">
      <c r="B3" s="55" t="str">
        <f>"Funded horizon: through "&amp;INDEX(C4:J4,Assumptions!$C$43)&amp;"  (4/1/27 loan maturity).  Later quarters illustrative."</f>
        <v>Funded horizon: through Q2 2027  (4/1/27 loan maturity).  Later quarters illustrative.</v>
      </c>
    </row>
    <row r="4" spans="2:11" ht="15" customHeight="1" x14ac:dyDescent="0.3">
      <c r="B4" s="84" t="s">
        <v>164</v>
      </c>
      <c r="C4" s="64" t="s">
        <v>49</v>
      </c>
      <c r="D4" s="64" t="s">
        <v>50</v>
      </c>
      <c r="E4" s="64" t="s">
        <v>51</v>
      </c>
      <c r="F4" s="64" t="s">
        <v>52</v>
      </c>
      <c r="G4" s="64" t="s">
        <v>466</v>
      </c>
      <c r="H4" s="64" t="s">
        <v>467</v>
      </c>
      <c r="I4" s="64" t="s">
        <v>468</v>
      </c>
      <c r="J4" s="64" t="s">
        <v>469</v>
      </c>
      <c r="K4" s="183" t="s">
        <v>470</v>
      </c>
    </row>
    <row r="5" spans="2:11" ht="15" hidden="1" customHeight="1" x14ac:dyDescent="0.3">
      <c r="B5" s="29" t="s">
        <v>471</v>
      </c>
      <c r="C5" s="184">
        <v>1</v>
      </c>
      <c r="D5" s="184">
        <v>2</v>
      </c>
      <c r="E5" s="184">
        <v>3</v>
      </c>
      <c r="F5" s="184">
        <v>4</v>
      </c>
      <c r="G5" s="184">
        <v>5</v>
      </c>
      <c r="H5" s="184">
        <v>6</v>
      </c>
      <c r="I5" s="184">
        <v>7</v>
      </c>
      <c r="J5" s="184">
        <v>8</v>
      </c>
    </row>
    <row r="6" spans="2:11" ht="15" hidden="1" customHeight="1" x14ac:dyDescent="0.3">
      <c r="B6" s="74" t="s">
        <v>472</v>
      </c>
      <c r="C6" s="74">
        <v>2</v>
      </c>
      <c r="D6" s="74">
        <v>3</v>
      </c>
      <c r="E6" s="74">
        <v>3</v>
      </c>
      <c r="F6" s="74">
        <v>3</v>
      </c>
      <c r="G6" s="74">
        <v>3</v>
      </c>
      <c r="H6" s="74">
        <v>3</v>
      </c>
      <c r="I6" s="74">
        <v>3</v>
      </c>
      <c r="J6" s="74">
        <v>3</v>
      </c>
    </row>
    <row r="7" spans="2:11" ht="15" customHeight="1" x14ac:dyDescent="0.3">
      <c r="B7" s="31" t="s">
        <v>473</v>
      </c>
      <c r="C7" s="11"/>
      <c r="D7" s="11"/>
      <c r="E7" s="11"/>
      <c r="F7" s="11"/>
      <c r="G7" s="11"/>
      <c r="H7" s="11"/>
      <c r="I7" s="11"/>
      <c r="J7" s="11"/>
      <c r="K7" s="11"/>
    </row>
    <row r="8" spans="2:11" ht="15" customHeight="1" x14ac:dyDescent="0.3">
      <c r="B8" s="29" t="s">
        <v>474</v>
      </c>
      <c r="C8" s="46">
        <f>Assumptions!$F$9*C6*(1+Assumptions!$F$10)^(C5-1)</f>
        <v>1729870</v>
      </c>
      <c r="D8" s="46">
        <f>Assumptions!$F$9*D6*(1+Assumptions!$F$10)^(D5-1)</f>
        <v>2601292.0124999997</v>
      </c>
      <c r="E8" s="46">
        <f>Assumptions!$F$9*E6*(1+Assumptions!$F$10)^(E5-1)</f>
        <v>2607795.2425312498</v>
      </c>
      <c r="F8" s="46">
        <f>Assumptions!$F$9*F6*(1+Assumptions!$F$10)^(F5-1)</f>
        <v>2614314.7306375774</v>
      </c>
      <c r="G8" s="46">
        <f>Assumptions!$F$9*G6*(1+Assumptions!$F$10)^(G5-1)</f>
        <v>2620850.5174641716</v>
      </c>
      <c r="H8" s="46">
        <f>Assumptions!$F$9*H6*(1+Assumptions!$F$10)^(H5-1)</f>
        <v>2627402.6437578322</v>
      </c>
      <c r="I8" s="46">
        <f>Assumptions!$F$9*I6*(1+Assumptions!$F$10)^(I5-1)</f>
        <v>2633971.150367226</v>
      </c>
      <c r="J8" s="46">
        <f>Assumptions!$F$9*J6*(1+Assumptions!$F$10)^(J5-1)</f>
        <v>2640556.0782431439</v>
      </c>
      <c r="K8" s="30">
        <f t="shared" ref="K8:K14" si="0">SUM(C8:J8)</f>
        <v>20076052.375501201</v>
      </c>
    </row>
    <row r="9" spans="2:11" ht="15" customHeight="1" x14ac:dyDescent="0.3">
      <c r="B9" s="29" t="s">
        <v>475</v>
      </c>
      <c r="C9" s="46">
        <f>-Assumptions!C$53*C8</f>
        <v>-403059.71</v>
      </c>
      <c r="D9" s="46">
        <f>-Assumptions!D$53*D8</f>
        <v>-426611.89004999999</v>
      </c>
      <c r="E9" s="46">
        <f>-Assumptions!E$53*E8</f>
        <v>-265995.11473818746</v>
      </c>
      <c r="F9" s="46">
        <f>-Assumptions!F$53*F8</f>
        <v>-235288.32575738194</v>
      </c>
      <c r="G9" s="46">
        <f>-Assumptions!G$53*G8</f>
        <v>-235876.54657177543</v>
      </c>
      <c r="H9" s="46">
        <f>-Assumptions!H$53*H8</f>
        <v>-236466.2379382049</v>
      </c>
      <c r="I9" s="46">
        <f>-Assumptions!I$53*I8</f>
        <v>-237057.40353305032</v>
      </c>
      <c r="J9" s="46">
        <f>-Assumptions!J$53*J8</f>
        <v>-237650.04704188294</v>
      </c>
      <c r="K9" s="30">
        <f t="shared" si="0"/>
        <v>-2278005.2756304829</v>
      </c>
    </row>
    <row r="10" spans="2:11" ht="15" customHeight="1" x14ac:dyDescent="0.3">
      <c r="B10" s="29" t="s">
        <v>476</v>
      </c>
      <c r="C10" s="46">
        <f>-Assumptions!$F$12*C6</f>
        <v>-64196</v>
      </c>
      <c r="D10" s="46">
        <f>-Assumptions!$F$12*D6</f>
        <v>-96294</v>
      </c>
      <c r="E10" s="46">
        <f>-Assumptions!$F$12*E6</f>
        <v>-96294</v>
      </c>
      <c r="F10" s="46">
        <f>-Assumptions!$F$12*F6</f>
        <v>-96294</v>
      </c>
      <c r="G10" s="46">
        <f>-Assumptions!$F$12*G6</f>
        <v>-96294</v>
      </c>
      <c r="H10" s="46">
        <f>-Assumptions!$F$12*H6</f>
        <v>-96294</v>
      </c>
      <c r="I10" s="46">
        <f>-Assumptions!$F$12*I6</f>
        <v>-96294</v>
      </c>
      <c r="J10" s="46">
        <f>-Assumptions!$F$12*J6</f>
        <v>-96294</v>
      </c>
      <c r="K10" s="30">
        <f t="shared" si="0"/>
        <v>-738254</v>
      </c>
    </row>
    <row r="11" spans="2:11" ht="15" customHeight="1" x14ac:dyDescent="0.3">
      <c r="B11" s="29" t="s">
        <v>477</v>
      </c>
      <c r="C11" s="46">
        <f>-Assumptions!$F$13*C6</f>
        <v>-182828</v>
      </c>
      <c r="D11" s="46">
        <f>-Assumptions!$F$13*D6</f>
        <v>-274242</v>
      </c>
      <c r="E11" s="46">
        <f>-Assumptions!$F$13*E6</f>
        <v>-274242</v>
      </c>
      <c r="F11" s="46">
        <f>-Assumptions!$F$13*F6</f>
        <v>-274242</v>
      </c>
      <c r="G11" s="46">
        <f>-Assumptions!$F$13*G6</f>
        <v>-274242</v>
      </c>
      <c r="H11" s="46">
        <f>-Assumptions!$F$13*H6</f>
        <v>-274242</v>
      </c>
      <c r="I11" s="46">
        <f>-Assumptions!$F$13*I6</f>
        <v>-274242</v>
      </c>
      <c r="J11" s="46">
        <f>-Assumptions!$F$13*J6</f>
        <v>-274242</v>
      </c>
      <c r="K11" s="30">
        <f t="shared" si="0"/>
        <v>-2102522</v>
      </c>
    </row>
    <row r="12" spans="2:11" ht="15" customHeight="1" x14ac:dyDescent="0.3">
      <c r="B12" s="84" t="s">
        <v>478</v>
      </c>
      <c r="C12" s="30">
        <f t="shared" ref="C12:J12" si="1">SUM(C8:C11)</f>
        <v>1079786.29</v>
      </c>
      <c r="D12" s="30">
        <f t="shared" si="1"/>
        <v>1804144.1224499997</v>
      </c>
      <c r="E12" s="30">
        <f t="shared" si="1"/>
        <v>1971264.1277930625</v>
      </c>
      <c r="F12" s="30">
        <f t="shared" si="1"/>
        <v>2008490.4048801954</v>
      </c>
      <c r="G12" s="30">
        <f t="shared" si="1"/>
        <v>2014437.9708923963</v>
      </c>
      <c r="H12" s="30">
        <f t="shared" si="1"/>
        <v>2020400.4058196275</v>
      </c>
      <c r="I12" s="30">
        <f t="shared" si="1"/>
        <v>2026377.7468341757</v>
      </c>
      <c r="J12" s="30">
        <f t="shared" si="1"/>
        <v>2032370.0312012611</v>
      </c>
      <c r="K12" s="30">
        <f t="shared" si="0"/>
        <v>14957271.099870715</v>
      </c>
    </row>
    <row r="13" spans="2:11" ht="15" customHeight="1" x14ac:dyDescent="0.3">
      <c r="B13" s="29" t="s">
        <v>479</v>
      </c>
      <c r="C13" s="46">
        <f>Assumptions!$F$14*C6</f>
        <v>306118</v>
      </c>
      <c r="D13" s="46">
        <f>Assumptions!$F$14*D6</f>
        <v>459177</v>
      </c>
      <c r="E13" s="46">
        <f>Assumptions!$F$14*E6</f>
        <v>459177</v>
      </c>
      <c r="F13" s="46">
        <f>Assumptions!$F$14*F6</f>
        <v>459177</v>
      </c>
      <c r="G13" s="46">
        <f>Assumptions!$F$14*G6</f>
        <v>459177</v>
      </c>
      <c r="H13" s="46">
        <f>Assumptions!$F$14*H6</f>
        <v>459177</v>
      </c>
      <c r="I13" s="46">
        <f>Assumptions!$F$14*I6</f>
        <v>459177</v>
      </c>
      <c r="J13" s="46">
        <f>Assumptions!$F$14*J6</f>
        <v>459177</v>
      </c>
      <c r="K13" s="30">
        <f t="shared" si="0"/>
        <v>3520357</v>
      </c>
    </row>
    <row r="14" spans="2:11" ht="15" customHeight="1" x14ac:dyDescent="0.3">
      <c r="B14" s="84" t="s">
        <v>480</v>
      </c>
      <c r="C14" s="30">
        <f t="shared" ref="C14:J14" si="2">C12+C13</f>
        <v>1385904.29</v>
      </c>
      <c r="D14" s="30">
        <f t="shared" si="2"/>
        <v>2263321.1224499997</v>
      </c>
      <c r="E14" s="30">
        <f t="shared" si="2"/>
        <v>2430441.1277930625</v>
      </c>
      <c r="F14" s="30">
        <f t="shared" si="2"/>
        <v>2467667.4048801954</v>
      </c>
      <c r="G14" s="30">
        <f t="shared" si="2"/>
        <v>2473614.9708923963</v>
      </c>
      <c r="H14" s="30">
        <f t="shared" si="2"/>
        <v>2479577.4058196275</v>
      </c>
      <c r="I14" s="30">
        <f t="shared" si="2"/>
        <v>2485554.7468341757</v>
      </c>
      <c r="J14" s="30">
        <f t="shared" si="2"/>
        <v>2491547.0312012611</v>
      </c>
      <c r="K14" s="30">
        <f t="shared" si="0"/>
        <v>18477628.099870715</v>
      </c>
    </row>
    <row r="16" spans="2:11" ht="15" customHeight="1" x14ac:dyDescent="0.3">
      <c r="B16" s="31" t="s">
        <v>481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2:11" ht="15" customHeight="1" x14ac:dyDescent="0.3">
      <c r="B17" s="29" t="s">
        <v>482</v>
      </c>
      <c r="C17" s="46">
        <f>-Assumptions!$F$17*C6*(1+Assumptions!$F$25)^(C5-1)</f>
        <v>-250776</v>
      </c>
      <c r="D17" s="46">
        <f>-Assumptions!$F$17*D6*(1+Assumptions!$F$25)^(D5-1)</f>
        <v>-378044.81999999995</v>
      </c>
      <c r="E17" s="46">
        <f>-Assumptions!$F$17*E6*(1+Assumptions!$F$25)^(E5-1)</f>
        <v>-379935.04409999988</v>
      </c>
      <c r="F17" s="46">
        <f>-Assumptions!$F$17*F6*(1+Assumptions!$F$25)^(F5-1)</f>
        <v>-381834.71932049986</v>
      </c>
      <c r="G17" s="46">
        <f>-Assumptions!$F$17*G6*(1+Assumptions!$F$25)^(G5-1)</f>
        <v>-383743.89291710226</v>
      </c>
      <c r="H17" s="46">
        <f>-Assumptions!$F$17*H6*(1+Assumptions!$F$25)^(H5-1)</f>
        <v>-385662.61238168768</v>
      </c>
      <c r="I17" s="46">
        <f>-Assumptions!$F$17*I6*(1+Assumptions!$F$25)^(I5-1)</f>
        <v>-387590.92544359609</v>
      </c>
      <c r="J17" s="46">
        <f>-Assumptions!$F$17*J6*(1+Assumptions!$F$25)^(J5-1)</f>
        <v>-389528.88007081399</v>
      </c>
      <c r="K17" s="30">
        <f t="shared" ref="K17:K26" si="3">SUM(C17:J17)</f>
        <v>-2937116.8942336999</v>
      </c>
    </row>
    <row r="18" spans="2:11" ht="15" customHeight="1" x14ac:dyDescent="0.3">
      <c r="B18" s="29" t="s">
        <v>483</v>
      </c>
      <c r="C18" s="46">
        <f>-Assumptions!$F$18*C6*(1+Assumptions!$F$25)^(C5-1)</f>
        <v>-31772</v>
      </c>
      <c r="D18" s="46">
        <f>-Assumptions!$F$18*D6*(1+Assumptions!$F$25)^(D5-1)</f>
        <v>-47896.289999999994</v>
      </c>
      <c r="E18" s="46">
        <f>-Assumptions!$F$18*E6*(1+Assumptions!$F$25)^(E5-1)</f>
        <v>-48135.771449999986</v>
      </c>
      <c r="F18" s="46">
        <f>-Assumptions!$F$18*F6*(1+Assumptions!$F$25)^(F5-1)</f>
        <v>-48376.450307249979</v>
      </c>
      <c r="G18" s="46">
        <f>-Assumptions!$F$18*G6*(1+Assumptions!$F$25)^(G5-1)</f>
        <v>-48618.33255878622</v>
      </c>
      <c r="H18" s="46">
        <f>-Assumptions!$F$18*H6*(1+Assumptions!$F$25)^(H5-1)</f>
        <v>-48861.424221580142</v>
      </c>
      <c r="I18" s="46">
        <f>-Assumptions!$F$18*I6*(1+Assumptions!$F$25)^(I5-1)</f>
        <v>-49105.731342688036</v>
      </c>
      <c r="J18" s="46">
        <f>-Assumptions!$F$18*J6*(1+Assumptions!$F$25)^(J5-1)</f>
        <v>-49351.259999401467</v>
      </c>
      <c r="K18" s="30">
        <f t="shared" si="3"/>
        <v>-372117.25987970579</v>
      </c>
    </row>
    <row r="19" spans="2:11" ht="15" customHeight="1" x14ac:dyDescent="0.3">
      <c r="B19" s="29" t="s">
        <v>484</v>
      </c>
      <c r="C19" s="46">
        <f>-Assumptions!$F$19*C6*(1+Assumptions!$F$25)^(C5-1)</f>
        <v>-104926</v>
      </c>
      <c r="D19" s="46">
        <f>-Assumptions!$F$19*D6*(1+Assumptions!$F$25)^(D5-1)</f>
        <v>-158175.94499999998</v>
      </c>
      <c r="E19" s="46">
        <f>-Assumptions!$F$19*E6*(1+Assumptions!$F$25)^(E5-1)</f>
        <v>-158966.82472499995</v>
      </c>
      <c r="F19" s="46">
        <f>-Assumptions!$F$19*F6*(1+Assumptions!$F$25)^(F5-1)</f>
        <v>-159761.65884862494</v>
      </c>
      <c r="G19" s="46">
        <f>-Assumptions!$F$19*G6*(1+Assumptions!$F$25)^(G5-1)</f>
        <v>-160560.46714286803</v>
      </c>
      <c r="H19" s="46">
        <f>-Assumptions!$F$19*H6*(1+Assumptions!$F$25)^(H5-1)</f>
        <v>-161363.26947858234</v>
      </c>
      <c r="I19" s="46">
        <f>-Assumptions!$F$19*I6*(1+Assumptions!$F$25)^(I5-1)</f>
        <v>-162170.08582597523</v>
      </c>
      <c r="J19" s="46">
        <f>-Assumptions!$F$19*J6*(1+Assumptions!$F$25)^(J5-1)</f>
        <v>-162980.93625510507</v>
      </c>
      <c r="K19" s="30">
        <f t="shared" si="3"/>
        <v>-1228905.1872761555</v>
      </c>
    </row>
    <row r="20" spans="2:11" ht="15" customHeight="1" x14ac:dyDescent="0.3">
      <c r="B20" s="29" t="s">
        <v>485</v>
      </c>
      <c r="C20" s="46">
        <f>-Assumptions!$F$20*C6*(1+Assumptions!$F$25)^(C5-1)</f>
        <v>-144512</v>
      </c>
      <c r="D20" s="46">
        <f>-Assumptions!$F$20*D6*(1+Assumptions!$F$25)^(D5-1)</f>
        <v>-217851.83999999997</v>
      </c>
      <c r="E20" s="46">
        <f>-Assumptions!$F$20*E6*(1+Assumptions!$F$25)^(E5-1)</f>
        <v>-218941.09919999994</v>
      </c>
      <c r="F20" s="46">
        <f>-Assumptions!$F$20*F6*(1+Assumptions!$F$25)^(F5-1)</f>
        <v>-220035.80469599992</v>
      </c>
      <c r="G20" s="46">
        <f>-Assumptions!$F$20*G6*(1+Assumptions!$F$25)^(G5-1)</f>
        <v>-221135.98371947985</v>
      </c>
      <c r="H20" s="46">
        <f>-Assumptions!$F$20*H6*(1+Assumptions!$F$25)^(H5-1)</f>
        <v>-222241.66363807721</v>
      </c>
      <c r="I20" s="46">
        <f>-Assumptions!$F$20*I6*(1+Assumptions!$F$25)^(I5-1)</f>
        <v>-223352.87195626757</v>
      </c>
      <c r="J20" s="46">
        <f>-Assumptions!$F$20*J6*(1+Assumptions!$F$25)^(J5-1)</f>
        <v>-224469.63631604888</v>
      </c>
      <c r="K20" s="30">
        <f t="shared" si="3"/>
        <v>-1692540.8995258736</v>
      </c>
    </row>
    <row r="21" spans="2:11" ht="15" customHeight="1" x14ac:dyDescent="0.3">
      <c r="B21" s="29" t="s">
        <v>486</v>
      </c>
      <c r="C21" s="46">
        <f>-Assumptions!$F$21*C6*(1+Assumptions!$F$25)^(C5-1)</f>
        <v>-253370</v>
      </c>
      <c r="D21" s="46">
        <f>-Assumptions!$F$21*D6*(1+Assumptions!$F$25)^(D5-1)</f>
        <v>-381955.27499999997</v>
      </c>
      <c r="E21" s="46">
        <f>-Assumptions!$F$21*E6*(1+Assumptions!$F$25)^(E5-1)</f>
        <v>-383865.05137499992</v>
      </c>
      <c r="F21" s="46">
        <f>-Assumptions!$F$21*F6*(1+Assumptions!$F$25)^(F5-1)</f>
        <v>-385784.37663187488</v>
      </c>
      <c r="G21" s="46">
        <f>-Assumptions!$F$21*G6*(1+Assumptions!$F$25)^(G5-1)</f>
        <v>-387713.29851503414</v>
      </c>
      <c r="H21" s="46">
        <f>-Assumptions!$F$21*H6*(1+Assumptions!$F$25)^(H5-1)</f>
        <v>-389651.86500760925</v>
      </c>
      <c r="I21" s="46">
        <f>-Assumptions!$F$21*I6*(1+Assumptions!$F$25)^(I5-1)</f>
        <v>-391600.12433264719</v>
      </c>
      <c r="J21" s="46">
        <f>-Assumptions!$F$21*J6*(1+Assumptions!$F$25)^(J5-1)</f>
        <v>-393558.12495431042</v>
      </c>
      <c r="K21" s="30">
        <f t="shared" si="3"/>
        <v>-2967498.1158164758</v>
      </c>
    </row>
    <row r="22" spans="2:11" ht="15" customHeight="1" x14ac:dyDescent="0.3">
      <c r="B22" s="29" t="s">
        <v>487</v>
      </c>
      <c r="C22" s="46">
        <f>-Assumptions!$F$22*C6*(1+Assumptions!$F$25)^(C5-1)</f>
        <v>0</v>
      </c>
      <c r="D22" s="46">
        <f>-Assumptions!$F$22*D6*(1+Assumptions!$F$25)^(D5-1)</f>
        <v>0</v>
      </c>
      <c r="E22" s="46">
        <f>-Assumptions!$F$22*E6*(1+Assumptions!$F$25)^(E5-1)</f>
        <v>0</v>
      </c>
      <c r="F22" s="46">
        <f>-Assumptions!$F$22*F6*(1+Assumptions!$F$25)^(F5-1)</f>
        <v>0</v>
      </c>
      <c r="G22" s="46">
        <f>-Assumptions!$F$22*G6*(1+Assumptions!$F$25)^(G5-1)</f>
        <v>0</v>
      </c>
      <c r="H22" s="46">
        <f>-Assumptions!$F$22*H6*(1+Assumptions!$F$25)^(H5-1)</f>
        <v>0</v>
      </c>
      <c r="I22" s="46">
        <f>-Assumptions!$F$22*I6*(1+Assumptions!$F$25)^(I5-1)</f>
        <v>0</v>
      </c>
      <c r="J22" s="46">
        <f>-Assumptions!$F$22*J6*(1+Assumptions!$F$25)^(J5-1)</f>
        <v>0</v>
      </c>
      <c r="K22" s="30">
        <f t="shared" si="3"/>
        <v>0</v>
      </c>
    </row>
    <row r="23" spans="2:11" ht="15" customHeight="1" x14ac:dyDescent="0.3">
      <c r="B23" s="29" t="s">
        <v>488</v>
      </c>
      <c r="C23" s="46">
        <f>-Assumptions!$F$23*C6*(1+Assumptions!$F$25)^(C5-1)</f>
        <v>0</v>
      </c>
      <c r="D23" s="46">
        <f>-Assumptions!$F$23*D6*(1+Assumptions!$F$25)^(D5-1)</f>
        <v>0</v>
      </c>
      <c r="E23" s="46">
        <f>-Assumptions!$F$23*E6*(1+Assumptions!$F$25)^(E5-1)</f>
        <v>0</v>
      </c>
      <c r="F23" s="46">
        <f>-Assumptions!$F$23*F6*(1+Assumptions!$F$25)^(F5-1)</f>
        <v>0</v>
      </c>
      <c r="G23" s="46">
        <f>-Assumptions!$F$23*G6*(1+Assumptions!$F$25)^(G5-1)</f>
        <v>0</v>
      </c>
      <c r="H23" s="46">
        <f>-Assumptions!$F$23*H6*(1+Assumptions!$F$25)^(H5-1)</f>
        <v>0</v>
      </c>
      <c r="I23" s="46">
        <f>-Assumptions!$F$23*I6*(1+Assumptions!$F$25)^(I5-1)</f>
        <v>0</v>
      </c>
      <c r="J23" s="46">
        <f>-Assumptions!$F$23*J6*(1+Assumptions!$F$25)^(J5-1)</f>
        <v>0</v>
      </c>
      <c r="K23" s="30">
        <f t="shared" si="3"/>
        <v>0</v>
      </c>
    </row>
    <row r="24" spans="2:11" ht="15" customHeight="1" x14ac:dyDescent="0.3">
      <c r="B24" s="29" t="s">
        <v>489</v>
      </c>
      <c r="C24" s="46">
        <f>-Assumptions!$F$24*C14</f>
        <v>-69295.214500000002</v>
      </c>
      <c r="D24" s="46">
        <f>-Assumptions!$F$24*D14</f>
        <v>-113166.05612249998</v>
      </c>
      <c r="E24" s="46">
        <f>-Assumptions!$F$24*E14</f>
        <v>-121522.05638965312</v>
      </c>
      <c r="F24" s="46">
        <f>-Assumptions!$F$24*F14</f>
        <v>-123383.37024400977</v>
      </c>
      <c r="G24" s="46">
        <f>-Assumptions!$F$24*G14</f>
        <v>-123680.74854461983</v>
      </c>
      <c r="H24" s="46">
        <f>-Assumptions!$F$24*H14</f>
        <v>-123978.87029098137</v>
      </c>
      <c r="I24" s="46">
        <f>-Assumptions!$F$24*I14</f>
        <v>-124277.73734170879</v>
      </c>
      <c r="J24" s="46">
        <f>-Assumptions!$F$24*J14</f>
        <v>-124577.35156006306</v>
      </c>
      <c r="K24" s="30">
        <f t="shared" si="3"/>
        <v>-923881.40499353583</v>
      </c>
    </row>
    <row r="25" spans="2:11" ht="15" customHeight="1" x14ac:dyDescent="0.3">
      <c r="B25" s="84" t="s">
        <v>490</v>
      </c>
      <c r="C25" s="30">
        <f t="shared" ref="C25:J25" si="4">SUM(C17:C24)</f>
        <v>-854651.2145</v>
      </c>
      <c r="D25" s="30">
        <f t="shared" si="4"/>
        <v>-1297090.2261224999</v>
      </c>
      <c r="E25" s="30">
        <f t="shared" si="4"/>
        <v>-1311365.8472396529</v>
      </c>
      <c r="F25" s="30">
        <f t="shared" si="4"/>
        <v>-1319176.3800482592</v>
      </c>
      <c r="G25" s="30">
        <f t="shared" si="4"/>
        <v>-1325452.7233978906</v>
      </c>
      <c r="H25" s="30">
        <f t="shared" si="4"/>
        <v>-1331759.705018518</v>
      </c>
      <c r="I25" s="30">
        <f t="shared" si="4"/>
        <v>-1338097.4762428829</v>
      </c>
      <c r="J25" s="30">
        <f t="shared" si="4"/>
        <v>-1344466.1891557428</v>
      </c>
      <c r="K25" s="30">
        <f t="shared" si="3"/>
        <v>-10122059.761725446</v>
      </c>
    </row>
    <row r="26" spans="2:11" ht="15" customHeight="1" x14ac:dyDescent="0.3">
      <c r="B26" s="84" t="s">
        <v>491</v>
      </c>
      <c r="C26" s="30">
        <f t="shared" ref="C26:J26" si="5">C14+C25</f>
        <v>531253.07550000004</v>
      </c>
      <c r="D26" s="30">
        <f t="shared" si="5"/>
        <v>966230.89632749977</v>
      </c>
      <c r="E26" s="30">
        <f t="shared" si="5"/>
        <v>1119075.2805534096</v>
      </c>
      <c r="F26" s="30">
        <f t="shared" si="5"/>
        <v>1148491.0248319362</v>
      </c>
      <c r="G26" s="30">
        <f t="shared" si="5"/>
        <v>1148162.2474945057</v>
      </c>
      <c r="H26" s="30">
        <f t="shared" si="5"/>
        <v>1147817.7008011094</v>
      </c>
      <c r="I26" s="30">
        <f t="shared" si="5"/>
        <v>1147457.2705912928</v>
      </c>
      <c r="J26" s="30">
        <f t="shared" si="5"/>
        <v>1147080.8420455183</v>
      </c>
      <c r="K26" s="30">
        <f t="shared" si="3"/>
        <v>8355568.3381452719</v>
      </c>
    </row>
    <row r="28" spans="2:11" ht="15" customHeight="1" x14ac:dyDescent="0.3">
      <c r="B28" s="31" t="s">
        <v>492</v>
      </c>
      <c r="C28" s="11"/>
      <c r="D28" s="11"/>
      <c r="E28" s="11"/>
      <c r="F28" s="11"/>
      <c r="G28" s="11"/>
      <c r="H28" s="11"/>
      <c r="I28" s="11"/>
      <c r="J28" s="11"/>
      <c r="K28" s="11"/>
    </row>
    <row r="29" spans="2:11" ht="15" customHeight="1" x14ac:dyDescent="0.3">
      <c r="B29" s="29" t="s">
        <v>493</v>
      </c>
      <c r="C29" s="46">
        <f>Assumptions!$C$28</f>
        <v>65012051.829999998</v>
      </c>
      <c r="D29" s="46">
        <f>Assumptions!$C$28</f>
        <v>65012051.829999998</v>
      </c>
      <c r="E29" s="46">
        <f>Assumptions!$C$28</f>
        <v>65012051.829999998</v>
      </c>
      <c r="F29" s="46">
        <f>Assumptions!$C$28</f>
        <v>65012051.829999998</v>
      </c>
      <c r="G29" s="46">
        <f>Assumptions!$C$28</f>
        <v>65012051.829999998</v>
      </c>
      <c r="H29" s="46">
        <f>Assumptions!$C$28</f>
        <v>65012051.829999998</v>
      </c>
      <c r="I29" s="46">
        <f>Assumptions!$C$28</f>
        <v>65012051.829999998</v>
      </c>
      <c r="J29" s="46">
        <f>Assumptions!$C$28</f>
        <v>65012051.829999998</v>
      </c>
      <c r="K29" s="30">
        <f>J29</f>
        <v>65012051.829999998</v>
      </c>
    </row>
    <row r="30" spans="2:11" ht="15" customHeight="1" x14ac:dyDescent="0.3">
      <c r="B30" s="29" t="s">
        <v>494</v>
      </c>
      <c r="C30" s="50">
        <f>Assumptions!$C$29</f>
        <v>7.0999999999999994E-2</v>
      </c>
      <c r="D30" s="50">
        <f>Assumptions!$C$29</f>
        <v>7.0999999999999994E-2</v>
      </c>
      <c r="E30" s="50">
        <f>Assumptions!$C$29</f>
        <v>7.0999999999999994E-2</v>
      </c>
      <c r="F30" s="50">
        <f>Assumptions!$C$29</f>
        <v>7.0999999999999994E-2</v>
      </c>
      <c r="G30" s="50">
        <f>Assumptions!$C$29</f>
        <v>7.0999999999999994E-2</v>
      </c>
      <c r="H30" s="50">
        <f>Assumptions!$C$29</f>
        <v>7.0999999999999994E-2</v>
      </c>
      <c r="I30" s="50">
        <f>Assumptions!$C$29</f>
        <v>7.0999999999999994E-2</v>
      </c>
      <c r="J30" s="50">
        <f>Assumptions!$C$29</f>
        <v>7.0999999999999994E-2</v>
      </c>
      <c r="K30" s="191">
        <f>AVERAGE(C30:J30)</f>
        <v>7.0999999999999994E-2</v>
      </c>
    </row>
    <row r="31" spans="2:11" ht="15" customHeight="1" x14ac:dyDescent="0.3">
      <c r="B31" s="29" t="s">
        <v>495</v>
      </c>
      <c r="C31" s="46">
        <f>-((Assumptions!$C$28*Assumptions!$C$29/12)+Assumptions!$C$30+Assumptions!$C$31-Assumptions!$C$32)*C6</f>
        <v>-1362409.2799883331</v>
      </c>
      <c r="D31" s="46">
        <f>-((Assumptions!$C$28*Assumptions!$C$29/12)+Assumptions!$C$30+Assumptions!$C$31-Assumptions!$C$32)*D6</f>
        <v>-2043613.9199824997</v>
      </c>
      <c r="E31" s="46">
        <f>-((Assumptions!$C$28*Assumptions!$C$29/12)+Assumptions!$C$30+Assumptions!$C$31-Assumptions!$C$32)*E6</f>
        <v>-2043613.9199824997</v>
      </c>
      <c r="F31" s="46">
        <f>-((Assumptions!$C$28*Assumptions!$C$29/12)+Assumptions!$C$30+Assumptions!$C$31-Assumptions!$C$32)*F6</f>
        <v>-2043613.9199824997</v>
      </c>
      <c r="G31" s="46">
        <f>-((Assumptions!$C$28*Assumptions!$C$29/12)+Assumptions!$C$30+Assumptions!$C$31-Assumptions!$C$32)*G6</f>
        <v>-2043613.9199824997</v>
      </c>
      <c r="H31" s="46">
        <f>-((Assumptions!$C$28*Assumptions!$C$29/12)+Assumptions!$C$30+Assumptions!$C$31-Assumptions!$C$32)*H6</f>
        <v>-2043613.9199824997</v>
      </c>
      <c r="I31" s="46">
        <f>-((Assumptions!$C$28*Assumptions!$C$29/12)+Assumptions!$C$30+Assumptions!$C$31-Assumptions!$C$32)*I6</f>
        <v>-2043613.9199824997</v>
      </c>
      <c r="J31" s="46">
        <f>-((Assumptions!$C$28*Assumptions!$C$29/12)+Assumptions!$C$30+Assumptions!$C$31-Assumptions!$C$32)*J6</f>
        <v>-2043613.9199824997</v>
      </c>
      <c r="K31" s="30">
        <f>SUM(C31:J31)</f>
        <v>-15667706.719865832</v>
      </c>
    </row>
    <row r="32" spans="2:11" ht="15" customHeight="1" x14ac:dyDescent="0.3">
      <c r="B32" s="84" t="s">
        <v>496</v>
      </c>
      <c r="C32" s="30">
        <f t="shared" ref="C32:J32" si="6">C26+C31</f>
        <v>-831156.20448833308</v>
      </c>
      <c r="D32" s="30">
        <f t="shared" si="6"/>
        <v>-1077383.0236549999</v>
      </c>
      <c r="E32" s="30">
        <f t="shared" si="6"/>
        <v>-924538.63942909008</v>
      </c>
      <c r="F32" s="30">
        <f t="shared" si="6"/>
        <v>-895122.89515056345</v>
      </c>
      <c r="G32" s="30">
        <f t="shared" si="6"/>
        <v>-895451.67248799396</v>
      </c>
      <c r="H32" s="30">
        <f t="shared" si="6"/>
        <v>-895796.21918139025</v>
      </c>
      <c r="I32" s="30">
        <f t="shared" si="6"/>
        <v>-896156.64939120691</v>
      </c>
      <c r="J32" s="30">
        <f t="shared" si="6"/>
        <v>-896533.07793698134</v>
      </c>
      <c r="K32" s="30">
        <f>SUM(C32:J32)</f>
        <v>-7312138.3817205597</v>
      </c>
    </row>
    <row r="33" spans="2:20" ht="15" customHeight="1" x14ac:dyDescent="0.3">
      <c r="B33" s="29" t="s">
        <v>497</v>
      </c>
      <c r="C33" s="46">
        <f>-((Assumptions!$C$28*Assumptions!$C$29/12)+Assumptions!$C$30+Assumptions!$C$31)*C6</f>
        <v>-1483873.2799883331</v>
      </c>
      <c r="D33" s="46">
        <f>-((Assumptions!$C$28*Assumptions!$C$29/12)+Assumptions!$C$30+Assumptions!$C$31)*D6</f>
        <v>-2225809.9199824994</v>
      </c>
      <c r="E33" s="46">
        <f>-((Assumptions!$C$28*Assumptions!$C$29/12)+Assumptions!$C$30+Assumptions!$C$31)*E6</f>
        <v>-2225809.9199824994</v>
      </c>
      <c r="F33" s="46">
        <f>-((Assumptions!$C$28*Assumptions!$C$29/12)+Assumptions!$C$30+Assumptions!$C$31)*F6</f>
        <v>-2225809.9199824994</v>
      </c>
      <c r="G33" s="46">
        <f>-((Assumptions!$C$28*Assumptions!$C$29/12)+Assumptions!$C$30+Assumptions!$C$31)*G6</f>
        <v>-2225809.9199824994</v>
      </c>
      <c r="H33" s="46">
        <f>-((Assumptions!$C$28*Assumptions!$C$29/12)+Assumptions!$C$30+Assumptions!$C$31)*H6</f>
        <v>-2225809.9199824994</v>
      </c>
      <c r="I33" s="46">
        <f>-((Assumptions!$C$28*Assumptions!$C$29/12)+Assumptions!$C$30+Assumptions!$C$31)*I6</f>
        <v>-2225809.9199824994</v>
      </c>
      <c r="J33" s="46">
        <f>-((Assumptions!$C$28*Assumptions!$C$29/12)+Assumptions!$C$30+Assumptions!$C$31)*J6</f>
        <v>-2225809.9199824994</v>
      </c>
    </row>
    <row r="34" spans="2:20" ht="15" customHeight="1" x14ac:dyDescent="0.3">
      <c r="B34" s="31" t="s">
        <v>498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2:20" ht="15" customHeight="1" x14ac:dyDescent="0.3">
      <c r="B35" s="29" t="s">
        <v>499</v>
      </c>
      <c r="C35" s="46">
        <f>-Assumptions!C45</f>
        <v>-116766</v>
      </c>
      <c r="D35" s="46">
        <f>-Assumptions!D45</f>
        <v>-175149</v>
      </c>
      <c r="E35" s="46">
        <f>-Assumptions!E45</f>
        <v>-175149</v>
      </c>
      <c r="F35" s="46">
        <f>-Assumptions!F45</f>
        <v>-175149</v>
      </c>
      <c r="G35" s="46">
        <f>-Assumptions!G45</f>
        <v>0</v>
      </c>
      <c r="H35" s="46">
        <f>-Assumptions!H45</f>
        <v>0</v>
      </c>
      <c r="I35" s="46">
        <f>-Assumptions!I45</f>
        <v>0</v>
      </c>
      <c r="J35" s="46">
        <f>-Assumptions!J45</f>
        <v>0</v>
      </c>
      <c r="K35" s="30">
        <f>SUM(C35:J35)</f>
        <v>-642213</v>
      </c>
    </row>
    <row r="36" spans="2:20" ht="15" customHeight="1" x14ac:dyDescent="0.3">
      <c r="B36" s="29" t="s">
        <v>500</v>
      </c>
      <c r="C36" s="46">
        <f>IF(C5=1,-Assumptions!$C$38,0)</f>
        <v>-126608.63</v>
      </c>
      <c r="D36" s="46">
        <f>IF(D5=1,-Assumptions!$C$38,0)</f>
        <v>0</v>
      </c>
      <c r="E36" s="46">
        <f>IF(E5=1,-Assumptions!$C$38,0)</f>
        <v>0</v>
      </c>
      <c r="F36" s="46">
        <f>IF(F5=1,-Assumptions!$C$38,0)</f>
        <v>0</v>
      </c>
      <c r="G36" s="46">
        <f>IF(G5=1,-Assumptions!$C$38,0)</f>
        <v>0</v>
      </c>
      <c r="H36" s="46">
        <f>IF(H5=1,-Assumptions!$C$38,0)</f>
        <v>0</v>
      </c>
      <c r="I36" s="46">
        <f>IF(I5=1,-Assumptions!$C$38,0)</f>
        <v>0</v>
      </c>
      <c r="J36" s="46">
        <f>IF(J5=1,-Assumptions!$C$38,0)</f>
        <v>0</v>
      </c>
      <c r="K36" s="30">
        <f>SUM(C36:J36)</f>
        <v>-126608.63</v>
      </c>
    </row>
    <row r="37" spans="2:20" ht="15" customHeight="1" x14ac:dyDescent="0.3">
      <c r="B37" s="29" t="s">
        <v>501</v>
      </c>
      <c r="C37" s="46">
        <f>IF(C5=1,-Assumptions!$C$39,0)</f>
        <v>0</v>
      </c>
      <c r="D37" s="46">
        <f>IF(D5=1,-Assumptions!$C$39,0)</f>
        <v>0</v>
      </c>
      <c r="E37" s="46">
        <f>IF(E5=1,-Assumptions!$C$39,0)</f>
        <v>0</v>
      </c>
      <c r="F37" s="46">
        <f>IF(F5=1,-Assumptions!$C$39,0)</f>
        <v>0</v>
      </c>
      <c r="G37" s="46">
        <f>IF(G5=1,-Assumptions!$C$39,0)</f>
        <v>0</v>
      </c>
      <c r="H37" s="46">
        <f>IF(H5=1,-Assumptions!$C$39,0)</f>
        <v>0</v>
      </c>
      <c r="I37" s="46">
        <f>IF(I5=1,-Assumptions!$C$39,0)</f>
        <v>0</v>
      </c>
      <c r="J37" s="46">
        <f>IF(J5=1,-Assumptions!$C$39,0)</f>
        <v>0</v>
      </c>
      <c r="K37" s="30">
        <f>SUM(C37:J37)</f>
        <v>0</v>
      </c>
    </row>
    <row r="38" spans="2:20" ht="15" customHeight="1" x14ac:dyDescent="0.3">
      <c r="B38" s="84" t="s">
        <v>502</v>
      </c>
      <c r="C38" s="30">
        <f t="shared" ref="C38:J38" si="7">C32+C35+C36+C37</f>
        <v>-1074530.8344883332</v>
      </c>
      <c r="D38" s="30">
        <f t="shared" si="7"/>
        <v>-1252532.0236549999</v>
      </c>
      <c r="E38" s="30">
        <f t="shared" si="7"/>
        <v>-1099687.6394290901</v>
      </c>
      <c r="F38" s="30">
        <f t="shared" si="7"/>
        <v>-1070271.8951505634</v>
      </c>
      <c r="G38" s="30">
        <f t="shared" si="7"/>
        <v>-895451.67248799396</v>
      </c>
      <c r="H38" s="30">
        <f t="shared" si="7"/>
        <v>-895796.21918139025</v>
      </c>
      <c r="I38" s="30">
        <f t="shared" si="7"/>
        <v>-896156.64939120691</v>
      </c>
      <c r="J38" s="30">
        <f t="shared" si="7"/>
        <v>-896533.07793698134</v>
      </c>
      <c r="K38" s="30">
        <f>SUM(C38:J38)</f>
        <v>-8080960.0117205586</v>
      </c>
    </row>
    <row r="40" spans="2:20" ht="15" customHeight="1" x14ac:dyDescent="0.3">
      <c r="B40" s="31" t="s">
        <v>503</v>
      </c>
      <c r="C40" s="11"/>
      <c r="D40" s="11"/>
      <c r="E40" s="11"/>
      <c r="F40" s="11"/>
      <c r="G40" s="11"/>
      <c r="H40" s="11"/>
      <c r="I40" s="11"/>
      <c r="J40" s="11"/>
      <c r="K40" s="11"/>
    </row>
    <row r="41" spans="2:20" ht="15" customHeight="1" x14ac:dyDescent="0.3">
      <c r="B41" s="29" t="s">
        <v>504</v>
      </c>
      <c r="C41" s="46">
        <v>0</v>
      </c>
      <c r="D41" s="46">
        <f t="shared" ref="D41:J41" si="8">C43</f>
        <v>4103696.1982288202</v>
      </c>
      <c r="E41" s="46">
        <f t="shared" si="8"/>
        <v>2851164.1745738201</v>
      </c>
      <c r="F41" s="46">
        <f t="shared" si="8"/>
        <v>1751476.53514473</v>
      </c>
      <c r="G41" s="46">
        <f t="shared" si="8"/>
        <v>681204.63999416656</v>
      </c>
      <c r="H41" s="46">
        <f t="shared" si="8"/>
        <v>-214247.0324938274</v>
      </c>
      <c r="I41" s="46">
        <f t="shared" si="8"/>
        <v>-1110043.2516752176</v>
      </c>
      <c r="J41" s="46">
        <f t="shared" si="8"/>
        <v>-2006199.9010664246</v>
      </c>
    </row>
    <row r="42" spans="2:20" ht="15" customHeight="1" x14ac:dyDescent="0.3">
      <c r="B42" s="84" t="s">
        <v>505</v>
      </c>
      <c r="C42" s="30">
        <f>$T$50</f>
        <v>5178227.0327171534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</row>
    <row r="43" spans="2:20" ht="15" customHeight="1" x14ac:dyDescent="0.3">
      <c r="B43" s="84" t="s">
        <v>506</v>
      </c>
      <c r="C43" s="30">
        <f t="shared" ref="C43:J43" si="9">C41+C42+C38</f>
        <v>4103696.1982288202</v>
      </c>
      <c r="D43" s="30">
        <f t="shared" si="9"/>
        <v>2851164.1745738201</v>
      </c>
      <c r="E43" s="30">
        <f t="shared" si="9"/>
        <v>1751476.53514473</v>
      </c>
      <c r="F43" s="30">
        <f t="shared" si="9"/>
        <v>681204.63999416656</v>
      </c>
      <c r="G43" s="30">
        <f t="shared" si="9"/>
        <v>-214247.0324938274</v>
      </c>
      <c r="H43" s="30">
        <f t="shared" si="9"/>
        <v>-1110043.2516752176</v>
      </c>
      <c r="I43" s="30">
        <f t="shared" si="9"/>
        <v>-2006199.9010664246</v>
      </c>
      <c r="J43" s="30">
        <f t="shared" si="9"/>
        <v>-2902732.9790034061</v>
      </c>
      <c r="K43" s="30">
        <f>J43</f>
        <v>-2902732.9790034061</v>
      </c>
    </row>
    <row r="45" spans="2:20" ht="15" customHeight="1" x14ac:dyDescent="0.3">
      <c r="B45" s="31" t="s">
        <v>507</v>
      </c>
      <c r="C45" s="11"/>
      <c r="D45" s="11"/>
      <c r="E45" s="11"/>
      <c r="F45" s="11"/>
      <c r="G45" s="11"/>
      <c r="H45" s="11"/>
      <c r="I45" s="11"/>
      <c r="J45" s="11"/>
      <c r="K45" s="11"/>
      <c r="S45" s="188" t="s">
        <v>508</v>
      </c>
      <c r="T45" s="189"/>
    </row>
    <row r="46" spans="2:20" ht="15" customHeight="1" x14ac:dyDescent="0.3">
      <c r="B46" s="29" t="s">
        <v>509</v>
      </c>
      <c r="C46" s="30">
        <f>SUM(C26:F26)</f>
        <v>3765050.2772128456</v>
      </c>
      <c r="S46" s="29" t="s">
        <v>510</v>
      </c>
      <c r="T46" s="46">
        <f>'Capex Run Rate'!$C$3</f>
        <v>642213</v>
      </c>
    </row>
    <row r="47" spans="2:20" ht="15" customHeight="1" x14ac:dyDescent="0.3">
      <c r="B47" s="29" t="s">
        <v>511</v>
      </c>
      <c r="C47" s="30">
        <f>-SUM(C31:F31)</f>
        <v>7493251.0399358319</v>
      </c>
      <c r="S47" s="29" t="s">
        <v>512</v>
      </c>
      <c r="T47" s="46">
        <f>Assumptions!$C$38</f>
        <v>126608.63</v>
      </c>
    </row>
    <row r="48" spans="2:20" ht="15" customHeight="1" x14ac:dyDescent="0.3">
      <c r="B48" s="29" t="s">
        <v>513</v>
      </c>
      <c r="C48" s="190">
        <f>SUM(C26:F26)/-SUM(C31:F31)</f>
        <v>0.50245884692061349</v>
      </c>
      <c r="S48" s="29" t="s">
        <v>33</v>
      </c>
      <c r="T48" s="46">
        <f>Assumptions!$C$39</f>
        <v>0</v>
      </c>
    </row>
    <row r="49" spans="2:20" ht="15" customHeight="1" x14ac:dyDescent="0.3">
      <c r="B49" s="29" t="s">
        <v>514</v>
      </c>
      <c r="C49" s="191">
        <f>SUM(C26:F26)/Assumptions!$C$28</f>
        <v>5.7913112588079435E-2</v>
      </c>
      <c r="S49" s="29" t="s">
        <v>515</v>
      </c>
      <c r="T49" s="46">
        <f>MAX(0,-SUMIF(C5:J5,"&lt;="&amp;Assumptions!$C$43,C32:J32))+Assumptions!$C$40</f>
        <v>4409405.4027171535</v>
      </c>
    </row>
    <row r="50" spans="2:20" ht="15" customHeight="1" x14ac:dyDescent="0.3">
      <c r="B50" s="29" t="s">
        <v>516</v>
      </c>
      <c r="C50" s="30">
        <f>T50</f>
        <v>5178227.0327171534</v>
      </c>
      <c r="S50" s="84" t="s">
        <v>517</v>
      </c>
      <c r="T50" s="30">
        <f>T46+T47+T48+T49</f>
        <v>5178227.0327171534</v>
      </c>
    </row>
    <row r="51" spans="2:20" ht="15" customHeight="1" x14ac:dyDescent="0.3">
      <c r="B51" s="29" t="s">
        <v>518</v>
      </c>
      <c r="C51" s="30">
        <f ca="1">MIN(OFFSET(C43,0,0,1,Assumptions!$C$43))</f>
        <v>681204.63999416656</v>
      </c>
      <c r="S51" s="29" t="s">
        <v>519</v>
      </c>
      <c r="T51" s="46">
        <f>Assumptions!$C$41</f>
        <v>1300987.24</v>
      </c>
    </row>
    <row r="52" spans="2:20" ht="15" customHeight="1" x14ac:dyDescent="0.3">
      <c r="B52" s="29" t="s">
        <v>520</v>
      </c>
      <c r="C52" s="30">
        <f>SUMIF(C5:J5,"&lt;="&amp;Assumptions!$C$43,C32:J32)</f>
        <v>-3728200.7627229868</v>
      </c>
      <c r="S52" s="192" t="s">
        <v>521</v>
      </c>
      <c r="T52" s="140">
        <f>T50-T51</f>
        <v>3877239.7927171532</v>
      </c>
    </row>
    <row r="53" spans="2:20" ht="15" customHeight="1" x14ac:dyDescent="0.3">
      <c r="B53" s="29" t="s">
        <v>522</v>
      </c>
      <c r="C53" s="30">
        <f>SUM(C32:F32)/12</f>
        <v>-310683.39689358225</v>
      </c>
      <c r="S53" s="29"/>
      <c r="T53" s="46"/>
    </row>
    <row r="54" spans="2:20" ht="15" customHeight="1" x14ac:dyDescent="0.3">
      <c r="B54" s="29" t="s">
        <v>523</v>
      </c>
      <c r="C54" s="30">
        <f>Assumptions!$C$60</f>
        <v>5300000</v>
      </c>
      <c r="S54" s="29"/>
      <c r="T54" s="46"/>
    </row>
    <row r="55" spans="2:20" ht="15" customHeight="1" x14ac:dyDescent="0.3">
      <c r="S55" s="29"/>
      <c r="T55" s="46"/>
    </row>
    <row r="56" spans="2:20" ht="15" customHeight="1" x14ac:dyDescent="0.3">
      <c r="B56" s="120" t="s">
        <v>524</v>
      </c>
      <c r="C56" s="11"/>
      <c r="D56" s="11"/>
      <c r="E56" s="11"/>
      <c r="F56" s="11"/>
      <c r="G56" s="11"/>
      <c r="H56" s="11"/>
      <c r="I56" s="11"/>
      <c r="J56" s="11"/>
      <c r="K56" s="11"/>
      <c r="S56" s="38"/>
      <c r="T56" s="193"/>
    </row>
    <row r="57" spans="2:20" ht="15" customHeight="1" x14ac:dyDescent="0.3">
      <c r="B57" s="29" t="s">
        <v>525</v>
      </c>
      <c r="C57" s="46">
        <f t="shared" ref="C57:J57" si="10">C38</f>
        <v>-1074530.8344883332</v>
      </c>
      <c r="D57" s="46">
        <f t="shared" si="10"/>
        <v>-1252532.0236549999</v>
      </c>
      <c r="E57" s="46">
        <f t="shared" si="10"/>
        <v>-1099687.6394290901</v>
      </c>
      <c r="F57" s="46">
        <f t="shared" si="10"/>
        <v>-1070271.8951505634</v>
      </c>
      <c r="G57" s="46">
        <f t="shared" si="10"/>
        <v>-895451.67248799396</v>
      </c>
      <c r="H57" s="46">
        <f t="shared" si="10"/>
        <v>-895796.21918139025</v>
      </c>
      <c r="I57" s="46">
        <f t="shared" si="10"/>
        <v>-896156.64939120691</v>
      </c>
      <c r="J57" s="46">
        <f t="shared" si="10"/>
        <v>-896533.07793698134</v>
      </c>
      <c r="S57" s="29"/>
      <c r="T57" s="46"/>
    </row>
    <row r="58" spans="2:20" ht="15" customHeight="1" x14ac:dyDescent="0.3">
      <c r="B58" s="29" t="s">
        <v>526</v>
      </c>
      <c r="C58" s="46">
        <f>Assumptions!$C$41</f>
        <v>1300987.24</v>
      </c>
      <c r="D58" s="46">
        <f t="shared" ref="D58:J58" si="11">C60</f>
        <v>681204.63999416656</v>
      </c>
      <c r="E58" s="46">
        <f t="shared" si="11"/>
        <v>681204.63999416656</v>
      </c>
      <c r="F58" s="46">
        <f t="shared" si="11"/>
        <v>681204.63999416656</v>
      </c>
      <c r="G58" s="46">
        <f t="shared" si="11"/>
        <v>681204.63999416656</v>
      </c>
      <c r="H58" s="46">
        <f t="shared" si="11"/>
        <v>-214247.0324938274</v>
      </c>
      <c r="I58" s="46">
        <f t="shared" si="11"/>
        <v>-1110043.2516752176</v>
      </c>
      <c r="J58" s="46">
        <f t="shared" si="11"/>
        <v>-2006199.9010664246</v>
      </c>
      <c r="S58" s="38"/>
      <c r="T58" s="193"/>
    </row>
    <row r="59" spans="2:20" ht="15" customHeight="1" x14ac:dyDescent="0.3">
      <c r="B59" s="149" t="s">
        <v>527</v>
      </c>
      <c r="C59" s="140">
        <f>IF(C5&lt;=Assumptions!$C$43,MAX(0,Assumptions!$C$40-(C58+C57)),0)</f>
        <v>454748.23448249977</v>
      </c>
      <c r="D59" s="140">
        <f>IF(D5&lt;=Assumptions!$C$43,MAX(0,Assumptions!$C$40-(D58+D57)),0)</f>
        <v>1252532.0236549999</v>
      </c>
      <c r="E59" s="140">
        <f>IF(E5&lt;=Assumptions!$C$43,MAX(0,Assumptions!$C$40-(E58+E57)),0)</f>
        <v>1099687.6394290901</v>
      </c>
      <c r="F59" s="140">
        <f>IF(F5&lt;=Assumptions!$C$43,MAX(0,Assumptions!$C$40-(F58+F57)),0)</f>
        <v>1070271.8951505634</v>
      </c>
      <c r="G59" s="140">
        <f>IF(G5&lt;=Assumptions!$C$43,MAX(0,Assumptions!$C$40-(G58+G57)),0)</f>
        <v>0</v>
      </c>
      <c r="H59" s="140">
        <f>IF(H5&lt;=Assumptions!$C$43,MAX(0,Assumptions!$C$40-(H58+H57)),0)</f>
        <v>0</v>
      </c>
      <c r="I59" s="140">
        <f>IF(I5&lt;=Assumptions!$C$43,MAX(0,Assumptions!$C$40-(I58+I57)),0)</f>
        <v>0</v>
      </c>
      <c r="J59" s="140">
        <f>IF(J5&lt;=Assumptions!$C$43,MAX(0,Assumptions!$C$40-(J58+J57)),0)</f>
        <v>0</v>
      </c>
      <c r="K59" s="140">
        <f>SUM(C59:J59)</f>
        <v>3877239.7927171532</v>
      </c>
      <c r="S59" s="38"/>
      <c r="T59" s="193"/>
    </row>
    <row r="60" spans="2:20" ht="15" customHeight="1" x14ac:dyDescent="0.3">
      <c r="B60" s="29" t="s">
        <v>528</v>
      </c>
      <c r="C60" s="46">
        <f t="shared" ref="C60:J60" si="12">C58+C57+C59</f>
        <v>681204.63999416656</v>
      </c>
      <c r="D60" s="46">
        <f t="shared" si="12"/>
        <v>681204.63999416656</v>
      </c>
      <c r="E60" s="46">
        <f t="shared" si="12"/>
        <v>681204.63999416656</v>
      </c>
      <c r="F60" s="46">
        <f t="shared" si="12"/>
        <v>681204.63999416656</v>
      </c>
      <c r="G60" s="46">
        <f t="shared" si="12"/>
        <v>-214247.0324938274</v>
      </c>
      <c r="H60" s="46">
        <f t="shared" si="12"/>
        <v>-1110043.2516752176</v>
      </c>
      <c r="I60" s="46">
        <f t="shared" si="12"/>
        <v>-2006199.9010664246</v>
      </c>
      <c r="J60" s="46">
        <f t="shared" si="12"/>
        <v>-2902732.9790034061</v>
      </c>
    </row>
    <row r="61" spans="2:20" ht="15" customHeight="1" x14ac:dyDescent="0.3">
      <c r="B61" s="38" t="s">
        <v>529</v>
      </c>
      <c r="C61" s="193">
        <f>Assumptions!$C$60</f>
        <v>5300000</v>
      </c>
      <c r="D61" s="193">
        <v>0</v>
      </c>
      <c r="E61" s="193">
        <v>0</v>
      </c>
      <c r="F61" s="193">
        <v>0</v>
      </c>
      <c r="G61" s="193">
        <v>0</v>
      </c>
      <c r="H61" s="193">
        <v>0</v>
      </c>
      <c r="I61" s="193">
        <v>0</v>
      </c>
      <c r="J61" s="193">
        <v>0</v>
      </c>
    </row>
    <row r="62" spans="2:20" ht="15" customHeight="1" x14ac:dyDescent="0.3">
      <c r="B62" s="120" t="s">
        <v>530</v>
      </c>
      <c r="C62" s="11"/>
      <c r="D62" s="11"/>
      <c r="E62" s="11"/>
      <c r="F62" s="11"/>
      <c r="G62" s="11"/>
    </row>
    <row r="63" spans="2:20" ht="15" customHeight="1" x14ac:dyDescent="0.3">
      <c r="B63" s="29" t="s">
        <v>531</v>
      </c>
      <c r="C63" s="46">
        <f>C59</f>
        <v>454748.23448249977</v>
      </c>
      <c r="D63" s="46">
        <f>D59</f>
        <v>1252532.0236549999</v>
      </c>
      <c r="E63" s="46">
        <f>E59</f>
        <v>1099687.6394290901</v>
      </c>
      <c r="F63" s="46">
        <f>F59</f>
        <v>1070271.8951505634</v>
      </c>
    </row>
    <row r="64" spans="2:20" ht="15" customHeight="1" x14ac:dyDescent="0.3">
      <c r="B64" s="38"/>
      <c r="C64" s="193">
        <v>0</v>
      </c>
      <c r="D64" s="193">
        <v>0</v>
      </c>
      <c r="E64" s="193">
        <v>0</v>
      </c>
      <c r="F64" s="193">
        <v>0</v>
      </c>
    </row>
    <row r="65" spans="2:7" ht="15" customHeight="1" x14ac:dyDescent="0.3">
      <c r="B65" s="38"/>
      <c r="C65" s="193">
        <v>0</v>
      </c>
      <c r="D65" s="193">
        <v>0</v>
      </c>
      <c r="E65" s="193">
        <v>0</v>
      </c>
      <c r="F65" s="193">
        <v>0</v>
      </c>
    </row>
    <row r="66" spans="2:7" ht="15" customHeight="1" x14ac:dyDescent="0.3">
      <c r="B66" s="149" t="s">
        <v>532</v>
      </c>
      <c r="C66" s="140">
        <f>C63+C64+C65</f>
        <v>454748.23448249977</v>
      </c>
      <c r="D66" s="140">
        <f>D63+D64+D65</f>
        <v>1252532.0236549999</v>
      </c>
      <c r="E66" s="140">
        <f>E63+E64+E65</f>
        <v>1099687.6394290901</v>
      </c>
      <c r="F66" s="140">
        <f>F63+F64+F65</f>
        <v>1070271.8951505634</v>
      </c>
      <c r="G66" s="140">
        <f>SUM(C66:F66)</f>
        <v>3877239.7927171532</v>
      </c>
    </row>
    <row r="67" spans="2:7" ht="15" customHeight="1" x14ac:dyDescent="0.3">
      <c r="B67" s="38" t="s">
        <v>533</v>
      </c>
      <c r="C67" s="56" t="s">
        <v>55</v>
      </c>
      <c r="D67" s="56" t="s">
        <v>56</v>
      </c>
      <c r="E67" s="56" t="s">
        <v>57</v>
      </c>
      <c r="F67" s="56" t="s">
        <v>58</v>
      </c>
    </row>
  </sheetData>
  <mergeCells count="2">
    <mergeCell ref="B1:K1"/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13670C3A1CC44A5064406F8CCD185" ma:contentTypeVersion="15" ma:contentTypeDescription="Create a new document." ma:contentTypeScope="" ma:versionID="8c2b85a346f43f39afabb5b7f0766f4a">
  <xsd:schema xmlns:xsd="http://www.w3.org/2001/XMLSchema" xmlns:xs="http://www.w3.org/2001/XMLSchema" xmlns:p="http://schemas.microsoft.com/office/2006/metadata/properties" xmlns:ns2="560d74da-75e6-4a2b-a394-f0f779b504c6" xmlns:ns3="63ed3ee1-3d89-4eab-85d8-b1edcaf37c19" targetNamespace="http://schemas.microsoft.com/office/2006/metadata/properties" ma:root="true" ma:fieldsID="6a7429014cb557a274c739c8662e52ed" ns2:_="" ns3:_="">
    <xsd:import namespace="560d74da-75e6-4a2b-a394-f0f779b504c6"/>
    <xsd:import namespace="63ed3ee1-3d89-4eab-85d8-b1edcaf37c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d74da-75e6-4a2b-a394-f0f779b50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d0387f-4577-41fb-adfe-45bfda24f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d3ee1-3d89-4eab-85d8-b1edcaf37c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6577b2-205d-4e3b-952a-b63065427862}" ma:internalName="TaxCatchAll" ma:showField="CatchAllData" ma:web="63ed3ee1-3d89-4eab-85d8-b1edcaf37c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ed3ee1-3d89-4eab-85d8-b1edcaf37c19" xsi:nil="true"/>
    <lcf76f155ced4ddcb4097134ff3c332f xmlns="560d74da-75e6-4a2b-a394-f0f779b504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7DE9FB-E4BA-44A3-A3D7-0DE54277A7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0d74da-75e6-4a2b-a394-f0f779b504c6"/>
    <ds:schemaRef ds:uri="63ed3ee1-3d89-4eab-85d8-b1edcaf37c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BBAA85-2C2A-4FFB-9422-36113BB202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849D6B-0559-433A-95D0-BF6445951ECA}">
  <ds:schemaRefs>
    <ds:schemaRef ds:uri="http://schemas.microsoft.com/office/2006/metadata/properties"/>
    <ds:schemaRef ds:uri="http://schemas.microsoft.com/office/infopath/2007/PartnerControls"/>
    <ds:schemaRef ds:uri="63ed3ee1-3d89-4eab-85d8-b1edcaf37c19"/>
    <ds:schemaRef ds:uri="560d74da-75e6-4a2b-a394-f0f779b504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Dashboard</vt:lpstr>
      <vt:lpstr>Assumptions</vt:lpstr>
      <vt:lpstr>Action Items</vt:lpstr>
      <vt:lpstr>2025 vs 2026</vt:lpstr>
      <vt:lpstr>Cash Burn</vt:lpstr>
      <vt:lpstr>Draw Model Recon</vt:lpstr>
      <vt:lpstr>Uses Detail</vt:lpstr>
      <vt:lpstr>Capex Run Rate</vt:lpstr>
      <vt:lpstr>Operating Actuals</vt:lpstr>
      <vt:lpstr>Model - Conservative</vt:lpstr>
      <vt:lpstr>Model - Expected</vt:lpstr>
      <vt:lpstr>Model - Recovery</vt:lpstr>
      <vt:lpstr>Model - 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Chidichimo</cp:lastModifiedBy>
  <cp:revision>20</cp:revision>
  <dcterms:created xsi:type="dcterms:W3CDTF">2026-06-18T22:42:21Z</dcterms:created>
  <dcterms:modified xsi:type="dcterms:W3CDTF">2026-08-12T22:55:10Z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0x01010062E13670C3A1CC44A5064406F8CCD185</vt:lpwstr>
  </property>
  <property fmtid="{D5CDD505-2E9C-101B-9397-08002B2CF9AE}" pid="3" name="MediaServiceImageTags">
    <vt:lpwstr/>
  </property>
</Properties>
</file>